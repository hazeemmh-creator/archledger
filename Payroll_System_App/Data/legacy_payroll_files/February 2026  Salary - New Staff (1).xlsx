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HILA\OneDrive\Desktop\2026 SALARIES\"/>
    </mc:Choice>
  </mc:AlternateContent>
  <bookViews>
    <workbookView xWindow="0" yWindow="0" windowWidth="19200" windowHeight="6795" tabRatio="597"/>
  </bookViews>
  <sheets>
    <sheet name="FEB NEW PERM" sheetId="183" r:id="rId1"/>
    <sheet name="MEMO" sheetId="68" r:id="rId2"/>
    <sheet name="PAYE" sheetId="179" r:id="rId3"/>
    <sheet name="DEC NEW PERM" sheetId="181" r:id="rId4"/>
    <sheet name="2026 ENHANCED WELFARE" sheetId="185" r:id="rId5"/>
    <sheet name="Sheet7" sheetId="184" r:id="rId6"/>
    <sheet name="Sheet6" sheetId="180" r:id="rId7"/>
    <sheet name="Christmas 2024" sheetId="176" r:id="rId8"/>
    <sheet name="NEW STAFF BONUS" sheetId="178" r:id="rId9"/>
    <sheet name="Sheet5" sheetId="177" r:id="rId10"/>
    <sheet name="Placement" sheetId="173" r:id="rId11"/>
    <sheet name="New Staff PAYE" sheetId="172" r:id="rId12"/>
    <sheet name="Recovery" sheetId="171" r:id="rId13"/>
    <sheet name="New Enrolmt" sheetId="170" r:id="rId14"/>
    <sheet name="1ST 28 DAYS" sheetId="163" r:id="rId15"/>
    <sheet name="Conversion &amp; Enrol Effect" sheetId="164" r:id="rId16"/>
    <sheet name="Converted Staff PAYE" sheetId="169" r:id="rId17"/>
    <sheet name="Movt to Contract" sheetId="167" r:id="rId18"/>
    <sheet name="Sheet10" sheetId="168" r:id="rId19"/>
    <sheet name="Sheet8" sheetId="166" r:id="rId20"/>
    <sheet name="Welfare June" sheetId="161" r:id="rId21"/>
    <sheet name="Welfare Summary" sheetId="162" r:id="rId22"/>
    <sheet name="Arrears of Res. Allow" sheetId="159" r:id="rId23"/>
    <sheet name="Additional Leg Duty Allowance" sheetId="153" r:id="rId24"/>
    <sheet name="March New PAYE " sheetId="154" r:id="rId25"/>
    <sheet name="Upgrade in March" sheetId="155" r:id="rId26"/>
    <sheet name="New NHF Deduction" sheetId="156" r:id="rId27"/>
    <sheet name="Regularisation" sheetId="152" r:id="rId28"/>
    <sheet name="Sallah Welfare, April 2024" sheetId="158" r:id="rId29"/>
    <sheet name="Sheet4" sheetId="157" r:id="rId30"/>
    <sheet name="January Arrears" sheetId="149" r:id="rId31"/>
    <sheet name="Tax Reg Sch. " sheetId="146" r:id="rId32"/>
    <sheet name=" Excess Ded Paid" sheetId="142" r:id="rId33"/>
    <sheet name="Changes in Gross &amp; PAYE " sheetId="143" r:id="rId34"/>
    <sheet name="May New PAYE " sheetId="147" r:id="rId35"/>
    <sheet name="Employee Pensions" sheetId="144" r:id="rId36"/>
    <sheet name="Upgrade in Feb." sheetId="150" r:id="rId37"/>
    <sheet name="Coop. Ded for Feb." sheetId="151" r:id="rId38"/>
    <sheet name="ENHANCED WELFARE 2024" sheetId="140" r:id="rId39"/>
    <sheet name="PROMOTIONS " sheetId="131" r:id="rId40"/>
    <sheet name="CHRISTMAS WELFARE" sheetId="135" r:id="rId41"/>
    <sheet name="CHRISTMAS WELFARE 1" sheetId="134" r:id="rId42"/>
    <sheet name="HALF 2023 (2)" sheetId="137" r:id="rId43"/>
    <sheet name="Sheet3" sheetId="136" r:id="rId44"/>
    <sheet name="NEW ENROLMENT IN NOVEMBER (2)" sheetId="132" r:id="rId45"/>
    <sheet name="Regularisation IN NOVEMBER (3)" sheetId="133" r:id="rId46"/>
    <sheet name="Sheet2" sheetId="130" r:id="rId47"/>
    <sheet name="PROMOTIONS" sheetId="129" r:id="rId48"/>
    <sheet name="SALARY STRUCTURE" sheetId="128" r:id="rId49"/>
    <sheet name="Wage Grant" sheetId="124" r:id="rId50"/>
    <sheet name="Wage Grant (2)" sheetId="126" r:id="rId51"/>
    <sheet name="1st 28 days in Nov" sheetId="123" r:id="rId52"/>
    <sheet name="Sallah Welfare April 2023" sheetId="119" r:id="rId53"/>
    <sheet name="Sallah Welfare June 2023" sheetId="120" r:id="rId54"/>
    <sheet name="Sallah Welfare June 2023 Latest" sheetId="121" r:id="rId55"/>
    <sheet name="Sheet1" sheetId="117" r:id="rId56"/>
    <sheet name="January 2023 PAYE" sheetId="115" r:id="rId57"/>
    <sheet name="January 2023 NHF)" sheetId="116" r:id="rId58"/>
    <sheet name="PAYE Computation" sheetId="114" r:id="rId59"/>
    <sheet name="Tax adj August, 2022" sheetId="87" r:id="rId60"/>
    <sheet name="Annual Increement" sheetId="78" r:id="rId61"/>
    <sheet name="Enhanced Welfare 2023 (2)" sheetId="110" r:id="rId62"/>
    <sheet name="Enhanced Welfare 2023 (3)" sheetId="113" r:id="rId63"/>
    <sheet name="17.9" sheetId="4" r:id="rId64"/>
    <sheet name="16.7" sheetId="5" r:id="rId65"/>
    <sheet name="15.7.1" sheetId="6" r:id="rId66"/>
    <sheet name="13.7" sheetId="7" r:id="rId67"/>
    <sheet name="12.7" sheetId="8" r:id="rId68"/>
    <sheet name="10.7" sheetId="9" r:id="rId69"/>
    <sheet name="9.7" sheetId="10" r:id="rId70"/>
    <sheet name="8.7" sheetId="11" r:id="rId71"/>
    <sheet name="SUMMARY" sheetId="12" r:id="rId72"/>
    <sheet name="14.7" sheetId="13" r:id="rId73"/>
    <sheet name="15.7" sheetId="23" r:id="rId74"/>
    <sheet name="Basic Salary" sheetId="61" r:id="rId75"/>
    <sheet name="JUNE 2023 (2)" sheetId="122" r:id="rId76"/>
  </sheets>
  <externalReferences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</externalReferences>
  <definedNames>
    <definedName name="_xlnm.Print_Area" localSheetId="4">'2026 ENHANCED WELFARE'!$A$1:$G$71</definedName>
    <definedName name="_xlnm.Print_Area" localSheetId="23">'Additional Leg Duty Allowance'!$A$1:$U$19</definedName>
    <definedName name="_xlnm.Print_Area" localSheetId="60">'Annual Increement'!$A$1:$AB$191</definedName>
    <definedName name="_xlnm.Print_Area" localSheetId="7">'Christmas 2024'!$A$1:$E$60</definedName>
    <definedName name="_xlnm.Print_Area" localSheetId="40">'CHRISTMAS WELFARE'!$A$1:$E$196</definedName>
    <definedName name="_xlnm.Print_Area" localSheetId="3">'DEC NEW PERM'!$A$1:$R$66</definedName>
    <definedName name="_xlnm.Print_Area" localSheetId="61">'Enhanced Welfare 2023 (2)'!$A$1:$G$193</definedName>
    <definedName name="_xlnm.Print_Area" localSheetId="62">'Enhanced Welfare 2023 (3)'!$A$1:$G$193</definedName>
    <definedName name="_xlnm.Print_Area" localSheetId="38">'ENHANCED WELFARE 2024'!$A$1:$G$196</definedName>
    <definedName name="_xlnm.Print_Area" localSheetId="0">'FEB NEW PERM'!$A$1:$T$79</definedName>
    <definedName name="_xlnm.Print_Area" localSheetId="42">'HALF 2023 (2)'!$A$1:$F$195</definedName>
    <definedName name="_xlnm.Print_Area" localSheetId="57">'January 2023 NHF)'!$A$1:$H$191</definedName>
    <definedName name="_xlnm.Print_Area" localSheetId="56">'January 2023 PAYE'!$A$1:$H$191</definedName>
    <definedName name="_xlnm.Print_Area" localSheetId="75">'JUNE 2023 (2)'!$A$1:$D$190</definedName>
    <definedName name="_xlnm.Print_Area" localSheetId="1">MEMO!$A$1:$F$62</definedName>
    <definedName name="_xlnm.Print_Area" localSheetId="44">'NEW ENROLMENT IN NOVEMBER (2)'!$A$1:$X$14</definedName>
    <definedName name="_xlnm.Print_Area" localSheetId="8">'NEW STAFF BONUS'!$A$1:$F$59</definedName>
    <definedName name="_xlnm.Print_Area" localSheetId="47">PROMOTIONS!$A$1:$AB$47</definedName>
    <definedName name="_xlnm.Print_Area" localSheetId="39">'PROMOTIONS '!$A$1:$AB$27</definedName>
    <definedName name="_xlnm.Print_Area" localSheetId="45">'Regularisation IN NOVEMBER (3)'!$A$1:$X$16</definedName>
    <definedName name="_xlnm.Print_Area" localSheetId="52">'Sallah Welfare April 2023'!$A$1:$E$190</definedName>
    <definedName name="_xlnm.Print_Area" localSheetId="53">'Sallah Welfare June 2023'!$A$1:$E$192</definedName>
    <definedName name="_xlnm.Print_Area" localSheetId="54">'Sallah Welfare June 2023 Latest'!$A$1:$E$189</definedName>
    <definedName name="_xlnm.Print_Area" localSheetId="28">'Sallah Welfare, April 2024'!$A$1:$E$194</definedName>
    <definedName name="_xlnm.Print_Area" localSheetId="59">'Tax adj August, 2022'!$A$1:$G$202</definedName>
    <definedName name="_xlnm.Print_Area" localSheetId="25">'Upgrade in March'!$A$1:$S$11</definedName>
    <definedName name="_xlnm.Print_Area" localSheetId="49">'Wage Grant'!$A$1:$I$192</definedName>
    <definedName name="_xlnm.Print_Area" localSheetId="50">'Wage Grant (2)'!$A$1:$H$62</definedName>
    <definedName name="_xlnm.Print_Area" localSheetId="20">'Welfare June'!$A$1:$E$194</definedName>
    <definedName name="_xlnm.Print_Titles" localSheetId="4">'2026 ENHANCED WELFARE'!$4:$5</definedName>
    <definedName name="_xlnm.Print_Titles" localSheetId="23">'Additional Leg Duty Allowance'!$4:$5</definedName>
    <definedName name="_xlnm.Print_Titles" localSheetId="7">'Christmas 2024'!$4:$5</definedName>
    <definedName name="_xlnm.Print_Titles" localSheetId="40">'CHRISTMAS WELFARE'!$4:$5</definedName>
    <definedName name="_xlnm.Print_Titles" localSheetId="3">'DEC NEW PERM'!$4:$5</definedName>
    <definedName name="_xlnm.Print_Titles" localSheetId="61">'Enhanced Welfare 2023 (2)'!$4:$5</definedName>
    <definedName name="_xlnm.Print_Titles" localSheetId="62">'Enhanced Welfare 2023 (3)'!$4:$5</definedName>
    <definedName name="_xlnm.Print_Titles" localSheetId="38">'ENHANCED WELFARE 2024'!$4:$5</definedName>
    <definedName name="_xlnm.Print_Titles" localSheetId="0">'FEB NEW PERM'!$4:$5</definedName>
    <definedName name="_xlnm.Print_Titles" localSheetId="42">'HALF 2023 (2)'!$4:$5</definedName>
    <definedName name="_xlnm.Print_Titles" localSheetId="57">'January 2023 NHF)'!$4:$5</definedName>
    <definedName name="_xlnm.Print_Titles" localSheetId="56">'January 2023 PAYE'!$4:$5</definedName>
    <definedName name="_xlnm.Print_Titles" localSheetId="75">'JUNE 2023 (2)'!$4:$5</definedName>
    <definedName name="_xlnm.Print_Titles" localSheetId="44">'NEW ENROLMENT IN NOVEMBER (2)'!$4:$5</definedName>
    <definedName name="_xlnm.Print_Titles" localSheetId="8">'NEW STAFF BONUS'!$4:$5</definedName>
    <definedName name="_xlnm.Print_Titles" localSheetId="47">PROMOTIONS!$4:$5</definedName>
    <definedName name="_xlnm.Print_Titles" localSheetId="39">'PROMOTIONS '!$4:$5</definedName>
    <definedName name="_xlnm.Print_Titles" localSheetId="45">'Regularisation IN NOVEMBER (3)'!$4:$5</definedName>
    <definedName name="_xlnm.Print_Titles" localSheetId="52">'Sallah Welfare April 2023'!$4:$5</definedName>
    <definedName name="_xlnm.Print_Titles" localSheetId="53">'Sallah Welfare June 2023'!$4:$5</definedName>
    <definedName name="_xlnm.Print_Titles" localSheetId="54">'Sallah Welfare June 2023 Latest'!$4:$5</definedName>
    <definedName name="_xlnm.Print_Titles" localSheetId="28">'Sallah Welfare, April 2024'!$4:$5</definedName>
    <definedName name="_xlnm.Print_Titles" localSheetId="25">'Upgrade in March'!$4:$5</definedName>
    <definedName name="_xlnm.Print_Titles" localSheetId="49">'Wage Grant'!$5:$5</definedName>
    <definedName name="_xlnm.Print_Titles" localSheetId="50">'Wage Grant (2)'!$5:$5</definedName>
    <definedName name="_xlnm.Print_Titles" localSheetId="20">'Welfare June'!$4:$5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0" i="122" l="1"/>
  <c r="D50" i="61"/>
  <c r="D49" i="61"/>
  <c r="D39" i="61"/>
  <c r="D38" i="61"/>
  <c r="D37" i="61"/>
  <c r="D28" i="61"/>
  <c r="D27" i="61"/>
  <c r="B8" i="61"/>
  <c r="D7" i="61"/>
  <c r="D6" i="61"/>
  <c r="D5" i="61"/>
  <c r="C14" i="23"/>
  <c r="B14" i="23"/>
  <c r="C13" i="23"/>
  <c r="B13" i="23"/>
  <c r="B12" i="23"/>
  <c r="B11" i="23"/>
  <c r="B10" i="23"/>
  <c r="B9" i="23"/>
  <c r="B8" i="23"/>
  <c r="C7" i="23"/>
  <c r="B7" i="23"/>
  <c r="B6" i="23"/>
  <c r="B5" i="23"/>
  <c r="B4" i="23"/>
  <c r="E14" i="13"/>
  <c r="D14" i="13"/>
  <c r="E13" i="13"/>
  <c r="D13" i="13"/>
  <c r="E12" i="13"/>
  <c r="D12" i="13"/>
  <c r="D11" i="13"/>
  <c r="E10" i="13"/>
  <c r="D10" i="13"/>
  <c r="E9" i="13"/>
  <c r="D9" i="13"/>
  <c r="E8" i="13"/>
  <c r="D8" i="13"/>
  <c r="E7" i="13"/>
  <c r="D7" i="13"/>
  <c r="E6" i="13"/>
  <c r="D6" i="13"/>
  <c r="E5" i="13"/>
  <c r="D5" i="13"/>
  <c r="E4" i="13"/>
  <c r="D4" i="13"/>
  <c r="R10" i="12"/>
  <c r="O10" i="12"/>
  <c r="N10" i="12"/>
  <c r="L10" i="12"/>
  <c r="K10" i="12"/>
  <c r="I10" i="12"/>
  <c r="H10" i="12"/>
  <c r="R9" i="12"/>
  <c r="O9" i="12"/>
  <c r="N9" i="12"/>
  <c r="L9" i="12"/>
  <c r="K9" i="12"/>
  <c r="I9" i="12"/>
  <c r="H9" i="12"/>
  <c r="R8" i="12"/>
  <c r="O8" i="12"/>
  <c r="N8" i="12"/>
  <c r="L8" i="12"/>
  <c r="K8" i="12"/>
  <c r="I8" i="12"/>
  <c r="H8" i="12"/>
  <c r="R7" i="12"/>
  <c r="O7" i="12"/>
  <c r="N7" i="12"/>
  <c r="L7" i="12"/>
  <c r="K7" i="12"/>
  <c r="I7" i="12"/>
  <c r="H7" i="12"/>
  <c r="R6" i="12"/>
  <c r="O6" i="12"/>
  <c r="N6" i="12"/>
  <c r="L6" i="12"/>
  <c r="K6" i="12"/>
  <c r="I6" i="12"/>
  <c r="H6" i="12"/>
  <c r="U5" i="12"/>
  <c r="S5" i="12"/>
  <c r="P5" i="12"/>
  <c r="N5" i="12"/>
  <c r="L5" i="12"/>
  <c r="K5" i="12"/>
  <c r="I5" i="12"/>
  <c r="H5" i="12"/>
  <c r="R4" i="12"/>
  <c r="O4" i="12"/>
  <c r="N4" i="12"/>
  <c r="L4" i="12"/>
  <c r="K4" i="12"/>
  <c r="I4" i="12"/>
  <c r="H4" i="12"/>
  <c r="R3" i="12"/>
  <c r="O3" i="12"/>
  <c r="N3" i="12"/>
  <c r="L3" i="12"/>
  <c r="K3" i="12"/>
  <c r="I3" i="12"/>
  <c r="H3" i="12"/>
  <c r="E12" i="11"/>
  <c r="D12" i="11"/>
  <c r="E11" i="11"/>
  <c r="D11" i="11"/>
  <c r="E10" i="11"/>
  <c r="D10" i="11"/>
  <c r="E9" i="11"/>
  <c r="D9" i="11"/>
  <c r="E8" i="11"/>
  <c r="D8" i="11"/>
  <c r="E7" i="11"/>
  <c r="D7" i="11"/>
  <c r="E6" i="11"/>
  <c r="D6" i="11"/>
  <c r="E5" i="11"/>
  <c r="D5" i="11"/>
  <c r="E4" i="11"/>
  <c r="D4" i="11"/>
  <c r="E14" i="10"/>
  <c r="D14" i="10"/>
  <c r="E13" i="10"/>
  <c r="D13" i="10"/>
  <c r="E12" i="10"/>
  <c r="D12" i="10"/>
  <c r="D11" i="10"/>
  <c r="E10" i="10"/>
  <c r="D10" i="10"/>
  <c r="E9" i="10"/>
  <c r="D9" i="10"/>
  <c r="E8" i="10"/>
  <c r="D8" i="10"/>
  <c r="E7" i="10"/>
  <c r="D7" i="10"/>
  <c r="E6" i="10"/>
  <c r="D6" i="10"/>
  <c r="E5" i="10"/>
  <c r="D5" i="10"/>
  <c r="E4" i="10"/>
  <c r="D4" i="10"/>
  <c r="E14" i="9"/>
  <c r="D14" i="9"/>
  <c r="E13" i="9"/>
  <c r="D13" i="9"/>
  <c r="E12" i="9"/>
  <c r="D12" i="9"/>
  <c r="D11" i="9"/>
  <c r="E10" i="9"/>
  <c r="D10" i="9"/>
  <c r="E9" i="9"/>
  <c r="D9" i="9"/>
  <c r="E8" i="9"/>
  <c r="D8" i="9"/>
  <c r="E7" i="9"/>
  <c r="D7" i="9"/>
  <c r="E6" i="9"/>
  <c r="D6" i="9"/>
  <c r="E5" i="9"/>
  <c r="D5" i="9"/>
  <c r="E4" i="9"/>
  <c r="D4" i="9"/>
  <c r="E13" i="8"/>
  <c r="D13" i="8"/>
  <c r="E12" i="8"/>
  <c r="D12" i="8"/>
  <c r="E11" i="8"/>
  <c r="D11" i="8"/>
  <c r="E10" i="8"/>
  <c r="D10" i="8"/>
  <c r="E9" i="8"/>
  <c r="D9" i="8"/>
  <c r="E8" i="8"/>
  <c r="D8" i="8"/>
  <c r="E7" i="8"/>
  <c r="D7" i="8"/>
  <c r="E6" i="8"/>
  <c r="D6" i="8"/>
  <c r="E5" i="8"/>
  <c r="D5" i="8"/>
  <c r="E4" i="8"/>
  <c r="D4" i="8"/>
  <c r="E14" i="7"/>
  <c r="D14" i="7"/>
  <c r="E13" i="7"/>
  <c r="D13" i="7"/>
  <c r="E12" i="7"/>
  <c r="D12" i="7"/>
  <c r="D11" i="7"/>
  <c r="E10" i="7"/>
  <c r="D10" i="7"/>
  <c r="E9" i="7"/>
  <c r="D9" i="7"/>
  <c r="E8" i="7"/>
  <c r="D8" i="7"/>
  <c r="E7" i="7"/>
  <c r="D7" i="7"/>
  <c r="E6" i="7"/>
  <c r="D6" i="7"/>
  <c r="E5" i="7"/>
  <c r="D5" i="7"/>
  <c r="E4" i="7"/>
  <c r="D4" i="7"/>
  <c r="E14" i="6"/>
  <c r="D14" i="6"/>
  <c r="D13" i="6"/>
  <c r="E12" i="6"/>
  <c r="D12" i="6"/>
  <c r="D11" i="6"/>
  <c r="E10" i="6"/>
  <c r="D10" i="6"/>
  <c r="E9" i="6"/>
  <c r="D9" i="6"/>
  <c r="E8" i="6"/>
  <c r="D8" i="6"/>
  <c r="E7" i="6"/>
  <c r="D7" i="6"/>
  <c r="E6" i="6"/>
  <c r="D6" i="6"/>
  <c r="E5" i="6"/>
  <c r="D5" i="6"/>
  <c r="E4" i="6"/>
  <c r="D4" i="6"/>
  <c r="E14" i="5"/>
  <c r="D14" i="5"/>
  <c r="E13" i="5"/>
  <c r="D13" i="5"/>
  <c r="E12" i="5"/>
  <c r="D12" i="5"/>
  <c r="D11" i="5"/>
  <c r="E10" i="5"/>
  <c r="D10" i="5"/>
  <c r="E9" i="5"/>
  <c r="D9" i="5"/>
  <c r="E8" i="5"/>
  <c r="D8" i="5"/>
  <c r="E7" i="5"/>
  <c r="D7" i="5"/>
  <c r="E6" i="5"/>
  <c r="D6" i="5"/>
  <c r="E5" i="5"/>
  <c r="D5" i="5"/>
  <c r="E4" i="5"/>
  <c r="D4" i="5"/>
  <c r="E14" i="4"/>
  <c r="D14" i="4"/>
  <c r="E13" i="4"/>
  <c r="D13" i="4"/>
  <c r="E12" i="4"/>
  <c r="D12" i="4"/>
  <c r="E11" i="4"/>
  <c r="D11" i="4"/>
  <c r="D10" i="4"/>
  <c r="E9" i="4"/>
  <c r="D9" i="4"/>
  <c r="E8" i="4"/>
  <c r="D8" i="4"/>
  <c r="E7" i="4"/>
  <c r="D7" i="4"/>
  <c r="E6" i="4"/>
  <c r="D6" i="4"/>
  <c r="E5" i="4"/>
  <c r="D5" i="4"/>
  <c r="E4" i="4"/>
  <c r="D4" i="4"/>
  <c r="G191" i="113"/>
  <c r="F191" i="113"/>
  <c r="E191" i="113"/>
  <c r="C191" i="113"/>
  <c r="G190" i="113"/>
  <c r="F190" i="113"/>
  <c r="E190" i="113"/>
  <c r="G135" i="113"/>
  <c r="E135" i="113"/>
  <c r="G134" i="113"/>
  <c r="E134" i="113"/>
  <c r="G131" i="113"/>
  <c r="F131" i="113"/>
  <c r="E131" i="113"/>
  <c r="G117" i="113"/>
  <c r="F117" i="113"/>
  <c r="E117" i="113"/>
  <c r="G107" i="113"/>
  <c r="F107" i="113"/>
  <c r="E107" i="113"/>
  <c r="G100" i="113"/>
  <c r="F100" i="113"/>
  <c r="E100" i="113"/>
  <c r="F96" i="113"/>
  <c r="E96" i="113"/>
  <c r="G86" i="113"/>
  <c r="F86" i="113"/>
  <c r="E86" i="113"/>
  <c r="G83" i="113"/>
  <c r="E83" i="113"/>
  <c r="G78" i="113"/>
  <c r="F78" i="113"/>
  <c r="E78" i="113"/>
  <c r="G66" i="113"/>
  <c r="E66" i="113"/>
  <c r="G65" i="113"/>
  <c r="E65" i="113"/>
  <c r="G62" i="113"/>
  <c r="F62" i="113"/>
  <c r="E62" i="113"/>
  <c r="G61" i="113"/>
  <c r="E61" i="113"/>
  <c r="G58" i="113"/>
  <c r="F58" i="113"/>
  <c r="E58" i="113"/>
  <c r="G43" i="113"/>
  <c r="F43" i="113"/>
  <c r="E43" i="113"/>
  <c r="G38" i="113"/>
  <c r="F38" i="113"/>
  <c r="E38" i="113"/>
  <c r="G9" i="113"/>
  <c r="E9" i="113"/>
  <c r="G8" i="113"/>
  <c r="E8" i="113"/>
  <c r="G191" i="110"/>
  <c r="F191" i="110"/>
  <c r="E191" i="110"/>
  <c r="C191" i="110"/>
  <c r="G190" i="110"/>
  <c r="F190" i="110"/>
  <c r="E190" i="110"/>
  <c r="G135" i="110"/>
  <c r="E135" i="110"/>
  <c r="G134" i="110"/>
  <c r="E134" i="110"/>
  <c r="G131" i="110"/>
  <c r="F131" i="110"/>
  <c r="E131" i="110"/>
  <c r="G117" i="110"/>
  <c r="F117" i="110"/>
  <c r="E117" i="110"/>
  <c r="G107" i="110"/>
  <c r="F107" i="110"/>
  <c r="E107" i="110"/>
  <c r="G100" i="110"/>
  <c r="F100" i="110"/>
  <c r="E100" i="110"/>
  <c r="F96" i="110"/>
  <c r="E96" i="110"/>
  <c r="G86" i="110"/>
  <c r="F86" i="110"/>
  <c r="E86" i="110"/>
  <c r="G83" i="110"/>
  <c r="E83" i="110"/>
  <c r="G78" i="110"/>
  <c r="F78" i="110"/>
  <c r="E78" i="110"/>
  <c r="G66" i="110"/>
  <c r="E66" i="110"/>
  <c r="G65" i="110"/>
  <c r="E65" i="110"/>
  <c r="G62" i="110"/>
  <c r="F62" i="110"/>
  <c r="E62" i="110"/>
  <c r="G61" i="110"/>
  <c r="E61" i="110"/>
  <c r="G58" i="110"/>
  <c r="F58" i="110"/>
  <c r="E58" i="110"/>
  <c r="G43" i="110"/>
  <c r="F43" i="110"/>
  <c r="E43" i="110"/>
  <c r="G38" i="110"/>
  <c r="F38" i="110"/>
  <c r="E38" i="110"/>
  <c r="G9" i="110"/>
  <c r="E9" i="110"/>
  <c r="G8" i="110"/>
  <c r="E8" i="110"/>
  <c r="Y188" i="78"/>
  <c r="W188" i="78"/>
  <c r="U188" i="78"/>
  <c r="T188" i="78"/>
  <c r="S188" i="78"/>
  <c r="R188" i="78"/>
  <c r="Q188" i="78"/>
  <c r="P188" i="78"/>
  <c r="O188" i="78"/>
  <c r="N188" i="78"/>
  <c r="M188" i="78"/>
  <c r="L188" i="78"/>
  <c r="K188" i="78"/>
  <c r="J188" i="78"/>
  <c r="I188" i="78"/>
  <c r="H188" i="78"/>
  <c r="G188" i="78"/>
  <c r="F188" i="78"/>
  <c r="D188" i="78"/>
  <c r="Y187" i="78"/>
  <c r="W187" i="78"/>
  <c r="U187" i="78"/>
  <c r="S187" i="78"/>
  <c r="R187" i="78"/>
  <c r="Q187" i="78"/>
  <c r="P187" i="78"/>
  <c r="O187" i="78"/>
  <c r="M187" i="78"/>
  <c r="L187" i="78"/>
  <c r="K187" i="78"/>
  <c r="J187" i="78"/>
  <c r="I187" i="78"/>
  <c r="H187" i="78"/>
  <c r="G187" i="78"/>
  <c r="F187" i="78"/>
  <c r="Y186" i="78"/>
  <c r="U186" i="78"/>
  <c r="S186" i="78"/>
  <c r="R186" i="78"/>
  <c r="P186" i="78"/>
  <c r="O186" i="78"/>
  <c r="M186" i="78"/>
  <c r="L186" i="78"/>
  <c r="K186" i="78"/>
  <c r="I186" i="78"/>
  <c r="H186" i="78"/>
  <c r="F186" i="78"/>
  <c r="Y185" i="78"/>
  <c r="U185" i="78"/>
  <c r="S185" i="78"/>
  <c r="R185" i="78"/>
  <c r="P185" i="78"/>
  <c r="O185" i="78"/>
  <c r="M185" i="78"/>
  <c r="L185" i="78"/>
  <c r="K185" i="78"/>
  <c r="I185" i="78"/>
  <c r="H185" i="78"/>
  <c r="F185" i="78"/>
  <c r="Y184" i="78"/>
  <c r="U184" i="78"/>
  <c r="S184" i="78"/>
  <c r="R184" i="78"/>
  <c r="P184" i="78"/>
  <c r="O184" i="78"/>
  <c r="M184" i="78"/>
  <c r="L184" i="78"/>
  <c r="K184" i="78"/>
  <c r="I184" i="78"/>
  <c r="H184" i="78"/>
  <c r="F184" i="78"/>
  <c r="Y183" i="78"/>
  <c r="U183" i="78"/>
  <c r="S183" i="78"/>
  <c r="R183" i="78"/>
  <c r="P183" i="78"/>
  <c r="O183" i="78"/>
  <c r="M183" i="78"/>
  <c r="L183" i="78"/>
  <c r="K183" i="78"/>
  <c r="I183" i="78"/>
  <c r="H183" i="78"/>
  <c r="F183" i="78"/>
  <c r="Y182" i="78"/>
  <c r="U182" i="78"/>
  <c r="S182" i="78"/>
  <c r="R182" i="78"/>
  <c r="P182" i="78"/>
  <c r="O182" i="78"/>
  <c r="M182" i="78"/>
  <c r="L182" i="78"/>
  <c r="K182" i="78"/>
  <c r="I182" i="78"/>
  <c r="H182" i="78"/>
  <c r="F182" i="78"/>
  <c r="Y181" i="78"/>
  <c r="U181" i="78"/>
  <c r="S181" i="78"/>
  <c r="R181" i="78"/>
  <c r="P181" i="78"/>
  <c r="O181" i="78"/>
  <c r="M181" i="78"/>
  <c r="L181" i="78"/>
  <c r="K181" i="78"/>
  <c r="I181" i="78"/>
  <c r="H181" i="78"/>
  <c r="F181" i="78"/>
  <c r="Y180" i="78"/>
  <c r="U180" i="78"/>
  <c r="S180" i="78"/>
  <c r="R180" i="78"/>
  <c r="P180" i="78"/>
  <c r="O180" i="78"/>
  <c r="M180" i="78"/>
  <c r="L180" i="78"/>
  <c r="K180" i="78"/>
  <c r="I180" i="78"/>
  <c r="H180" i="78"/>
  <c r="F180" i="78"/>
  <c r="Y179" i="78"/>
  <c r="U179" i="78"/>
  <c r="S179" i="78"/>
  <c r="R179" i="78"/>
  <c r="P179" i="78"/>
  <c r="O179" i="78"/>
  <c r="M179" i="78"/>
  <c r="L179" i="78"/>
  <c r="K179" i="78"/>
  <c r="I179" i="78"/>
  <c r="H179" i="78"/>
  <c r="F179" i="78"/>
  <c r="Y178" i="78"/>
  <c r="U178" i="78"/>
  <c r="S178" i="78"/>
  <c r="R178" i="78"/>
  <c r="P178" i="78"/>
  <c r="O178" i="78"/>
  <c r="M178" i="78"/>
  <c r="L178" i="78"/>
  <c r="K178" i="78"/>
  <c r="I178" i="78"/>
  <c r="H178" i="78"/>
  <c r="F178" i="78"/>
  <c r="Y177" i="78"/>
  <c r="U177" i="78"/>
  <c r="S177" i="78"/>
  <c r="R177" i="78"/>
  <c r="P177" i="78"/>
  <c r="O177" i="78"/>
  <c r="M177" i="78"/>
  <c r="L177" i="78"/>
  <c r="K177" i="78"/>
  <c r="I177" i="78"/>
  <c r="H177" i="78"/>
  <c r="F177" i="78"/>
  <c r="Y176" i="78"/>
  <c r="U176" i="78"/>
  <c r="S176" i="78"/>
  <c r="R176" i="78"/>
  <c r="P176" i="78"/>
  <c r="O176" i="78"/>
  <c r="M176" i="78"/>
  <c r="L176" i="78"/>
  <c r="K176" i="78"/>
  <c r="I176" i="78"/>
  <c r="H176" i="78"/>
  <c r="F176" i="78"/>
  <c r="Y175" i="78"/>
  <c r="U175" i="78"/>
  <c r="S175" i="78"/>
  <c r="R175" i="78"/>
  <c r="P175" i="78"/>
  <c r="O175" i="78"/>
  <c r="M175" i="78"/>
  <c r="L175" i="78"/>
  <c r="K175" i="78"/>
  <c r="I175" i="78"/>
  <c r="H175" i="78"/>
  <c r="F175" i="78"/>
  <c r="Y174" i="78"/>
  <c r="W174" i="78"/>
  <c r="U174" i="78"/>
  <c r="S174" i="78"/>
  <c r="R174" i="78"/>
  <c r="P174" i="78"/>
  <c r="O174" i="78"/>
  <c r="M174" i="78"/>
  <c r="L174" i="78"/>
  <c r="K174" i="78"/>
  <c r="I174" i="78"/>
  <c r="H174" i="78"/>
  <c r="F174" i="78"/>
  <c r="Y173" i="78"/>
  <c r="U173" i="78"/>
  <c r="S173" i="78"/>
  <c r="R173" i="78"/>
  <c r="P173" i="78"/>
  <c r="O173" i="78"/>
  <c r="M173" i="78"/>
  <c r="L173" i="78"/>
  <c r="K173" i="78"/>
  <c r="I173" i="78"/>
  <c r="H173" i="78"/>
  <c r="F173" i="78"/>
  <c r="Y172" i="78"/>
  <c r="U172" i="78"/>
  <c r="S172" i="78"/>
  <c r="R172" i="78"/>
  <c r="P172" i="78"/>
  <c r="O172" i="78"/>
  <c r="M172" i="78"/>
  <c r="L172" i="78"/>
  <c r="K172" i="78"/>
  <c r="I172" i="78"/>
  <c r="H172" i="78"/>
  <c r="F172" i="78"/>
  <c r="Y171" i="78"/>
  <c r="U171" i="78"/>
  <c r="S171" i="78"/>
  <c r="R171" i="78"/>
  <c r="P171" i="78"/>
  <c r="O171" i="78"/>
  <c r="M171" i="78"/>
  <c r="L171" i="78"/>
  <c r="K171" i="78"/>
  <c r="I171" i="78"/>
  <c r="H171" i="78"/>
  <c r="F171" i="78"/>
  <c r="Y170" i="78"/>
  <c r="U170" i="78"/>
  <c r="S170" i="78"/>
  <c r="R170" i="78"/>
  <c r="P170" i="78"/>
  <c r="O170" i="78"/>
  <c r="M170" i="78"/>
  <c r="L170" i="78"/>
  <c r="K170" i="78"/>
  <c r="I170" i="78"/>
  <c r="H170" i="78"/>
  <c r="F170" i="78"/>
  <c r="Y169" i="78"/>
  <c r="U169" i="78"/>
  <c r="S169" i="78"/>
  <c r="R169" i="78"/>
  <c r="P169" i="78"/>
  <c r="O169" i="78"/>
  <c r="M169" i="78"/>
  <c r="L169" i="78"/>
  <c r="K169" i="78"/>
  <c r="I169" i="78"/>
  <c r="H169" i="78"/>
  <c r="F169" i="78"/>
  <c r="Y168" i="78"/>
  <c r="U168" i="78"/>
  <c r="S168" i="78"/>
  <c r="R168" i="78"/>
  <c r="P168" i="78"/>
  <c r="O168" i="78"/>
  <c r="M168" i="78"/>
  <c r="L168" i="78"/>
  <c r="K168" i="78"/>
  <c r="I168" i="78"/>
  <c r="H168" i="78"/>
  <c r="F168" i="78"/>
  <c r="Y167" i="78"/>
  <c r="U167" i="78"/>
  <c r="S167" i="78"/>
  <c r="R167" i="78"/>
  <c r="P167" i="78"/>
  <c r="O167" i="78"/>
  <c r="M167" i="78"/>
  <c r="L167" i="78"/>
  <c r="K167" i="78"/>
  <c r="I167" i="78"/>
  <c r="H167" i="78"/>
  <c r="F167" i="78"/>
  <c r="Y166" i="78"/>
  <c r="U166" i="78"/>
  <c r="S166" i="78"/>
  <c r="R166" i="78"/>
  <c r="P166" i="78"/>
  <c r="O166" i="78"/>
  <c r="M166" i="78"/>
  <c r="L166" i="78"/>
  <c r="K166" i="78"/>
  <c r="I166" i="78"/>
  <c r="H166" i="78"/>
  <c r="F166" i="78"/>
  <c r="Y165" i="78"/>
  <c r="U165" i="78"/>
  <c r="S165" i="78"/>
  <c r="R165" i="78"/>
  <c r="P165" i="78"/>
  <c r="O165" i="78"/>
  <c r="M165" i="78"/>
  <c r="L165" i="78"/>
  <c r="K165" i="78"/>
  <c r="I165" i="78"/>
  <c r="H165" i="78"/>
  <c r="F165" i="78"/>
  <c r="Y164" i="78"/>
  <c r="U164" i="78"/>
  <c r="S164" i="78"/>
  <c r="R164" i="78"/>
  <c r="P164" i="78"/>
  <c r="O164" i="78"/>
  <c r="M164" i="78"/>
  <c r="L164" i="78"/>
  <c r="K164" i="78"/>
  <c r="I164" i="78"/>
  <c r="H164" i="78"/>
  <c r="F164" i="78"/>
  <c r="Y163" i="78"/>
  <c r="U163" i="78"/>
  <c r="S163" i="78"/>
  <c r="R163" i="78"/>
  <c r="P163" i="78"/>
  <c r="O163" i="78"/>
  <c r="M163" i="78"/>
  <c r="L163" i="78"/>
  <c r="K163" i="78"/>
  <c r="I163" i="78"/>
  <c r="H163" i="78"/>
  <c r="F163" i="78"/>
  <c r="Y162" i="78"/>
  <c r="U162" i="78"/>
  <c r="S162" i="78"/>
  <c r="R162" i="78"/>
  <c r="P162" i="78"/>
  <c r="O162" i="78"/>
  <c r="M162" i="78"/>
  <c r="L162" i="78"/>
  <c r="K162" i="78"/>
  <c r="I162" i="78"/>
  <c r="H162" i="78"/>
  <c r="F162" i="78"/>
  <c r="Y161" i="78"/>
  <c r="U161" i="78"/>
  <c r="S161" i="78"/>
  <c r="R161" i="78"/>
  <c r="P161" i="78"/>
  <c r="O161" i="78"/>
  <c r="M161" i="78"/>
  <c r="L161" i="78"/>
  <c r="K161" i="78"/>
  <c r="I161" i="78"/>
  <c r="H161" i="78"/>
  <c r="F161" i="78"/>
  <c r="Y160" i="78"/>
  <c r="U160" i="78"/>
  <c r="S160" i="78"/>
  <c r="R160" i="78"/>
  <c r="P160" i="78"/>
  <c r="O160" i="78"/>
  <c r="M160" i="78"/>
  <c r="L160" i="78"/>
  <c r="K160" i="78"/>
  <c r="I160" i="78"/>
  <c r="H160" i="78"/>
  <c r="F160" i="78"/>
  <c r="Y159" i="78"/>
  <c r="U159" i="78"/>
  <c r="S159" i="78"/>
  <c r="R159" i="78"/>
  <c r="P159" i="78"/>
  <c r="O159" i="78"/>
  <c r="M159" i="78"/>
  <c r="L159" i="78"/>
  <c r="K159" i="78"/>
  <c r="I159" i="78"/>
  <c r="H159" i="78"/>
  <c r="F159" i="78"/>
  <c r="Y158" i="78"/>
  <c r="U158" i="78"/>
  <c r="S158" i="78"/>
  <c r="R158" i="78"/>
  <c r="P158" i="78"/>
  <c r="O158" i="78"/>
  <c r="M158" i="78"/>
  <c r="L158" i="78"/>
  <c r="K158" i="78"/>
  <c r="I158" i="78"/>
  <c r="H158" i="78"/>
  <c r="F158" i="78"/>
  <c r="Y157" i="78"/>
  <c r="U157" i="78"/>
  <c r="S157" i="78"/>
  <c r="P157" i="78"/>
  <c r="O157" i="78"/>
  <c r="M157" i="78"/>
  <c r="L157" i="78"/>
  <c r="K157" i="78"/>
  <c r="I157" i="78"/>
  <c r="H157" i="78"/>
  <c r="F157" i="78"/>
  <c r="Y156" i="78"/>
  <c r="U156" i="78"/>
  <c r="S156" i="78"/>
  <c r="P156" i="78"/>
  <c r="O156" i="78"/>
  <c r="M156" i="78"/>
  <c r="L156" i="78"/>
  <c r="K156" i="78"/>
  <c r="I156" i="78"/>
  <c r="H156" i="78"/>
  <c r="F156" i="78"/>
  <c r="Y155" i="78"/>
  <c r="U155" i="78"/>
  <c r="S155" i="78"/>
  <c r="P155" i="78"/>
  <c r="O155" i="78"/>
  <c r="M155" i="78"/>
  <c r="L155" i="78"/>
  <c r="K155" i="78"/>
  <c r="I155" i="78"/>
  <c r="H155" i="78"/>
  <c r="F155" i="78"/>
  <c r="Y154" i="78"/>
  <c r="W154" i="78"/>
  <c r="U154" i="78"/>
  <c r="S154" i="78"/>
  <c r="P154" i="78"/>
  <c r="O154" i="78"/>
  <c r="M154" i="78"/>
  <c r="L154" i="78"/>
  <c r="K154" i="78"/>
  <c r="I154" i="78"/>
  <c r="H154" i="78"/>
  <c r="F154" i="78"/>
  <c r="Y153" i="78"/>
  <c r="U153" i="78"/>
  <c r="S153" i="78"/>
  <c r="P153" i="78"/>
  <c r="O153" i="78"/>
  <c r="M153" i="78"/>
  <c r="L153" i="78"/>
  <c r="K153" i="78"/>
  <c r="I153" i="78"/>
  <c r="H153" i="78"/>
  <c r="F153" i="78"/>
  <c r="Y152" i="78"/>
  <c r="U152" i="78"/>
  <c r="S152" i="78"/>
  <c r="P152" i="78"/>
  <c r="O152" i="78"/>
  <c r="M152" i="78"/>
  <c r="L152" i="78"/>
  <c r="K152" i="78"/>
  <c r="I152" i="78"/>
  <c r="H152" i="78"/>
  <c r="F152" i="78"/>
  <c r="Y151" i="78"/>
  <c r="U151" i="78"/>
  <c r="S151" i="78"/>
  <c r="P151" i="78"/>
  <c r="O151" i="78"/>
  <c r="M151" i="78"/>
  <c r="L151" i="78"/>
  <c r="K151" i="78"/>
  <c r="I151" i="78"/>
  <c r="H151" i="78"/>
  <c r="F151" i="78"/>
  <c r="Y150" i="78"/>
  <c r="U150" i="78"/>
  <c r="S150" i="78"/>
  <c r="P150" i="78"/>
  <c r="O150" i="78"/>
  <c r="M150" i="78"/>
  <c r="L150" i="78"/>
  <c r="K150" i="78"/>
  <c r="I150" i="78"/>
  <c r="H150" i="78"/>
  <c r="F150" i="78"/>
  <c r="Y149" i="78"/>
  <c r="U149" i="78"/>
  <c r="S149" i="78"/>
  <c r="P149" i="78"/>
  <c r="O149" i="78"/>
  <c r="M149" i="78"/>
  <c r="L149" i="78"/>
  <c r="K149" i="78"/>
  <c r="I149" i="78"/>
  <c r="H149" i="78"/>
  <c r="F149" i="78"/>
  <c r="Y148" i="78"/>
  <c r="U148" i="78"/>
  <c r="S148" i="78"/>
  <c r="P148" i="78"/>
  <c r="O148" i="78"/>
  <c r="M148" i="78"/>
  <c r="L148" i="78"/>
  <c r="K148" i="78"/>
  <c r="I148" i="78"/>
  <c r="H148" i="78"/>
  <c r="F148" i="78"/>
  <c r="Y147" i="78"/>
  <c r="U147" i="78"/>
  <c r="S147" i="78"/>
  <c r="P147" i="78"/>
  <c r="O147" i="78"/>
  <c r="M147" i="78"/>
  <c r="L147" i="78"/>
  <c r="K147" i="78"/>
  <c r="I147" i="78"/>
  <c r="H147" i="78"/>
  <c r="F147" i="78"/>
  <c r="Y146" i="78"/>
  <c r="U146" i="78"/>
  <c r="S146" i="78"/>
  <c r="P146" i="78"/>
  <c r="O146" i="78"/>
  <c r="M146" i="78"/>
  <c r="L146" i="78"/>
  <c r="K146" i="78"/>
  <c r="I146" i="78"/>
  <c r="H146" i="78"/>
  <c r="F146" i="78"/>
  <c r="Y145" i="78"/>
  <c r="W145" i="78"/>
  <c r="U145" i="78"/>
  <c r="S145" i="78"/>
  <c r="P145" i="78"/>
  <c r="O145" i="78"/>
  <c r="M145" i="78"/>
  <c r="L145" i="78"/>
  <c r="K145" i="78"/>
  <c r="I145" i="78"/>
  <c r="H145" i="78"/>
  <c r="F145" i="78"/>
  <c r="Y144" i="78"/>
  <c r="U144" i="78"/>
  <c r="S144" i="78"/>
  <c r="P144" i="78"/>
  <c r="O144" i="78"/>
  <c r="M144" i="78"/>
  <c r="L144" i="78"/>
  <c r="K144" i="78"/>
  <c r="I144" i="78"/>
  <c r="H144" i="78"/>
  <c r="F144" i="78"/>
  <c r="Y143" i="78"/>
  <c r="U143" i="78"/>
  <c r="S143" i="78"/>
  <c r="P143" i="78"/>
  <c r="O143" i="78"/>
  <c r="M143" i="78"/>
  <c r="L143" i="78"/>
  <c r="K143" i="78"/>
  <c r="I143" i="78"/>
  <c r="H143" i="78"/>
  <c r="F143" i="78"/>
  <c r="Y142" i="78"/>
  <c r="U142" i="78"/>
  <c r="S142" i="78"/>
  <c r="P142" i="78"/>
  <c r="O142" i="78"/>
  <c r="M142" i="78"/>
  <c r="L142" i="78"/>
  <c r="K142" i="78"/>
  <c r="I142" i="78"/>
  <c r="H142" i="78"/>
  <c r="F142" i="78"/>
  <c r="Y141" i="78"/>
  <c r="W141" i="78"/>
  <c r="U141" i="78"/>
  <c r="S141" i="78"/>
  <c r="P141" i="78"/>
  <c r="O141" i="78"/>
  <c r="M141" i="78"/>
  <c r="L141" i="78"/>
  <c r="K141" i="78"/>
  <c r="I141" i="78"/>
  <c r="H141" i="78"/>
  <c r="F141" i="78"/>
  <c r="Y140" i="78"/>
  <c r="W140" i="78"/>
  <c r="U140" i="78"/>
  <c r="S140" i="78"/>
  <c r="P140" i="78"/>
  <c r="M140" i="78"/>
  <c r="L140" i="78"/>
  <c r="K140" i="78"/>
  <c r="I140" i="78"/>
  <c r="H140" i="78"/>
  <c r="F140" i="78"/>
  <c r="Y139" i="78"/>
  <c r="S139" i="78"/>
  <c r="P139" i="78"/>
  <c r="M139" i="78"/>
  <c r="L139" i="78"/>
  <c r="K139" i="78"/>
  <c r="I139" i="78"/>
  <c r="H139" i="78"/>
  <c r="F139" i="78"/>
  <c r="Y138" i="78"/>
  <c r="U138" i="78"/>
  <c r="S138" i="78"/>
  <c r="P138" i="78"/>
  <c r="M138" i="78"/>
  <c r="L138" i="78"/>
  <c r="K138" i="78"/>
  <c r="I138" i="78"/>
  <c r="H138" i="78"/>
  <c r="F138" i="78"/>
  <c r="Y137" i="78"/>
  <c r="U137" i="78"/>
  <c r="S137" i="78"/>
  <c r="P137" i="78"/>
  <c r="M137" i="78"/>
  <c r="L137" i="78"/>
  <c r="K137" i="78"/>
  <c r="I137" i="78"/>
  <c r="H137" i="78"/>
  <c r="F137" i="78"/>
  <c r="Y136" i="78"/>
  <c r="U136" i="78"/>
  <c r="S136" i="78"/>
  <c r="P136" i="78"/>
  <c r="M136" i="78"/>
  <c r="L136" i="78"/>
  <c r="K136" i="78"/>
  <c r="I136" i="78"/>
  <c r="H136" i="78"/>
  <c r="Y135" i="78"/>
  <c r="U135" i="78"/>
  <c r="S135" i="78"/>
  <c r="P135" i="78"/>
  <c r="M135" i="78"/>
  <c r="L135" i="78"/>
  <c r="K135" i="78"/>
  <c r="I135" i="78"/>
  <c r="H135" i="78"/>
  <c r="Y134" i="78"/>
  <c r="W134" i="78"/>
  <c r="U134" i="78"/>
  <c r="S134" i="78"/>
  <c r="P134" i="78"/>
  <c r="O134" i="78"/>
  <c r="M134" i="78"/>
  <c r="L134" i="78"/>
  <c r="K134" i="78"/>
  <c r="I134" i="78"/>
  <c r="H134" i="78"/>
  <c r="F134" i="78"/>
  <c r="Y133" i="78"/>
  <c r="W133" i="78"/>
  <c r="U133" i="78"/>
  <c r="S133" i="78"/>
  <c r="P133" i="78"/>
  <c r="O133" i="78"/>
  <c r="M133" i="78"/>
  <c r="L133" i="78"/>
  <c r="K133" i="78"/>
  <c r="J133" i="78"/>
  <c r="I133" i="78"/>
  <c r="H133" i="78"/>
  <c r="F133" i="78"/>
  <c r="Y132" i="78"/>
  <c r="U132" i="78"/>
  <c r="S132" i="78"/>
  <c r="P132" i="78"/>
  <c r="O132" i="78"/>
  <c r="M132" i="78"/>
  <c r="L132" i="78"/>
  <c r="K132" i="78"/>
  <c r="I132" i="78"/>
  <c r="H132" i="78"/>
  <c r="Y131" i="78"/>
  <c r="U131" i="78"/>
  <c r="Y130" i="78"/>
  <c r="U130" i="78"/>
  <c r="Y129" i="78"/>
  <c r="W129" i="78"/>
  <c r="U129" i="78"/>
  <c r="S129" i="78"/>
  <c r="R129" i="78"/>
  <c r="Q129" i="78"/>
  <c r="P129" i="78"/>
  <c r="O129" i="78"/>
  <c r="M129" i="78"/>
  <c r="L129" i="78"/>
  <c r="K129" i="78"/>
  <c r="J129" i="78"/>
  <c r="I129" i="78"/>
  <c r="H129" i="78"/>
  <c r="F129" i="78"/>
  <c r="Y128" i="78"/>
  <c r="W128" i="78"/>
  <c r="U128" i="78"/>
  <c r="S128" i="78"/>
  <c r="P128" i="78"/>
  <c r="O128" i="78"/>
  <c r="M128" i="78"/>
  <c r="L128" i="78"/>
  <c r="K128" i="78"/>
  <c r="I128" i="78"/>
  <c r="H128" i="78"/>
  <c r="F128" i="78"/>
  <c r="Y127" i="78"/>
  <c r="W127" i="78"/>
  <c r="U127" i="78"/>
  <c r="S127" i="78"/>
  <c r="P127" i="78"/>
  <c r="O127" i="78"/>
  <c r="M127" i="78"/>
  <c r="L127" i="78"/>
  <c r="K127" i="78"/>
  <c r="I127" i="78"/>
  <c r="H127" i="78"/>
  <c r="F127" i="78"/>
  <c r="Y126" i="78"/>
  <c r="W126" i="78"/>
  <c r="U126" i="78"/>
  <c r="S126" i="78"/>
  <c r="R126" i="78"/>
  <c r="P126" i="78"/>
  <c r="O126" i="78"/>
  <c r="M126" i="78"/>
  <c r="L126" i="78"/>
  <c r="K126" i="78"/>
  <c r="I126" i="78"/>
  <c r="H126" i="78"/>
  <c r="F126" i="78"/>
  <c r="Y125" i="78"/>
  <c r="W125" i="78"/>
  <c r="U125" i="78"/>
  <c r="S125" i="78"/>
  <c r="P125" i="78"/>
  <c r="O125" i="78"/>
  <c r="M125" i="78"/>
  <c r="L125" i="78"/>
  <c r="K125" i="78"/>
  <c r="I125" i="78"/>
  <c r="H125" i="78"/>
  <c r="F125" i="78"/>
  <c r="Y124" i="78"/>
  <c r="W124" i="78"/>
  <c r="U124" i="78"/>
  <c r="S124" i="78"/>
  <c r="P124" i="78"/>
  <c r="O124" i="78"/>
  <c r="M124" i="78"/>
  <c r="L124" i="78"/>
  <c r="K124" i="78"/>
  <c r="I124" i="78"/>
  <c r="H124" i="78"/>
  <c r="F124" i="78"/>
  <c r="Y123" i="78"/>
  <c r="W123" i="78"/>
  <c r="U123" i="78"/>
  <c r="S123" i="78"/>
  <c r="R123" i="78"/>
  <c r="P123" i="78"/>
  <c r="O123" i="78"/>
  <c r="M123" i="78"/>
  <c r="L123" i="78"/>
  <c r="K123" i="78"/>
  <c r="J123" i="78"/>
  <c r="I123" i="78"/>
  <c r="H123" i="78"/>
  <c r="F123" i="78"/>
  <c r="Y122" i="78"/>
  <c r="U122" i="78"/>
  <c r="S122" i="78"/>
  <c r="P122" i="78"/>
  <c r="O122" i="78"/>
  <c r="M122" i="78"/>
  <c r="L122" i="78"/>
  <c r="K122" i="78"/>
  <c r="I122" i="78"/>
  <c r="H122" i="78"/>
  <c r="F122" i="78"/>
  <c r="Y121" i="78"/>
  <c r="W121" i="78"/>
  <c r="U121" i="78"/>
  <c r="S121" i="78"/>
  <c r="R121" i="78"/>
  <c r="P121" i="78"/>
  <c r="O121" i="78"/>
  <c r="M121" i="78"/>
  <c r="L121" i="78"/>
  <c r="K121" i="78"/>
  <c r="I121" i="78"/>
  <c r="H121" i="78"/>
  <c r="F121" i="78"/>
  <c r="Y120" i="78"/>
  <c r="W120" i="78"/>
  <c r="U120" i="78"/>
  <c r="S120" i="78"/>
  <c r="P120" i="78"/>
  <c r="O120" i="78"/>
  <c r="M120" i="78"/>
  <c r="L120" i="78"/>
  <c r="K120" i="78"/>
  <c r="J120" i="78"/>
  <c r="I120" i="78"/>
  <c r="H120" i="78"/>
  <c r="F120" i="78"/>
  <c r="Y119" i="78"/>
  <c r="U119" i="78"/>
  <c r="Y118" i="78"/>
  <c r="U118" i="78"/>
  <c r="Y117" i="78"/>
  <c r="W117" i="78"/>
  <c r="U117" i="78"/>
  <c r="S117" i="78"/>
  <c r="R117" i="78"/>
  <c r="Q117" i="78"/>
  <c r="P117" i="78"/>
  <c r="N117" i="78"/>
  <c r="M117" i="78"/>
  <c r="L117" i="78"/>
  <c r="K117" i="78"/>
  <c r="J117" i="78"/>
  <c r="I117" i="78"/>
  <c r="H117" i="78"/>
  <c r="F117" i="78"/>
  <c r="Y116" i="78"/>
  <c r="U116" i="78"/>
  <c r="S116" i="78"/>
  <c r="R116" i="78"/>
  <c r="P116" i="78"/>
  <c r="N116" i="78"/>
  <c r="M116" i="78"/>
  <c r="L116" i="78"/>
  <c r="K116" i="78"/>
  <c r="I116" i="78"/>
  <c r="H116" i="78"/>
  <c r="F116" i="78"/>
  <c r="Y115" i="78"/>
  <c r="U115" i="78"/>
  <c r="S115" i="78"/>
  <c r="R115" i="78"/>
  <c r="P115" i="78"/>
  <c r="N115" i="78"/>
  <c r="M115" i="78"/>
  <c r="L115" i="78"/>
  <c r="K115" i="78"/>
  <c r="I115" i="78"/>
  <c r="H115" i="78"/>
  <c r="F115" i="78"/>
  <c r="Y114" i="78"/>
  <c r="U114" i="78"/>
  <c r="S114" i="78"/>
  <c r="R114" i="78"/>
  <c r="P114" i="78"/>
  <c r="N114" i="78"/>
  <c r="M114" i="78"/>
  <c r="L114" i="78"/>
  <c r="K114" i="78"/>
  <c r="I114" i="78"/>
  <c r="H114" i="78"/>
  <c r="F114" i="78"/>
  <c r="Y113" i="78"/>
  <c r="U113" i="78"/>
  <c r="S113" i="78"/>
  <c r="R113" i="78"/>
  <c r="P113" i="78"/>
  <c r="N113" i="78"/>
  <c r="M113" i="78"/>
  <c r="L113" i="78"/>
  <c r="K113" i="78"/>
  <c r="I113" i="78"/>
  <c r="H113" i="78"/>
  <c r="F113" i="78"/>
  <c r="Y112" i="78"/>
  <c r="W112" i="78"/>
  <c r="U112" i="78"/>
  <c r="S112" i="78"/>
  <c r="R112" i="78"/>
  <c r="P112" i="78"/>
  <c r="N112" i="78"/>
  <c r="M112" i="78"/>
  <c r="L112" i="78"/>
  <c r="K112" i="78"/>
  <c r="I112" i="78"/>
  <c r="H112" i="78"/>
  <c r="F112" i="78"/>
  <c r="Y111" i="78"/>
  <c r="W111" i="78"/>
  <c r="U111" i="78"/>
  <c r="S111" i="78"/>
  <c r="R111" i="78"/>
  <c r="P111" i="78"/>
  <c r="N111" i="78"/>
  <c r="M111" i="78"/>
  <c r="L111" i="78"/>
  <c r="K111" i="78"/>
  <c r="I111" i="78"/>
  <c r="H111" i="78"/>
  <c r="F111" i="78"/>
  <c r="Y110" i="78"/>
  <c r="U110" i="78"/>
  <c r="S110" i="78"/>
  <c r="P110" i="78"/>
  <c r="N110" i="78"/>
  <c r="M110" i="78"/>
  <c r="L110" i="78"/>
  <c r="K110" i="78"/>
  <c r="I110" i="78"/>
  <c r="H110" i="78"/>
  <c r="F110" i="78"/>
  <c r="Y109" i="78"/>
  <c r="W109" i="78"/>
  <c r="U109" i="78"/>
  <c r="S109" i="78"/>
  <c r="P109" i="78"/>
  <c r="N109" i="78"/>
  <c r="M109" i="78"/>
  <c r="L109" i="78"/>
  <c r="K109" i="78"/>
  <c r="I109" i="78"/>
  <c r="H109" i="78"/>
  <c r="F109" i="78"/>
  <c r="Y108" i="78"/>
  <c r="U108" i="78"/>
  <c r="Y107" i="78"/>
  <c r="U107" i="78"/>
  <c r="Y106" i="78"/>
  <c r="W106" i="78"/>
  <c r="U106" i="78"/>
  <c r="S106" i="78"/>
  <c r="R106" i="78"/>
  <c r="Q106" i="78"/>
  <c r="P106" i="78"/>
  <c r="O106" i="78"/>
  <c r="M106" i="78"/>
  <c r="L106" i="78"/>
  <c r="K106" i="78"/>
  <c r="J106" i="78"/>
  <c r="I106" i="78"/>
  <c r="H106" i="78"/>
  <c r="F106" i="78"/>
  <c r="Y105" i="78"/>
  <c r="U105" i="78"/>
  <c r="S105" i="78"/>
  <c r="P105" i="78"/>
  <c r="O105" i="78"/>
  <c r="M105" i="78"/>
  <c r="L105" i="78"/>
  <c r="K105" i="78"/>
  <c r="I105" i="78"/>
  <c r="H105" i="78"/>
  <c r="F105" i="78"/>
  <c r="Y104" i="78"/>
  <c r="W104" i="78"/>
  <c r="U104" i="78"/>
  <c r="S104" i="78"/>
  <c r="P104" i="78"/>
  <c r="M104" i="78"/>
  <c r="L104" i="78"/>
  <c r="K104" i="78"/>
  <c r="I104" i="78"/>
  <c r="H104" i="78"/>
  <c r="F104" i="78"/>
  <c r="Y103" i="78"/>
  <c r="W103" i="78"/>
  <c r="U103" i="78"/>
  <c r="S103" i="78"/>
  <c r="P103" i="78"/>
  <c r="O103" i="78"/>
  <c r="M103" i="78"/>
  <c r="L103" i="78"/>
  <c r="K103" i="78"/>
  <c r="I103" i="78"/>
  <c r="H103" i="78"/>
  <c r="F103" i="78"/>
  <c r="Y102" i="78"/>
  <c r="W102" i="78"/>
  <c r="U102" i="78"/>
  <c r="S102" i="78"/>
  <c r="P102" i="78"/>
  <c r="O102" i="78"/>
  <c r="M102" i="78"/>
  <c r="L102" i="78"/>
  <c r="K102" i="78"/>
  <c r="I102" i="78"/>
  <c r="H102" i="78"/>
  <c r="F102" i="78"/>
  <c r="Y101" i="78"/>
  <c r="U101" i="78"/>
  <c r="Y100" i="78"/>
  <c r="U100" i="78"/>
  <c r="Y99" i="78"/>
  <c r="W99" i="78"/>
  <c r="U99" i="78"/>
  <c r="S99" i="78"/>
  <c r="R99" i="78"/>
  <c r="Q99" i="78"/>
  <c r="P99" i="78"/>
  <c r="N99" i="78"/>
  <c r="M99" i="78"/>
  <c r="L99" i="78"/>
  <c r="K99" i="78"/>
  <c r="J99" i="78"/>
  <c r="I99" i="78"/>
  <c r="H99" i="78"/>
  <c r="F99" i="78"/>
  <c r="Y98" i="78"/>
  <c r="W98" i="78"/>
  <c r="U98" i="78"/>
  <c r="S98" i="78"/>
  <c r="P98" i="78"/>
  <c r="N98" i="78"/>
  <c r="M98" i="78"/>
  <c r="L98" i="78"/>
  <c r="K98" i="78"/>
  <c r="I98" i="78"/>
  <c r="H98" i="78"/>
  <c r="F98" i="78"/>
  <c r="Y97" i="78"/>
  <c r="W97" i="78"/>
  <c r="U97" i="78"/>
  <c r="S97" i="78"/>
  <c r="P97" i="78"/>
  <c r="N97" i="78"/>
  <c r="M97" i="78"/>
  <c r="L97" i="78"/>
  <c r="K97" i="78"/>
  <c r="I97" i="78"/>
  <c r="H97" i="78"/>
  <c r="F97" i="78"/>
  <c r="Y96" i="78"/>
  <c r="W96" i="78"/>
  <c r="U96" i="78"/>
  <c r="S96" i="78"/>
  <c r="P96" i="78"/>
  <c r="N96" i="78"/>
  <c r="M96" i="78"/>
  <c r="L96" i="78"/>
  <c r="K96" i="78"/>
  <c r="I96" i="78"/>
  <c r="H96" i="78"/>
  <c r="F96" i="78"/>
  <c r="Y95" i="78"/>
  <c r="W95" i="78"/>
  <c r="U95" i="78"/>
  <c r="S95" i="78"/>
  <c r="P95" i="78"/>
  <c r="M95" i="78"/>
  <c r="L95" i="78"/>
  <c r="K95" i="78"/>
  <c r="I95" i="78"/>
  <c r="H95" i="78"/>
  <c r="F95" i="78"/>
  <c r="Y94" i="78"/>
  <c r="W94" i="78"/>
  <c r="U94" i="78"/>
  <c r="S94" i="78"/>
  <c r="P94" i="78"/>
  <c r="M94" i="78"/>
  <c r="L94" i="78"/>
  <c r="K94" i="78"/>
  <c r="I94" i="78"/>
  <c r="H94" i="78"/>
  <c r="F94" i="78"/>
  <c r="Y93" i="78"/>
  <c r="W93" i="78"/>
  <c r="U93" i="78"/>
  <c r="S93" i="78"/>
  <c r="P93" i="78"/>
  <c r="M93" i="78"/>
  <c r="L93" i="78"/>
  <c r="K93" i="78"/>
  <c r="I93" i="78"/>
  <c r="H93" i="78"/>
  <c r="F93" i="78"/>
  <c r="Y92" i="78"/>
  <c r="W92" i="78"/>
  <c r="U92" i="78"/>
  <c r="S92" i="78"/>
  <c r="P92" i="78"/>
  <c r="M92" i="78"/>
  <c r="L92" i="78"/>
  <c r="K92" i="78"/>
  <c r="I92" i="78"/>
  <c r="H92" i="78"/>
  <c r="F92" i="78"/>
  <c r="Y91" i="78"/>
  <c r="W91" i="78"/>
  <c r="U91" i="78"/>
  <c r="S91" i="78"/>
  <c r="P91" i="78"/>
  <c r="N91" i="78"/>
  <c r="M91" i="78"/>
  <c r="L91" i="78"/>
  <c r="K91" i="78"/>
  <c r="J91" i="78"/>
  <c r="I91" i="78"/>
  <c r="H91" i="78"/>
  <c r="F91" i="78"/>
  <c r="Y90" i="78"/>
  <c r="W90" i="78"/>
  <c r="U90" i="78"/>
  <c r="S90" i="78"/>
  <c r="P90" i="78"/>
  <c r="N90" i="78"/>
  <c r="M90" i="78"/>
  <c r="L90" i="78"/>
  <c r="K90" i="78"/>
  <c r="J90" i="78"/>
  <c r="I90" i="78"/>
  <c r="H90" i="78"/>
  <c r="F90" i="78"/>
  <c r="Y89" i="78"/>
  <c r="W89" i="78"/>
  <c r="U89" i="78"/>
  <c r="S89" i="78"/>
  <c r="P89" i="78"/>
  <c r="N89" i="78"/>
  <c r="M89" i="78"/>
  <c r="L89" i="78"/>
  <c r="K89" i="78"/>
  <c r="I89" i="78"/>
  <c r="H89" i="78"/>
  <c r="F89" i="78"/>
  <c r="Y88" i="78"/>
  <c r="U88" i="78"/>
  <c r="Y87" i="78"/>
  <c r="U87" i="78"/>
  <c r="Y86" i="78"/>
  <c r="W86" i="78"/>
  <c r="U86" i="78"/>
  <c r="S86" i="78"/>
  <c r="R86" i="78"/>
  <c r="Q86" i="78"/>
  <c r="P86" i="78"/>
  <c r="N86" i="78"/>
  <c r="M86" i="78"/>
  <c r="L86" i="78"/>
  <c r="K86" i="78"/>
  <c r="J86" i="78"/>
  <c r="I86" i="78"/>
  <c r="H86" i="78"/>
  <c r="F86" i="78"/>
  <c r="Y85" i="78"/>
  <c r="U85" i="78"/>
  <c r="S85" i="78"/>
  <c r="P85" i="78"/>
  <c r="N85" i="78"/>
  <c r="M85" i="78"/>
  <c r="L85" i="78"/>
  <c r="K85" i="78"/>
  <c r="I85" i="78"/>
  <c r="H85" i="78"/>
  <c r="F85" i="78"/>
  <c r="Y84" i="78"/>
  <c r="U84" i="78"/>
  <c r="S84" i="78"/>
  <c r="P84" i="78"/>
  <c r="N84" i="78"/>
  <c r="M84" i="78"/>
  <c r="L84" i="78"/>
  <c r="K84" i="78"/>
  <c r="I84" i="78"/>
  <c r="H84" i="78"/>
  <c r="F84" i="78"/>
  <c r="Y83" i="78"/>
  <c r="U83" i="78"/>
  <c r="S83" i="78"/>
  <c r="P83" i="78"/>
  <c r="N83" i="78"/>
  <c r="M83" i="78"/>
  <c r="L83" i="78"/>
  <c r="K83" i="78"/>
  <c r="I83" i="78"/>
  <c r="H83" i="78"/>
  <c r="F83" i="78"/>
  <c r="Y82" i="78"/>
  <c r="W82" i="78"/>
  <c r="U82" i="78"/>
  <c r="S82" i="78"/>
  <c r="P82" i="78"/>
  <c r="N82" i="78"/>
  <c r="M82" i="78"/>
  <c r="L82" i="78"/>
  <c r="K82" i="78"/>
  <c r="I82" i="78"/>
  <c r="H82" i="78"/>
  <c r="F82" i="78"/>
  <c r="Y81" i="78"/>
  <c r="W81" i="78"/>
  <c r="U81" i="78"/>
  <c r="S81" i="78"/>
  <c r="P81" i="78"/>
  <c r="N81" i="78"/>
  <c r="M81" i="78"/>
  <c r="L81" i="78"/>
  <c r="K81" i="78"/>
  <c r="I81" i="78"/>
  <c r="H81" i="78"/>
  <c r="Y80" i="78"/>
  <c r="W80" i="78"/>
  <c r="U80" i="78"/>
  <c r="S80" i="78"/>
  <c r="P80" i="78"/>
  <c r="N80" i="78"/>
  <c r="M80" i="78"/>
  <c r="L80" i="78"/>
  <c r="K80" i="78"/>
  <c r="I80" i="78"/>
  <c r="H80" i="78"/>
  <c r="Y79" i="78"/>
  <c r="U79" i="78"/>
  <c r="S79" i="78"/>
  <c r="P79" i="78"/>
  <c r="N79" i="78"/>
  <c r="M79" i="78"/>
  <c r="L79" i="78"/>
  <c r="K79" i="78"/>
  <c r="I79" i="78"/>
  <c r="H79" i="78"/>
  <c r="F79" i="78"/>
  <c r="Y78" i="78"/>
  <c r="U78" i="78"/>
  <c r="Y77" i="78"/>
  <c r="U77" i="78"/>
  <c r="Y76" i="78"/>
  <c r="W76" i="78"/>
  <c r="U76" i="78"/>
  <c r="S76" i="78"/>
  <c r="R76" i="78"/>
  <c r="Q76" i="78"/>
  <c r="P76" i="78"/>
  <c r="N76" i="78"/>
  <c r="M76" i="78"/>
  <c r="L76" i="78"/>
  <c r="K76" i="78"/>
  <c r="J76" i="78"/>
  <c r="I76" i="78"/>
  <c r="H76" i="78"/>
  <c r="G76" i="78"/>
  <c r="F76" i="78"/>
  <c r="Y75" i="78"/>
  <c r="U75" i="78"/>
  <c r="S75" i="78"/>
  <c r="P75" i="78"/>
  <c r="N75" i="78"/>
  <c r="M75" i="78"/>
  <c r="L75" i="78"/>
  <c r="K75" i="78"/>
  <c r="I75" i="78"/>
  <c r="H75" i="78"/>
  <c r="F75" i="78"/>
  <c r="Y74" i="78"/>
  <c r="U74" i="78"/>
  <c r="S74" i="78"/>
  <c r="P74" i="78"/>
  <c r="N74" i="78"/>
  <c r="M74" i="78"/>
  <c r="L74" i="78"/>
  <c r="K74" i="78"/>
  <c r="I74" i="78"/>
  <c r="H74" i="78"/>
  <c r="F74" i="78"/>
  <c r="Y73" i="78"/>
  <c r="U73" i="78"/>
  <c r="S73" i="78"/>
  <c r="P73" i="78"/>
  <c r="N73" i="78"/>
  <c r="M73" i="78"/>
  <c r="L73" i="78"/>
  <c r="K73" i="78"/>
  <c r="I73" i="78"/>
  <c r="H73" i="78"/>
  <c r="F73" i="78"/>
  <c r="Y72" i="78"/>
  <c r="U72" i="78"/>
  <c r="S72" i="78"/>
  <c r="P72" i="78"/>
  <c r="N72" i="78"/>
  <c r="M72" i="78"/>
  <c r="L72" i="78"/>
  <c r="K72" i="78"/>
  <c r="I72" i="78"/>
  <c r="H72" i="78"/>
  <c r="F72" i="78"/>
  <c r="Y71" i="78"/>
  <c r="W71" i="78"/>
  <c r="U71" i="78"/>
  <c r="S71" i="78"/>
  <c r="P71" i="78"/>
  <c r="N71" i="78"/>
  <c r="M71" i="78"/>
  <c r="L71" i="78"/>
  <c r="K71" i="78"/>
  <c r="I71" i="78"/>
  <c r="H71" i="78"/>
  <c r="F71" i="78"/>
  <c r="Y70" i="78"/>
  <c r="U70" i="78"/>
  <c r="S70" i="78"/>
  <c r="P70" i="78"/>
  <c r="N70" i="78"/>
  <c r="M70" i="78"/>
  <c r="L70" i="78"/>
  <c r="K70" i="78"/>
  <c r="I70" i="78"/>
  <c r="H70" i="78"/>
  <c r="F70" i="78"/>
  <c r="Y69" i="78"/>
  <c r="W69" i="78"/>
  <c r="U69" i="78"/>
  <c r="S69" i="78"/>
  <c r="P69" i="78"/>
  <c r="N69" i="78"/>
  <c r="M69" i="78"/>
  <c r="L69" i="78"/>
  <c r="K69" i="78"/>
  <c r="I69" i="78"/>
  <c r="H69" i="78"/>
  <c r="F69" i="78"/>
  <c r="Y68" i="78"/>
  <c r="U68" i="78"/>
  <c r="S68" i="78"/>
  <c r="P68" i="78"/>
  <c r="N68" i="78"/>
  <c r="M68" i="78"/>
  <c r="L68" i="78"/>
  <c r="K68" i="78"/>
  <c r="I68" i="78"/>
  <c r="H68" i="78"/>
  <c r="F68" i="78"/>
  <c r="Y67" i="78"/>
  <c r="W67" i="78"/>
  <c r="U67" i="78"/>
  <c r="S67" i="78"/>
  <c r="P67" i="78"/>
  <c r="N67" i="78"/>
  <c r="M67" i="78"/>
  <c r="L67" i="78"/>
  <c r="K67" i="78"/>
  <c r="I67" i="78"/>
  <c r="H67" i="78"/>
  <c r="F67" i="78"/>
  <c r="Y66" i="78"/>
  <c r="U66" i="78"/>
  <c r="S66" i="78"/>
  <c r="P66" i="78"/>
  <c r="N66" i="78"/>
  <c r="M66" i="78"/>
  <c r="L66" i="78"/>
  <c r="K66" i="78"/>
  <c r="I66" i="78"/>
  <c r="H66" i="78"/>
  <c r="F66" i="78"/>
  <c r="Y65" i="78"/>
  <c r="W65" i="78"/>
  <c r="U65" i="78"/>
  <c r="S65" i="78"/>
  <c r="P65" i="78"/>
  <c r="N65" i="78"/>
  <c r="M65" i="78"/>
  <c r="L65" i="78"/>
  <c r="K65" i="78"/>
  <c r="I65" i="78"/>
  <c r="H65" i="78"/>
  <c r="Y64" i="78"/>
  <c r="W64" i="78"/>
  <c r="U64" i="78"/>
  <c r="P64" i="78"/>
  <c r="N64" i="78"/>
  <c r="M64" i="78"/>
  <c r="L64" i="78"/>
  <c r="K64" i="78"/>
  <c r="I64" i="78"/>
  <c r="H64" i="78"/>
  <c r="F64" i="78"/>
  <c r="Y63" i="78"/>
  <c r="U63" i="78"/>
  <c r="Y62" i="78"/>
  <c r="U62" i="78"/>
  <c r="Y61" i="78"/>
  <c r="W61" i="78"/>
  <c r="U61" i="78"/>
  <c r="S61" i="78"/>
  <c r="R61" i="78"/>
  <c r="Q61" i="78"/>
  <c r="P61" i="78"/>
  <c r="O61" i="78"/>
  <c r="N61" i="78"/>
  <c r="M61" i="78"/>
  <c r="L61" i="78"/>
  <c r="K61" i="78"/>
  <c r="J61" i="78"/>
  <c r="I61" i="78"/>
  <c r="H61" i="78"/>
  <c r="F61" i="78"/>
  <c r="Y60" i="78"/>
  <c r="W60" i="78"/>
  <c r="U60" i="78"/>
  <c r="S60" i="78"/>
  <c r="P60" i="78"/>
  <c r="O60" i="78"/>
  <c r="M60" i="78"/>
  <c r="L60" i="78"/>
  <c r="K60" i="78"/>
  <c r="I60" i="78"/>
  <c r="H60" i="78"/>
  <c r="F60" i="78"/>
  <c r="Y59" i="78"/>
  <c r="U59" i="78"/>
  <c r="S59" i="78"/>
  <c r="P59" i="78"/>
  <c r="N59" i="78"/>
  <c r="M59" i="78"/>
  <c r="L59" i="78"/>
  <c r="K59" i="78"/>
  <c r="I59" i="78"/>
  <c r="H59" i="78"/>
  <c r="F59" i="78"/>
  <c r="Y58" i="78"/>
  <c r="U58" i="78"/>
  <c r="Y57" i="78"/>
  <c r="U57" i="78"/>
  <c r="Y56" i="78"/>
  <c r="W56" i="78"/>
  <c r="U56" i="78"/>
  <c r="S56" i="78"/>
  <c r="R56" i="78"/>
  <c r="Q56" i="78"/>
  <c r="P56" i="78"/>
  <c r="N56" i="78"/>
  <c r="M56" i="78"/>
  <c r="L56" i="78"/>
  <c r="K56" i="78"/>
  <c r="J56" i="78"/>
  <c r="I56" i="78"/>
  <c r="H56" i="78"/>
  <c r="G56" i="78"/>
  <c r="F56" i="78"/>
  <c r="Y55" i="78"/>
  <c r="W55" i="78"/>
  <c r="U55" i="78"/>
  <c r="S55" i="78"/>
  <c r="P55" i="78"/>
  <c r="N55" i="78"/>
  <c r="M55" i="78"/>
  <c r="L55" i="78"/>
  <c r="K55" i="78"/>
  <c r="I55" i="78"/>
  <c r="H55" i="78"/>
  <c r="F55" i="78"/>
  <c r="Y54" i="78"/>
  <c r="U54" i="78"/>
  <c r="S54" i="78"/>
  <c r="P54" i="78"/>
  <c r="M54" i="78"/>
  <c r="L54" i="78"/>
  <c r="K54" i="78"/>
  <c r="I54" i="78"/>
  <c r="H54" i="78"/>
  <c r="F54" i="78"/>
  <c r="Y53" i="78"/>
  <c r="U53" i="78"/>
  <c r="S53" i="78"/>
  <c r="P53" i="78"/>
  <c r="N53" i="78"/>
  <c r="M53" i="78"/>
  <c r="L53" i="78"/>
  <c r="K53" i="78"/>
  <c r="I53" i="78"/>
  <c r="H53" i="78"/>
  <c r="F53" i="78"/>
  <c r="Y52" i="78"/>
  <c r="U52" i="78"/>
  <c r="S52" i="78"/>
  <c r="P52" i="78"/>
  <c r="N52" i="78"/>
  <c r="M52" i="78"/>
  <c r="L52" i="78"/>
  <c r="K52" i="78"/>
  <c r="I52" i="78"/>
  <c r="H52" i="78"/>
  <c r="F52" i="78"/>
  <c r="Y51" i="78"/>
  <c r="U51" i="78"/>
  <c r="S51" i="78"/>
  <c r="P51" i="78"/>
  <c r="N51" i="78"/>
  <c r="M51" i="78"/>
  <c r="L51" i="78"/>
  <c r="K51" i="78"/>
  <c r="I51" i="78"/>
  <c r="H51" i="78"/>
  <c r="F51" i="78"/>
  <c r="Y50" i="78"/>
  <c r="U50" i="78"/>
  <c r="S50" i="78"/>
  <c r="P50" i="78"/>
  <c r="N50" i="78"/>
  <c r="M50" i="78"/>
  <c r="L50" i="78"/>
  <c r="K50" i="78"/>
  <c r="I50" i="78"/>
  <c r="H50" i="78"/>
  <c r="F50" i="78"/>
  <c r="Y49" i="78"/>
  <c r="W49" i="78"/>
  <c r="U49" i="78"/>
  <c r="S49" i="78"/>
  <c r="P49" i="78"/>
  <c r="N49" i="78"/>
  <c r="M49" i="78"/>
  <c r="L49" i="78"/>
  <c r="K49" i="78"/>
  <c r="I49" i="78"/>
  <c r="H49" i="78"/>
  <c r="F49" i="78"/>
  <c r="Y48" i="78"/>
  <c r="U48" i="78"/>
  <c r="S48" i="78"/>
  <c r="P48" i="78"/>
  <c r="N48" i="78"/>
  <c r="M48" i="78"/>
  <c r="L48" i="78"/>
  <c r="K48" i="78"/>
  <c r="I48" i="78"/>
  <c r="H48" i="78"/>
  <c r="F48" i="78"/>
  <c r="Y47" i="78"/>
  <c r="U47" i="78"/>
  <c r="S47" i="78"/>
  <c r="P47" i="78"/>
  <c r="N47" i="78"/>
  <c r="M47" i="78"/>
  <c r="L47" i="78"/>
  <c r="K47" i="78"/>
  <c r="I47" i="78"/>
  <c r="H47" i="78"/>
  <c r="F47" i="78"/>
  <c r="Y46" i="78"/>
  <c r="W46" i="78"/>
  <c r="U46" i="78"/>
  <c r="S46" i="78"/>
  <c r="P46" i="78"/>
  <c r="N46" i="78"/>
  <c r="M46" i="78"/>
  <c r="L46" i="78"/>
  <c r="K46" i="78"/>
  <c r="I46" i="78"/>
  <c r="H46" i="78"/>
  <c r="F46" i="78"/>
  <c r="Y45" i="78"/>
  <c r="U45" i="78"/>
  <c r="Y44" i="78"/>
  <c r="U44" i="78"/>
  <c r="Y43" i="78"/>
  <c r="W43" i="78"/>
  <c r="U43" i="78"/>
  <c r="S43" i="78"/>
  <c r="R43" i="78"/>
  <c r="Q43" i="78"/>
  <c r="P43" i="78"/>
  <c r="O43" i="78"/>
  <c r="M43" i="78"/>
  <c r="L43" i="78"/>
  <c r="K43" i="78"/>
  <c r="J43" i="78"/>
  <c r="I43" i="78"/>
  <c r="H43" i="78"/>
  <c r="G43" i="78"/>
  <c r="F43" i="78"/>
  <c r="Y42" i="78"/>
  <c r="W42" i="78"/>
  <c r="U42" i="78"/>
  <c r="S42" i="78"/>
  <c r="P42" i="78"/>
  <c r="O42" i="78"/>
  <c r="M42" i="78"/>
  <c r="L42" i="78"/>
  <c r="K42" i="78"/>
  <c r="I42" i="78"/>
  <c r="H42" i="78"/>
  <c r="F42" i="78"/>
  <c r="Y41" i="78"/>
  <c r="U41" i="78"/>
  <c r="Y40" i="78"/>
  <c r="U40" i="78"/>
  <c r="Y39" i="78"/>
  <c r="W39" i="78"/>
  <c r="U39" i="78"/>
  <c r="S39" i="78"/>
  <c r="R39" i="78"/>
  <c r="Q39" i="78"/>
  <c r="P39" i="78"/>
  <c r="O39" i="78"/>
  <c r="N39" i="78"/>
  <c r="M39" i="78"/>
  <c r="L39" i="78"/>
  <c r="K39" i="78"/>
  <c r="J39" i="78"/>
  <c r="I39" i="78"/>
  <c r="H39" i="78"/>
  <c r="G39" i="78"/>
  <c r="F39" i="78"/>
  <c r="Y38" i="78"/>
  <c r="W38" i="78"/>
  <c r="U38" i="78"/>
  <c r="S38" i="78"/>
  <c r="P38" i="78"/>
  <c r="O38" i="78"/>
  <c r="M38" i="78"/>
  <c r="L38" i="78"/>
  <c r="K38" i="78"/>
  <c r="I38" i="78"/>
  <c r="H38" i="78"/>
  <c r="F38" i="78"/>
  <c r="Y37" i="78"/>
  <c r="W37" i="78"/>
  <c r="U37" i="78"/>
  <c r="S37" i="78"/>
  <c r="P37" i="78"/>
  <c r="O37" i="78"/>
  <c r="M37" i="78"/>
  <c r="L37" i="78"/>
  <c r="K37" i="78"/>
  <c r="I37" i="78"/>
  <c r="H37" i="78"/>
  <c r="F37" i="78"/>
  <c r="Y36" i="78"/>
  <c r="W36" i="78"/>
  <c r="U36" i="78"/>
  <c r="S36" i="78"/>
  <c r="P36" i="78"/>
  <c r="O36" i="78"/>
  <c r="M36" i="78"/>
  <c r="L36" i="78"/>
  <c r="K36" i="78"/>
  <c r="I36" i="78"/>
  <c r="H36" i="78"/>
  <c r="F36" i="78"/>
  <c r="Y35" i="78"/>
  <c r="U35" i="78"/>
  <c r="S35" i="78"/>
  <c r="P35" i="78"/>
  <c r="O35" i="78"/>
  <c r="M35" i="78"/>
  <c r="L35" i="78"/>
  <c r="K35" i="78"/>
  <c r="I35" i="78"/>
  <c r="H35" i="78"/>
  <c r="F35" i="78"/>
  <c r="Y34" i="78"/>
  <c r="U34" i="78"/>
  <c r="S34" i="78"/>
  <c r="P34" i="78"/>
  <c r="M34" i="78"/>
  <c r="L34" i="78"/>
  <c r="K34" i="78"/>
  <c r="I34" i="78"/>
  <c r="H34" i="78"/>
  <c r="F34" i="78"/>
  <c r="Y33" i="78"/>
  <c r="U33" i="78"/>
  <c r="S33" i="78"/>
  <c r="P33" i="78"/>
  <c r="O33" i="78"/>
  <c r="M33" i="78"/>
  <c r="L33" i="78"/>
  <c r="K33" i="78"/>
  <c r="I33" i="78"/>
  <c r="H33" i="78"/>
  <c r="F33" i="78"/>
  <c r="Y32" i="78"/>
  <c r="W32" i="78"/>
  <c r="U32" i="78"/>
  <c r="S32" i="78"/>
  <c r="P32" i="78"/>
  <c r="O32" i="78"/>
  <c r="M32" i="78"/>
  <c r="L32" i="78"/>
  <c r="K32" i="78"/>
  <c r="I32" i="78"/>
  <c r="H32" i="78"/>
  <c r="F32" i="78"/>
  <c r="Y31" i="78"/>
  <c r="W31" i="78"/>
  <c r="U31" i="78"/>
  <c r="S31" i="78"/>
  <c r="P31" i="78"/>
  <c r="O31" i="78"/>
  <c r="M31" i="78"/>
  <c r="L31" i="78"/>
  <c r="K31" i="78"/>
  <c r="I31" i="78"/>
  <c r="H31" i="78"/>
  <c r="F31" i="78"/>
  <c r="Y30" i="78"/>
  <c r="W30" i="78"/>
  <c r="U30" i="78"/>
  <c r="S30" i="78"/>
  <c r="P30" i="78"/>
  <c r="O30" i="78"/>
  <c r="M30" i="78"/>
  <c r="L30" i="78"/>
  <c r="K30" i="78"/>
  <c r="I30" i="78"/>
  <c r="H30" i="78"/>
  <c r="F30" i="78"/>
  <c r="Y29" i="78"/>
  <c r="U29" i="78"/>
  <c r="S29" i="78"/>
  <c r="P29" i="78"/>
  <c r="O29" i="78"/>
  <c r="M29" i="78"/>
  <c r="L29" i="78"/>
  <c r="K29" i="78"/>
  <c r="I29" i="78"/>
  <c r="H29" i="78"/>
  <c r="F29" i="78"/>
  <c r="Y28" i="78"/>
  <c r="U28" i="78"/>
  <c r="S28" i="78"/>
  <c r="R28" i="78"/>
  <c r="P28" i="78"/>
  <c r="N28" i="78"/>
  <c r="M28" i="78"/>
  <c r="L28" i="78"/>
  <c r="K28" i="78"/>
  <c r="I28" i="78"/>
  <c r="H28" i="78"/>
  <c r="F28" i="78"/>
  <c r="Y27" i="78"/>
  <c r="U27" i="78"/>
  <c r="S27" i="78"/>
  <c r="P27" i="78"/>
  <c r="O27" i="78"/>
  <c r="M27" i="78"/>
  <c r="L27" i="78"/>
  <c r="K27" i="78"/>
  <c r="I27" i="78"/>
  <c r="H27" i="78"/>
  <c r="F27" i="78"/>
  <c r="Y26" i="78"/>
  <c r="U26" i="78"/>
  <c r="S26" i="78"/>
  <c r="P26" i="78"/>
  <c r="O26" i="78"/>
  <c r="M26" i="78"/>
  <c r="L26" i="78"/>
  <c r="K26" i="78"/>
  <c r="I26" i="78"/>
  <c r="H26" i="78"/>
  <c r="F26" i="78"/>
  <c r="Y25" i="78"/>
  <c r="W25" i="78"/>
  <c r="U25" i="78"/>
  <c r="S25" i="78"/>
  <c r="P25" i="78"/>
  <c r="N25" i="78"/>
  <c r="M25" i="78"/>
  <c r="L25" i="78"/>
  <c r="K25" i="78"/>
  <c r="I25" i="78"/>
  <c r="H25" i="78"/>
  <c r="F25" i="78"/>
  <c r="Y24" i="78"/>
  <c r="W24" i="78"/>
  <c r="U24" i="78"/>
  <c r="S24" i="78"/>
  <c r="R24" i="78"/>
  <c r="P24" i="78"/>
  <c r="O24" i="78"/>
  <c r="M24" i="78"/>
  <c r="L24" i="78"/>
  <c r="K24" i="78"/>
  <c r="J24" i="78"/>
  <c r="I24" i="78"/>
  <c r="H24" i="78"/>
  <c r="F24" i="78"/>
  <c r="Y23" i="78"/>
  <c r="W23" i="78"/>
  <c r="U23" i="78"/>
  <c r="S23" i="78"/>
  <c r="R23" i="78"/>
  <c r="P23" i="78"/>
  <c r="O23" i="78"/>
  <c r="M23" i="78"/>
  <c r="L23" i="78"/>
  <c r="K23" i="78"/>
  <c r="I23" i="78"/>
  <c r="H23" i="78"/>
  <c r="F23" i="78"/>
  <c r="Y22" i="78"/>
  <c r="W22" i="78"/>
  <c r="U22" i="78"/>
  <c r="S22" i="78"/>
  <c r="R22" i="78"/>
  <c r="P22" i="78"/>
  <c r="N22" i="78"/>
  <c r="M22" i="78"/>
  <c r="L22" i="78"/>
  <c r="K22" i="78"/>
  <c r="I22" i="78"/>
  <c r="H22" i="78"/>
  <c r="F22" i="78"/>
  <c r="Y21" i="78"/>
  <c r="U21" i="78"/>
  <c r="S21" i="78"/>
  <c r="P21" i="78"/>
  <c r="O21" i="78"/>
  <c r="M21" i="78"/>
  <c r="L21" i="78"/>
  <c r="K21" i="78"/>
  <c r="I21" i="78"/>
  <c r="H21" i="78"/>
  <c r="F21" i="78"/>
  <c r="Y20" i="78"/>
  <c r="U20" i="78"/>
  <c r="S20" i="78"/>
  <c r="P20" i="78"/>
  <c r="O20" i="78"/>
  <c r="M20" i="78"/>
  <c r="L20" i="78"/>
  <c r="K20" i="78"/>
  <c r="I20" i="78"/>
  <c r="H20" i="78"/>
  <c r="F20" i="78"/>
  <c r="Y19" i="78"/>
  <c r="U19" i="78"/>
  <c r="S19" i="78"/>
  <c r="P19" i="78"/>
  <c r="O19" i="78"/>
  <c r="M19" i="78"/>
  <c r="L19" i="78"/>
  <c r="K19" i="78"/>
  <c r="I19" i="78"/>
  <c r="H19" i="78"/>
  <c r="Y18" i="78"/>
  <c r="W18" i="78"/>
  <c r="U18" i="78"/>
  <c r="S18" i="78"/>
  <c r="P18" i="78"/>
  <c r="O18" i="78"/>
  <c r="M18" i="78"/>
  <c r="L18" i="78"/>
  <c r="K18" i="78"/>
  <c r="J18" i="78"/>
  <c r="I18" i="78"/>
  <c r="H18" i="78"/>
  <c r="F18" i="78"/>
  <c r="Y17" i="78"/>
  <c r="U17" i="78"/>
  <c r="S17" i="78"/>
  <c r="P17" i="78"/>
  <c r="O17" i="78"/>
  <c r="M17" i="78"/>
  <c r="L17" i="78"/>
  <c r="K17" i="78"/>
  <c r="I17" i="78"/>
  <c r="H17" i="78"/>
  <c r="F17" i="78"/>
  <c r="Y16" i="78"/>
  <c r="U16" i="78"/>
  <c r="S16" i="78"/>
  <c r="P16" i="78"/>
  <c r="O16" i="78"/>
  <c r="M16" i="78"/>
  <c r="L16" i="78"/>
  <c r="K16" i="78"/>
  <c r="I16" i="78"/>
  <c r="H16" i="78"/>
  <c r="F16" i="78"/>
  <c r="Y15" i="78"/>
  <c r="U15" i="78"/>
  <c r="S15" i="78"/>
  <c r="R15" i="78"/>
  <c r="P15" i="78"/>
  <c r="O15" i="78"/>
  <c r="M15" i="78"/>
  <c r="L15" i="78"/>
  <c r="K15" i="78"/>
  <c r="I15" i="78"/>
  <c r="H15" i="78"/>
  <c r="Y14" i="78"/>
  <c r="W14" i="78"/>
  <c r="U14" i="78"/>
  <c r="S14" i="78"/>
  <c r="P14" i="78"/>
  <c r="O14" i="78"/>
  <c r="M14" i="78"/>
  <c r="L14" i="78"/>
  <c r="K14" i="78"/>
  <c r="I14" i="78"/>
  <c r="H14" i="78"/>
  <c r="F14" i="78"/>
  <c r="Y13" i="78"/>
  <c r="W13" i="78"/>
  <c r="U13" i="78"/>
  <c r="S13" i="78"/>
  <c r="R13" i="78"/>
  <c r="P13" i="78"/>
  <c r="N13" i="78"/>
  <c r="M13" i="78"/>
  <c r="L13" i="78"/>
  <c r="K13" i="78"/>
  <c r="I13" i="78"/>
  <c r="H13" i="78"/>
  <c r="F13" i="78"/>
  <c r="Y12" i="78"/>
  <c r="W12" i="78"/>
  <c r="U12" i="78"/>
  <c r="S12" i="78"/>
  <c r="P12" i="78"/>
  <c r="N12" i="78"/>
  <c r="M12" i="78"/>
  <c r="L12" i="78"/>
  <c r="K12" i="78"/>
  <c r="I12" i="78"/>
  <c r="H12" i="78"/>
  <c r="F12" i="78"/>
  <c r="Y11" i="78"/>
  <c r="U11" i="78"/>
  <c r="S11" i="78"/>
  <c r="P11" i="78"/>
  <c r="O11" i="78"/>
  <c r="M11" i="78"/>
  <c r="L11" i="78"/>
  <c r="K11" i="78"/>
  <c r="I11" i="78"/>
  <c r="H11" i="78"/>
  <c r="F11" i="78"/>
  <c r="Y10" i="78"/>
  <c r="U10" i="78"/>
  <c r="S10" i="78"/>
  <c r="P10" i="78"/>
  <c r="N10" i="78"/>
  <c r="M10" i="78"/>
  <c r="L10" i="78"/>
  <c r="K10" i="78"/>
  <c r="I10" i="78"/>
  <c r="H10" i="78"/>
  <c r="Y9" i="78"/>
  <c r="U9" i="78"/>
  <c r="S9" i="78"/>
  <c r="N9" i="78"/>
  <c r="I4" i="78"/>
  <c r="F4" i="78"/>
  <c r="G199" i="87"/>
  <c r="F199" i="87"/>
  <c r="C199" i="87"/>
  <c r="G198" i="87"/>
  <c r="F198" i="87"/>
  <c r="G197" i="87"/>
  <c r="F197" i="87"/>
  <c r="G196" i="87"/>
  <c r="F196" i="87"/>
  <c r="G195" i="87"/>
  <c r="F195" i="87"/>
  <c r="G194" i="87"/>
  <c r="F194" i="87"/>
  <c r="G193" i="87"/>
  <c r="F193" i="87"/>
  <c r="G192" i="87"/>
  <c r="F192" i="87"/>
  <c r="G191" i="87"/>
  <c r="F191" i="87"/>
  <c r="G190" i="87"/>
  <c r="F190" i="87"/>
  <c r="G189" i="87"/>
  <c r="F189" i="87"/>
  <c r="G188" i="87"/>
  <c r="F188" i="87"/>
  <c r="G187" i="87"/>
  <c r="F187" i="87"/>
  <c r="G186" i="87"/>
  <c r="F186" i="87"/>
  <c r="G185" i="87"/>
  <c r="F185" i="87"/>
  <c r="G184" i="87"/>
  <c r="F184" i="87"/>
  <c r="G183" i="87"/>
  <c r="F183" i="87"/>
  <c r="G182" i="87"/>
  <c r="F182" i="87"/>
  <c r="G181" i="87"/>
  <c r="F181" i="87"/>
  <c r="G180" i="87"/>
  <c r="F180" i="87"/>
  <c r="G179" i="87"/>
  <c r="F179" i="87"/>
  <c r="G178" i="87"/>
  <c r="F178" i="87"/>
  <c r="G177" i="87"/>
  <c r="F177" i="87"/>
  <c r="G176" i="87"/>
  <c r="F176" i="87"/>
  <c r="G175" i="87"/>
  <c r="F175" i="87"/>
  <c r="G174" i="87"/>
  <c r="F174" i="87"/>
  <c r="G173" i="87"/>
  <c r="F173" i="87"/>
  <c r="G172" i="87"/>
  <c r="F172" i="87"/>
  <c r="G171" i="87"/>
  <c r="F171" i="87"/>
  <c r="G170" i="87"/>
  <c r="F170" i="87"/>
  <c r="G169" i="87"/>
  <c r="F169" i="87"/>
  <c r="G168" i="87"/>
  <c r="F168" i="87"/>
  <c r="G167" i="87"/>
  <c r="F167" i="87"/>
  <c r="G166" i="87"/>
  <c r="F166" i="87"/>
  <c r="G165" i="87"/>
  <c r="F165" i="87"/>
  <c r="G164" i="87"/>
  <c r="F164" i="87"/>
  <c r="G163" i="87"/>
  <c r="F163" i="87"/>
  <c r="G162" i="87"/>
  <c r="F162" i="87"/>
  <c r="G161" i="87"/>
  <c r="F161" i="87"/>
  <c r="G160" i="87"/>
  <c r="F160" i="87"/>
  <c r="G159" i="87"/>
  <c r="F159" i="87"/>
  <c r="G158" i="87"/>
  <c r="F158" i="87"/>
  <c r="G157" i="87"/>
  <c r="F157" i="87"/>
  <c r="G156" i="87"/>
  <c r="F156" i="87"/>
  <c r="G155" i="87"/>
  <c r="F155" i="87"/>
  <c r="G154" i="87"/>
  <c r="F154" i="87"/>
  <c r="G153" i="87"/>
  <c r="F153" i="87"/>
  <c r="G152" i="87"/>
  <c r="F152" i="87"/>
  <c r="G151" i="87"/>
  <c r="F151" i="87"/>
  <c r="G150" i="87"/>
  <c r="F150" i="87"/>
  <c r="G149" i="87"/>
  <c r="F149" i="87"/>
  <c r="G148" i="87"/>
  <c r="F148" i="87"/>
  <c r="G147" i="87"/>
  <c r="F147" i="87"/>
  <c r="G146" i="87"/>
  <c r="F146" i="87"/>
  <c r="G145" i="87"/>
  <c r="F145" i="87"/>
  <c r="G144" i="87"/>
  <c r="G143" i="87"/>
  <c r="F143" i="87"/>
  <c r="G142" i="87"/>
  <c r="F142" i="87"/>
  <c r="G141" i="87"/>
  <c r="F141" i="87"/>
  <c r="G140" i="87"/>
  <c r="G139" i="87"/>
  <c r="G138" i="87"/>
  <c r="G137" i="87"/>
  <c r="F137" i="87"/>
  <c r="G136" i="87"/>
  <c r="F136" i="87"/>
  <c r="G135" i="87"/>
  <c r="F135" i="87"/>
  <c r="G134" i="87"/>
  <c r="F134" i="87"/>
  <c r="G133" i="87"/>
  <c r="F133" i="87"/>
  <c r="G132" i="87"/>
  <c r="F132" i="87"/>
  <c r="G131" i="87"/>
  <c r="F131" i="87"/>
  <c r="G130" i="87"/>
  <c r="F130" i="87"/>
  <c r="G129" i="87"/>
  <c r="F129" i="87"/>
  <c r="G128" i="87"/>
  <c r="F128" i="87"/>
  <c r="G127" i="87"/>
  <c r="F127" i="87"/>
  <c r="G126" i="87"/>
  <c r="F126" i="87"/>
  <c r="G125" i="87"/>
  <c r="G124" i="87"/>
  <c r="G123" i="87"/>
  <c r="F123" i="87"/>
  <c r="G122" i="87"/>
  <c r="F122" i="87"/>
  <c r="G121" i="87"/>
  <c r="F121" i="87"/>
  <c r="G120" i="87"/>
  <c r="F120" i="87"/>
  <c r="G119" i="87"/>
  <c r="F119" i="87"/>
  <c r="G118" i="87"/>
  <c r="F118" i="87"/>
  <c r="G117" i="87"/>
  <c r="F117" i="87"/>
  <c r="G116" i="87"/>
  <c r="F116" i="87"/>
  <c r="G115" i="87"/>
  <c r="G114" i="87"/>
  <c r="G113" i="87"/>
  <c r="F113" i="87"/>
  <c r="G112" i="87"/>
  <c r="F112" i="87"/>
  <c r="G111" i="87"/>
  <c r="F111" i="87"/>
  <c r="G110" i="87"/>
  <c r="F110" i="87"/>
  <c r="G109" i="87"/>
  <c r="F109" i="87"/>
  <c r="G108" i="87"/>
  <c r="G107" i="87"/>
  <c r="G106" i="87"/>
  <c r="F106" i="87"/>
  <c r="G105" i="87"/>
  <c r="F105" i="87"/>
  <c r="G104" i="87"/>
  <c r="F104" i="87"/>
  <c r="G103" i="87"/>
  <c r="F103" i="87"/>
  <c r="G102" i="87"/>
  <c r="F102" i="87"/>
  <c r="G101" i="87"/>
  <c r="F101" i="87"/>
  <c r="G100" i="87"/>
  <c r="F100" i="87"/>
  <c r="G99" i="87"/>
  <c r="F99" i="87"/>
  <c r="G98" i="87"/>
  <c r="F98" i="87"/>
  <c r="G97" i="87"/>
  <c r="F97" i="87"/>
  <c r="G96" i="87"/>
  <c r="F96" i="87"/>
  <c r="G95" i="87"/>
  <c r="F95" i="87"/>
  <c r="G94" i="87"/>
  <c r="F94" i="87"/>
  <c r="G93" i="87"/>
  <c r="G92" i="87"/>
  <c r="G91" i="87"/>
  <c r="F91" i="87"/>
  <c r="G90" i="87"/>
  <c r="F90" i="87"/>
  <c r="G89" i="87"/>
  <c r="F89" i="87"/>
  <c r="G88" i="87"/>
  <c r="F88" i="87"/>
  <c r="G87" i="87"/>
  <c r="F87" i="87"/>
  <c r="G86" i="87"/>
  <c r="G85" i="87"/>
  <c r="G84" i="87"/>
  <c r="F84" i="87"/>
  <c r="G83" i="87"/>
  <c r="F83" i="87"/>
  <c r="G82" i="87"/>
  <c r="F82" i="87"/>
  <c r="G81" i="87"/>
  <c r="F81" i="87"/>
  <c r="G80" i="87"/>
  <c r="F80" i="87"/>
  <c r="G79" i="87"/>
  <c r="F79" i="87"/>
  <c r="G78" i="87"/>
  <c r="F78" i="87"/>
  <c r="G77" i="87"/>
  <c r="G76" i="87"/>
  <c r="G75" i="87"/>
  <c r="G74" i="87"/>
  <c r="F74" i="87"/>
  <c r="G73" i="87"/>
  <c r="F73" i="87"/>
  <c r="G72" i="87"/>
  <c r="G71" i="87"/>
  <c r="F71" i="87"/>
  <c r="G70" i="87"/>
  <c r="G69" i="87"/>
  <c r="G68" i="87"/>
  <c r="F68" i="87"/>
  <c r="G67" i="87"/>
  <c r="F67" i="87"/>
  <c r="G66" i="87"/>
  <c r="F66" i="87"/>
  <c r="G65" i="87"/>
  <c r="G64" i="87"/>
  <c r="G63" i="87"/>
  <c r="F63" i="87"/>
  <c r="E63" i="87"/>
  <c r="G62" i="87"/>
  <c r="F62" i="87"/>
  <c r="G61" i="87"/>
  <c r="F61" i="87"/>
  <c r="G60" i="87"/>
  <c r="F60" i="87"/>
  <c r="G59" i="87"/>
  <c r="F59" i="87"/>
  <c r="G58" i="87"/>
  <c r="F58" i="87"/>
  <c r="G57" i="87"/>
  <c r="F57" i="87"/>
  <c r="G56" i="87"/>
  <c r="F56" i="87"/>
  <c r="G55" i="87"/>
  <c r="F55" i="87"/>
  <c r="G54" i="87"/>
  <c r="F54" i="87"/>
  <c r="G53" i="87"/>
  <c r="F53" i="87"/>
  <c r="G52" i="87"/>
  <c r="F52" i="87"/>
  <c r="G51" i="87"/>
  <c r="F51" i="87"/>
  <c r="G50" i="87"/>
  <c r="G49" i="87"/>
  <c r="G48" i="87"/>
  <c r="F48" i="87"/>
  <c r="G47" i="87"/>
  <c r="F47" i="87"/>
  <c r="G46" i="87"/>
  <c r="F46" i="87"/>
  <c r="G45" i="87"/>
  <c r="G44" i="87"/>
  <c r="G43" i="87"/>
  <c r="F43" i="87"/>
  <c r="E43" i="87"/>
  <c r="G42" i="87"/>
  <c r="F42" i="87"/>
  <c r="G41" i="87"/>
  <c r="F41" i="87"/>
  <c r="G40" i="87"/>
  <c r="F40" i="87"/>
  <c r="G39" i="87"/>
  <c r="F39" i="87"/>
  <c r="G38" i="87"/>
  <c r="F38" i="87"/>
  <c r="G37" i="87"/>
  <c r="F37" i="87"/>
  <c r="G36" i="87"/>
  <c r="F36" i="87"/>
  <c r="G35" i="87"/>
  <c r="F35" i="87"/>
  <c r="G34" i="87"/>
  <c r="F34" i="87"/>
  <c r="G33" i="87"/>
  <c r="F33" i="87"/>
  <c r="G32" i="87"/>
  <c r="F32" i="87"/>
  <c r="G31" i="87"/>
  <c r="F31" i="87"/>
  <c r="G30" i="87"/>
  <c r="F30" i="87"/>
  <c r="G29" i="87"/>
  <c r="F29" i="87"/>
  <c r="G28" i="87"/>
  <c r="F28" i="87"/>
  <c r="G27" i="87"/>
  <c r="F27" i="87"/>
  <c r="G26" i="87"/>
  <c r="F26" i="87"/>
  <c r="G25" i="87"/>
  <c r="F25" i="87"/>
  <c r="G24" i="87"/>
  <c r="F24" i="87"/>
  <c r="G23" i="87"/>
  <c r="F23" i="87"/>
  <c r="G22" i="87"/>
  <c r="F22" i="87"/>
  <c r="G21" i="87"/>
  <c r="F21" i="87"/>
  <c r="G20" i="87"/>
  <c r="F20" i="87"/>
  <c r="G19" i="87"/>
  <c r="F19" i="87"/>
  <c r="G18" i="87"/>
  <c r="F18" i="87"/>
  <c r="G17" i="87"/>
  <c r="F17" i="87"/>
  <c r="G16" i="87"/>
  <c r="F16" i="87"/>
  <c r="G15" i="87"/>
  <c r="F15" i="87"/>
  <c r="G14" i="87"/>
  <c r="F14" i="87"/>
  <c r="G13" i="87"/>
  <c r="F13" i="87"/>
  <c r="G12" i="87"/>
  <c r="F12" i="87"/>
  <c r="G11" i="87"/>
  <c r="F11" i="87"/>
  <c r="G10" i="87"/>
  <c r="F10" i="87"/>
  <c r="G9" i="87"/>
  <c r="F9" i="87"/>
  <c r="H189" i="116"/>
  <c r="G189" i="116"/>
  <c r="F189" i="116"/>
  <c r="C189" i="116"/>
  <c r="H188" i="116"/>
  <c r="G188" i="116"/>
  <c r="F188" i="116"/>
  <c r="E188" i="116"/>
  <c r="H187" i="116"/>
  <c r="E187" i="116"/>
  <c r="H186" i="116"/>
  <c r="E186" i="116"/>
  <c r="H185" i="116"/>
  <c r="H184" i="116"/>
  <c r="H183" i="116"/>
  <c r="H182" i="116"/>
  <c r="H181" i="116"/>
  <c r="H180" i="116"/>
  <c r="H179" i="116"/>
  <c r="H178" i="116"/>
  <c r="H177" i="116"/>
  <c r="H176" i="116"/>
  <c r="H175" i="116"/>
  <c r="E175" i="116"/>
  <c r="H174" i="116"/>
  <c r="H173" i="116"/>
  <c r="H172" i="116"/>
  <c r="H171" i="116"/>
  <c r="H170" i="116"/>
  <c r="H169" i="116"/>
  <c r="H168" i="116"/>
  <c r="H167" i="116"/>
  <c r="H166" i="116"/>
  <c r="H165" i="116"/>
  <c r="E165" i="116"/>
  <c r="H164" i="116"/>
  <c r="G164" i="116"/>
  <c r="E164" i="116"/>
  <c r="H163" i="116"/>
  <c r="E163" i="116"/>
  <c r="H162" i="116"/>
  <c r="E162" i="116"/>
  <c r="H161" i="116"/>
  <c r="E161" i="116"/>
  <c r="H160" i="116"/>
  <c r="G160" i="116"/>
  <c r="F160" i="116"/>
  <c r="E160" i="116"/>
  <c r="H159" i="116"/>
  <c r="G159" i="116"/>
  <c r="F159" i="116"/>
  <c r="H158" i="116"/>
  <c r="G158" i="116"/>
  <c r="F158" i="116"/>
  <c r="H157" i="116"/>
  <c r="G157" i="116"/>
  <c r="F157" i="116"/>
  <c r="H156" i="116"/>
  <c r="G156" i="116"/>
  <c r="F156" i="116"/>
  <c r="H155" i="116"/>
  <c r="G155" i="116"/>
  <c r="F155" i="116"/>
  <c r="E155" i="116"/>
  <c r="H154" i="116"/>
  <c r="H153" i="116"/>
  <c r="H152" i="116"/>
  <c r="G152" i="116"/>
  <c r="F152" i="116"/>
  <c r="H151" i="116"/>
  <c r="E151" i="116"/>
  <c r="H150" i="116"/>
  <c r="H149" i="116"/>
  <c r="E149" i="116"/>
  <c r="H148" i="116"/>
  <c r="E148" i="116"/>
  <c r="H147" i="116"/>
  <c r="H146" i="116"/>
  <c r="G146" i="116"/>
  <c r="F146" i="116"/>
  <c r="H145" i="116"/>
  <c r="H144" i="116"/>
  <c r="G144" i="116"/>
  <c r="F144" i="116"/>
  <c r="H143" i="116"/>
  <c r="G143" i="116"/>
  <c r="F143" i="116"/>
  <c r="H142" i="116"/>
  <c r="H141" i="116"/>
  <c r="E141" i="116"/>
  <c r="H140" i="116"/>
  <c r="E140" i="116"/>
  <c r="H139" i="116"/>
  <c r="G139" i="116"/>
  <c r="F139" i="116"/>
  <c r="E139" i="116"/>
  <c r="H138" i="116"/>
  <c r="H137" i="116"/>
  <c r="G137" i="116"/>
  <c r="F137" i="116"/>
  <c r="H136" i="116"/>
  <c r="G136" i="116"/>
  <c r="F136" i="116"/>
  <c r="H135" i="116"/>
  <c r="G135" i="116"/>
  <c r="F135" i="116"/>
  <c r="H134" i="116"/>
  <c r="H133" i="116"/>
  <c r="H132" i="116"/>
  <c r="H131" i="116"/>
  <c r="H130" i="116"/>
  <c r="G130" i="116"/>
  <c r="F130" i="116"/>
  <c r="E130" i="116"/>
  <c r="H129" i="116"/>
  <c r="G129" i="116"/>
  <c r="F129" i="116"/>
  <c r="E129" i="116"/>
  <c r="H128" i="116"/>
  <c r="E128" i="116"/>
  <c r="H127" i="116"/>
  <c r="H126" i="116"/>
  <c r="G126" i="116"/>
  <c r="F126" i="116"/>
  <c r="H125" i="116"/>
  <c r="G125" i="116"/>
  <c r="F125" i="116"/>
  <c r="H124" i="116"/>
  <c r="H123" i="116"/>
  <c r="H122" i="116"/>
  <c r="G122" i="116"/>
  <c r="F122" i="116"/>
  <c r="H121" i="116"/>
  <c r="G121" i="116"/>
  <c r="F121" i="116"/>
  <c r="H120" i="116"/>
  <c r="H119" i="116"/>
  <c r="G119" i="116"/>
  <c r="F119" i="116"/>
  <c r="H118" i="116"/>
  <c r="H117" i="116"/>
  <c r="H116" i="116"/>
  <c r="G116" i="116"/>
  <c r="F116" i="116"/>
  <c r="E116" i="116"/>
  <c r="H115" i="116"/>
  <c r="E115" i="116"/>
  <c r="H114" i="116"/>
  <c r="H113" i="116"/>
  <c r="E113" i="116"/>
  <c r="H112" i="116"/>
  <c r="H111" i="116"/>
  <c r="G111" i="116"/>
  <c r="F111" i="116"/>
  <c r="H110" i="116"/>
  <c r="G110" i="116"/>
  <c r="F110" i="116"/>
  <c r="H109" i="116"/>
  <c r="H108" i="116"/>
  <c r="H107" i="116"/>
  <c r="H106" i="116"/>
  <c r="G106" i="116"/>
  <c r="F106" i="116"/>
  <c r="E106" i="116"/>
  <c r="H105" i="116"/>
  <c r="H104" i="116"/>
  <c r="H103" i="116"/>
  <c r="G103" i="116"/>
  <c r="F103" i="116"/>
  <c r="H102" i="116"/>
  <c r="H101" i="116"/>
  <c r="H100" i="116"/>
  <c r="H99" i="116"/>
  <c r="G99" i="116"/>
  <c r="F99" i="116"/>
  <c r="E99" i="116"/>
  <c r="H98" i="116"/>
  <c r="E98" i="116"/>
  <c r="H97" i="116"/>
  <c r="H96" i="116"/>
  <c r="E96" i="116"/>
  <c r="H95" i="116"/>
  <c r="H94" i="116"/>
  <c r="H93" i="116"/>
  <c r="H92" i="116"/>
  <c r="H91" i="116"/>
  <c r="G91" i="116"/>
  <c r="F91" i="116"/>
  <c r="E91" i="116"/>
  <c r="H90" i="116"/>
  <c r="G90" i="116"/>
  <c r="F90" i="116"/>
  <c r="H89" i="116"/>
  <c r="H88" i="116"/>
  <c r="H87" i="116"/>
  <c r="H86" i="116"/>
  <c r="H85" i="116"/>
  <c r="G85" i="116"/>
  <c r="F85" i="116"/>
  <c r="E85" i="116"/>
  <c r="H84" i="116"/>
  <c r="H83" i="116"/>
  <c r="G83" i="116"/>
  <c r="F83" i="116"/>
  <c r="H82" i="116"/>
  <c r="H81" i="116"/>
  <c r="H80" i="116"/>
  <c r="H79" i="116"/>
  <c r="H78" i="116"/>
  <c r="H77" i="116"/>
  <c r="G77" i="116"/>
  <c r="F77" i="116"/>
  <c r="E77" i="116"/>
  <c r="H76" i="116"/>
  <c r="E76" i="116"/>
  <c r="H75" i="116"/>
  <c r="E75" i="116"/>
  <c r="H74" i="116"/>
  <c r="H73" i="116"/>
  <c r="H72" i="116"/>
  <c r="H71" i="116"/>
  <c r="H70" i="116"/>
  <c r="G70" i="116"/>
  <c r="F70" i="116"/>
  <c r="E70" i="116"/>
  <c r="H69" i="116"/>
  <c r="E69" i="116"/>
  <c r="H68" i="116"/>
  <c r="H67" i="116"/>
  <c r="G67" i="116"/>
  <c r="F67" i="116"/>
  <c r="H66" i="116"/>
  <c r="H65" i="116"/>
  <c r="H64" i="116"/>
  <c r="H63" i="116"/>
  <c r="H62" i="116"/>
  <c r="H61" i="116"/>
  <c r="G61" i="116"/>
  <c r="F61" i="116"/>
  <c r="E61" i="116"/>
  <c r="H60" i="116"/>
  <c r="H59" i="116"/>
  <c r="H58" i="116"/>
  <c r="H57" i="116"/>
  <c r="G57" i="116"/>
  <c r="F57" i="116"/>
  <c r="E57" i="116"/>
  <c r="H56" i="116"/>
  <c r="E56" i="116"/>
  <c r="H55" i="116"/>
  <c r="E55" i="116"/>
  <c r="H54" i="116"/>
  <c r="E54" i="116"/>
  <c r="H53" i="116"/>
  <c r="G53" i="116"/>
  <c r="F53" i="116"/>
  <c r="H52" i="116"/>
  <c r="H51" i="116"/>
  <c r="H50" i="116"/>
  <c r="H49" i="116"/>
  <c r="G49" i="116"/>
  <c r="F49" i="116"/>
  <c r="H48" i="116"/>
  <c r="H47" i="116"/>
  <c r="H46" i="116"/>
  <c r="H45" i="116"/>
  <c r="H44" i="116"/>
  <c r="H43" i="116"/>
  <c r="H42" i="116"/>
  <c r="G42" i="116"/>
  <c r="F42" i="116"/>
  <c r="E42" i="116"/>
  <c r="H41" i="116"/>
  <c r="G41" i="116"/>
  <c r="F41" i="116"/>
  <c r="H40" i="116"/>
  <c r="H39" i="116"/>
  <c r="H38" i="116"/>
  <c r="H37" i="116"/>
  <c r="G37" i="116"/>
  <c r="F37" i="116"/>
  <c r="E37" i="116"/>
  <c r="H36" i="116"/>
  <c r="E36" i="116"/>
  <c r="H35" i="116"/>
  <c r="E35" i="116"/>
  <c r="H34" i="116"/>
  <c r="E34" i="116"/>
  <c r="H33" i="116"/>
  <c r="G33" i="116"/>
  <c r="F33" i="116"/>
  <c r="H32" i="116"/>
  <c r="H31" i="116"/>
  <c r="H30" i="116"/>
  <c r="H29" i="116"/>
  <c r="E29" i="116"/>
  <c r="H28" i="116"/>
  <c r="E28" i="116"/>
  <c r="H27" i="116"/>
  <c r="H26" i="116"/>
  <c r="H25" i="116"/>
  <c r="G25" i="116"/>
  <c r="F25" i="116"/>
  <c r="E25" i="116"/>
  <c r="H24" i="116"/>
  <c r="H23" i="116"/>
  <c r="H22" i="116"/>
  <c r="G22" i="116"/>
  <c r="F22" i="116"/>
  <c r="E22" i="116"/>
  <c r="H21" i="116"/>
  <c r="G21" i="116"/>
  <c r="F21" i="116"/>
  <c r="E21" i="116"/>
  <c r="H20" i="116"/>
  <c r="H19" i="116"/>
  <c r="H18" i="116"/>
  <c r="H17" i="116"/>
  <c r="G17" i="116"/>
  <c r="F17" i="116"/>
  <c r="H16" i="116"/>
  <c r="H15" i="116"/>
  <c r="H14" i="116"/>
  <c r="G14" i="116"/>
  <c r="F14" i="116"/>
  <c r="H13" i="116"/>
  <c r="G13" i="116"/>
  <c r="F13" i="116"/>
  <c r="E13" i="116"/>
  <c r="H12" i="116"/>
  <c r="G12" i="116"/>
  <c r="F12" i="116"/>
  <c r="E12" i="116"/>
  <c r="H11" i="116"/>
  <c r="G11" i="116"/>
  <c r="F11" i="116"/>
  <c r="E11" i="116"/>
  <c r="H10" i="116"/>
  <c r="H9" i="116"/>
  <c r="E9" i="116"/>
  <c r="H8" i="116"/>
  <c r="E8" i="116"/>
  <c r="H7" i="116"/>
  <c r="G7" i="116"/>
  <c r="F7" i="116"/>
  <c r="E7" i="116"/>
  <c r="E3" i="116"/>
  <c r="G189" i="115"/>
  <c r="F189" i="115"/>
  <c r="E189" i="115"/>
  <c r="C189" i="115"/>
  <c r="G188" i="115"/>
  <c r="F188" i="115"/>
  <c r="E188" i="115"/>
  <c r="G187" i="115"/>
  <c r="E187" i="115"/>
  <c r="G186" i="115"/>
  <c r="E186" i="115"/>
  <c r="G185" i="115"/>
  <c r="E185" i="115"/>
  <c r="G184" i="115"/>
  <c r="E184" i="115"/>
  <c r="G183" i="115"/>
  <c r="E183" i="115"/>
  <c r="G182" i="115"/>
  <c r="E182" i="115"/>
  <c r="G181" i="115"/>
  <c r="E181" i="115"/>
  <c r="G180" i="115"/>
  <c r="E180" i="115"/>
  <c r="G179" i="115"/>
  <c r="E179" i="115"/>
  <c r="G178" i="115"/>
  <c r="E178" i="115"/>
  <c r="G177" i="115"/>
  <c r="E177" i="115"/>
  <c r="G176" i="115"/>
  <c r="E176" i="115"/>
  <c r="G175" i="115"/>
  <c r="E175" i="115"/>
  <c r="G174" i="115"/>
  <c r="E174" i="115"/>
  <c r="G173" i="115"/>
  <c r="E173" i="115"/>
  <c r="G172" i="115"/>
  <c r="G171" i="115"/>
  <c r="G170" i="115"/>
  <c r="G169" i="115"/>
  <c r="G168" i="115"/>
  <c r="G167" i="115"/>
  <c r="G166" i="115"/>
  <c r="G165" i="115"/>
  <c r="E165" i="115"/>
  <c r="G164" i="115"/>
  <c r="E164" i="115"/>
  <c r="G163" i="115"/>
  <c r="E163" i="115"/>
  <c r="G162" i="115"/>
  <c r="E162" i="115"/>
  <c r="G161" i="115"/>
  <c r="E161" i="115"/>
  <c r="G160" i="115"/>
  <c r="E160" i="115"/>
  <c r="G159" i="115"/>
  <c r="E159" i="115"/>
  <c r="G158" i="115"/>
  <c r="E158" i="115"/>
  <c r="G157" i="115"/>
  <c r="E157" i="115"/>
  <c r="G156" i="115"/>
  <c r="E156" i="115"/>
  <c r="G155" i="115"/>
  <c r="E155" i="115"/>
  <c r="G154" i="115"/>
  <c r="E154" i="115"/>
  <c r="G153" i="115"/>
  <c r="E153" i="115"/>
  <c r="G152" i="115"/>
  <c r="G151" i="115"/>
  <c r="G150" i="115"/>
  <c r="E150" i="115"/>
  <c r="G149" i="115"/>
  <c r="E149" i="115"/>
  <c r="G148" i="115"/>
  <c r="E148" i="115"/>
  <c r="G147" i="115"/>
  <c r="E147" i="115"/>
  <c r="G146" i="115"/>
  <c r="E146" i="115"/>
  <c r="G145" i="115"/>
  <c r="E145" i="115"/>
  <c r="G144" i="115"/>
  <c r="E144" i="115"/>
  <c r="G143" i="115"/>
  <c r="E143" i="115"/>
  <c r="G142" i="115"/>
  <c r="E142" i="115"/>
  <c r="G141" i="115"/>
  <c r="E141" i="115"/>
  <c r="G140" i="115"/>
  <c r="E140" i="115"/>
  <c r="G139" i="115"/>
  <c r="E139" i="115"/>
  <c r="G138" i="115"/>
  <c r="E138" i="115"/>
  <c r="G137" i="115"/>
  <c r="E137" i="115"/>
  <c r="G136" i="115"/>
  <c r="E136" i="115"/>
  <c r="G135" i="115"/>
  <c r="E135" i="115"/>
  <c r="G134" i="115"/>
  <c r="G133" i="115"/>
  <c r="E133" i="115"/>
  <c r="G130" i="115"/>
  <c r="F130" i="115"/>
  <c r="E130" i="115"/>
  <c r="G129" i="115"/>
  <c r="E129" i="115"/>
  <c r="G128" i="115"/>
  <c r="E128" i="115"/>
  <c r="G127" i="115"/>
  <c r="E127" i="115"/>
  <c r="G126" i="115"/>
  <c r="E126" i="115"/>
  <c r="G125" i="115"/>
  <c r="E125" i="115"/>
  <c r="G124" i="115"/>
  <c r="E124" i="115"/>
  <c r="G123" i="115"/>
  <c r="E123" i="115"/>
  <c r="G122" i="115"/>
  <c r="E122" i="115"/>
  <c r="G121" i="115"/>
  <c r="E121" i="115"/>
  <c r="G120" i="115"/>
  <c r="E120" i="115"/>
  <c r="G119" i="115"/>
  <c r="E119" i="115"/>
  <c r="G116" i="115"/>
  <c r="F116" i="115"/>
  <c r="E116" i="115"/>
  <c r="G115" i="115"/>
  <c r="E115" i="115"/>
  <c r="G114" i="115"/>
  <c r="E114" i="115"/>
  <c r="G113" i="115"/>
  <c r="E113" i="115"/>
  <c r="G112" i="115"/>
  <c r="E112" i="115"/>
  <c r="G111" i="115"/>
  <c r="E111" i="115"/>
  <c r="G110" i="115"/>
  <c r="E110" i="115"/>
  <c r="G109" i="115"/>
  <c r="E109" i="115"/>
  <c r="G106" i="115"/>
  <c r="F106" i="115"/>
  <c r="E106" i="115"/>
  <c r="G105" i="115"/>
  <c r="E105" i="115"/>
  <c r="G104" i="115"/>
  <c r="E104" i="115"/>
  <c r="G103" i="115"/>
  <c r="E103" i="115"/>
  <c r="G102" i="115"/>
  <c r="E102" i="115"/>
  <c r="G99" i="115"/>
  <c r="F99" i="115"/>
  <c r="E99" i="115"/>
  <c r="G98" i="115"/>
  <c r="E98" i="115"/>
  <c r="G97" i="115"/>
  <c r="G96" i="115"/>
  <c r="E96" i="115"/>
  <c r="G95" i="115"/>
  <c r="E95" i="115"/>
  <c r="G94" i="115"/>
  <c r="E94" i="115"/>
  <c r="G93" i="115"/>
  <c r="E93" i="115"/>
  <c r="G92" i="115"/>
  <c r="E92" i="115"/>
  <c r="G91" i="115"/>
  <c r="E91" i="115"/>
  <c r="G90" i="115"/>
  <c r="E90" i="115"/>
  <c r="G89" i="115"/>
  <c r="E89" i="115"/>
  <c r="G88" i="115"/>
  <c r="E88" i="115"/>
  <c r="G85" i="115"/>
  <c r="F85" i="115"/>
  <c r="E85" i="115"/>
  <c r="G84" i="115"/>
  <c r="E84" i="115"/>
  <c r="G83" i="115"/>
  <c r="G82" i="115"/>
  <c r="E82" i="115"/>
  <c r="G81" i="115"/>
  <c r="E81" i="115"/>
  <c r="G80" i="115"/>
  <c r="E80" i="115"/>
  <c r="G77" i="115"/>
  <c r="F77" i="115"/>
  <c r="E77" i="115"/>
  <c r="G76" i="115"/>
  <c r="E76" i="115"/>
  <c r="G75" i="115"/>
  <c r="E75" i="115"/>
  <c r="G74" i="115"/>
  <c r="E74" i="115"/>
  <c r="G73" i="115"/>
  <c r="F73" i="115"/>
  <c r="E73" i="115"/>
  <c r="G72" i="115"/>
  <c r="E72" i="115"/>
  <c r="G71" i="115"/>
  <c r="E71" i="115"/>
  <c r="G70" i="115"/>
  <c r="G69" i="115"/>
  <c r="G68" i="115"/>
  <c r="G67" i="115"/>
  <c r="E67" i="115"/>
  <c r="G66" i="115"/>
  <c r="E66" i="115"/>
  <c r="G65" i="115"/>
  <c r="G64" i="115"/>
  <c r="E64" i="115"/>
  <c r="G61" i="115"/>
  <c r="F61" i="115"/>
  <c r="E61" i="115"/>
  <c r="G60" i="115"/>
  <c r="F60" i="115"/>
  <c r="E60" i="115"/>
  <c r="G57" i="115"/>
  <c r="F57" i="115"/>
  <c r="E57" i="115"/>
  <c r="G56" i="115"/>
  <c r="E56" i="115"/>
  <c r="G55" i="115"/>
  <c r="E55" i="115"/>
  <c r="G54" i="115"/>
  <c r="E54" i="115"/>
  <c r="G53" i="115"/>
  <c r="E53" i="115"/>
  <c r="G52" i="115"/>
  <c r="E52" i="115"/>
  <c r="G51" i="115"/>
  <c r="E51" i="115"/>
  <c r="G50" i="115"/>
  <c r="E50" i="115"/>
  <c r="G49" i="115"/>
  <c r="E49" i="115"/>
  <c r="G48" i="115"/>
  <c r="E48" i="115"/>
  <c r="G47" i="115"/>
  <c r="E47" i="115"/>
  <c r="G46" i="115"/>
  <c r="E46" i="115"/>
  <c r="G45" i="115"/>
  <c r="E45" i="115"/>
  <c r="G42" i="115"/>
  <c r="F42" i="115"/>
  <c r="E42" i="115"/>
  <c r="G41" i="115"/>
  <c r="E41" i="115"/>
  <c r="G40" i="115"/>
  <c r="E40" i="115"/>
  <c r="G37" i="115"/>
  <c r="F37" i="115"/>
  <c r="E37" i="115"/>
  <c r="G36" i="115"/>
  <c r="E36" i="115"/>
  <c r="G35" i="115"/>
  <c r="E35" i="115"/>
  <c r="G34" i="115"/>
  <c r="E34" i="115"/>
  <c r="G33" i="115"/>
  <c r="G32" i="115"/>
  <c r="E32" i="115"/>
  <c r="G31" i="115"/>
  <c r="E31" i="115"/>
  <c r="G30" i="115"/>
  <c r="E30" i="115"/>
  <c r="G29" i="115"/>
  <c r="G28" i="115"/>
  <c r="E28" i="115"/>
  <c r="G27" i="115"/>
  <c r="G26" i="115"/>
  <c r="E26" i="115"/>
  <c r="G25" i="115"/>
  <c r="E25" i="115"/>
  <c r="G24" i="115"/>
  <c r="E24" i="115"/>
  <c r="G23" i="115"/>
  <c r="E23" i="115"/>
  <c r="G22" i="115"/>
  <c r="E22" i="115"/>
  <c r="G21" i="115"/>
  <c r="E21" i="115"/>
  <c r="G20" i="115"/>
  <c r="E20" i="115"/>
  <c r="G19" i="115"/>
  <c r="E19" i="115"/>
  <c r="G18" i="115"/>
  <c r="E18" i="115"/>
  <c r="G17" i="115"/>
  <c r="E17" i="115"/>
  <c r="G16" i="115"/>
  <c r="E16" i="115"/>
  <c r="G15" i="115"/>
  <c r="E15" i="115"/>
  <c r="G14" i="115"/>
  <c r="E14" i="115"/>
  <c r="G13" i="115"/>
  <c r="E13" i="115"/>
  <c r="G12" i="115"/>
  <c r="E12" i="115"/>
  <c r="G11" i="115"/>
  <c r="E11" i="115"/>
  <c r="G10" i="115"/>
  <c r="E10" i="115"/>
  <c r="G9" i="115"/>
  <c r="E9" i="115"/>
  <c r="G8" i="115"/>
  <c r="E8" i="115"/>
  <c r="G7" i="115"/>
  <c r="E7" i="115"/>
  <c r="E6" i="115"/>
  <c r="F194" i="121"/>
  <c r="E189" i="121"/>
  <c r="C189" i="121"/>
  <c r="E35" i="121"/>
  <c r="F195" i="120"/>
  <c r="F194" i="120"/>
  <c r="F192" i="120"/>
  <c r="E190" i="120"/>
  <c r="C190" i="120"/>
  <c r="E188" i="120"/>
  <c r="E132" i="120"/>
  <c r="E120" i="120"/>
  <c r="E115" i="120"/>
  <c r="E105" i="120"/>
  <c r="E98" i="120"/>
  <c r="E85" i="120"/>
  <c r="E77" i="120"/>
  <c r="E61" i="120"/>
  <c r="E56" i="120"/>
  <c r="E41" i="120"/>
  <c r="E36" i="120"/>
  <c r="E188" i="119"/>
  <c r="C188" i="119"/>
  <c r="E186" i="119"/>
  <c r="E129" i="119"/>
  <c r="E117" i="119"/>
  <c r="E107" i="119"/>
  <c r="E100" i="119"/>
  <c r="E87" i="119"/>
  <c r="E79" i="119"/>
  <c r="E62" i="119"/>
  <c r="E57" i="119"/>
  <c r="E42" i="119"/>
  <c r="E37" i="119"/>
  <c r="F5" i="123"/>
  <c r="E5" i="123"/>
  <c r="D5" i="123"/>
  <c r="F4" i="123"/>
  <c r="E4" i="123"/>
  <c r="D4" i="123"/>
  <c r="F3" i="123"/>
  <c r="E3" i="123"/>
  <c r="D3" i="123"/>
  <c r="H59" i="126"/>
  <c r="G59" i="126"/>
  <c r="F59" i="126"/>
  <c r="E59" i="126"/>
  <c r="D59" i="126"/>
  <c r="H58" i="126"/>
  <c r="H57" i="126"/>
  <c r="H56" i="126"/>
  <c r="H55" i="126"/>
  <c r="H54" i="126"/>
  <c r="H53" i="126"/>
  <c r="H52" i="126"/>
  <c r="H51" i="126"/>
  <c r="H50" i="126"/>
  <c r="H49" i="126"/>
  <c r="H48" i="126"/>
  <c r="H47" i="126"/>
  <c r="H46" i="126"/>
  <c r="H45" i="126"/>
  <c r="H44" i="126"/>
  <c r="H43" i="126"/>
  <c r="H42" i="126"/>
  <c r="H41" i="126"/>
  <c r="H40" i="126"/>
  <c r="H39" i="126"/>
  <c r="H38" i="126"/>
  <c r="H37" i="126"/>
  <c r="H36" i="126"/>
  <c r="H35" i="126"/>
  <c r="H34" i="126"/>
  <c r="H33" i="126"/>
  <c r="H32" i="126"/>
  <c r="H31" i="126"/>
  <c r="H30" i="126"/>
  <c r="H29" i="126"/>
  <c r="H28" i="126"/>
  <c r="H27" i="126"/>
  <c r="H26" i="126"/>
  <c r="H25" i="126"/>
  <c r="H24" i="126"/>
  <c r="H23" i="126"/>
  <c r="H22" i="126"/>
  <c r="H21" i="126"/>
  <c r="H20" i="126"/>
  <c r="H19" i="126"/>
  <c r="H18" i="126"/>
  <c r="H17" i="126"/>
  <c r="H16" i="126"/>
  <c r="H15" i="126"/>
  <c r="H14" i="126"/>
  <c r="H13" i="126"/>
  <c r="H12" i="126"/>
  <c r="H11" i="126"/>
  <c r="H10" i="126"/>
  <c r="H9" i="126"/>
  <c r="H8" i="126"/>
  <c r="H7" i="126"/>
  <c r="H6" i="126"/>
  <c r="I192" i="124"/>
  <c r="I190" i="124"/>
  <c r="H190" i="124"/>
  <c r="G190" i="124"/>
  <c r="F190" i="124"/>
  <c r="E190" i="124"/>
  <c r="I189" i="124"/>
  <c r="I188" i="124"/>
  <c r="I187" i="124"/>
  <c r="I186" i="124"/>
  <c r="I185" i="124"/>
  <c r="I184" i="124"/>
  <c r="I183" i="124"/>
  <c r="I182" i="124"/>
  <c r="I181" i="124"/>
  <c r="I180" i="124"/>
  <c r="I179" i="124"/>
  <c r="I178" i="124"/>
  <c r="I177" i="124"/>
  <c r="I176" i="124"/>
  <c r="I175" i="124"/>
  <c r="I174" i="124"/>
  <c r="I173" i="124"/>
  <c r="I172" i="124"/>
  <c r="I171" i="124"/>
  <c r="I170" i="124"/>
  <c r="I169" i="124"/>
  <c r="I168" i="124"/>
  <c r="I167" i="124"/>
  <c r="I166" i="124"/>
  <c r="I165" i="124"/>
  <c r="I164" i="124"/>
  <c r="I163" i="124"/>
  <c r="I162" i="124"/>
  <c r="I161" i="124"/>
  <c r="I160" i="124"/>
  <c r="I159" i="124"/>
  <c r="I158" i="124"/>
  <c r="I157" i="124"/>
  <c r="I156" i="124"/>
  <c r="I155" i="124"/>
  <c r="I154" i="124"/>
  <c r="I153" i="124"/>
  <c r="I152" i="124"/>
  <c r="I151" i="124"/>
  <c r="I150" i="124"/>
  <c r="I149" i="124"/>
  <c r="I148" i="124"/>
  <c r="I147" i="124"/>
  <c r="I146" i="124"/>
  <c r="I145" i="124"/>
  <c r="I144" i="124"/>
  <c r="I143" i="124"/>
  <c r="I142" i="124"/>
  <c r="I141" i="124"/>
  <c r="I140" i="124"/>
  <c r="I139" i="124"/>
  <c r="I138" i="124"/>
  <c r="I137" i="124"/>
  <c r="I136" i="124"/>
  <c r="I135" i="124"/>
  <c r="I134" i="124"/>
  <c r="I133" i="124"/>
  <c r="I132" i="124"/>
  <c r="I131" i="124"/>
  <c r="I128" i="124"/>
  <c r="H128" i="124"/>
  <c r="G128" i="124"/>
  <c r="F128" i="124"/>
  <c r="E128" i="124"/>
  <c r="I127" i="124"/>
  <c r="I126" i="124"/>
  <c r="I125" i="124"/>
  <c r="I124" i="124"/>
  <c r="I123" i="124"/>
  <c r="I122" i="124"/>
  <c r="I121" i="124"/>
  <c r="I120" i="124"/>
  <c r="I119" i="124"/>
  <c r="I116" i="124"/>
  <c r="H116" i="124"/>
  <c r="G116" i="124"/>
  <c r="F116" i="124"/>
  <c r="E116" i="124"/>
  <c r="I115" i="124"/>
  <c r="I114" i="124"/>
  <c r="I113" i="124"/>
  <c r="I110" i="124"/>
  <c r="H110" i="124"/>
  <c r="G110" i="124"/>
  <c r="F110" i="124"/>
  <c r="E110" i="124"/>
  <c r="I109" i="124"/>
  <c r="H109" i="124"/>
  <c r="G109" i="124"/>
  <c r="F109" i="124"/>
  <c r="E109" i="124"/>
  <c r="I108" i="124"/>
  <c r="H108" i="124"/>
  <c r="G108" i="124"/>
  <c r="F108" i="124"/>
  <c r="E108" i="124"/>
  <c r="I107" i="124"/>
  <c r="H107" i="124"/>
  <c r="G107" i="124"/>
  <c r="F107" i="124"/>
  <c r="E107" i="124"/>
  <c r="I106" i="124"/>
  <c r="H106" i="124"/>
  <c r="G106" i="124"/>
  <c r="F106" i="124"/>
  <c r="E106" i="124"/>
  <c r="I105" i="124"/>
  <c r="H105" i="124"/>
  <c r="G105" i="124"/>
  <c r="F105" i="124"/>
  <c r="E105" i="124"/>
  <c r="I104" i="124"/>
  <c r="H104" i="124"/>
  <c r="G104" i="124"/>
  <c r="F104" i="124"/>
  <c r="E104" i="124"/>
  <c r="I103" i="124"/>
  <c r="H103" i="124"/>
  <c r="G103" i="124"/>
  <c r="F103" i="124"/>
  <c r="E103" i="124"/>
  <c r="I100" i="124"/>
  <c r="H100" i="124"/>
  <c r="G100" i="124"/>
  <c r="F100" i="124"/>
  <c r="E100" i="124"/>
  <c r="I99" i="124"/>
  <c r="I98" i="124"/>
  <c r="I97" i="124"/>
  <c r="I96" i="124"/>
  <c r="I93" i="124"/>
  <c r="H93" i="124"/>
  <c r="G93" i="124"/>
  <c r="F93" i="124"/>
  <c r="E93" i="124"/>
  <c r="I92" i="124"/>
  <c r="I91" i="124"/>
  <c r="I90" i="124"/>
  <c r="I89" i="124"/>
  <c r="I88" i="124"/>
  <c r="I87" i="124"/>
  <c r="I86" i="124"/>
  <c r="I85" i="124"/>
  <c r="I84" i="124"/>
  <c r="I83" i="124"/>
  <c r="I82" i="124"/>
  <c r="I79" i="124"/>
  <c r="H79" i="124"/>
  <c r="G79" i="124"/>
  <c r="F79" i="124"/>
  <c r="E79" i="124"/>
  <c r="I78" i="124"/>
  <c r="I77" i="124"/>
  <c r="I76" i="124"/>
  <c r="I75" i="124"/>
  <c r="I74" i="124"/>
  <c r="I73" i="124"/>
  <c r="I72" i="124"/>
  <c r="I69" i="124"/>
  <c r="H69" i="124"/>
  <c r="G69" i="124"/>
  <c r="F69" i="124"/>
  <c r="E69" i="124"/>
  <c r="I68" i="124"/>
  <c r="I67" i="124"/>
  <c r="I66" i="124"/>
  <c r="I65" i="124"/>
  <c r="I64" i="124"/>
  <c r="I63" i="124"/>
  <c r="I62" i="124"/>
  <c r="I61" i="124"/>
  <c r="I60" i="124"/>
  <c r="I59" i="124"/>
  <c r="I58" i="124"/>
  <c r="I57" i="124"/>
  <c r="I54" i="124"/>
  <c r="H54" i="124"/>
  <c r="G54" i="124"/>
  <c r="F54" i="124"/>
  <c r="E54" i="124"/>
  <c r="I53" i="124"/>
  <c r="I52" i="124"/>
  <c r="I49" i="124"/>
  <c r="H49" i="124"/>
  <c r="G49" i="124"/>
  <c r="F49" i="124"/>
  <c r="E49" i="124"/>
  <c r="I48" i="124"/>
  <c r="I47" i="124"/>
  <c r="I46" i="124"/>
  <c r="I45" i="124"/>
  <c r="I44" i="124"/>
  <c r="I43" i="124"/>
  <c r="I42" i="124"/>
  <c r="I41" i="124"/>
  <c r="I40" i="124"/>
  <c r="I39" i="124"/>
  <c r="I38" i="124"/>
  <c r="I37" i="124"/>
  <c r="I36" i="124"/>
  <c r="I33" i="124"/>
  <c r="H33" i="124"/>
  <c r="G33" i="124"/>
  <c r="F33" i="124"/>
  <c r="E33" i="124"/>
  <c r="I32" i="124"/>
  <c r="I31" i="124"/>
  <c r="I28" i="124"/>
  <c r="H28" i="124"/>
  <c r="G28" i="124"/>
  <c r="F28" i="124"/>
  <c r="E28" i="124"/>
  <c r="I27" i="124"/>
  <c r="I26" i="124"/>
  <c r="I25" i="124"/>
  <c r="I24" i="124"/>
  <c r="I23" i="124"/>
  <c r="I22" i="124"/>
  <c r="I21" i="124"/>
  <c r="I20" i="124"/>
  <c r="I19" i="124"/>
  <c r="I18" i="124"/>
  <c r="I17" i="124"/>
  <c r="I16" i="124"/>
  <c r="I15" i="124"/>
  <c r="I14" i="124"/>
  <c r="I13" i="124"/>
  <c r="I12" i="124"/>
  <c r="I11" i="124"/>
  <c r="I10" i="124"/>
  <c r="I9" i="124"/>
  <c r="I8" i="124"/>
  <c r="I7" i="124"/>
  <c r="AB47" i="129"/>
  <c r="AA47" i="129"/>
  <c r="Z47" i="129"/>
  <c r="Y47" i="129"/>
  <c r="X47" i="129"/>
  <c r="W47" i="129"/>
  <c r="V47" i="129"/>
  <c r="U47" i="129"/>
  <c r="T47" i="129"/>
  <c r="S47" i="129"/>
  <c r="R47" i="129"/>
  <c r="Q47" i="129"/>
  <c r="P47" i="129"/>
  <c r="O47" i="129"/>
  <c r="N47" i="129"/>
  <c r="M47" i="129"/>
  <c r="L47" i="129"/>
  <c r="K47" i="129"/>
  <c r="J47" i="129"/>
  <c r="I47" i="129"/>
  <c r="H47" i="129"/>
  <c r="G47" i="129"/>
  <c r="F47" i="129"/>
  <c r="E47" i="129"/>
  <c r="C47" i="129"/>
  <c r="AB46" i="129"/>
  <c r="Z46" i="129"/>
  <c r="Y46" i="129"/>
  <c r="X46" i="129"/>
  <c r="W46" i="129"/>
  <c r="V46" i="129"/>
  <c r="U46" i="129"/>
  <c r="T46" i="129"/>
  <c r="S46" i="129"/>
  <c r="Q46" i="129"/>
  <c r="P46" i="129"/>
  <c r="O46" i="129"/>
  <c r="N46" i="129"/>
  <c r="M46" i="129"/>
  <c r="L46" i="129"/>
  <c r="K46" i="129"/>
  <c r="J46" i="129"/>
  <c r="I46" i="129"/>
  <c r="H46" i="129"/>
  <c r="G46" i="129"/>
  <c r="F46" i="129"/>
  <c r="E46" i="129"/>
  <c r="AB45" i="129"/>
  <c r="AA45" i="129"/>
  <c r="Z45" i="129"/>
  <c r="Y45" i="129"/>
  <c r="X45" i="129"/>
  <c r="T45" i="129"/>
  <c r="S45" i="129"/>
  <c r="Q45" i="129"/>
  <c r="P45" i="129"/>
  <c r="N45" i="129"/>
  <c r="M45" i="129"/>
  <c r="K45" i="129"/>
  <c r="J45" i="129"/>
  <c r="I45" i="129"/>
  <c r="G45" i="129"/>
  <c r="F45" i="129"/>
  <c r="E45" i="129"/>
  <c r="AB44" i="129"/>
  <c r="Z44" i="129"/>
  <c r="Y44" i="129"/>
  <c r="X44" i="129"/>
  <c r="T44" i="129"/>
  <c r="Q44" i="129"/>
  <c r="P44" i="129"/>
  <c r="N44" i="129"/>
  <c r="M44" i="129"/>
  <c r="K44" i="129"/>
  <c r="J44" i="129"/>
  <c r="I44" i="129"/>
  <c r="G44" i="129"/>
  <c r="F44" i="129"/>
  <c r="E44" i="129"/>
  <c r="AB43" i="129"/>
  <c r="AA43" i="129"/>
  <c r="Z43" i="129"/>
  <c r="Y43" i="129"/>
  <c r="X43" i="129"/>
  <c r="W43" i="129"/>
  <c r="T43" i="129"/>
  <c r="S43" i="129"/>
  <c r="Q43" i="129"/>
  <c r="P43" i="129"/>
  <c r="N43" i="129"/>
  <c r="M43" i="129"/>
  <c r="K43" i="129"/>
  <c r="J43" i="129"/>
  <c r="I43" i="129"/>
  <c r="G43" i="129"/>
  <c r="F43" i="129"/>
  <c r="AB42" i="129"/>
  <c r="AA42" i="129"/>
  <c r="Z42" i="129"/>
  <c r="Y42" i="129"/>
  <c r="X42" i="129"/>
  <c r="T42" i="129"/>
  <c r="S42" i="129"/>
  <c r="Q42" i="129"/>
  <c r="P42" i="129"/>
  <c r="N42" i="129"/>
  <c r="M42" i="129"/>
  <c r="K42" i="129"/>
  <c r="J42" i="129"/>
  <c r="I42" i="129"/>
  <c r="G42" i="129"/>
  <c r="F42" i="129"/>
  <c r="AB41" i="129"/>
  <c r="Z41" i="129"/>
  <c r="Y41" i="129"/>
  <c r="X41" i="129"/>
  <c r="T41" i="129"/>
  <c r="S41" i="129"/>
  <c r="Q41" i="129"/>
  <c r="N41" i="129"/>
  <c r="M41" i="129"/>
  <c r="K41" i="129"/>
  <c r="J41" i="129"/>
  <c r="I41" i="129"/>
  <c r="G41" i="129"/>
  <c r="F41" i="129"/>
  <c r="AB40" i="129"/>
  <c r="Z40" i="129"/>
  <c r="Y40" i="129"/>
  <c r="X40" i="129"/>
  <c r="T40" i="129"/>
  <c r="S40" i="129"/>
  <c r="Q40" i="129"/>
  <c r="N40" i="129"/>
  <c r="K40" i="129"/>
  <c r="J40" i="129"/>
  <c r="I40" i="129"/>
  <c r="G40" i="129"/>
  <c r="F40" i="129"/>
  <c r="E40" i="129"/>
  <c r="AB39" i="129"/>
  <c r="Z39" i="129"/>
  <c r="Y39" i="129"/>
  <c r="X39" i="129"/>
  <c r="V39" i="129"/>
  <c r="T39" i="129"/>
  <c r="S39" i="129"/>
  <c r="Q39" i="129"/>
  <c r="N39" i="129"/>
  <c r="M39" i="129"/>
  <c r="K39" i="129"/>
  <c r="J39" i="129"/>
  <c r="I39" i="129"/>
  <c r="G39" i="129"/>
  <c r="F39" i="129"/>
  <c r="L37" i="129"/>
  <c r="AB36" i="129"/>
  <c r="Z36" i="129"/>
  <c r="Y36" i="129"/>
  <c r="X36" i="129"/>
  <c r="W36" i="129"/>
  <c r="V36" i="129"/>
  <c r="U36" i="129"/>
  <c r="T36" i="129"/>
  <c r="S36" i="129"/>
  <c r="Q36" i="129"/>
  <c r="P36" i="129"/>
  <c r="O36" i="129"/>
  <c r="N36" i="129"/>
  <c r="M36" i="129"/>
  <c r="L36" i="129"/>
  <c r="K36" i="129"/>
  <c r="J36" i="129"/>
  <c r="I36" i="129"/>
  <c r="H36" i="129"/>
  <c r="G36" i="129"/>
  <c r="F36" i="129"/>
  <c r="E36" i="129"/>
  <c r="AB35" i="129"/>
  <c r="AA35" i="129"/>
  <c r="Z35" i="129"/>
  <c r="Y35" i="129"/>
  <c r="X35" i="129"/>
  <c r="V35" i="129"/>
  <c r="T35" i="129"/>
  <c r="S35" i="129"/>
  <c r="Q35" i="129"/>
  <c r="N35" i="129"/>
  <c r="M35" i="129"/>
  <c r="K35" i="129"/>
  <c r="J35" i="129"/>
  <c r="I35" i="129"/>
  <c r="G35" i="129"/>
  <c r="F35" i="129"/>
  <c r="AB34" i="129"/>
  <c r="Z34" i="129"/>
  <c r="Y34" i="129"/>
  <c r="AB33" i="129"/>
  <c r="Z33" i="129"/>
  <c r="Y33" i="129"/>
  <c r="AB32" i="129"/>
  <c r="Z32" i="129"/>
  <c r="Y32" i="129"/>
  <c r="X32" i="129"/>
  <c r="W32" i="129"/>
  <c r="U32" i="129"/>
  <c r="T32" i="129"/>
  <c r="S32" i="129"/>
  <c r="Q32" i="129"/>
  <c r="P32" i="129"/>
  <c r="O32" i="129"/>
  <c r="N32" i="129"/>
  <c r="M32" i="129"/>
  <c r="L32" i="129"/>
  <c r="K32" i="129"/>
  <c r="J32" i="129"/>
  <c r="I32" i="129"/>
  <c r="H32" i="129"/>
  <c r="G32" i="129"/>
  <c r="F32" i="129"/>
  <c r="E32" i="129"/>
  <c r="AB31" i="129"/>
  <c r="Z31" i="129"/>
  <c r="Y31" i="129"/>
  <c r="X31" i="129"/>
  <c r="T31" i="129"/>
  <c r="S31" i="129"/>
  <c r="AB30" i="129"/>
  <c r="Z30" i="129"/>
  <c r="Y30" i="129"/>
  <c r="X30" i="129"/>
  <c r="T30" i="129"/>
  <c r="S30" i="129"/>
  <c r="Q30" i="129"/>
  <c r="N30" i="129"/>
  <c r="K30" i="129"/>
  <c r="J30" i="129"/>
  <c r="I30" i="129"/>
  <c r="G30" i="129"/>
  <c r="F30" i="129"/>
  <c r="AB29" i="129"/>
  <c r="AA29" i="129"/>
  <c r="Z29" i="129"/>
  <c r="Y29" i="129"/>
  <c r="X29" i="129"/>
  <c r="W29" i="129"/>
  <c r="V29" i="129"/>
  <c r="T29" i="129"/>
  <c r="S29" i="129"/>
  <c r="Q29" i="129"/>
  <c r="P29" i="129"/>
  <c r="N29" i="129"/>
  <c r="K29" i="129"/>
  <c r="J29" i="129"/>
  <c r="I29" i="129"/>
  <c r="G29" i="129"/>
  <c r="F29" i="129"/>
  <c r="AB28" i="129"/>
  <c r="Z28" i="129"/>
  <c r="Y28" i="129"/>
  <c r="T28" i="129"/>
  <c r="AB27" i="129"/>
  <c r="Z27" i="129"/>
  <c r="Y27" i="129"/>
  <c r="T27" i="129"/>
  <c r="AB26" i="129"/>
  <c r="Z26" i="129"/>
  <c r="Y26" i="129"/>
  <c r="X26" i="129"/>
  <c r="W26" i="129"/>
  <c r="V26" i="129"/>
  <c r="U26" i="129"/>
  <c r="T26" i="129"/>
  <c r="S26" i="129"/>
  <c r="Q26" i="129"/>
  <c r="P26" i="129"/>
  <c r="O26" i="129"/>
  <c r="N26" i="129"/>
  <c r="M26" i="129"/>
  <c r="L26" i="129"/>
  <c r="K26" i="129"/>
  <c r="J26" i="129"/>
  <c r="I26" i="129"/>
  <c r="H26" i="129"/>
  <c r="G26" i="129"/>
  <c r="F26" i="129"/>
  <c r="E26" i="129"/>
  <c r="AB25" i="129"/>
  <c r="AA25" i="129"/>
  <c r="Z25" i="129"/>
  <c r="Y25" i="129"/>
  <c r="X25" i="129"/>
  <c r="T25" i="129"/>
  <c r="S25" i="129"/>
  <c r="Q25" i="129"/>
  <c r="N25" i="129"/>
  <c r="L25" i="129"/>
  <c r="K25" i="129"/>
  <c r="J25" i="129"/>
  <c r="I25" i="129"/>
  <c r="G25" i="129"/>
  <c r="F25" i="129"/>
  <c r="AB24" i="129"/>
  <c r="Z24" i="129"/>
  <c r="Y24" i="129"/>
  <c r="X24" i="129"/>
  <c r="T24" i="129"/>
  <c r="S24" i="129"/>
  <c r="Q24" i="129"/>
  <c r="N24" i="129"/>
  <c r="K24" i="129"/>
  <c r="J24" i="129"/>
  <c r="I24" i="129"/>
  <c r="G24" i="129"/>
  <c r="F24" i="129"/>
  <c r="AB23" i="129"/>
  <c r="Z23" i="129"/>
  <c r="Y23" i="129"/>
  <c r="AB22" i="129"/>
  <c r="Z22" i="129"/>
  <c r="Y22" i="129"/>
  <c r="AB21" i="129"/>
  <c r="Z21" i="129"/>
  <c r="Y21" i="129"/>
  <c r="X21" i="129"/>
  <c r="W21" i="129"/>
  <c r="U21" i="129"/>
  <c r="S21" i="129"/>
  <c r="Q21" i="129"/>
  <c r="P21" i="129"/>
  <c r="O21" i="129"/>
  <c r="N21" i="129"/>
  <c r="M21" i="129"/>
  <c r="L21" i="129"/>
  <c r="K21" i="129"/>
  <c r="J21" i="129"/>
  <c r="I21" i="129"/>
  <c r="H21" i="129"/>
  <c r="G21" i="129"/>
  <c r="F21" i="129"/>
  <c r="E21" i="129"/>
  <c r="AB20" i="129"/>
  <c r="AA20" i="129"/>
  <c r="Z20" i="129"/>
  <c r="Y20" i="129"/>
  <c r="X20" i="129"/>
  <c r="T20" i="129"/>
  <c r="S20" i="129"/>
  <c r="Q20" i="129"/>
  <c r="N20" i="129"/>
  <c r="L20" i="129"/>
  <c r="K20" i="129"/>
  <c r="J20" i="129"/>
  <c r="I20" i="129"/>
  <c r="G20" i="129"/>
  <c r="F20" i="129"/>
  <c r="AB19" i="129"/>
  <c r="Z19" i="129"/>
  <c r="Y19" i="129"/>
  <c r="AB18" i="129"/>
  <c r="Z18" i="129"/>
  <c r="Y18" i="129"/>
  <c r="AB17" i="129"/>
  <c r="Z17" i="129"/>
  <c r="Y17" i="129"/>
  <c r="X17" i="129"/>
  <c r="W17" i="129"/>
  <c r="V17" i="129"/>
  <c r="U17" i="129"/>
  <c r="T17" i="129"/>
  <c r="S17" i="129"/>
  <c r="Q17" i="129"/>
  <c r="P17" i="129"/>
  <c r="O17" i="129"/>
  <c r="N17" i="129"/>
  <c r="M17" i="129"/>
  <c r="L17" i="129"/>
  <c r="K17" i="129"/>
  <c r="J17" i="129"/>
  <c r="I17" i="129"/>
  <c r="H17" i="129"/>
  <c r="G17" i="129"/>
  <c r="F17" i="129"/>
  <c r="E17" i="129"/>
  <c r="AB16" i="129"/>
  <c r="AA16" i="129"/>
  <c r="Z16" i="129"/>
  <c r="Y16" i="129"/>
  <c r="X16" i="129"/>
  <c r="T16" i="129"/>
  <c r="S16" i="129"/>
  <c r="Q16" i="129"/>
  <c r="N16" i="129"/>
  <c r="L16" i="129"/>
  <c r="K16" i="129"/>
  <c r="J16" i="129"/>
  <c r="I16" i="129"/>
  <c r="G16" i="129"/>
  <c r="F16" i="129"/>
  <c r="AB15" i="129"/>
  <c r="AA15" i="129"/>
  <c r="Z15" i="129"/>
  <c r="Y15" i="129"/>
  <c r="X15" i="129"/>
  <c r="V15" i="129"/>
  <c r="T15" i="129"/>
  <c r="S15" i="129"/>
  <c r="Q15" i="129"/>
  <c r="N15" i="129"/>
  <c r="K15" i="129"/>
  <c r="J15" i="129"/>
  <c r="I15" i="129"/>
  <c r="G15" i="129"/>
  <c r="F15" i="129"/>
  <c r="E15" i="129"/>
  <c r="T14" i="129"/>
  <c r="T13" i="129"/>
  <c r="AB12" i="129"/>
  <c r="Z12" i="129"/>
  <c r="Y12" i="129"/>
  <c r="X12" i="129"/>
  <c r="W12" i="129"/>
  <c r="V12" i="129"/>
  <c r="U12" i="129"/>
  <c r="T12" i="129"/>
  <c r="S12" i="129"/>
  <c r="Q12" i="129"/>
  <c r="P12" i="129"/>
  <c r="O12" i="129"/>
  <c r="N12" i="129"/>
  <c r="M12" i="129"/>
  <c r="L12" i="129"/>
  <c r="K12" i="129"/>
  <c r="J12" i="129"/>
  <c r="I12" i="129"/>
  <c r="H12" i="129"/>
  <c r="G12" i="129"/>
  <c r="F12" i="129"/>
  <c r="E12" i="129"/>
  <c r="AB11" i="129"/>
  <c r="AA11" i="129"/>
  <c r="Z11" i="129"/>
  <c r="Y11" i="129"/>
  <c r="X11" i="129"/>
  <c r="V11" i="129"/>
  <c r="T11" i="129"/>
  <c r="S11" i="129"/>
  <c r="Q11" i="129"/>
  <c r="N11" i="129"/>
  <c r="L11" i="129"/>
  <c r="K11" i="129"/>
  <c r="J11" i="129"/>
  <c r="I11" i="129"/>
  <c r="G11" i="129"/>
  <c r="F11" i="129"/>
  <c r="AB8" i="129"/>
  <c r="Z8" i="129"/>
  <c r="Y8" i="129"/>
  <c r="X8" i="129"/>
  <c r="W8" i="129"/>
  <c r="V8" i="129"/>
  <c r="U8" i="129"/>
  <c r="T8" i="129"/>
  <c r="S8" i="129"/>
  <c r="Q8" i="129"/>
  <c r="P8" i="129"/>
  <c r="O8" i="129"/>
  <c r="N8" i="129"/>
  <c r="M8" i="129"/>
  <c r="L8" i="129"/>
  <c r="K8" i="129"/>
  <c r="J8" i="129"/>
  <c r="I8" i="129"/>
  <c r="H8" i="129"/>
  <c r="G8" i="129"/>
  <c r="F8" i="129"/>
  <c r="E8" i="129"/>
  <c r="AB7" i="129"/>
  <c r="AA7" i="129"/>
  <c r="Z7" i="129"/>
  <c r="Y7" i="129"/>
  <c r="X7" i="129"/>
  <c r="T7" i="129"/>
  <c r="S7" i="129"/>
  <c r="Q7" i="129"/>
  <c r="N7" i="129"/>
  <c r="M7" i="129"/>
  <c r="K7" i="129"/>
  <c r="J7" i="129"/>
  <c r="I7" i="129"/>
  <c r="G7" i="129"/>
  <c r="F7" i="129"/>
  <c r="G3" i="129"/>
  <c r="E3" i="129"/>
  <c r="G1" i="129"/>
  <c r="X16" i="133"/>
  <c r="V16" i="133"/>
  <c r="U16" i="133"/>
  <c r="T16" i="133"/>
  <c r="S16" i="133"/>
  <c r="R16" i="133"/>
  <c r="Q16" i="133"/>
  <c r="P16" i="133"/>
  <c r="O16" i="133"/>
  <c r="N16" i="133"/>
  <c r="M16" i="133"/>
  <c r="L16" i="133"/>
  <c r="K16" i="133"/>
  <c r="J16" i="133"/>
  <c r="I16" i="133"/>
  <c r="H16" i="133"/>
  <c r="G16" i="133"/>
  <c r="F16" i="133"/>
  <c r="E16" i="133"/>
  <c r="Z15" i="133"/>
  <c r="X15" i="133"/>
  <c r="W15" i="133"/>
  <c r="U15" i="133"/>
  <c r="T15" i="133"/>
  <c r="R15" i="133"/>
  <c r="Q15" i="133"/>
  <c r="O15" i="133"/>
  <c r="L15" i="133"/>
  <c r="K15" i="133"/>
  <c r="J15" i="133"/>
  <c r="H15" i="133"/>
  <c r="G15" i="133"/>
  <c r="E15" i="133"/>
  <c r="Z14" i="133"/>
  <c r="X14" i="133"/>
  <c r="W14" i="133"/>
  <c r="R14" i="133"/>
  <c r="Q14" i="133"/>
  <c r="O14" i="133"/>
  <c r="L14" i="133"/>
  <c r="K14" i="133"/>
  <c r="J14" i="133"/>
  <c r="H14" i="133"/>
  <c r="G14" i="133"/>
  <c r="E14" i="133"/>
  <c r="Z13" i="133"/>
  <c r="X13" i="133"/>
  <c r="W13" i="133"/>
  <c r="U13" i="133"/>
  <c r="T13" i="133"/>
  <c r="R13" i="133"/>
  <c r="Q13" i="133"/>
  <c r="O13" i="133"/>
  <c r="L13" i="133"/>
  <c r="K13" i="133"/>
  <c r="J13" i="133"/>
  <c r="H13" i="133"/>
  <c r="G13" i="133"/>
  <c r="E13" i="133"/>
  <c r="AE11" i="133"/>
  <c r="AE10" i="133"/>
  <c r="AC10" i="133"/>
  <c r="AA10" i="133"/>
  <c r="Z10" i="133"/>
  <c r="Y10" i="133"/>
  <c r="U10" i="133"/>
  <c r="T10" i="133"/>
  <c r="R10" i="133"/>
  <c r="Q10" i="133"/>
  <c r="O10" i="133"/>
  <c r="N10" i="133"/>
  <c r="L10" i="133"/>
  <c r="K10" i="133"/>
  <c r="J10" i="133"/>
  <c r="H10" i="133"/>
  <c r="G10" i="133"/>
  <c r="AE9" i="133"/>
  <c r="AC9" i="133"/>
  <c r="AB9" i="133"/>
  <c r="AA9" i="133"/>
  <c r="Z9" i="133"/>
  <c r="Y9" i="133"/>
  <c r="X9" i="133"/>
  <c r="U9" i="133"/>
  <c r="T9" i="133"/>
  <c r="R9" i="133"/>
  <c r="Q9" i="133"/>
  <c r="O9" i="133"/>
  <c r="N9" i="133"/>
  <c r="L9" i="133"/>
  <c r="K9" i="133"/>
  <c r="J9" i="133"/>
  <c r="H9" i="133"/>
  <c r="G9" i="133"/>
  <c r="AE8" i="133"/>
  <c r="AD8" i="133"/>
  <c r="AC8" i="133"/>
  <c r="AB8" i="133"/>
  <c r="AA8" i="133"/>
  <c r="Z8" i="133"/>
  <c r="Y8" i="133"/>
  <c r="U8" i="133"/>
  <c r="T8" i="133"/>
  <c r="R8" i="133"/>
  <c r="Q8" i="133"/>
  <c r="O8" i="133"/>
  <c r="N8" i="133"/>
  <c r="L8" i="133"/>
  <c r="K8" i="133"/>
  <c r="J8" i="133"/>
  <c r="H8" i="133"/>
  <c r="G8" i="133"/>
  <c r="G3" i="133"/>
  <c r="E3" i="133"/>
  <c r="G1" i="133"/>
  <c r="X14" i="132"/>
  <c r="V14" i="132"/>
  <c r="U14" i="132"/>
  <c r="T14" i="132"/>
  <c r="S14" i="132"/>
  <c r="R14" i="132"/>
  <c r="Q14" i="132"/>
  <c r="P14" i="132"/>
  <c r="O14" i="132"/>
  <c r="N14" i="132"/>
  <c r="M14" i="132"/>
  <c r="L14" i="132"/>
  <c r="K14" i="132"/>
  <c r="J14" i="132"/>
  <c r="I14" i="132"/>
  <c r="H14" i="132"/>
  <c r="G14" i="132"/>
  <c r="F14" i="132"/>
  <c r="E14" i="132"/>
  <c r="X12" i="132"/>
  <c r="W12" i="132"/>
  <c r="V12" i="132"/>
  <c r="U12" i="132"/>
  <c r="T12" i="132"/>
  <c r="S12" i="132"/>
  <c r="R12" i="132"/>
  <c r="Q12" i="132"/>
  <c r="P12" i="132"/>
  <c r="O12" i="132"/>
  <c r="N12" i="132"/>
  <c r="M12" i="132"/>
  <c r="L12" i="132"/>
  <c r="K12" i="132"/>
  <c r="J12" i="132"/>
  <c r="I12" i="132"/>
  <c r="H12" i="132"/>
  <c r="G12" i="132"/>
  <c r="F12" i="132"/>
  <c r="E12" i="132"/>
  <c r="X11" i="132"/>
  <c r="W11" i="132"/>
  <c r="V11" i="132"/>
  <c r="T11" i="132"/>
  <c r="S11" i="132"/>
  <c r="R11" i="132"/>
  <c r="O11" i="132"/>
  <c r="L11" i="132"/>
  <c r="K11" i="132"/>
  <c r="J11" i="132"/>
  <c r="H11" i="132"/>
  <c r="G11" i="132"/>
  <c r="X8" i="132"/>
  <c r="V8" i="132"/>
  <c r="U8" i="132"/>
  <c r="T8" i="132"/>
  <c r="S8" i="132"/>
  <c r="R8" i="132"/>
  <c r="P8" i="132"/>
  <c r="O8" i="132"/>
  <c r="N8" i="132"/>
  <c r="M8" i="132"/>
  <c r="L8" i="132"/>
  <c r="K8" i="132"/>
  <c r="J8" i="132"/>
  <c r="I8" i="132"/>
  <c r="H8" i="132"/>
  <c r="G8" i="132"/>
  <c r="F8" i="132"/>
  <c r="E8" i="132"/>
  <c r="X7" i="132"/>
  <c r="V7" i="132"/>
  <c r="T7" i="132"/>
  <c r="S7" i="132"/>
  <c r="R7" i="132"/>
  <c r="O7" i="132"/>
  <c r="L7" i="132"/>
  <c r="K7" i="132"/>
  <c r="J7" i="132"/>
  <c r="H7" i="132"/>
  <c r="G7" i="132"/>
  <c r="G3" i="132"/>
  <c r="E3" i="132"/>
  <c r="G1" i="132"/>
  <c r="F193" i="137"/>
  <c r="C193" i="137"/>
  <c r="F192" i="137"/>
  <c r="F191" i="137"/>
  <c r="F190" i="137"/>
  <c r="F189" i="137"/>
  <c r="F188" i="137"/>
  <c r="F187" i="137"/>
  <c r="F186" i="137"/>
  <c r="F185" i="137"/>
  <c r="F184" i="137"/>
  <c r="F183" i="137"/>
  <c r="F182" i="137"/>
  <c r="F181" i="137"/>
  <c r="F180" i="137"/>
  <c r="F179" i="137"/>
  <c r="F178" i="137"/>
  <c r="F177" i="137"/>
  <c r="F176" i="137"/>
  <c r="F175" i="137"/>
  <c r="F174" i="137"/>
  <c r="F173" i="137"/>
  <c r="F172" i="137"/>
  <c r="F171" i="137"/>
  <c r="F170" i="137"/>
  <c r="F169" i="137"/>
  <c r="F168" i="137"/>
  <c r="F167" i="137"/>
  <c r="F166" i="137"/>
  <c r="F165" i="137"/>
  <c r="F164" i="137"/>
  <c r="F163" i="137"/>
  <c r="F162" i="137"/>
  <c r="F161" i="137"/>
  <c r="F160" i="137"/>
  <c r="F159" i="137"/>
  <c r="F158" i="137"/>
  <c r="F157" i="137"/>
  <c r="F156" i="137"/>
  <c r="F155" i="137"/>
  <c r="F154" i="137"/>
  <c r="F153" i="137"/>
  <c r="F152" i="137"/>
  <c r="F151" i="137"/>
  <c r="F150" i="137"/>
  <c r="F149" i="137"/>
  <c r="F148" i="137"/>
  <c r="F147" i="137"/>
  <c r="F146" i="137"/>
  <c r="F145" i="137"/>
  <c r="F144" i="137"/>
  <c r="F143" i="137"/>
  <c r="F142" i="137"/>
  <c r="F141" i="137"/>
  <c r="F140" i="137"/>
  <c r="F139" i="137"/>
  <c r="F138" i="137"/>
  <c r="F137" i="137"/>
  <c r="F136" i="137"/>
  <c r="F135" i="137"/>
  <c r="F134" i="137"/>
  <c r="F133" i="137"/>
  <c r="F130" i="137"/>
  <c r="F129" i="137"/>
  <c r="F128" i="137"/>
  <c r="F127" i="137"/>
  <c r="F126" i="137"/>
  <c r="F125" i="137"/>
  <c r="F124" i="137"/>
  <c r="F123" i="137"/>
  <c r="F122" i="137"/>
  <c r="F121" i="137"/>
  <c r="F120" i="137"/>
  <c r="F117" i="137"/>
  <c r="F116" i="137"/>
  <c r="F115" i="137"/>
  <c r="F112" i="137"/>
  <c r="F111" i="137"/>
  <c r="F110" i="137"/>
  <c r="F109" i="137"/>
  <c r="F108" i="137"/>
  <c r="F107" i="137"/>
  <c r="F106" i="137"/>
  <c r="F105" i="137"/>
  <c r="F102" i="137"/>
  <c r="F101" i="137"/>
  <c r="F100" i="137"/>
  <c r="F99" i="137"/>
  <c r="F98" i="137"/>
  <c r="F95" i="137"/>
  <c r="F94" i="137"/>
  <c r="F93" i="137"/>
  <c r="F92" i="137"/>
  <c r="F91" i="137"/>
  <c r="F90" i="137"/>
  <c r="F89" i="137"/>
  <c r="F88" i="137"/>
  <c r="F87" i="137"/>
  <c r="F86" i="137"/>
  <c r="F85" i="137"/>
  <c r="F84" i="137"/>
  <c r="F81" i="137"/>
  <c r="F80" i="137"/>
  <c r="F79" i="137"/>
  <c r="F78" i="137"/>
  <c r="F77" i="137"/>
  <c r="F76" i="137"/>
  <c r="F75" i="137"/>
  <c r="F74" i="137"/>
  <c r="F71" i="137"/>
  <c r="F70" i="137"/>
  <c r="F69" i="137"/>
  <c r="F68" i="137"/>
  <c r="F67" i="137"/>
  <c r="F66" i="137"/>
  <c r="F65" i="137"/>
  <c r="F64" i="137"/>
  <c r="F63" i="137"/>
  <c r="F62" i="137"/>
  <c r="F61" i="137"/>
  <c r="F60" i="137"/>
  <c r="F57" i="137"/>
  <c r="F56" i="137"/>
  <c r="F55" i="137"/>
  <c r="F52" i="137"/>
  <c r="F51" i="137"/>
  <c r="F50" i="137"/>
  <c r="F49" i="137"/>
  <c r="F48" i="137"/>
  <c r="F47" i="137"/>
  <c r="F46" i="137"/>
  <c r="F45" i="137"/>
  <c r="F44" i="137"/>
  <c r="F43" i="137"/>
  <c r="F42" i="137"/>
  <c r="F41" i="137"/>
  <c r="F40" i="137"/>
  <c r="F37" i="137"/>
  <c r="F36" i="137"/>
  <c r="F35" i="137"/>
  <c r="F34" i="137"/>
  <c r="F31" i="137"/>
  <c r="F30" i="137"/>
  <c r="F29" i="137"/>
  <c r="F28" i="137"/>
  <c r="F27" i="137"/>
  <c r="F26" i="137"/>
  <c r="F25" i="137"/>
  <c r="F24" i="137"/>
  <c r="F23" i="137"/>
  <c r="F22" i="137"/>
  <c r="F21" i="137"/>
  <c r="F20" i="137"/>
  <c r="F19" i="137"/>
  <c r="F18" i="137"/>
  <c r="F17" i="137"/>
  <c r="F16" i="137"/>
  <c r="F15" i="137"/>
  <c r="F14" i="137"/>
  <c r="F13" i="137"/>
  <c r="F12" i="137"/>
  <c r="F11" i="137"/>
  <c r="F10" i="137"/>
  <c r="F9" i="137"/>
  <c r="F8" i="137"/>
  <c r="F7" i="137"/>
  <c r="E194" i="135"/>
  <c r="C194" i="135"/>
  <c r="E192" i="135"/>
  <c r="E133" i="135"/>
  <c r="E130" i="135"/>
  <c r="E120" i="135"/>
  <c r="E117" i="135"/>
  <c r="E112" i="135"/>
  <c r="E102" i="135"/>
  <c r="E98" i="135"/>
  <c r="E95" i="135"/>
  <c r="E81" i="135"/>
  <c r="E71" i="135"/>
  <c r="E57" i="135"/>
  <c r="E52" i="135"/>
  <c r="E41" i="135"/>
  <c r="E37" i="135"/>
  <c r="E31" i="135"/>
  <c r="E19" i="135"/>
  <c r="E18" i="135"/>
  <c r="E17" i="135"/>
  <c r="E16" i="135"/>
  <c r="E15" i="135"/>
  <c r="E3" i="135"/>
  <c r="AB27" i="131"/>
  <c r="AA27" i="131"/>
  <c r="Z27" i="131"/>
  <c r="Y27" i="131"/>
  <c r="X27" i="131"/>
  <c r="W27" i="131"/>
  <c r="V27" i="131"/>
  <c r="U27" i="131"/>
  <c r="T27" i="131"/>
  <c r="S27" i="131"/>
  <c r="R27" i="131"/>
  <c r="P27" i="131"/>
  <c r="O27" i="131"/>
  <c r="N27" i="131"/>
  <c r="M27" i="131"/>
  <c r="L27" i="131"/>
  <c r="K27" i="131"/>
  <c r="J27" i="131"/>
  <c r="I27" i="131"/>
  <c r="H27" i="131"/>
  <c r="G27" i="131"/>
  <c r="F27" i="131"/>
  <c r="E27" i="131"/>
  <c r="L25" i="131"/>
  <c r="AB24" i="131"/>
  <c r="Z24" i="131"/>
  <c r="Y24" i="131"/>
  <c r="X24" i="131"/>
  <c r="T24" i="131"/>
  <c r="Q24" i="131"/>
  <c r="P24" i="131"/>
  <c r="N24" i="131"/>
  <c r="M24" i="131"/>
  <c r="K24" i="131"/>
  <c r="J24" i="131"/>
  <c r="I24" i="131"/>
  <c r="G24" i="131"/>
  <c r="F24" i="131"/>
  <c r="E24" i="131"/>
  <c r="AB23" i="131"/>
  <c r="AA23" i="131"/>
  <c r="Z23" i="131"/>
  <c r="Y23" i="131"/>
  <c r="X23" i="131"/>
  <c r="W23" i="131"/>
  <c r="T23" i="131"/>
  <c r="S23" i="131"/>
  <c r="Q23" i="131"/>
  <c r="P23" i="131"/>
  <c r="N23" i="131"/>
  <c r="M23" i="131"/>
  <c r="K23" i="131"/>
  <c r="J23" i="131"/>
  <c r="I23" i="131"/>
  <c r="G23" i="131"/>
  <c r="F23" i="131"/>
  <c r="AB22" i="131"/>
  <c r="AA22" i="131"/>
  <c r="Z22" i="131"/>
  <c r="Y22" i="131"/>
  <c r="X22" i="131"/>
  <c r="T22" i="131"/>
  <c r="S22" i="131"/>
  <c r="Q22" i="131"/>
  <c r="P22" i="131"/>
  <c r="N22" i="131"/>
  <c r="M22" i="131"/>
  <c r="K22" i="131"/>
  <c r="J22" i="131"/>
  <c r="I22" i="131"/>
  <c r="G22" i="131"/>
  <c r="F22" i="131"/>
  <c r="AB19" i="131"/>
  <c r="Z19" i="131"/>
  <c r="Y19" i="131"/>
  <c r="X19" i="131"/>
  <c r="W19" i="131"/>
  <c r="V19" i="131"/>
  <c r="U19" i="131"/>
  <c r="T19" i="131"/>
  <c r="S19" i="131"/>
  <c r="Q19" i="131"/>
  <c r="P19" i="131"/>
  <c r="O19" i="131"/>
  <c r="N19" i="131"/>
  <c r="M19" i="131"/>
  <c r="L19" i="131"/>
  <c r="K19" i="131"/>
  <c r="J19" i="131"/>
  <c r="I19" i="131"/>
  <c r="H19" i="131"/>
  <c r="G19" i="131"/>
  <c r="F19" i="131"/>
  <c r="E19" i="131"/>
  <c r="AB18" i="131"/>
  <c r="Z18" i="131"/>
  <c r="Y18" i="131"/>
  <c r="T18" i="131"/>
  <c r="S18" i="131"/>
  <c r="O18" i="131"/>
  <c r="N18" i="131"/>
  <c r="L18" i="131"/>
  <c r="K18" i="131"/>
  <c r="J18" i="131"/>
  <c r="H18" i="131"/>
  <c r="G18" i="131"/>
  <c r="AB17" i="131"/>
  <c r="Z17" i="131"/>
  <c r="Y17" i="131"/>
  <c r="X17" i="131"/>
  <c r="W17" i="131"/>
  <c r="V17" i="131"/>
  <c r="U17" i="131"/>
  <c r="T17" i="131"/>
  <c r="S17" i="131"/>
  <c r="Q17" i="131"/>
  <c r="N17" i="131"/>
  <c r="M17" i="131"/>
  <c r="L17" i="131"/>
  <c r="K17" i="131"/>
  <c r="J17" i="131"/>
  <c r="H17" i="131"/>
  <c r="G17" i="131"/>
  <c r="AB16" i="131"/>
  <c r="Z16" i="131"/>
  <c r="Y16" i="131"/>
  <c r="AB15" i="131"/>
  <c r="Z15" i="131"/>
  <c r="Y15" i="131"/>
  <c r="T14" i="131"/>
  <c r="AB13" i="131"/>
  <c r="AA13" i="131"/>
  <c r="Z13" i="131"/>
  <c r="Y13" i="131"/>
  <c r="X13" i="131"/>
  <c r="W13" i="131"/>
  <c r="V13" i="131"/>
  <c r="U13" i="131"/>
  <c r="T13" i="131"/>
  <c r="S13" i="131"/>
  <c r="R13" i="131"/>
  <c r="P13" i="131"/>
  <c r="O13" i="131"/>
  <c r="N13" i="131"/>
  <c r="M13" i="131"/>
  <c r="L13" i="131"/>
  <c r="K13" i="131"/>
  <c r="J13" i="131"/>
  <c r="I13" i="131"/>
  <c r="H13" i="131"/>
  <c r="G13" i="131"/>
  <c r="F13" i="131"/>
  <c r="E13" i="131"/>
  <c r="AB12" i="131"/>
  <c r="Z12" i="131"/>
  <c r="Y12" i="131"/>
  <c r="X12" i="131"/>
  <c r="T12" i="131"/>
  <c r="S12" i="131"/>
  <c r="O12" i="131"/>
  <c r="M12" i="131"/>
  <c r="L12" i="131"/>
  <c r="K12" i="131"/>
  <c r="J12" i="131"/>
  <c r="H12" i="131"/>
  <c r="G12" i="131"/>
  <c r="AB11" i="131"/>
  <c r="Z11" i="131"/>
  <c r="Y11" i="131"/>
  <c r="X11" i="131"/>
  <c r="W11" i="131"/>
  <c r="V11" i="131"/>
  <c r="U11" i="131"/>
  <c r="T11" i="131"/>
  <c r="S11" i="131"/>
  <c r="O11" i="131"/>
  <c r="M11" i="131"/>
  <c r="L11" i="131"/>
  <c r="K11" i="131"/>
  <c r="J11" i="131"/>
  <c r="H11" i="131"/>
  <c r="G11" i="131"/>
  <c r="AB8" i="131"/>
  <c r="Z8" i="131"/>
  <c r="Y8" i="131"/>
  <c r="X8" i="131"/>
  <c r="W8" i="131"/>
  <c r="V8" i="131"/>
  <c r="U8" i="131"/>
  <c r="T8" i="131"/>
  <c r="S8" i="131"/>
  <c r="Q8" i="131"/>
  <c r="P8" i="131"/>
  <c r="O8" i="131"/>
  <c r="N8" i="131"/>
  <c r="M8" i="131"/>
  <c r="L8" i="131"/>
  <c r="K8" i="131"/>
  <c r="J8" i="131"/>
  <c r="I8" i="131"/>
  <c r="H8" i="131"/>
  <c r="G8" i="131"/>
  <c r="F8" i="131"/>
  <c r="E8" i="131"/>
  <c r="AB7" i="131"/>
  <c r="AA7" i="131"/>
  <c r="Z7" i="131"/>
  <c r="Y7" i="131"/>
  <c r="X7" i="131"/>
  <c r="T7" i="131"/>
  <c r="S7" i="131"/>
  <c r="O7" i="131"/>
  <c r="N7" i="131"/>
  <c r="L7" i="131"/>
  <c r="K7" i="131"/>
  <c r="J7" i="131"/>
  <c r="H7" i="131"/>
  <c r="G7" i="131"/>
  <c r="G3" i="131"/>
  <c r="E3" i="131"/>
  <c r="G1" i="131"/>
  <c r="G194" i="140"/>
  <c r="F194" i="140"/>
  <c r="E194" i="140"/>
  <c r="C194" i="140"/>
  <c r="G192" i="140"/>
  <c r="F192" i="140"/>
  <c r="E192" i="140"/>
  <c r="F191" i="140"/>
  <c r="F190" i="140"/>
  <c r="F189" i="140"/>
  <c r="F188" i="140"/>
  <c r="F187" i="140"/>
  <c r="F186" i="140"/>
  <c r="F185" i="140"/>
  <c r="F184" i="140"/>
  <c r="F183" i="140"/>
  <c r="F182" i="140"/>
  <c r="F181" i="140"/>
  <c r="F180" i="140"/>
  <c r="F179" i="140"/>
  <c r="F178" i="140"/>
  <c r="F177" i="140"/>
  <c r="F176" i="140"/>
  <c r="F175" i="140"/>
  <c r="F174" i="140"/>
  <c r="F173" i="140"/>
  <c r="F172" i="140"/>
  <c r="F171" i="140"/>
  <c r="F170" i="140"/>
  <c r="F169" i="140"/>
  <c r="F168" i="140"/>
  <c r="F167" i="140"/>
  <c r="F166" i="140"/>
  <c r="F165" i="140"/>
  <c r="F164" i="140"/>
  <c r="F163" i="140"/>
  <c r="F162" i="140"/>
  <c r="F161" i="140"/>
  <c r="F160" i="140"/>
  <c r="F159" i="140"/>
  <c r="F158" i="140"/>
  <c r="F157" i="140"/>
  <c r="F156" i="140"/>
  <c r="F155" i="140"/>
  <c r="F154" i="140"/>
  <c r="F153" i="140"/>
  <c r="F152" i="140"/>
  <c r="F151" i="140"/>
  <c r="F150" i="140"/>
  <c r="F149" i="140"/>
  <c r="F148" i="140"/>
  <c r="F147" i="140"/>
  <c r="F146" i="140"/>
  <c r="F145" i="140"/>
  <c r="F144" i="140"/>
  <c r="F143" i="140"/>
  <c r="F142" i="140"/>
  <c r="F141" i="140"/>
  <c r="F140" i="140"/>
  <c r="F139" i="140"/>
  <c r="G138" i="140"/>
  <c r="G137" i="140"/>
  <c r="G136" i="140"/>
  <c r="G135" i="140"/>
  <c r="G134" i="140"/>
  <c r="G133" i="140"/>
  <c r="G130" i="140"/>
  <c r="F130" i="140"/>
  <c r="E130" i="140"/>
  <c r="F129" i="140"/>
  <c r="F128" i="140"/>
  <c r="F127" i="140"/>
  <c r="G126" i="140"/>
  <c r="G125" i="140"/>
  <c r="G124" i="140"/>
  <c r="G123" i="140"/>
  <c r="G122" i="140"/>
  <c r="G121" i="140"/>
  <c r="G120" i="140"/>
  <c r="F117" i="140"/>
  <c r="E117" i="140"/>
  <c r="F116" i="140"/>
  <c r="F115" i="140"/>
  <c r="G112" i="140"/>
  <c r="F112" i="140"/>
  <c r="E112" i="140"/>
  <c r="F111" i="140"/>
  <c r="F110" i="140"/>
  <c r="F109" i="140"/>
  <c r="F108" i="140"/>
  <c r="F107" i="140"/>
  <c r="G106" i="140"/>
  <c r="G105" i="140"/>
  <c r="G102" i="140"/>
  <c r="F102" i="140"/>
  <c r="E102" i="140"/>
  <c r="G95" i="140"/>
  <c r="F95" i="140"/>
  <c r="E95" i="140"/>
  <c r="F94" i="140"/>
  <c r="F93" i="140"/>
  <c r="F92" i="140"/>
  <c r="F91" i="140"/>
  <c r="G90" i="140"/>
  <c r="F89" i="140"/>
  <c r="F88" i="140"/>
  <c r="G87" i="140"/>
  <c r="E87" i="140"/>
  <c r="G86" i="140"/>
  <c r="E86" i="140"/>
  <c r="G85" i="140"/>
  <c r="E85" i="140"/>
  <c r="G84" i="140"/>
  <c r="E84" i="140"/>
  <c r="G81" i="140"/>
  <c r="F81" i="140"/>
  <c r="E81" i="140"/>
  <c r="F80" i="140"/>
  <c r="F79" i="140"/>
  <c r="F78" i="140"/>
  <c r="G77" i="140"/>
  <c r="G76" i="140"/>
  <c r="G75" i="140"/>
  <c r="G74" i="140"/>
  <c r="G71" i="140"/>
  <c r="F71" i="140"/>
  <c r="E71" i="140"/>
  <c r="F70" i="140"/>
  <c r="F69" i="140"/>
  <c r="F68" i="140"/>
  <c r="F67" i="140"/>
  <c r="F66" i="140"/>
  <c r="F65" i="140"/>
  <c r="G64" i="140"/>
  <c r="F63" i="140"/>
  <c r="G62" i="140"/>
  <c r="G61" i="140"/>
  <c r="G60" i="140"/>
  <c r="G57" i="140"/>
  <c r="E57" i="140"/>
  <c r="G56" i="140"/>
  <c r="G55" i="140"/>
  <c r="G52" i="140"/>
  <c r="F52" i="140"/>
  <c r="E52" i="140"/>
  <c r="F51" i="140"/>
  <c r="F50" i="140"/>
  <c r="F49" i="140"/>
  <c r="F48" i="140"/>
  <c r="G47" i="140"/>
  <c r="G46" i="140"/>
  <c r="G45" i="140"/>
  <c r="G44" i="140"/>
  <c r="G43" i="140"/>
  <c r="G42" i="140"/>
  <c r="G41" i="140"/>
  <c r="G40" i="140"/>
  <c r="G37" i="140"/>
  <c r="F37" i="140"/>
  <c r="E37" i="140"/>
  <c r="F36" i="140"/>
  <c r="F35" i="140"/>
  <c r="G34" i="140"/>
  <c r="G31" i="140"/>
  <c r="F31" i="140"/>
  <c r="E31" i="140"/>
  <c r="F30" i="140"/>
  <c r="F29" i="140"/>
  <c r="F28" i="140"/>
  <c r="F27" i="140"/>
  <c r="F26" i="140"/>
  <c r="F25" i="140"/>
  <c r="F24" i="140"/>
  <c r="F23" i="140"/>
  <c r="F22" i="140"/>
  <c r="F21" i="140"/>
  <c r="F20" i="140"/>
  <c r="F19" i="140"/>
  <c r="F18" i="140"/>
  <c r="F17" i="140"/>
  <c r="G16" i="140"/>
  <c r="G15" i="140"/>
  <c r="G14" i="140"/>
  <c r="G13" i="140"/>
  <c r="G12" i="140"/>
  <c r="G11" i="140"/>
  <c r="G10" i="140"/>
  <c r="G9" i="140"/>
  <c r="G8" i="140"/>
  <c r="G7" i="140"/>
  <c r="H226" i="151"/>
  <c r="G226" i="151"/>
  <c r="F226" i="151"/>
  <c r="E226" i="151"/>
  <c r="D226" i="151"/>
  <c r="H224" i="151"/>
  <c r="G224" i="151"/>
  <c r="F224" i="151"/>
  <c r="E224" i="151"/>
  <c r="D224" i="151"/>
  <c r="H223" i="151"/>
  <c r="E223" i="151"/>
  <c r="D223" i="151"/>
  <c r="H222" i="151"/>
  <c r="D222" i="151"/>
  <c r="H221" i="151"/>
  <c r="D221" i="151"/>
  <c r="H220" i="151"/>
  <c r="D220" i="151"/>
  <c r="H219" i="151"/>
  <c r="E219" i="151"/>
  <c r="H218" i="151"/>
  <c r="E218" i="151"/>
  <c r="H217" i="151"/>
  <c r="G217" i="151"/>
  <c r="H216" i="151"/>
  <c r="G216" i="151"/>
  <c r="D216" i="151"/>
  <c r="H215" i="151"/>
  <c r="G215" i="151"/>
  <c r="E215" i="151"/>
  <c r="D215" i="151"/>
  <c r="H214" i="151"/>
  <c r="G214" i="151"/>
  <c r="D214" i="151"/>
  <c r="H213" i="151"/>
  <c r="D213" i="151"/>
  <c r="H212" i="151"/>
  <c r="G212" i="151"/>
  <c r="F212" i="151"/>
  <c r="E212" i="151"/>
  <c r="D212" i="151"/>
  <c r="H211" i="151"/>
  <c r="H210" i="151"/>
  <c r="G210" i="151"/>
  <c r="H209" i="151"/>
  <c r="G209" i="151"/>
  <c r="H208" i="151"/>
  <c r="G208" i="151"/>
  <c r="E206" i="151"/>
  <c r="E205" i="151"/>
  <c r="E201" i="151"/>
  <c r="E200" i="151"/>
  <c r="D200" i="151"/>
  <c r="C200" i="151"/>
  <c r="E196" i="151"/>
  <c r="D196" i="151"/>
  <c r="E195" i="151"/>
  <c r="D195" i="151"/>
  <c r="E194" i="151"/>
  <c r="D194" i="151"/>
  <c r="E193" i="151"/>
  <c r="D193" i="151"/>
  <c r="E192" i="151"/>
  <c r="D192" i="151"/>
  <c r="E191" i="151"/>
  <c r="D191" i="151"/>
  <c r="C191" i="151"/>
  <c r="E190" i="151"/>
  <c r="D190" i="151"/>
  <c r="C190" i="151"/>
  <c r="E189" i="151"/>
  <c r="D189" i="151"/>
  <c r="C189" i="151"/>
  <c r="D186" i="151"/>
  <c r="H185" i="151"/>
  <c r="G185" i="151"/>
  <c r="F185" i="151"/>
  <c r="E185" i="151"/>
  <c r="D185" i="151"/>
  <c r="H184" i="151"/>
  <c r="D184" i="151"/>
  <c r="H183" i="151"/>
  <c r="D183" i="151"/>
  <c r="H182" i="151"/>
  <c r="D182" i="151"/>
  <c r="H181" i="151"/>
  <c r="F181" i="151"/>
  <c r="D181" i="151"/>
  <c r="H180" i="151"/>
  <c r="F180" i="151"/>
  <c r="H179" i="151"/>
  <c r="D179" i="151"/>
  <c r="H178" i="151"/>
  <c r="H177" i="151"/>
  <c r="D177" i="151"/>
  <c r="H176" i="151"/>
  <c r="D176" i="151"/>
  <c r="H175" i="151"/>
  <c r="D175" i="151"/>
  <c r="H174" i="151"/>
  <c r="D174" i="151"/>
  <c r="H173" i="151"/>
  <c r="D173" i="151"/>
  <c r="H172" i="151"/>
  <c r="D172" i="151"/>
  <c r="H171" i="151"/>
  <c r="D171" i="151"/>
  <c r="H170" i="151"/>
  <c r="F170" i="151"/>
  <c r="E170" i="151"/>
  <c r="D170" i="151"/>
  <c r="H169" i="151"/>
  <c r="E169" i="151"/>
  <c r="H168" i="151"/>
  <c r="G168" i="151"/>
  <c r="E168" i="151"/>
  <c r="D168" i="151"/>
  <c r="H167" i="151"/>
  <c r="E167" i="151"/>
  <c r="D167" i="151"/>
  <c r="H166" i="151"/>
  <c r="G166" i="151"/>
  <c r="E166" i="151"/>
  <c r="D166" i="151"/>
  <c r="H165" i="151"/>
  <c r="G165" i="151"/>
  <c r="D165" i="151"/>
  <c r="H164" i="151"/>
  <c r="D164" i="151"/>
  <c r="H163" i="151"/>
  <c r="F163" i="151"/>
  <c r="E163" i="151"/>
  <c r="D163" i="151"/>
  <c r="H162" i="151"/>
  <c r="D162" i="151"/>
  <c r="H161" i="151"/>
  <c r="G161" i="151"/>
  <c r="D161" i="151"/>
  <c r="H160" i="151"/>
  <c r="G160" i="151"/>
  <c r="H159" i="151"/>
  <c r="F159" i="151"/>
  <c r="H158" i="151"/>
  <c r="D158" i="151"/>
  <c r="H157" i="151"/>
  <c r="G157" i="151"/>
  <c r="F157" i="151"/>
  <c r="D157" i="151"/>
  <c r="H156" i="151"/>
  <c r="G156" i="151"/>
  <c r="D156" i="151"/>
  <c r="H155" i="151"/>
  <c r="D155" i="151"/>
  <c r="H154" i="151"/>
  <c r="D154" i="151"/>
  <c r="H153" i="151"/>
  <c r="G153" i="151"/>
  <c r="D153" i="151"/>
  <c r="H152" i="151"/>
  <c r="G152" i="151"/>
  <c r="D152" i="151"/>
  <c r="H151" i="151"/>
  <c r="G151" i="151"/>
  <c r="D151" i="151"/>
  <c r="H150" i="151"/>
  <c r="E150" i="151"/>
  <c r="D150" i="151"/>
  <c r="H149" i="151"/>
  <c r="H148" i="151"/>
  <c r="D148" i="151"/>
  <c r="H147" i="151"/>
  <c r="D147" i="151"/>
  <c r="H146" i="151"/>
  <c r="G146" i="151"/>
  <c r="E146" i="151"/>
  <c r="D146" i="151"/>
  <c r="H145" i="151"/>
  <c r="H144" i="151"/>
  <c r="G144" i="151"/>
  <c r="D144" i="151"/>
  <c r="H143" i="151"/>
  <c r="G143" i="151"/>
  <c r="F143" i="151"/>
  <c r="E143" i="151"/>
  <c r="D143" i="151"/>
  <c r="H142" i="151"/>
  <c r="G142" i="151"/>
  <c r="E142" i="151"/>
  <c r="D142" i="151"/>
  <c r="H141" i="151"/>
  <c r="G141" i="151"/>
  <c r="F141" i="151"/>
  <c r="E141" i="151"/>
  <c r="D141" i="151"/>
  <c r="H140" i="151"/>
  <c r="G140" i="151"/>
  <c r="D140" i="151"/>
  <c r="H139" i="151"/>
  <c r="G139" i="151"/>
  <c r="E139" i="151"/>
  <c r="D139" i="151"/>
  <c r="H138" i="151"/>
  <c r="E138" i="151"/>
  <c r="D138" i="151"/>
  <c r="H137" i="151"/>
  <c r="G137" i="151"/>
  <c r="D137" i="151"/>
  <c r="H136" i="151"/>
  <c r="G136" i="151"/>
  <c r="F136" i="151"/>
  <c r="D136" i="151"/>
  <c r="H135" i="151"/>
  <c r="G135" i="151"/>
  <c r="E135" i="151"/>
  <c r="D135" i="151"/>
  <c r="H134" i="151"/>
  <c r="H133" i="151"/>
  <c r="D133" i="151"/>
  <c r="H132" i="151"/>
  <c r="F132" i="151"/>
  <c r="E132" i="151"/>
  <c r="D132" i="151"/>
  <c r="H131" i="151"/>
  <c r="G131" i="151"/>
  <c r="E131" i="151"/>
  <c r="D131" i="151"/>
  <c r="H130" i="151"/>
  <c r="H129" i="151"/>
  <c r="F129" i="151"/>
  <c r="D129" i="151"/>
  <c r="H128" i="151"/>
  <c r="G128" i="151"/>
  <c r="D128" i="151"/>
  <c r="H127" i="151"/>
  <c r="H126" i="151"/>
  <c r="G126" i="151"/>
  <c r="H125" i="151"/>
  <c r="G125" i="151"/>
  <c r="D125" i="151"/>
  <c r="H124" i="151"/>
  <c r="G124" i="151"/>
  <c r="F124" i="151"/>
  <c r="E124" i="151"/>
  <c r="D124" i="151"/>
  <c r="H123" i="151"/>
  <c r="G123" i="151"/>
  <c r="D123" i="151"/>
  <c r="H122" i="151"/>
  <c r="F122" i="151"/>
  <c r="D122" i="151"/>
  <c r="H121" i="151"/>
  <c r="H120" i="151"/>
  <c r="G120" i="151"/>
  <c r="F120" i="151"/>
  <c r="D120" i="151"/>
  <c r="H119" i="151"/>
  <c r="G119" i="151"/>
  <c r="F119" i="151"/>
  <c r="D119" i="151"/>
  <c r="H118" i="151"/>
  <c r="G118" i="151"/>
  <c r="F118" i="151"/>
  <c r="D118" i="151"/>
  <c r="H117" i="151"/>
  <c r="F117" i="151"/>
  <c r="D117" i="151"/>
  <c r="H116" i="151"/>
  <c r="D116" i="151"/>
  <c r="H115" i="151"/>
  <c r="G115" i="151"/>
  <c r="F115" i="151"/>
  <c r="D115" i="151"/>
  <c r="H114" i="151"/>
  <c r="G114" i="151"/>
  <c r="D114" i="151"/>
  <c r="H113" i="151"/>
  <c r="G113" i="151"/>
  <c r="D113" i="151"/>
  <c r="H112" i="151"/>
  <c r="G112" i="151"/>
  <c r="D112" i="151"/>
  <c r="H111" i="151"/>
  <c r="G111" i="151"/>
  <c r="D111" i="151"/>
  <c r="H110" i="151"/>
  <c r="F110" i="151"/>
  <c r="D110" i="151"/>
  <c r="H109" i="151"/>
  <c r="H108" i="151"/>
  <c r="G108" i="151"/>
  <c r="F108" i="151"/>
  <c r="D108" i="151"/>
  <c r="H107" i="151"/>
  <c r="G107" i="151"/>
  <c r="D107" i="151"/>
  <c r="H106" i="151"/>
  <c r="H105" i="151"/>
  <c r="H104" i="151"/>
  <c r="G104" i="151"/>
  <c r="H103" i="151"/>
  <c r="H102" i="151"/>
  <c r="G102" i="151"/>
  <c r="D102" i="151"/>
  <c r="H101" i="151"/>
  <c r="H100" i="151"/>
  <c r="G100" i="151"/>
  <c r="D100" i="151"/>
  <c r="H99" i="151"/>
  <c r="H98" i="151"/>
  <c r="G98" i="151"/>
  <c r="F98" i="151"/>
  <c r="H97" i="151"/>
  <c r="G97" i="151"/>
  <c r="F97" i="151"/>
  <c r="D97" i="151"/>
  <c r="H96" i="151"/>
  <c r="G96" i="151"/>
  <c r="F96" i="151"/>
  <c r="D96" i="151"/>
  <c r="H95" i="151"/>
  <c r="G95" i="151"/>
  <c r="F95" i="151"/>
  <c r="D95" i="151"/>
  <c r="H94" i="151"/>
  <c r="H93" i="151"/>
  <c r="G93" i="151"/>
  <c r="D93" i="151"/>
  <c r="H92" i="151"/>
  <c r="G92" i="151"/>
  <c r="D92" i="151"/>
  <c r="H91" i="151"/>
  <c r="D91" i="151"/>
  <c r="H90" i="151"/>
  <c r="H89" i="151"/>
  <c r="D89" i="151"/>
  <c r="H88" i="151"/>
  <c r="G88" i="151"/>
  <c r="F88" i="151"/>
  <c r="H87" i="151"/>
  <c r="G87" i="151"/>
  <c r="E87" i="151"/>
  <c r="H86" i="151"/>
  <c r="G86" i="151"/>
  <c r="F86" i="151"/>
  <c r="D86" i="151"/>
  <c r="H85" i="151"/>
  <c r="H84" i="151"/>
  <c r="H83" i="151"/>
  <c r="G83" i="151"/>
  <c r="H82" i="151"/>
  <c r="H81" i="151"/>
  <c r="D81" i="151"/>
  <c r="H80" i="151"/>
  <c r="G80" i="151"/>
  <c r="H79" i="151"/>
  <c r="H78" i="151"/>
  <c r="H77" i="151"/>
  <c r="H76" i="151"/>
  <c r="G76" i="151"/>
  <c r="D76" i="151"/>
  <c r="H75" i="151"/>
  <c r="G75" i="151"/>
  <c r="F75" i="151"/>
  <c r="D75" i="151"/>
  <c r="H74" i="151"/>
  <c r="G74" i="151"/>
  <c r="F74" i="151"/>
  <c r="D74" i="151"/>
  <c r="H73" i="151"/>
  <c r="G73" i="151"/>
  <c r="F73" i="151"/>
  <c r="H72" i="151"/>
  <c r="G72" i="151"/>
  <c r="D72" i="151"/>
  <c r="H71" i="151"/>
  <c r="G71" i="151"/>
  <c r="E71" i="151"/>
  <c r="D71" i="151"/>
  <c r="H70" i="151"/>
  <c r="H69" i="151"/>
  <c r="F69" i="151"/>
  <c r="H68" i="151"/>
  <c r="G68" i="151"/>
  <c r="H67" i="151"/>
  <c r="G67" i="151"/>
  <c r="F67" i="151"/>
  <c r="H66" i="151"/>
  <c r="H65" i="151"/>
  <c r="G65" i="151"/>
  <c r="D65" i="151"/>
  <c r="H64" i="151"/>
  <c r="F64" i="151"/>
  <c r="D64" i="151"/>
  <c r="H63" i="151"/>
  <c r="G63" i="151"/>
  <c r="D63" i="151"/>
  <c r="H62" i="151"/>
  <c r="H61" i="151"/>
  <c r="G61" i="151"/>
  <c r="D61" i="151"/>
  <c r="H60" i="151"/>
  <c r="G60" i="151"/>
  <c r="F60" i="151"/>
  <c r="D60" i="151"/>
  <c r="H59" i="151"/>
  <c r="H58" i="151"/>
  <c r="G58" i="151"/>
  <c r="D58" i="151"/>
  <c r="H57" i="151"/>
  <c r="H56" i="151"/>
  <c r="H55" i="151"/>
  <c r="H54" i="151"/>
  <c r="G54" i="151"/>
  <c r="F54" i="151"/>
  <c r="H53" i="151"/>
  <c r="G53" i="151"/>
  <c r="F53" i="151"/>
  <c r="H52" i="151"/>
  <c r="G52" i="151"/>
  <c r="F52" i="151"/>
  <c r="D52" i="151"/>
  <c r="H51" i="151"/>
  <c r="G51" i="151"/>
  <c r="F51" i="151"/>
  <c r="E51" i="151"/>
  <c r="H50" i="151"/>
  <c r="G50" i="151"/>
  <c r="F50" i="151"/>
  <c r="H49" i="151"/>
  <c r="G49" i="151"/>
  <c r="F49" i="151"/>
  <c r="D49" i="151"/>
  <c r="H48" i="151"/>
  <c r="G48" i="151"/>
  <c r="D48" i="151"/>
  <c r="H47" i="151"/>
  <c r="H46" i="151"/>
  <c r="G46" i="151"/>
  <c r="F46" i="151"/>
  <c r="H45" i="151"/>
  <c r="G45" i="151"/>
  <c r="F45" i="151"/>
  <c r="D45" i="151"/>
  <c r="H44" i="151"/>
  <c r="G44" i="151"/>
  <c r="F44" i="151"/>
  <c r="D44" i="151"/>
  <c r="H43" i="151"/>
  <c r="G43" i="151"/>
  <c r="F43" i="151"/>
  <c r="H42" i="151"/>
  <c r="D42" i="151"/>
  <c r="H41" i="151"/>
  <c r="G41" i="151"/>
  <c r="H40" i="151"/>
  <c r="G40" i="151"/>
  <c r="F40" i="151"/>
  <c r="H39" i="151"/>
  <c r="G39" i="151"/>
  <c r="D39" i="151"/>
  <c r="H38" i="151"/>
  <c r="G38" i="151"/>
  <c r="D38" i="151"/>
  <c r="H37" i="151"/>
  <c r="G37" i="151"/>
  <c r="F37" i="151"/>
  <c r="E37" i="151"/>
  <c r="D37" i="151"/>
  <c r="H36" i="151"/>
  <c r="G36" i="151"/>
  <c r="D36" i="151"/>
  <c r="H35" i="151"/>
  <c r="H34" i="151"/>
  <c r="G34" i="151"/>
  <c r="F34" i="151"/>
  <c r="H33" i="151"/>
  <c r="H32" i="151"/>
  <c r="H31" i="151"/>
  <c r="H30" i="151"/>
  <c r="G30" i="151"/>
  <c r="H29" i="151"/>
  <c r="G29" i="151"/>
  <c r="D29" i="151"/>
  <c r="H28" i="151"/>
  <c r="G28" i="151"/>
  <c r="H27" i="151"/>
  <c r="G27" i="151"/>
  <c r="H26" i="151"/>
  <c r="G26" i="151"/>
  <c r="H25" i="151"/>
  <c r="H24" i="151"/>
  <c r="F24" i="151"/>
  <c r="D24" i="151"/>
  <c r="H23" i="151"/>
  <c r="H22" i="151"/>
  <c r="G22" i="151"/>
  <c r="H21" i="151"/>
  <c r="G21" i="151"/>
  <c r="D21" i="151"/>
  <c r="H20" i="151"/>
  <c r="G20" i="151"/>
  <c r="D20" i="151"/>
  <c r="H19" i="151"/>
  <c r="G19" i="151"/>
  <c r="D19" i="151"/>
  <c r="H18" i="151"/>
  <c r="H17" i="151"/>
  <c r="G17" i="151"/>
  <c r="D17" i="151"/>
  <c r="H16" i="151"/>
  <c r="G16" i="151"/>
  <c r="D16" i="151"/>
  <c r="H15" i="151"/>
  <c r="H14" i="151"/>
  <c r="G14" i="151"/>
  <c r="D14" i="151"/>
  <c r="H13" i="151"/>
  <c r="H12" i="151"/>
  <c r="G12" i="151"/>
  <c r="H11" i="151"/>
  <c r="H10" i="151"/>
  <c r="G10" i="151"/>
  <c r="D10" i="151"/>
  <c r="H9" i="151"/>
  <c r="G9" i="151"/>
  <c r="D9" i="151"/>
  <c r="H8" i="151"/>
  <c r="G8" i="151"/>
  <c r="H7" i="151"/>
  <c r="G7" i="151"/>
  <c r="D7" i="151"/>
  <c r="H6" i="151"/>
  <c r="G6" i="151"/>
  <c r="H5" i="151"/>
  <c r="G5" i="151"/>
  <c r="D5" i="151"/>
  <c r="Y11" i="150"/>
  <c r="Y10" i="150"/>
  <c r="Y9" i="150"/>
  <c r="W9" i="150"/>
  <c r="R9" i="150"/>
  <c r="O9" i="150"/>
  <c r="N9" i="150"/>
  <c r="L9" i="150"/>
  <c r="K9" i="150"/>
  <c r="J9" i="150"/>
  <c r="H9" i="150"/>
  <c r="G9" i="150"/>
  <c r="E9" i="150"/>
  <c r="Y8" i="150"/>
  <c r="X8" i="150"/>
  <c r="R8" i="150"/>
  <c r="O8" i="150"/>
  <c r="N8" i="150"/>
  <c r="L8" i="150"/>
  <c r="K8" i="150"/>
  <c r="J8" i="150"/>
  <c r="H8" i="150"/>
  <c r="G8" i="150"/>
  <c r="E8" i="150"/>
  <c r="Y7" i="150"/>
  <c r="X7" i="150"/>
  <c r="T7" i="150"/>
  <c r="R7" i="150"/>
  <c r="O7" i="150"/>
  <c r="N7" i="150"/>
  <c r="L7" i="150"/>
  <c r="K7" i="150"/>
  <c r="J7" i="150"/>
  <c r="H7" i="150"/>
  <c r="G7" i="150"/>
  <c r="E7" i="150"/>
  <c r="L3" i="150"/>
  <c r="E3" i="150"/>
  <c r="L1" i="150"/>
  <c r="F195" i="144"/>
  <c r="E195" i="144"/>
  <c r="C195" i="144"/>
  <c r="F194" i="144"/>
  <c r="E194" i="144"/>
  <c r="F193" i="144"/>
  <c r="F192" i="144"/>
  <c r="F191" i="144"/>
  <c r="F190" i="144"/>
  <c r="F189" i="144"/>
  <c r="F188" i="144"/>
  <c r="F187" i="144"/>
  <c r="F186" i="144"/>
  <c r="F185" i="144"/>
  <c r="F184" i="144"/>
  <c r="F183" i="144"/>
  <c r="F182" i="144"/>
  <c r="F181" i="144"/>
  <c r="F180" i="144"/>
  <c r="F179" i="144"/>
  <c r="F178" i="144"/>
  <c r="F177" i="144"/>
  <c r="F176" i="144"/>
  <c r="F175" i="144"/>
  <c r="F174" i="144"/>
  <c r="F173" i="144"/>
  <c r="F172" i="144"/>
  <c r="F171" i="144"/>
  <c r="F170" i="144"/>
  <c r="F169" i="144"/>
  <c r="F168" i="144"/>
  <c r="F167" i="144"/>
  <c r="F166" i="144"/>
  <c r="F165" i="144"/>
  <c r="F164" i="144"/>
  <c r="F163" i="144"/>
  <c r="F162" i="144"/>
  <c r="F161" i="144"/>
  <c r="F160" i="144"/>
  <c r="F159" i="144"/>
  <c r="F158" i="144"/>
  <c r="F157" i="144"/>
  <c r="F156" i="144"/>
  <c r="F155" i="144"/>
  <c r="F154" i="144"/>
  <c r="F153" i="144"/>
  <c r="F152" i="144"/>
  <c r="F151" i="144"/>
  <c r="F150" i="144"/>
  <c r="F149" i="144"/>
  <c r="F148" i="144"/>
  <c r="F147" i="144"/>
  <c r="F146" i="144"/>
  <c r="F145" i="144"/>
  <c r="F144" i="144"/>
  <c r="F143" i="144"/>
  <c r="F142" i="144"/>
  <c r="F141" i="144"/>
  <c r="F140" i="144"/>
  <c r="F139" i="144"/>
  <c r="F138" i="144"/>
  <c r="F137" i="144"/>
  <c r="F135" i="144"/>
  <c r="F132" i="144"/>
  <c r="E132" i="144"/>
  <c r="F131" i="144"/>
  <c r="F130" i="144"/>
  <c r="F129" i="144"/>
  <c r="F128" i="144"/>
  <c r="F127" i="144"/>
  <c r="F126" i="144"/>
  <c r="F124" i="144"/>
  <c r="F123" i="144"/>
  <c r="F122" i="144"/>
  <c r="F119" i="144"/>
  <c r="E119" i="144"/>
  <c r="F118" i="144"/>
  <c r="F117" i="144"/>
  <c r="F116" i="144"/>
  <c r="F113" i="144"/>
  <c r="E113" i="144"/>
  <c r="F112" i="144"/>
  <c r="F111" i="144"/>
  <c r="F110" i="144"/>
  <c r="F109" i="144"/>
  <c r="F108" i="144"/>
  <c r="F107" i="144"/>
  <c r="F106" i="144"/>
  <c r="F103" i="144"/>
  <c r="E103" i="144"/>
  <c r="F102" i="144"/>
  <c r="F101" i="144"/>
  <c r="F100" i="144"/>
  <c r="F99" i="144"/>
  <c r="F96" i="144"/>
  <c r="E96" i="144"/>
  <c r="F95" i="144"/>
  <c r="F94" i="144"/>
  <c r="F93" i="144"/>
  <c r="F92" i="144"/>
  <c r="F91" i="144"/>
  <c r="F90" i="144"/>
  <c r="F89" i="144"/>
  <c r="F88" i="144"/>
  <c r="F87" i="144"/>
  <c r="F86" i="144"/>
  <c r="F83" i="144"/>
  <c r="E83" i="144"/>
  <c r="F82" i="144"/>
  <c r="F81" i="144"/>
  <c r="F80" i="144"/>
  <c r="F79" i="144"/>
  <c r="F76" i="144"/>
  <c r="F73" i="144"/>
  <c r="E73" i="144"/>
  <c r="F72" i="144"/>
  <c r="F71" i="144"/>
  <c r="F70" i="144"/>
  <c r="F69" i="144"/>
  <c r="F68" i="144"/>
  <c r="F67" i="144"/>
  <c r="F66" i="144"/>
  <c r="F65" i="144"/>
  <c r="F64" i="144"/>
  <c r="F60" i="144"/>
  <c r="E60" i="144"/>
  <c r="F59" i="144"/>
  <c r="F58" i="144"/>
  <c r="F55" i="144"/>
  <c r="E55" i="144"/>
  <c r="F54" i="144"/>
  <c r="F53" i="144"/>
  <c r="F52" i="144"/>
  <c r="F51" i="144"/>
  <c r="F50" i="144"/>
  <c r="F49" i="144"/>
  <c r="F48" i="144"/>
  <c r="F47" i="144"/>
  <c r="F46" i="144"/>
  <c r="F45" i="144"/>
  <c r="F44" i="144"/>
  <c r="F41" i="144"/>
  <c r="E41" i="144"/>
  <c r="F40" i="144"/>
  <c r="F39" i="144"/>
  <c r="F38" i="144"/>
  <c r="F35" i="144"/>
  <c r="E35" i="144"/>
  <c r="F34" i="144"/>
  <c r="F33" i="144"/>
  <c r="F32" i="144"/>
  <c r="F31" i="144"/>
  <c r="F30" i="144"/>
  <c r="F29" i="144"/>
  <c r="F28" i="144"/>
  <c r="F27" i="144"/>
  <c r="F26" i="144"/>
  <c r="F25" i="144"/>
  <c r="F24" i="144"/>
  <c r="F23" i="144"/>
  <c r="F22" i="144"/>
  <c r="F21" i="144"/>
  <c r="F20" i="144"/>
  <c r="F19" i="144"/>
  <c r="F18" i="144"/>
  <c r="F17" i="144"/>
  <c r="F16" i="144"/>
  <c r="F15" i="144"/>
  <c r="F14" i="144"/>
  <c r="F12" i="144"/>
  <c r="F11" i="144"/>
  <c r="F9" i="144"/>
  <c r="V189" i="147"/>
  <c r="G189" i="147"/>
  <c r="F189" i="147"/>
  <c r="Z188" i="147"/>
  <c r="X188" i="147"/>
  <c r="V188" i="147"/>
  <c r="G188" i="147"/>
  <c r="F188" i="147"/>
  <c r="C188" i="147"/>
  <c r="AB187" i="147"/>
  <c r="Z187" i="147"/>
  <c r="X187" i="147"/>
  <c r="V187" i="147"/>
  <c r="T187" i="147"/>
  <c r="S187" i="147"/>
  <c r="R187" i="147"/>
  <c r="Q187" i="147"/>
  <c r="P187" i="147"/>
  <c r="O187" i="147"/>
  <c r="N187" i="147"/>
  <c r="M187" i="147"/>
  <c r="L187" i="147"/>
  <c r="I187" i="147"/>
  <c r="G187" i="147"/>
  <c r="E187" i="147"/>
  <c r="AB186" i="147"/>
  <c r="Z186" i="147"/>
  <c r="X186" i="147"/>
  <c r="V186" i="147"/>
  <c r="T186" i="147"/>
  <c r="S186" i="147"/>
  <c r="R186" i="147"/>
  <c r="Q186" i="147"/>
  <c r="P186" i="147"/>
  <c r="O186" i="147"/>
  <c r="N186" i="147"/>
  <c r="M186" i="147"/>
  <c r="L186" i="147"/>
  <c r="I186" i="147"/>
  <c r="G186" i="147"/>
  <c r="E186" i="147"/>
  <c r="AB185" i="147"/>
  <c r="Z185" i="147"/>
  <c r="X185" i="147"/>
  <c r="V185" i="147"/>
  <c r="T185" i="147"/>
  <c r="S185" i="147"/>
  <c r="R185" i="147"/>
  <c r="Q185" i="147"/>
  <c r="P185" i="147"/>
  <c r="O185" i="147"/>
  <c r="N185" i="147"/>
  <c r="M185" i="147"/>
  <c r="L185" i="147"/>
  <c r="I185" i="147"/>
  <c r="G185" i="147"/>
  <c r="E185" i="147"/>
  <c r="AB184" i="147"/>
  <c r="Z184" i="147"/>
  <c r="X184" i="147"/>
  <c r="V184" i="147"/>
  <c r="T184" i="147"/>
  <c r="S184" i="147"/>
  <c r="R184" i="147"/>
  <c r="Q184" i="147"/>
  <c r="P184" i="147"/>
  <c r="O184" i="147"/>
  <c r="N184" i="147"/>
  <c r="M184" i="147"/>
  <c r="L184" i="147"/>
  <c r="I184" i="147"/>
  <c r="G184" i="147"/>
  <c r="E184" i="147"/>
  <c r="AB183" i="147"/>
  <c r="Z183" i="147"/>
  <c r="X183" i="147"/>
  <c r="V183" i="147"/>
  <c r="T183" i="147"/>
  <c r="S183" i="147"/>
  <c r="R183" i="147"/>
  <c r="Q183" i="147"/>
  <c r="P183" i="147"/>
  <c r="O183" i="147"/>
  <c r="N183" i="147"/>
  <c r="M183" i="147"/>
  <c r="L183" i="147"/>
  <c r="I183" i="147"/>
  <c r="G183" i="147"/>
  <c r="E183" i="147"/>
  <c r="AB182" i="147"/>
  <c r="Z182" i="147"/>
  <c r="X182" i="147"/>
  <c r="V182" i="147"/>
  <c r="T182" i="147"/>
  <c r="S182" i="147"/>
  <c r="R182" i="147"/>
  <c r="Q182" i="147"/>
  <c r="P182" i="147"/>
  <c r="O182" i="147"/>
  <c r="N182" i="147"/>
  <c r="M182" i="147"/>
  <c r="L182" i="147"/>
  <c r="I182" i="147"/>
  <c r="E182" i="147"/>
  <c r="AB181" i="147"/>
  <c r="Z181" i="147"/>
  <c r="X181" i="147"/>
  <c r="V181" i="147"/>
  <c r="T181" i="147"/>
  <c r="S181" i="147"/>
  <c r="R181" i="147"/>
  <c r="Q181" i="147"/>
  <c r="P181" i="147"/>
  <c r="O181" i="147"/>
  <c r="N181" i="147"/>
  <c r="M181" i="147"/>
  <c r="L181" i="147"/>
  <c r="I181" i="147"/>
  <c r="E181" i="147"/>
  <c r="AB180" i="147"/>
  <c r="Z180" i="147"/>
  <c r="X180" i="147"/>
  <c r="V180" i="147"/>
  <c r="T180" i="147"/>
  <c r="S180" i="147"/>
  <c r="R180" i="147"/>
  <c r="Q180" i="147"/>
  <c r="P180" i="147"/>
  <c r="O180" i="147"/>
  <c r="N180" i="147"/>
  <c r="M180" i="147"/>
  <c r="L180" i="147"/>
  <c r="I180" i="147"/>
  <c r="E180" i="147"/>
  <c r="AB179" i="147"/>
  <c r="Z179" i="147"/>
  <c r="X179" i="147"/>
  <c r="V179" i="147"/>
  <c r="T179" i="147"/>
  <c r="S179" i="147"/>
  <c r="R179" i="147"/>
  <c r="Q179" i="147"/>
  <c r="P179" i="147"/>
  <c r="O179" i="147"/>
  <c r="N179" i="147"/>
  <c r="M179" i="147"/>
  <c r="L179" i="147"/>
  <c r="I179" i="147"/>
  <c r="E179" i="147"/>
  <c r="AB178" i="147"/>
  <c r="Z178" i="147"/>
  <c r="X178" i="147"/>
  <c r="V178" i="147"/>
  <c r="T178" i="147"/>
  <c r="S178" i="147"/>
  <c r="R178" i="147"/>
  <c r="Q178" i="147"/>
  <c r="P178" i="147"/>
  <c r="O178" i="147"/>
  <c r="N178" i="147"/>
  <c r="M178" i="147"/>
  <c r="L178" i="147"/>
  <c r="I178" i="147"/>
  <c r="E178" i="147"/>
  <c r="AB177" i="147"/>
  <c r="Z177" i="147"/>
  <c r="X177" i="147"/>
  <c r="V177" i="147"/>
  <c r="T177" i="147"/>
  <c r="S177" i="147"/>
  <c r="R177" i="147"/>
  <c r="Q177" i="147"/>
  <c r="P177" i="147"/>
  <c r="O177" i="147"/>
  <c r="N177" i="147"/>
  <c r="M177" i="147"/>
  <c r="L177" i="147"/>
  <c r="I177" i="147"/>
  <c r="E177" i="147"/>
  <c r="AB176" i="147"/>
  <c r="Z176" i="147"/>
  <c r="X176" i="147"/>
  <c r="V176" i="147"/>
  <c r="T176" i="147"/>
  <c r="S176" i="147"/>
  <c r="R176" i="147"/>
  <c r="Q176" i="147"/>
  <c r="P176" i="147"/>
  <c r="O176" i="147"/>
  <c r="N176" i="147"/>
  <c r="M176" i="147"/>
  <c r="L176" i="147"/>
  <c r="I176" i="147"/>
  <c r="E176" i="147"/>
  <c r="AB175" i="147"/>
  <c r="Z175" i="147"/>
  <c r="X175" i="147"/>
  <c r="V175" i="147"/>
  <c r="T175" i="147"/>
  <c r="S175" i="147"/>
  <c r="R175" i="147"/>
  <c r="Q175" i="147"/>
  <c r="P175" i="147"/>
  <c r="O175" i="147"/>
  <c r="N175" i="147"/>
  <c r="M175" i="147"/>
  <c r="L175" i="147"/>
  <c r="I175" i="147"/>
  <c r="E175" i="147"/>
  <c r="AB174" i="147"/>
  <c r="Z174" i="147"/>
  <c r="X174" i="147"/>
  <c r="V174" i="147"/>
  <c r="T174" i="147"/>
  <c r="S174" i="147"/>
  <c r="R174" i="147"/>
  <c r="Q174" i="147"/>
  <c r="P174" i="147"/>
  <c r="O174" i="147"/>
  <c r="N174" i="147"/>
  <c r="M174" i="147"/>
  <c r="L174" i="147"/>
  <c r="I174" i="147"/>
  <c r="E174" i="147"/>
  <c r="AB173" i="147"/>
  <c r="Z173" i="147"/>
  <c r="X173" i="147"/>
  <c r="V173" i="147"/>
  <c r="T173" i="147"/>
  <c r="S173" i="147"/>
  <c r="R173" i="147"/>
  <c r="Q173" i="147"/>
  <c r="P173" i="147"/>
  <c r="O173" i="147"/>
  <c r="N173" i="147"/>
  <c r="M173" i="147"/>
  <c r="L173" i="147"/>
  <c r="I173" i="147"/>
  <c r="E173" i="147"/>
  <c r="AB172" i="147"/>
  <c r="Z172" i="147"/>
  <c r="X172" i="147"/>
  <c r="V172" i="147"/>
  <c r="T172" i="147"/>
  <c r="S172" i="147"/>
  <c r="R172" i="147"/>
  <c r="Q172" i="147"/>
  <c r="P172" i="147"/>
  <c r="O172" i="147"/>
  <c r="N172" i="147"/>
  <c r="M172" i="147"/>
  <c r="L172" i="147"/>
  <c r="I172" i="147"/>
  <c r="E172" i="147"/>
  <c r="AB171" i="147"/>
  <c r="Z171" i="147"/>
  <c r="X171" i="147"/>
  <c r="V171" i="147"/>
  <c r="T171" i="147"/>
  <c r="S171" i="147"/>
  <c r="R171" i="147"/>
  <c r="Q171" i="147"/>
  <c r="P171" i="147"/>
  <c r="O171" i="147"/>
  <c r="N171" i="147"/>
  <c r="M171" i="147"/>
  <c r="L171" i="147"/>
  <c r="I171" i="147"/>
  <c r="E171" i="147"/>
  <c r="AB170" i="147"/>
  <c r="Z170" i="147"/>
  <c r="X170" i="147"/>
  <c r="V170" i="147"/>
  <c r="T170" i="147"/>
  <c r="S170" i="147"/>
  <c r="R170" i="147"/>
  <c r="Q170" i="147"/>
  <c r="P170" i="147"/>
  <c r="O170" i="147"/>
  <c r="N170" i="147"/>
  <c r="M170" i="147"/>
  <c r="L170" i="147"/>
  <c r="I170" i="147"/>
  <c r="E170" i="147"/>
  <c r="AB169" i="147"/>
  <c r="Z169" i="147"/>
  <c r="X169" i="147"/>
  <c r="V169" i="147"/>
  <c r="T169" i="147"/>
  <c r="S169" i="147"/>
  <c r="R169" i="147"/>
  <c r="Q169" i="147"/>
  <c r="P169" i="147"/>
  <c r="O169" i="147"/>
  <c r="N169" i="147"/>
  <c r="M169" i="147"/>
  <c r="L169" i="147"/>
  <c r="I169" i="147"/>
  <c r="E169" i="147"/>
  <c r="AB168" i="147"/>
  <c r="Z168" i="147"/>
  <c r="X168" i="147"/>
  <c r="V168" i="147"/>
  <c r="T168" i="147"/>
  <c r="S168" i="147"/>
  <c r="R168" i="147"/>
  <c r="Q168" i="147"/>
  <c r="P168" i="147"/>
  <c r="O168" i="147"/>
  <c r="N168" i="147"/>
  <c r="M168" i="147"/>
  <c r="L168" i="147"/>
  <c r="I168" i="147"/>
  <c r="E168" i="147"/>
  <c r="AB167" i="147"/>
  <c r="Z167" i="147"/>
  <c r="X167" i="147"/>
  <c r="V167" i="147"/>
  <c r="T167" i="147"/>
  <c r="S167" i="147"/>
  <c r="R167" i="147"/>
  <c r="Q167" i="147"/>
  <c r="P167" i="147"/>
  <c r="O167" i="147"/>
  <c r="N167" i="147"/>
  <c r="M167" i="147"/>
  <c r="L167" i="147"/>
  <c r="I167" i="147"/>
  <c r="E167" i="147"/>
  <c r="AB166" i="147"/>
  <c r="Z166" i="147"/>
  <c r="X166" i="147"/>
  <c r="V166" i="147"/>
  <c r="T166" i="147"/>
  <c r="S166" i="147"/>
  <c r="R166" i="147"/>
  <c r="Q166" i="147"/>
  <c r="P166" i="147"/>
  <c r="O166" i="147"/>
  <c r="N166" i="147"/>
  <c r="M166" i="147"/>
  <c r="L166" i="147"/>
  <c r="I166" i="147"/>
  <c r="E166" i="147"/>
  <c r="AB165" i="147"/>
  <c r="Z165" i="147"/>
  <c r="X165" i="147"/>
  <c r="V165" i="147"/>
  <c r="T165" i="147"/>
  <c r="S165" i="147"/>
  <c r="R165" i="147"/>
  <c r="Q165" i="147"/>
  <c r="P165" i="147"/>
  <c r="O165" i="147"/>
  <c r="N165" i="147"/>
  <c r="M165" i="147"/>
  <c r="L165" i="147"/>
  <c r="I165" i="147"/>
  <c r="E165" i="147"/>
  <c r="AB164" i="147"/>
  <c r="Z164" i="147"/>
  <c r="X164" i="147"/>
  <c r="V164" i="147"/>
  <c r="T164" i="147"/>
  <c r="S164" i="147"/>
  <c r="R164" i="147"/>
  <c r="Q164" i="147"/>
  <c r="P164" i="147"/>
  <c r="O164" i="147"/>
  <c r="N164" i="147"/>
  <c r="M164" i="147"/>
  <c r="L164" i="147"/>
  <c r="I164" i="147"/>
  <c r="E164" i="147"/>
  <c r="AB163" i="147"/>
  <c r="Z163" i="147"/>
  <c r="X163" i="147"/>
  <c r="V163" i="147"/>
  <c r="T163" i="147"/>
  <c r="S163" i="147"/>
  <c r="R163" i="147"/>
  <c r="Q163" i="147"/>
  <c r="P163" i="147"/>
  <c r="O163" i="147"/>
  <c r="N163" i="147"/>
  <c r="M163" i="147"/>
  <c r="L163" i="147"/>
  <c r="I163" i="147"/>
  <c r="E163" i="147"/>
  <c r="AB162" i="147"/>
  <c r="Z162" i="147"/>
  <c r="X162" i="147"/>
  <c r="V162" i="147"/>
  <c r="T162" i="147"/>
  <c r="S162" i="147"/>
  <c r="R162" i="147"/>
  <c r="Q162" i="147"/>
  <c r="P162" i="147"/>
  <c r="O162" i="147"/>
  <c r="N162" i="147"/>
  <c r="M162" i="147"/>
  <c r="L162" i="147"/>
  <c r="I162" i="147"/>
  <c r="E162" i="147"/>
  <c r="AB161" i="147"/>
  <c r="Z161" i="147"/>
  <c r="X161" i="147"/>
  <c r="V161" i="147"/>
  <c r="T161" i="147"/>
  <c r="S161" i="147"/>
  <c r="R161" i="147"/>
  <c r="Q161" i="147"/>
  <c r="P161" i="147"/>
  <c r="O161" i="147"/>
  <c r="N161" i="147"/>
  <c r="M161" i="147"/>
  <c r="L161" i="147"/>
  <c r="I161" i="147"/>
  <c r="E161" i="147"/>
  <c r="AB160" i="147"/>
  <c r="Z160" i="147"/>
  <c r="X160" i="147"/>
  <c r="V160" i="147"/>
  <c r="T160" i="147"/>
  <c r="S160" i="147"/>
  <c r="R160" i="147"/>
  <c r="Q160" i="147"/>
  <c r="P160" i="147"/>
  <c r="O160" i="147"/>
  <c r="N160" i="147"/>
  <c r="M160" i="147"/>
  <c r="L160" i="147"/>
  <c r="I160" i="147"/>
  <c r="F160" i="147"/>
  <c r="E160" i="147"/>
  <c r="AB159" i="147"/>
  <c r="Z159" i="147"/>
  <c r="X159" i="147"/>
  <c r="V159" i="147"/>
  <c r="T159" i="147"/>
  <c r="S159" i="147"/>
  <c r="R159" i="147"/>
  <c r="Q159" i="147"/>
  <c r="P159" i="147"/>
  <c r="O159" i="147"/>
  <c r="N159" i="147"/>
  <c r="M159" i="147"/>
  <c r="L159" i="147"/>
  <c r="I159" i="147"/>
  <c r="E159" i="147"/>
  <c r="AB158" i="147"/>
  <c r="Z158" i="147"/>
  <c r="X158" i="147"/>
  <c r="V158" i="147"/>
  <c r="T158" i="147"/>
  <c r="S158" i="147"/>
  <c r="R158" i="147"/>
  <c r="Q158" i="147"/>
  <c r="P158" i="147"/>
  <c r="O158" i="147"/>
  <c r="N158" i="147"/>
  <c r="M158" i="147"/>
  <c r="L158" i="147"/>
  <c r="I158" i="147"/>
  <c r="E158" i="147"/>
  <c r="AB157" i="147"/>
  <c r="Z157" i="147"/>
  <c r="X157" i="147"/>
  <c r="V157" i="147"/>
  <c r="T157" i="147"/>
  <c r="S157" i="147"/>
  <c r="R157" i="147"/>
  <c r="Q157" i="147"/>
  <c r="P157" i="147"/>
  <c r="O157" i="147"/>
  <c r="N157" i="147"/>
  <c r="M157" i="147"/>
  <c r="L157" i="147"/>
  <c r="I157" i="147"/>
  <c r="F157" i="147"/>
  <c r="E157" i="147"/>
  <c r="AB156" i="147"/>
  <c r="Z156" i="147"/>
  <c r="X156" i="147"/>
  <c r="V156" i="147"/>
  <c r="T156" i="147"/>
  <c r="S156" i="147"/>
  <c r="R156" i="147"/>
  <c r="Q156" i="147"/>
  <c r="P156" i="147"/>
  <c r="O156" i="147"/>
  <c r="N156" i="147"/>
  <c r="M156" i="147"/>
  <c r="L156" i="147"/>
  <c r="I156" i="147"/>
  <c r="E156" i="147"/>
  <c r="AB155" i="147"/>
  <c r="Z155" i="147"/>
  <c r="X155" i="147"/>
  <c r="V155" i="147"/>
  <c r="T155" i="147"/>
  <c r="S155" i="147"/>
  <c r="R155" i="147"/>
  <c r="Q155" i="147"/>
  <c r="P155" i="147"/>
  <c r="O155" i="147"/>
  <c r="N155" i="147"/>
  <c r="M155" i="147"/>
  <c r="L155" i="147"/>
  <c r="I155" i="147"/>
  <c r="E155" i="147"/>
  <c r="AB154" i="147"/>
  <c r="Z154" i="147"/>
  <c r="X154" i="147"/>
  <c r="V154" i="147"/>
  <c r="T154" i="147"/>
  <c r="S154" i="147"/>
  <c r="R154" i="147"/>
  <c r="Q154" i="147"/>
  <c r="P154" i="147"/>
  <c r="O154" i="147"/>
  <c r="N154" i="147"/>
  <c r="M154" i="147"/>
  <c r="L154" i="147"/>
  <c r="I154" i="147"/>
  <c r="E154" i="147"/>
  <c r="AB153" i="147"/>
  <c r="Z153" i="147"/>
  <c r="X153" i="147"/>
  <c r="V153" i="147"/>
  <c r="T153" i="147"/>
  <c r="S153" i="147"/>
  <c r="R153" i="147"/>
  <c r="Q153" i="147"/>
  <c r="P153" i="147"/>
  <c r="O153" i="147"/>
  <c r="N153" i="147"/>
  <c r="M153" i="147"/>
  <c r="L153" i="147"/>
  <c r="I153" i="147"/>
  <c r="E153" i="147"/>
  <c r="AB152" i="147"/>
  <c r="Z152" i="147"/>
  <c r="X152" i="147"/>
  <c r="V152" i="147"/>
  <c r="T152" i="147"/>
  <c r="S152" i="147"/>
  <c r="R152" i="147"/>
  <c r="Q152" i="147"/>
  <c r="P152" i="147"/>
  <c r="O152" i="147"/>
  <c r="N152" i="147"/>
  <c r="M152" i="147"/>
  <c r="L152" i="147"/>
  <c r="I152" i="147"/>
  <c r="E152" i="147"/>
  <c r="AB151" i="147"/>
  <c r="Z151" i="147"/>
  <c r="X151" i="147"/>
  <c r="V151" i="147"/>
  <c r="T151" i="147"/>
  <c r="S151" i="147"/>
  <c r="R151" i="147"/>
  <c r="Q151" i="147"/>
  <c r="P151" i="147"/>
  <c r="O151" i="147"/>
  <c r="N151" i="147"/>
  <c r="M151" i="147"/>
  <c r="L151" i="147"/>
  <c r="I151" i="147"/>
  <c r="E151" i="147"/>
  <c r="AB150" i="147"/>
  <c r="Z150" i="147"/>
  <c r="X150" i="147"/>
  <c r="V150" i="147"/>
  <c r="T150" i="147"/>
  <c r="S150" i="147"/>
  <c r="R150" i="147"/>
  <c r="Q150" i="147"/>
  <c r="P150" i="147"/>
  <c r="O150" i="147"/>
  <c r="N150" i="147"/>
  <c r="M150" i="147"/>
  <c r="L150" i="147"/>
  <c r="I150" i="147"/>
  <c r="E150" i="147"/>
  <c r="AB149" i="147"/>
  <c r="Z149" i="147"/>
  <c r="X149" i="147"/>
  <c r="V149" i="147"/>
  <c r="T149" i="147"/>
  <c r="S149" i="147"/>
  <c r="R149" i="147"/>
  <c r="Q149" i="147"/>
  <c r="P149" i="147"/>
  <c r="O149" i="147"/>
  <c r="N149" i="147"/>
  <c r="M149" i="147"/>
  <c r="L149" i="147"/>
  <c r="I149" i="147"/>
  <c r="F149" i="147"/>
  <c r="E149" i="147"/>
  <c r="AB148" i="147"/>
  <c r="Z148" i="147"/>
  <c r="X148" i="147"/>
  <c r="V148" i="147"/>
  <c r="T148" i="147"/>
  <c r="S148" i="147"/>
  <c r="R148" i="147"/>
  <c r="Q148" i="147"/>
  <c r="P148" i="147"/>
  <c r="O148" i="147"/>
  <c r="N148" i="147"/>
  <c r="M148" i="147"/>
  <c r="L148" i="147"/>
  <c r="I148" i="147"/>
  <c r="E148" i="147"/>
  <c r="AB147" i="147"/>
  <c r="Z147" i="147"/>
  <c r="X147" i="147"/>
  <c r="V147" i="147"/>
  <c r="T147" i="147"/>
  <c r="S147" i="147"/>
  <c r="R147" i="147"/>
  <c r="Q147" i="147"/>
  <c r="P147" i="147"/>
  <c r="O147" i="147"/>
  <c r="N147" i="147"/>
  <c r="M147" i="147"/>
  <c r="L147" i="147"/>
  <c r="I147" i="147"/>
  <c r="E147" i="147"/>
  <c r="AB146" i="147"/>
  <c r="Z146" i="147"/>
  <c r="X146" i="147"/>
  <c r="V146" i="147"/>
  <c r="T146" i="147"/>
  <c r="S146" i="147"/>
  <c r="R146" i="147"/>
  <c r="Q146" i="147"/>
  <c r="P146" i="147"/>
  <c r="O146" i="147"/>
  <c r="N146" i="147"/>
  <c r="M146" i="147"/>
  <c r="L146" i="147"/>
  <c r="I146" i="147"/>
  <c r="E146" i="147"/>
  <c r="AB145" i="147"/>
  <c r="Z145" i="147"/>
  <c r="X145" i="147"/>
  <c r="V145" i="147"/>
  <c r="T145" i="147"/>
  <c r="S145" i="147"/>
  <c r="R145" i="147"/>
  <c r="Q145" i="147"/>
  <c r="P145" i="147"/>
  <c r="O145" i="147"/>
  <c r="N145" i="147"/>
  <c r="M145" i="147"/>
  <c r="L145" i="147"/>
  <c r="I145" i="147"/>
  <c r="E145" i="147"/>
  <c r="AB144" i="147"/>
  <c r="Z144" i="147"/>
  <c r="X144" i="147"/>
  <c r="V144" i="147"/>
  <c r="T144" i="147"/>
  <c r="S144" i="147"/>
  <c r="R144" i="147"/>
  <c r="Q144" i="147"/>
  <c r="P144" i="147"/>
  <c r="O144" i="147"/>
  <c r="N144" i="147"/>
  <c r="M144" i="147"/>
  <c r="L144" i="147"/>
  <c r="I144" i="147"/>
  <c r="E144" i="147"/>
  <c r="AB143" i="147"/>
  <c r="Z143" i="147"/>
  <c r="X143" i="147"/>
  <c r="V143" i="147"/>
  <c r="T143" i="147"/>
  <c r="S143" i="147"/>
  <c r="R143" i="147"/>
  <c r="Q143" i="147"/>
  <c r="P143" i="147"/>
  <c r="O143" i="147"/>
  <c r="N143" i="147"/>
  <c r="M143" i="147"/>
  <c r="L143" i="147"/>
  <c r="I143" i="147"/>
  <c r="F143" i="147"/>
  <c r="E143" i="147"/>
  <c r="AB142" i="147"/>
  <c r="Z142" i="147"/>
  <c r="X142" i="147"/>
  <c r="V142" i="147"/>
  <c r="T142" i="147"/>
  <c r="S142" i="147"/>
  <c r="R142" i="147"/>
  <c r="Q142" i="147"/>
  <c r="P142" i="147"/>
  <c r="O142" i="147"/>
  <c r="N142" i="147"/>
  <c r="M142" i="147"/>
  <c r="L142" i="147"/>
  <c r="I142" i="147"/>
  <c r="E142" i="147"/>
  <c r="AB141" i="147"/>
  <c r="Z141" i="147"/>
  <c r="X141" i="147"/>
  <c r="V141" i="147"/>
  <c r="U141" i="147"/>
  <c r="T141" i="147"/>
  <c r="S141" i="147"/>
  <c r="R141" i="147"/>
  <c r="Q141" i="147"/>
  <c r="P141" i="147"/>
  <c r="O141" i="147"/>
  <c r="N141" i="147"/>
  <c r="M141" i="147"/>
  <c r="L141" i="147"/>
  <c r="I141" i="147"/>
  <c r="E141" i="147"/>
  <c r="AB140" i="147"/>
  <c r="Z140" i="147"/>
  <c r="X140" i="147"/>
  <c r="V140" i="147"/>
  <c r="U140" i="147"/>
  <c r="T140" i="147"/>
  <c r="S140" i="147"/>
  <c r="R140" i="147"/>
  <c r="Q140" i="147"/>
  <c r="P140" i="147"/>
  <c r="O140" i="147"/>
  <c r="N140" i="147"/>
  <c r="M140" i="147"/>
  <c r="L140" i="147"/>
  <c r="I140" i="147"/>
  <c r="F140" i="147"/>
  <c r="E140" i="147"/>
  <c r="AB139" i="147"/>
  <c r="Z139" i="147"/>
  <c r="X139" i="147"/>
  <c r="V139" i="147"/>
  <c r="U139" i="147"/>
  <c r="T139" i="147"/>
  <c r="S139" i="147"/>
  <c r="R139" i="147"/>
  <c r="Q139" i="147"/>
  <c r="P139" i="147"/>
  <c r="O139" i="147"/>
  <c r="N139" i="147"/>
  <c r="M139" i="147"/>
  <c r="L139" i="147"/>
  <c r="I139" i="147"/>
  <c r="F139" i="147"/>
  <c r="E139" i="147"/>
  <c r="AB138" i="147"/>
  <c r="Z138" i="147"/>
  <c r="X138" i="147"/>
  <c r="V138" i="147"/>
  <c r="U138" i="147"/>
  <c r="T138" i="147"/>
  <c r="S138" i="147"/>
  <c r="R138" i="147"/>
  <c r="Q138" i="147"/>
  <c r="P138" i="147"/>
  <c r="O138" i="147"/>
  <c r="N138" i="147"/>
  <c r="M138" i="147"/>
  <c r="L138" i="147"/>
  <c r="I138" i="147"/>
  <c r="E138" i="147"/>
  <c r="AB137" i="147"/>
  <c r="Z137" i="147"/>
  <c r="X137" i="147"/>
  <c r="V137" i="147"/>
  <c r="U137" i="147"/>
  <c r="T137" i="147"/>
  <c r="S137" i="147"/>
  <c r="R137" i="147"/>
  <c r="Q137" i="147"/>
  <c r="P137" i="147"/>
  <c r="O137" i="147"/>
  <c r="N137" i="147"/>
  <c r="M137" i="147"/>
  <c r="L137" i="147"/>
  <c r="I137" i="147"/>
  <c r="E137" i="147"/>
  <c r="AB136" i="147"/>
  <c r="Z136" i="147"/>
  <c r="X136" i="147"/>
  <c r="V136" i="147"/>
  <c r="U136" i="147"/>
  <c r="T136" i="147"/>
  <c r="S136" i="147"/>
  <c r="R136" i="147"/>
  <c r="Q136" i="147"/>
  <c r="P136" i="147"/>
  <c r="O136" i="147"/>
  <c r="N136" i="147"/>
  <c r="M136" i="147"/>
  <c r="L136" i="147"/>
  <c r="I136" i="147"/>
  <c r="E136" i="147"/>
  <c r="AB135" i="147"/>
  <c r="Z135" i="147"/>
  <c r="X135" i="147"/>
  <c r="V135" i="147"/>
  <c r="U135" i="147"/>
  <c r="T135" i="147"/>
  <c r="S135" i="147"/>
  <c r="R135" i="147"/>
  <c r="Q135" i="147"/>
  <c r="P135" i="147"/>
  <c r="O135" i="147"/>
  <c r="N135" i="147"/>
  <c r="M135" i="147"/>
  <c r="L135" i="147"/>
  <c r="I135" i="147"/>
  <c r="F135" i="147"/>
  <c r="E135" i="147"/>
  <c r="AB134" i="147"/>
  <c r="Z134" i="147"/>
  <c r="X134" i="147"/>
  <c r="V134" i="147"/>
  <c r="U134" i="147"/>
  <c r="T134" i="147"/>
  <c r="S134" i="147"/>
  <c r="R134" i="147"/>
  <c r="Q134" i="147"/>
  <c r="P134" i="147"/>
  <c r="O134" i="147"/>
  <c r="N134" i="147"/>
  <c r="M134" i="147"/>
  <c r="L134" i="147"/>
  <c r="I134" i="147"/>
  <c r="F134" i="147"/>
  <c r="E134" i="147"/>
  <c r="AB133" i="147"/>
  <c r="Z133" i="147"/>
  <c r="X133" i="147"/>
  <c r="V133" i="147"/>
  <c r="U133" i="147"/>
  <c r="T133" i="147"/>
  <c r="S133" i="147"/>
  <c r="R133" i="147"/>
  <c r="Q133" i="147"/>
  <c r="P133" i="147"/>
  <c r="O133" i="147"/>
  <c r="N133" i="147"/>
  <c r="M133" i="147"/>
  <c r="L133" i="147"/>
  <c r="I133" i="147"/>
  <c r="F133" i="147"/>
  <c r="E133" i="147"/>
  <c r="AB132" i="147"/>
  <c r="Z132" i="147"/>
  <c r="X132" i="147"/>
  <c r="V132" i="147"/>
  <c r="U132" i="147"/>
  <c r="T132" i="147"/>
  <c r="S132" i="147"/>
  <c r="R132" i="147"/>
  <c r="Q132" i="147"/>
  <c r="P132" i="147"/>
  <c r="O132" i="147"/>
  <c r="N132" i="147"/>
  <c r="M132" i="147"/>
  <c r="L132" i="147"/>
  <c r="I132" i="147"/>
  <c r="F132" i="147"/>
  <c r="E132" i="147"/>
  <c r="AB131" i="147"/>
  <c r="Z131" i="147"/>
  <c r="X131" i="147"/>
  <c r="V131" i="147"/>
  <c r="U131" i="147"/>
  <c r="T131" i="147"/>
  <c r="S131" i="147"/>
  <c r="R131" i="147"/>
  <c r="Q131" i="147"/>
  <c r="P131" i="147"/>
  <c r="O131" i="147"/>
  <c r="N131" i="147"/>
  <c r="M131" i="147"/>
  <c r="L131" i="147"/>
  <c r="I131" i="147"/>
  <c r="F131" i="147"/>
  <c r="E131" i="147"/>
  <c r="AB130" i="147"/>
  <c r="Z130" i="147"/>
  <c r="X130" i="147"/>
  <c r="V130" i="147"/>
  <c r="U130" i="147"/>
  <c r="T130" i="147"/>
  <c r="S130" i="147"/>
  <c r="R130" i="147"/>
  <c r="Q130" i="147"/>
  <c r="P130" i="147"/>
  <c r="O130" i="147"/>
  <c r="N130" i="147"/>
  <c r="M130" i="147"/>
  <c r="L130" i="147"/>
  <c r="I130" i="147"/>
  <c r="E130" i="147"/>
  <c r="AB129" i="147"/>
  <c r="Z129" i="147"/>
  <c r="X129" i="147"/>
  <c r="V129" i="147"/>
  <c r="U129" i="147"/>
  <c r="T129" i="147"/>
  <c r="S129" i="147"/>
  <c r="R129" i="147"/>
  <c r="Q129" i="147"/>
  <c r="P129" i="147"/>
  <c r="O129" i="147"/>
  <c r="N129" i="147"/>
  <c r="M129" i="147"/>
  <c r="L129" i="147"/>
  <c r="I129" i="147"/>
  <c r="E129" i="147"/>
  <c r="AB125" i="147"/>
  <c r="Z125" i="147"/>
  <c r="X125" i="147"/>
  <c r="V125" i="147"/>
  <c r="T125" i="147"/>
  <c r="S125" i="147"/>
  <c r="R125" i="147"/>
  <c r="Q125" i="147"/>
  <c r="P125" i="147"/>
  <c r="O125" i="147"/>
  <c r="N125" i="147"/>
  <c r="M125" i="147"/>
  <c r="L125" i="147"/>
  <c r="I125" i="147"/>
  <c r="E125" i="147"/>
  <c r="AB124" i="147"/>
  <c r="Z124" i="147"/>
  <c r="X124" i="147"/>
  <c r="V124" i="147"/>
  <c r="T124" i="147"/>
  <c r="S124" i="147"/>
  <c r="R124" i="147"/>
  <c r="Q124" i="147"/>
  <c r="P124" i="147"/>
  <c r="O124" i="147"/>
  <c r="N124" i="147"/>
  <c r="M124" i="147"/>
  <c r="L124" i="147"/>
  <c r="I124" i="147"/>
  <c r="E124" i="147"/>
  <c r="AB123" i="147"/>
  <c r="Z123" i="147"/>
  <c r="X123" i="147"/>
  <c r="V123" i="147"/>
  <c r="T123" i="147"/>
  <c r="S123" i="147"/>
  <c r="R123" i="147"/>
  <c r="Q123" i="147"/>
  <c r="P123" i="147"/>
  <c r="O123" i="147"/>
  <c r="N123" i="147"/>
  <c r="M123" i="147"/>
  <c r="L123" i="147"/>
  <c r="I123" i="147"/>
  <c r="E123" i="147"/>
  <c r="AB122" i="147"/>
  <c r="Z122" i="147"/>
  <c r="X122" i="147"/>
  <c r="V122" i="147"/>
  <c r="U122" i="147"/>
  <c r="T122" i="147"/>
  <c r="S122" i="147"/>
  <c r="R122" i="147"/>
  <c r="Q122" i="147"/>
  <c r="P122" i="147"/>
  <c r="O122" i="147"/>
  <c r="N122" i="147"/>
  <c r="M122" i="147"/>
  <c r="L122" i="147"/>
  <c r="I122" i="147"/>
  <c r="F122" i="147"/>
  <c r="E122" i="147"/>
  <c r="AB121" i="147"/>
  <c r="Z121" i="147"/>
  <c r="X121" i="147"/>
  <c r="V121" i="147"/>
  <c r="U121" i="147"/>
  <c r="T121" i="147"/>
  <c r="S121" i="147"/>
  <c r="R121" i="147"/>
  <c r="Q121" i="147"/>
  <c r="P121" i="147"/>
  <c r="O121" i="147"/>
  <c r="N121" i="147"/>
  <c r="M121" i="147"/>
  <c r="L121" i="147"/>
  <c r="I121" i="147"/>
  <c r="F121" i="147"/>
  <c r="E121" i="147"/>
  <c r="AB120" i="147"/>
  <c r="Z120" i="147"/>
  <c r="X120" i="147"/>
  <c r="V120" i="147"/>
  <c r="U120" i="147"/>
  <c r="T120" i="147"/>
  <c r="S120" i="147"/>
  <c r="R120" i="147"/>
  <c r="Q120" i="147"/>
  <c r="P120" i="147"/>
  <c r="O120" i="147"/>
  <c r="N120" i="147"/>
  <c r="M120" i="147"/>
  <c r="L120" i="147"/>
  <c r="I120" i="147"/>
  <c r="E120" i="147"/>
  <c r="AB119" i="147"/>
  <c r="Z119" i="147"/>
  <c r="X119" i="147"/>
  <c r="V119" i="147"/>
  <c r="U119" i="147"/>
  <c r="T119" i="147"/>
  <c r="S119" i="147"/>
  <c r="R119" i="147"/>
  <c r="Q119" i="147"/>
  <c r="P119" i="147"/>
  <c r="O119" i="147"/>
  <c r="N119" i="147"/>
  <c r="M119" i="147"/>
  <c r="L119" i="147"/>
  <c r="I119" i="147"/>
  <c r="E119" i="147"/>
  <c r="AB118" i="147"/>
  <c r="Z118" i="147"/>
  <c r="X118" i="147"/>
  <c r="V118" i="147"/>
  <c r="U118" i="147"/>
  <c r="T118" i="147"/>
  <c r="S118" i="147"/>
  <c r="R118" i="147"/>
  <c r="Q118" i="147"/>
  <c r="P118" i="147"/>
  <c r="O118" i="147"/>
  <c r="N118" i="147"/>
  <c r="M118" i="147"/>
  <c r="L118" i="147"/>
  <c r="I118" i="147"/>
  <c r="F118" i="147"/>
  <c r="E118" i="147"/>
  <c r="AB117" i="147"/>
  <c r="Z117" i="147"/>
  <c r="X117" i="147"/>
  <c r="V117" i="147"/>
  <c r="U117" i="147"/>
  <c r="T117" i="147"/>
  <c r="S117" i="147"/>
  <c r="R117" i="147"/>
  <c r="Q117" i="147"/>
  <c r="P117" i="147"/>
  <c r="O117" i="147"/>
  <c r="N117" i="147"/>
  <c r="M117" i="147"/>
  <c r="L117" i="147"/>
  <c r="I117" i="147"/>
  <c r="F117" i="147"/>
  <c r="E117" i="147"/>
  <c r="AB116" i="147"/>
  <c r="Z116" i="147"/>
  <c r="X116" i="147"/>
  <c r="V116" i="147"/>
  <c r="U116" i="147"/>
  <c r="T116" i="147"/>
  <c r="S116" i="147"/>
  <c r="R116" i="147"/>
  <c r="Q116" i="147"/>
  <c r="P116" i="147"/>
  <c r="O116" i="147"/>
  <c r="N116" i="147"/>
  <c r="M116" i="147"/>
  <c r="L116" i="147"/>
  <c r="I116" i="147"/>
  <c r="F116" i="147"/>
  <c r="E116" i="147"/>
  <c r="AB112" i="147"/>
  <c r="Z112" i="147"/>
  <c r="X112" i="147"/>
  <c r="V112" i="147"/>
  <c r="U112" i="147"/>
  <c r="T112" i="147"/>
  <c r="S112" i="147"/>
  <c r="R112" i="147"/>
  <c r="Q112" i="147"/>
  <c r="P112" i="147"/>
  <c r="O112" i="147"/>
  <c r="N112" i="147"/>
  <c r="M112" i="147"/>
  <c r="L112" i="147"/>
  <c r="I112" i="147"/>
  <c r="F112" i="147"/>
  <c r="E112" i="147"/>
  <c r="AB111" i="147"/>
  <c r="Z111" i="147"/>
  <c r="X111" i="147"/>
  <c r="V111" i="147"/>
  <c r="U111" i="147"/>
  <c r="T111" i="147"/>
  <c r="S111" i="147"/>
  <c r="R111" i="147"/>
  <c r="Q111" i="147"/>
  <c r="P111" i="147"/>
  <c r="O111" i="147"/>
  <c r="N111" i="147"/>
  <c r="M111" i="147"/>
  <c r="L111" i="147"/>
  <c r="I111" i="147"/>
  <c r="E111" i="147"/>
  <c r="AB110" i="147"/>
  <c r="Z110" i="147"/>
  <c r="X110" i="147"/>
  <c r="V110" i="147"/>
  <c r="U110" i="147"/>
  <c r="T110" i="147"/>
  <c r="S110" i="147"/>
  <c r="R110" i="147"/>
  <c r="Q110" i="147"/>
  <c r="P110" i="147"/>
  <c r="O110" i="147"/>
  <c r="N110" i="147"/>
  <c r="M110" i="147"/>
  <c r="L110" i="147"/>
  <c r="I110" i="147"/>
  <c r="F110" i="147"/>
  <c r="E110" i="147"/>
  <c r="AB106" i="147"/>
  <c r="Z106" i="147"/>
  <c r="X106" i="147"/>
  <c r="V106" i="147"/>
  <c r="T106" i="147"/>
  <c r="S106" i="147"/>
  <c r="R106" i="147"/>
  <c r="Q106" i="147"/>
  <c r="P106" i="147"/>
  <c r="O106" i="147"/>
  <c r="N106" i="147"/>
  <c r="M106" i="147"/>
  <c r="L106" i="147"/>
  <c r="I106" i="147"/>
  <c r="E106" i="147"/>
  <c r="AB105" i="147"/>
  <c r="Z105" i="147"/>
  <c r="X105" i="147"/>
  <c r="V105" i="147"/>
  <c r="T105" i="147"/>
  <c r="S105" i="147"/>
  <c r="R105" i="147"/>
  <c r="Q105" i="147"/>
  <c r="P105" i="147"/>
  <c r="O105" i="147"/>
  <c r="N105" i="147"/>
  <c r="M105" i="147"/>
  <c r="L105" i="147"/>
  <c r="I105" i="147"/>
  <c r="E105" i="147"/>
  <c r="AB104" i="147"/>
  <c r="Z104" i="147"/>
  <c r="X104" i="147"/>
  <c r="V104" i="147"/>
  <c r="U104" i="147"/>
  <c r="T104" i="147"/>
  <c r="S104" i="147"/>
  <c r="R104" i="147"/>
  <c r="Q104" i="147"/>
  <c r="P104" i="147"/>
  <c r="O104" i="147"/>
  <c r="N104" i="147"/>
  <c r="M104" i="147"/>
  <c r="L104" i="147"/>
  <c r="I104" i="147"/>
  <c r="E104" i="147"/>
  <c r="AB103" i="147"/>
  <c r="Z103" i="147"/>
  <c r="X103" i="147"/>
  <c r="V103" i="147"/>
  <c r="U103" i="147"/>
  <c r="T103" i="147"/>
  <c r="S103" i="147"/>
  <c r="R103" i="147"/>
  <c r="Q103" i="147"/>
  <c r="P103" i="147"/>
  <c r="O103" i="147"/>
  <c r="N103" i="147"/>
  <c r="M103" i="147"/>
  <c r="L103" i="147"/>
  <c r="I103" i="147"/>
  <c r="E103" i="147"/>
  <c r="AB102" i="147"/>
  <c r="Z102" i="147"/>
  <c r="X102" i="147"/>
  <c r="V102" i="147"/>
  <c r="U102" i="147"/>
  <c r="T102" i="147"/>
  <c r="S102" i="147"/>
  <c r="R102" i="147"/>
  <c r="Q102" i="147"/>
  <c r="P102" i="147"/>
  <c r="O102" i="147"/>
  <c r="N102" i="147"/>
  <c r="M102" i="147"/>
  <c r="L102" i="147"/>
  <c r="I102" i="147"/>
  <c r="F102" i="147"/>
  <c r="E102" i="147"/>
  <c r="AB101" i="147"/>
  <c r="Z101" i="147"/>
  <c r="X101" i="147"/>
  <c r="V101" i="147"/>
  <c r="U101" i="147"/>
  <c r="T101" i="147"/>
  <c r="S101" i="147"/>
  <c r="R101" i="147"/>
  <c r="Q101" i="147"/>
  <c r="P101" i="147"/>
  <c r="O101" i="147"/>
  <c r="N101" i="147"/>
  <c r="M101" i="147"/>
  <c r="L101" i="147"/>
  <c r="I101" i="147"/>
  <c r="F101" i="147"/>
  <c r="E101" i="147"/>
  <c r="AB100" i="147"/>
  <c r="Z100" i="147"/>
  <c r="X100" i="147"/>
  <c r="V100" i="147"/>
  <c r="U100" i="147"/>
  <c r="T100" i="147"/>
  <c r="S100" i="147"/>
  <c r="R100" i="147"/>
  <c r="Q100" i="147"/>
  <c r="P100" i="147"/>
  <c r="O100" i="147"/>
  <c r="N100" i="147"/>
  <c r="M100" i="147"/>
  <c r="L100" i="147"/>
  <c r="I100" i="147"/>
  <c r="E100" i="147"/>
  <c r="AB96" i="147"/>
  <c r="Z96" i="147"/>
  <c r="X96" i="147"/>
  <c r="V96" i="147"/>
  <c r="T96" i="147"/>
  <c r="S96" i="147"/>
  <c r="R96" i="147"/>
  <c r="Q96" i="147"/>
  <c r="P96" i="147"/>
  <c r="O96" i="147"/>
  <c r="N96" i="147"/>
  <c r="M96" i="147"/>
  <c r="L96" i="147"/>
  <c r="I96" i="147"/>
  <c r="E96" i="147"/>
  <c r="AB95" i="147"/>
  <c r="Z95" i="147"/>
  <c r="X95" i="147"/>
  <c r="V95" i="147"/>
  <c r="U95" i="147"/>
  <c r="T95" i="147"/>
  <c r="S95" i="147"/>
  <c r="R95" i="147"/>
  <c r="Q95" i="147"/>
  <c r="P95" i="147"/>
  <c r="O95" i="147"/>
  <c r="N95" i="147"/>
  <c r="M95" i="147"/>
  <c r="L95" i="147"/>
  <c r="I95" i="147"/>
  <c r="E95" i="147"/>
  <c r="AB94" i="147"/>
  <c r="Z94" i="147"/>
  <c r="X94" i="147"/>
  <c r="V94" i="147"/>
  <c r="U94" i="147"/>
  <c r="T94" i="147"/>
  <c r="S94" i="147"/>
  <c r="R94" i="147"/>
  <c r="Q94" i="147"/>
  <c r="P94" i="147"/>
  <c r="O94" i="147"/>
  <c r="N94" i="147"/>
  <c r="M94" i="147"/>
  <c r="L94" i="147"/>
  <c r="I94" i="147"/>
  <c r="E94" i="147"/>
  <c r="AB93" i="147"/>
  <c r="Z93" i="147"/>
  <c r="X93" i="147"/>
  <c r="V93" i="147"/>
  <c r="U93" i="147"/>
  <c r="T93" i="147"/>
  <c r="S93" i="147"/>
  <c r="R93" i="147"/>
  <c r="Q93" i="147"/>
  <c r="P93" i="147"/>
  <c r="O93" i="147"/>
  <c r="N93" i="147"/>
  <c r="M93" i="147"/>
  <c r="L93" i="147"/>
  <c r="I93" i="147"/>
  <c r="F93" i="147"/>
  <c r="E93" i="147"/>
  <c r="AB89" i="147"/>
  <c r="Z89" i="147"/>
  <c r="X89" i="147"/>
  <c r="V89" i="147"/>
  <c r="T89" i="147"/>
  <c r="S89" i="147"/>
  <c r="R89" i="147"/>
  <c r="Q89" i="147"/>
  <c r="P89" i="147"/>
  <c r="O89" i="147"/>
  <c r="N89" i="147"/>
  <c r="M89" i="147"/>
  <c r="L89" i="147"/>
  <c r="I89" i="147"/>
  <c r="E89" i="147"/>
  <c r="AB88" i="147"/>
  <c r="Z88" i="147"/>
  <c r="X88" i="147"/>
  <c r="V88" i="147"/>
  <c r="U88" i="147"/>
  <c r="T88" i="147"/>
  <c r="S88" i="147"/>
  <c r="R88" i="147"/>
  <c r="Q88" i="147"/>
  <c r="P88" i="147"/>
  <c r="O88" i="147"/>
  <c r="N88" i="147"/>
  <c r="M88" i="147"/>
  <c r="L88" i="147"/>
  <c r="I88" i="147"/>
  <c r="E88" i="147"/>
  <c r="AB87" i="147"/>
  <c r="Z87" i="147"/>
  <c r="X87" i="147"/>
  <c r="V87" i="147"/>
  <c r="U87" i="147"/>
  <c r="T87" i="147"/>
  <c r="S87" i="147"/>
  <c r="R87" i="147"/>
  <c r="Q87" i="147"/>
  <c r="P87" i="147"/>
  <c r="O87" i="147"/>
  <c r="N87" i="147"/>
  <c r="M87" i="147"/>
  <c r="L87" i="147"/>
  <c r="I87" i="147"/>
  <c r="F87" i="147"/>
  <c r="E87" i="147"/>
  <c r="AB86" i="147"/>
  <c r="Z86" i="147"/>
  <c r="X86" i="147"/>
  <c r="V86" i="147"/>
  <c r="U86" i="147"/>
  <c r="T86" i="147"/>
  <c r="S86" i="147"/>
  <c r="R86" i="147"/>
  <c r="Q86" i="147"/>
  <c r="P86" i="147"/>
  <c r="O86" i="147"/>
  <c r="N86" i="147"/>
  <c r="M86" i="147"/>
  <c r="L86" i="147"/>
  <c r="I86" i="147"/>
  <c r="G86" i="147"/>
  <c r="E86" i="147"/>
  <c r="AB85" i="147"/>
  <c r="Z85" i="147"/>
  <c r="X85" i="147"/>
  <c r="V85" i="147"/>
  <c r="U85" i="147"/>
  <c r="T85" i="147"/>
  <c r="S85" i="147"/>
  <c r="R85" i="147"/>
  <c r="Q85" i="147"/>
  <c r="P85" i="147"/>
  <c r="O85" i="147"/>
  <c r="N85" i="147"/>
  <c r="M85" i="147"/>
  <c r="L85" i="147"/>
  <c r="I85" i="147"/>
  <c r="E85" i="147"/>
  <c r="AB84" i="147"/>
  <c r="Z84" i="147"/>
  <c r="X84" i="147"/>
  <c r="V84" i="147"/>
  <c r="U84" i="147"/>
  <c r="T84" i="147"/>
  <c r="S84" i="147"/>
  <c r="R84" i="147"/>
  <c r="Q84" i="147"/>
  <c r="P84" i="147"/>
  <c r="O84" i="147"/>
  <c r="N84" i="147"/>
  <c r="M84" i="147"/>
  <c r="L84" i="147"/>
  <c r="I84" i="147"/>
  <c r="E84" i="147"/>
  <c r="AB83" i="147"/>
  <c r="Z83" i="147"/>
  <c r="X83" i="147"/>
  <c r="V83" i="147"/>
  <c r="U83" i="147"/>
  <c r="T83" i="147"/>
  <c r="S83" i="147"/>
  <c r="R83" i="147"/>
  <c r="Q83" i="147"/>
  <c r="P83" i="147"/>
  <c r="O83" i="147"/>
  <c r="N83" i="147"/>
  <c r="M83" i="147"/>
  <c r="L83" i="147"/>
  <c r="I83" i="147"/>
  <c r="E83" i="147"/>
  <c r="AB82" i="147"/>
  <c r="Z82" i="147"/>
  <c r="X82" i="147"/>
  <c r="V82" i="147"/>
  <c r="U82" i="147"/>
  <c r="T82" i="147"/>
  <c r="S82" i="147"/>
  <c r="R82" i="147"/>
  <c r="Q82" i="147"/>
  <c r="P82" i="147"/>
  <c r="O82" i="147"/>
  <c r="N82" i="147"/>
  <c r="M82" i="147"/>
  <c r="L82" i="147"/>
  <c r="I82" i="147"/>
  <c r="E82" i="147"/>
  <c r="AB81" i="147"/>
  <c r="Z81" i="147"/>
  <c r="X81" i="147"/>
  <c r="V81" i="147"/>
  <c r="U81" i="147"/>
  <c r="T81" i="147"/>
  <c r="S81" i="147"/>
  <c r="R81" i="147"/>
  <c r="Q81" i="147"/>
  <c r="P81" i="147"/>
  <c r="O81" i="147"/>
  <c r="N81" i="147"/>
  <c r="M81" i="147"/>
  <c r="L81" i="147"/>
  <c r="I81" i="147"/>
  <c r="F81" i="147"/>
  <c r="E81" i="147"/>
  <c r="AB80" i="147"/>
  <c r="Z80" i="147"/>
  <c r="X80" i="147"/>
  <c r="V80" i="147"/>
  <c r="U80" i="147"/>
  <c r="T80" i="147"/>
  <c r="S80" i="147"/>
  <c r="R80" i="147"/>
  <c r="Q80" i="147"/>
  <c r="P80" i="147"/>
  <c r="O80" i="147"/>
  <c r="N80" i="147"/>
  <c r="M80" i="147"/>
  <c r="L80" i="147"/>
  <c r="I80" i="147"/>
  <c r="E80" i="147"/>
  <c r="AB76" i="147"/>
  <c r="Z76" i="147"/>
  <c r="X76" i="147"/>
  <c r="V76" i="147"/>
  <c r="T76" i="147"/>
  <c r="S76" i="147"/>
  <c r="R76" i="147"/>
  <c r="Q76" i="147"/>
  <c r="P76" i="147"/>
  <c r="O76" i="147"/>
  <c r="N76" i="147"/>
  <c r="M76" i="147"/>
  <c r="L76" i="147"/>
  <c r="I76" i="147"/>
  <c r="E76" i="147"/>
  <c r="AB75" i="147"/>
  <c r="Z75" i="147"/>
  <c r="X75" i="147"/>
  <c r="V75" i="147"/>
  <c r="T75" i="147"/>
  <c r="S75" i="147"/>
  <c r="R75" i="147"/>
  <c r="Q75" i="147"/>
  <c r="P75" i="147"/>
  <c r="O75" i="147"/>
  <c r="N75" i="147"/>
  <c r="M75" i="147"/>
  <c r="L75" i="147"/>
  <c r="I75" i="147"/>
  <c r="E75" i="147"/>
  <c r="AB74" i="147"/>
  <c r="Z74" i="147"/>
  <c r="X74" i="147"/>
  <c r="V74" i="147"/>
  <c r="U74" i="147"/>
  <c r="T74" i="147"/>
  <c r="S74" i="147"/>
  <c r="R74" i="147"/>
  <c r="Q74" i="147"/>
  <c r="P74" i="147"/>
  <c r="O74" i="147"/>
  <c r="N74" i="147"/>
  <c r="M74" i="147"/>
  <c r="L74" i="147"/>
  <c r="I74" i="147"/>
  <c r="E74" i="147"/>
  <c r="AB73" i="147"/>
  <c r="Z73" i="147"/>
  <c r="X73" i="147"/>
  <c r="V73" i="147"/>
  <c r="U73" i="147"/>
  <c r="T73" i="147"/>
  <c r="S73" i="147"/>
  <c r="R73" i="147"/>
  <c r="Q73" i="147"/>
  <c r="P73" i="147"/>
  <c r="O73" i="147"/>
  <c r="N73" i="147"/>
  <c r="M73" i="147"/>
  <c r="L73" i="147"/>
  <c r="I73" i="147"/>
  <c r="F73" i="147"/>
  <c r="E73" i="147"/>
  <c r="AB72" i="147"/>
  <c r="Z72" i="147"/>
  <c r="X72" i="147"/>
  <c r="V72" i="147"/>
  <c r="U72" i="147"/>
  <c r="T72" i="147"/>
  <c r="S72" i="147"/>
  <c r="R72" i="147"/>
  <c r="Q72" i="147"/>
  <c r="P72" i="147"/>
  <c r="O72" i="147"/>
  <c r="N72" i="147"/>
  <c r="M72" i="147"/>
  <c r="L72" i="147"/>
  <c r="I72" i="147"/>
  <c r="E72" i="147"/>
  <c r="C72" i="147"/>
  <c r="AB71" i="147"/>
  <c r="Z71" i="147"/>
  <c r="X71" i="147"/>
  <c r="V71" i="147"/>
  <c r="U71" i="147"/>
  <c r="T71" i="147"/>
  <c r="S71" i="147"/>
  <c r="R71" i="147"/>
  <c r="Q71" i="147"/>
  <c r="P71" i="147"/>
  <c r="O71" i="147"/>
  <c r="N71" i="147"/>
  <c r="M71" i="147"/>
  <c r="L71" i="147"/>
  <c r="I71" i="147"/>
  <c r="E71" i="147"/>
  <c r="AB70" i="147"/>
  <c r="Z70" i="147"/>
  <c r="X70" i="147"/>
  <c r="V70" i="147"/>
  <c r="U70" i="147"/>
  <c r="T70" i="147"/>
  <c r="S70" i="147"/>
  <c r="R70" i="147"/>
  <c r="Q70" i="147"/>
  <c r="P70" i="147"/>
  <c r="O70" i="147"/>
  <c r="N70" i="147"/>
  <c r="M70" i="147"/>
  <c r="L70" i="147"/>
  <c r="I70" i="147"/>
  <c r="E70" i="147"/>
  <c r="AB66" i="147"/>
  <c r="Z66" i="147"/>
  <c r="X66" i="147"/>
  <c r="V66" i="147"/>
  <c r="U66" i="147"/>
  <c r="T66" i="147"/>
  <c r="S66" i="147"/>
  <c r="R66" i="147"/>
  <c r="Q66" i="147"/>
  <c r="P66" i="147"/>
  <c r="O66" i="147"/>
  <c r="N66" i="147"/>
  <c r="M66" i="147"/>
  <c r="L66" i="147"/>
  <c r="I66" i="147"/>
  <c r="E66" i="147"/>
  <c r="AB65" i="147"/>
  <c r="Z65" i="147"/>
  <c r="X65" i="147"/>
  <c r="V65" i="147"/>
  <c r="U65" i="147"/>
  <c r="T65" i="147"/>
  <c r="S65" i="147"/>
  <c r="R65" i="147"/>
  <c r="Q65" i="147"/>
  <c r="P65" i="147"/>
  <c r="O65" i="147"/>
  <c r="N65" i="147"/>
  <c r="M65" i="147"/>
  <c r="L65" i="147"/>
  <c r="I65" i="147"/>
  <c r="E65" i="147"/>
  <c r="AB64" i="147"/>
  <c r="Z64" i="147"/>
  <c r="X64" i="147"/>
  <c r="V64" i="147"/>
  <c r="U64" i="147"/>
  <c r="T64" i="147"/>
  <c r="S64" i="147"/>
  <c r="R64" i="147"/>
  <c r="Q64" i="147"/>
  <c r="P64" i="147"/>
  <c r="O64" i="147"/>
  <c r="N64" i="147"/>
  <c r="M64" i="147"/>
  <c r="L64" i="147"/>
  <c r="I64" i="147"/>
  <c r="E64" i="147"/>
  <c r="AB63" i="147"/>
  <c r="Z63" i="147"/>
  <c r="X63" i="147"/>
  <c r="V63" i="147"/>
  <c r="U63" i="147"/>
  <c r="T63" i="147"/>
  <c r="S63" i="147"/>
  <c r="R63" i="147"/>
  <c r="Q63" i="147"/>
  <c r="P63" i="147"/>
  <c r="O63" i="147"/>
  <c r="N63" i="147"/>
  <c r="M63" i="147"/>
  <c r="L63" i="147"/>
  <c r="I63" i="147"/>
  <c r="E63" i="147"/>
  <c r="AB62" i="147"/>
  <c r="Z62" i="147"/>
  <c r="X62" i="147"/>
  <c r="V62" i="147"/>
  <c r="U62" i="147"/>
  <c r="T62" i="147"/>
  <c r="S62" i="147"/>
  <c r="R62" i="147"/>
  <c r="Q62" i="147"/>
  <c r="P62" i="147"/>
  <c r="O62" i="147"/>
  <c r="N62" i="147"/>
  <c r="M62" i="147"/>
  <c r="L62" i="147"/>
  <c r="I62" i="147"/>
  <c r="E62" i="147"/>
  <c r="AB61" i="147"/>
  <c r="Z61" i="147"/>
  <c r="X61" i="147"/>
  <c r="V61" i="147"/>
  <c r="U61" i="147"/>
  <c r="T61" i="147"/>
  <c r="S61" i="147"/>
  <c r="R61" i="147"/>
  <c r="Q61" i="147"/>
  <c r="P61" i="147"/>
  <c r="O61" i="147"/>
  <c r="N61" i="147"/>
  <c r="M61" i="147"/>
  <c r="L61" i="147"/>
  <c r="I61" i="147"/>
  <c r="E61" i="147"/>
  <c r="AB60" i="147"/>
  <c r="Z60" i="147"/>
  <c r="X60" i="147"/>
  <c r="V60" i="147"/>
  <c r="U60" i="147"/>
  <c r="T60" i="147"/>
  <c r="S60" i="147"/>
  <c r="R60" i="147"/>
  <c r="Q60" i="147"/>
  <c r="P60" i="147"/>
  <c r="O60" i="147"/>
  <c r="N60" i="147"/>
  <c r="M60" i="147"/>
  <c r="L60" i="147"/>
  <c r="I60" i="147"/>
  <c r="E60" i="147"/>
  <c r="AB59" i="147"/>
  <c r="Z59" i="147"/>
  <c r="X59" i="147"/>
  <c r="V59" i="147"/>
  <c r="U59" i="147"/>
  <c r="T59" i="147"/>
  <c r="S59" i="147"/>
  <c r="R59" i="147"/>
  <c r="Q59" i="147"/>
  <c r="P59" i="147"/>
  <c r="O59" i="147"/>
  <c r="N59" i="147"/>
  <c r="M59" i="147"/>
  <c r="L59" i="147"/>
  <c r="I59" i="147"/>
  <c r="E59" i="147"/>
  <c r="AB58" i="147"/>
  <c r="Z58" i="147"/>
  <c r="X58" i="147"/>
  <c r="V58" i="147"/>
  <c r="U58" i="147"/>
  <c r="T58" i="147"/>
  <c r="S58" i="147"/>
  <c r="R58" i="147"/>
  <c r="Q58" i="147"/>
  <c r="P58" i="147"/>
  <c r="O58" i="147"/>
  <c r="N58" i="147"/>
  <c r="M58" i="147"/>
  <c r="L58" i="147"/>
  <c r="I58" i="147"/>
  <c r="G58" i="147"/>
  <c r="E58" i="147"/>
  <c r="AB57" i="147"/>
  <c r="Z57" i="147"/>
  <c r="X57" i="147"/>
  <c r="V57" i="147"/>
  <c r="U57" i="147"/>
  <c r="T57" i="147"/>
  <c r="S57" i="147"/>
  <c r="R57" i="147"/>
  <c r="Q57" i="147"/>
  <c r="P57" i="147"/>
  <c r="O57" i="147"/>
  <c r="N57" i="147"/>
  <c r="M57" i="147"/>
  <c r="L57" i="147"/>
  <c r="I57" i="147"/>
  <c r="E57" i="147"/>
  <c r="AB54" i="147"/>
  <c r="Z54" i="147"/>
  <c r="X54" i="147"/>
  <c r="V54" i="147"/>
  <c r="U54" i="147"/>
  <c r="T54" i="147"/>
  <c r="S54" i="147"/>
  <c r="R54" i="147"/>
  <c r="Q54" i="147"/>
  <c r="P54" i="147"/>
  <c r="O54" i="147"/>
  <c r="N54" i="147"/>
  <c r="M54" i="147"/>
  <c r="L54" i="147"/>
  <c r="I54" i="147"/>
  <c r="E54" i="147"/>
  <c r="AB53" i="147"/>
  <c r="Z53" i="147"/>
  <c r="X53" i="147"/>
  <c r="V53" i="147"/>
  <c r="U53" i="147"/>
  <c r="T53" i="147"/>
  <c r="S53" i="147"/>
  <c r="R53" i="147"/>
  <c r="Q53" i="147"/>
  <c r="P53" i="147"/>
  <c r="O53" i="147"/>
  <c r="N53" i="147"/>
  <c r="M53" i="147"/>
  <c r="L53" i="147"/>
  <c r="I53" i="147"/>
  <c r="E53" i="147"/>
  <c r="AB50" i="147"/>
  <c r="Z50" i="147"/>
  <c r="X50" i="147"/>
  <c r="V50" i="147"/>
  <c r="T50" i="147"/>
  <c r="S50" i="147"/>
  <c r="R50" i="147"/>
  <c r="Q50" i="147"/>
  <c r="P50" i="147"/>
  <c r="O50" i="147"/>
  <c r="N50" i="147"/>
  <c r="M50" i="147"/>
  <c r="L50" i="147"/>
  <c r="I50" i="147"/>
  <c r="E50" i="147"/>
  <c r="AB49" i="147"/>
  <c r="Z49" i="147"/>
  <c r="X49" i="147"/>
  <c r="V49" i="147"/>
  <c r="T49" i="147"/>
  <c r="S49" i="147"/>
  <c r="R49" i="147"/>
  <c r="Q49" i="147"/>
  <c r="P49" i="147"/>
  <c r="O49" i="147"/>
  <c r="N49" i="147"/>
  <c r="M49" i="147"/>
  <c r="L49" i="147"/>
  <c r="I49" i="147"/>
  <c r="E49" i="147"/>
  <c r="AB48" i="147"/>
  <c r="Z48" i="147"/>
  <c r="X48" i="147"/>
  <c r="V48" i="147"/>
  <c r="T48" i="147"/>
  <c r="S48" i="147"/>
  <c r="R48" i="147"/>
  <c r="Q48" i="147"/>
  <c r="P48" i="147"/>
  <c r="O48" i="147"/>
  <c r="N48" i="147"/>
  <c r="M48" i="147"/>
  <c r="L48" i="147"/>
  <c r="I48" i="147"/>
  <c r="E48" i="147"/>
  <c r="AB47" i="147"/>
  <c r="Z47" i="147"/>
  <c r="X47" i="147"/>
  <c r="V47" i="147"/>
  <c r="U47" i="147"/>
  <c r="T47" i="147"/>
  <c r="S47" i="147"/>
  <c r="R47" i="147"/>
  <c r="Q47" i="147"/>
  <c r="P47" i="147"/>
  <c r="O47" i="147"/>
  <c r="N47" i="147"/>
  <c r="M47" i="147"/>
  <c r="L47" i="147"/>
  <c r="I47" i="147"/>
  <c r="E47" i="147"/>
  <c r="AB46" i="147"/>
  <c r="Z46" i="147"/>
  <c r="X46" i="147"/>
  <c r="V46" i="147"/>
  <c r="U46" i="147"/>
  <c r="T46" i="147"/>
  <c r="S46" i="147"/>
  <c r="R46" i="147"/>
  <c r="Q46" i="147"/>
  <c r="P46" i="147"/>
  <c r="O46" i="147"/>
  <c r="N46" i="147"/>
  <c r="M46" i="147"/>
  <c r="L46" i="147"/>
  <c r="I46" i="147"/>
  <c r="E46" i="147"/>
  <c r="AB45" i="147"/>
  <c r="Z45" i="147"/>
  <c r="X45" i="147"/>
  <c r="V45" i="147"/>
  <c r="U45" i="147"/>
  <c r="T45" i="147"/>
  <c r="S45" i="147"/>
  <c r="R45" i="147"/>
  <c r="Q45" i="147"/>
  <c r="P45" i="147"/>
  <c r="O45" i="147"/>
  <c r="N45" i="147"/>
  <c r="M45" i="147"/>
  <c r="L45" i="147"/>
  <c r="I45" i="147"/>
  <c r="E45" i="147"/>
  <c r="AB44" i="147"/>
  <c r="Z44" i="147"/>
  <c r="X44" i="147"/>
  <c r="V44" i="147"/>
  <c r="U44" i="147"/>
  <c r="T44" i="147"/>
  <c r="S44" i="147"/>
  <c r="R44" i="147"/>
  <c r="Q44" i="147"/>
  <c r="P44" i="147"/>
  <c r="O44" i="147"/>
  <c r="N44" i="147"/>
  <c r="M44" i="147"/>
  <c r="L44" i="147"/>
  <c r="I44" i="147"/>
  <c r="F44" i="147"/>
  <c r="E44" i="147"/>
  <c r="AB43" i="147"/>
  <c r="Z43" i="147"/>
  <c r="X43" i="147"/>
  <c r="V43" i="147"/>
  <c r="U43" i="147"/>
  <c r="T43" i="147"/>
  <c r="S43" i="147"/>
  <c r="R43" i="147"/>
  <c r="Q43" i="147"/>
  <c r="P43" i="147"/>
  <c r="O43" i="147"/>
  <c r="N43" i="147"/>
  <c r="M43" i="147"/>
  <c r="L43" i="147"/>
  <c r="I43" i="147"/>
  <c r="E43" i="147"/>
  <c r="AB42" i="147"/>
  <c r="Z42" i="147"/>
  <c r="X42" i="147"/>
  <c r="V42" i="147"/>
  <c r="U42" i="147"/>
  <c r="T42" i="147"/>
  <c r="S42" i="147"/>
  <c r="R42" i="147"/>
  <c r="Q42" i="147"/>
  <c r="P42" i="147"/>
  <c r="O42" i="147"/>
  <c r="N42" i="147"/>
  <c r="M42" i="147"/>
  <c r="L42" i="147"/>
  <c r="I42" i="147"/>
  <c r="E42" i="147"/>
  <c r="AB41" i="147"/>
  <c r="Z41" i="147"/>
  <c r="X41" i="147"/>
  <c r="V41" i="147"/>
  <c r="U41" i="147"/>
  <c r="T41" i="147"/>
  <c r="S41" i="147"/>
  <c r="R41" i="147"/>
  <c r="Q41" i="147"/>
  <c r="P41" i="147"/>
  <c r="O41" i="147"/>
  <c r="N41" i="147"/>
  <c r="M41" i="147"/>
  <c r="L41" i="147"/>
  <c r="I41" i="147"/>
  <c r="E41" i="147"/>
  <c r="AB40" i="147"/>
  <c r="Z40" i="147"/>
  <c r="X40" i="147"/>
  <c r="V40" i="147"/>
  <c r="U40" i="147"/>
  <c r="T40" i="147"/>
  <c r="S40" i="147"/>
  <c r="R40" i="147"/>
  <c r="Q40" i="147"/>
  <c r="P40" i="147"/>
  <c r="O40" i="147"/>
  <c r="N40" i="147"/>
  <c r="M40" i="147"/>
  <c r="L40" i="147"/>
  <c r="I40" i="147"/>
  <c r="E40" i="147"/>
  <c r="AB37" i="147"/>
  <c r="Z37" i="147"/>
  <c r="X37" i="147"/>
  <c r="V37" i="147"/>
  <c r="T37" i="147"/>
  <c r="S37" i="147"/>
  <c r="R37" i="147"/>
  <c r="Q37" i="147"/>
  <c r="P37" i="147"/>
  <c r="O37" i="147"/>
  <c r="N37" i="147"/>
  <c r="M37" i="147"/>
  <c r="L37" i="147"/>
  <c r="I37" i="147"/>
  <c r="E37" i="147"/>
  <c r="AB36" i="147"/>
  <c r="Z36" i="147"/>
  <c r="X36" i="147"/>
  <c r="V36" i="147"/>
  <c r="T36" i="147"/>
  <c r="S36" i="147"/>
  <c r="R36" i="147"/>
  <c r="Q36" i="147"/>
  <c r="P36" i="147"/>
  <c r="O36" i="147"/>
  <c r="N36" i="147"/>
  <c r="M36" i="147"/>
  <c r="L36" i="147"/>
  <c r="I36" i="147"/>
  <c r="E36" i="147"/>
  <c r="AB35" i="147"/>
  <c r="Z35" i="147"/>
  <c r="X35" i="147"/>
  <c r="V35" i="147"/>
  <c r="U35" i="147"/>
  <c r="T35" i="147"/>
  <c r="S35" i="147"/>
  <c r="R35" i="147"/>
  <c r="Q35" i="147"/>
  <c r="P35" i="147"/>
  <c r="O35" i="147"/>
  <c r="N35" i="147"/>
  <c r="M35" i="147"/>
  <c r="L35" i="147"/>
  <c r="I35" i="147"/>
  <c r="E35" i="147"/>
  <c r="AB32" i="147"/>
  <c r="Z32" i="147"/>
  <c r="X32" i="147"/>
  <c r="V32" i="147"/>
  <c r="T32" i="147"/>
  <c r="S32" i="147"/>
  <c r="R32" i="147"/>
  <c r="Q32" i="147"/>
  <c r="P32" i="147"/>
  <c r="O32" i="147"/>
  <c r="N32" i="147"/>
  <c r="M32" i="147"/>
  <c r="L32" i="147"/>
  <c r="I32" i="147"/>
  <c r="G32" i="147"/>
  <c r="E32" i="147"/>
  <c r="AB31" i="147"/>
  <c r="Z31" i="147"/>
  <c r="X31" i="147"/>
  <c r="V31" i="147"/>
  <c r="T31" i="147"/>
  <c r="S31" i="147"/>
  <c r="R31" i="147"/>
  <c r="Q31" i="147"/>
  <c r="P31" i="147"/>
  <c r="O31" i="147"/>
  <c r="N31" i="147"/>
  <c r="M31" i="147"/>
  <c r="L31" i="147"/>
  <c r="I31" i="147"/>
  <c r="E31" i="147"/>
  <c r="AB30" i="147"/>
  <c r="Z30" i="147"/>
  <c r="X30" i="147"/>
  <c r="V30" i="147"/>
  <c r="T30" i="147"/>
  <c r="S30" i="147"/>
  <c r="R30" i="147"/>
  <c r="Q30" i="147"/>
  <c r="P30" i="147"/>
  <c r="O30" i="147"/>
  <c r="N30" i="147"/>
  <c r="M30" i="147"/>
  <c r="L30" i="147"/>
  <c r="I30" i="147"/>
  <c r="E30" i="147"/>
  <c r="AB29" i="147"/>
  <c r="Z29" i="147"/>
  <c r="X29" i="147"/>
  <c r="V29" i="147"/>
  <c r="T29" i="147"/>
  <c r="S29" i="147"/>
  <c r="R29" i="147"/>
  <c r="Q29" i="147"/>
  <c r="P29" i="147"/>
  <c r="O29" i="147"/>
  <c r="N29" i="147"/>
  <c r="M29" i="147"/>
  <c r="L29" i="147"/>
  <c r="I29" i="147"/>
  <c r="E29" i="147"/>
  <c r="AB28" i="147"/>
  <c r="Z28" i="147"/>
  <c r="X28" i="147"/>
  <c r="V28" i="147"/>
  <c r="T28" i="147"/>
  <c r="S28" i="147"/>
  <c r="R28" i="147"/>
  <c r="Q28" i="147"/>
  <c r="P28" i="147"/>
  <c r="O28" i="147"/>
  <c r="N28" i="147"/>
  <c r="M28" i="147"/>
  <c r="L28" i="147"/>
  <c r="I28" i="147"/>
  <c r="E28" i="147"/>
  <c r="AB27" i="147"/>
  <c r="Z27" i="147"/>
  <c r="X27" i="147"/>
  <c r="V27" i="147"/>
  <c r="T27" i="147"/>
  <c r="S27" i="147"/>
  <c r="R27" i="147"/>
  <c r="Q27" i="147"/>
  <c r="P27" i="147"/>
  <c r="O27" i="147"/>
  <c r="N27" i="147"/>
  <c r="M27" i="147"/>
  <c r="L27" i="147"/>
  <c r="I27" i="147"/>
  <c r="E27" i="147"/>
  <c r="AB26" i="147"/>
  <c r="Z26" i="147"/>
  <c r="X26" i="147"/>
  <c r="V26" i="147"/>
  <c r="T26" i="147"/>
  <c r="S26" i="147"/>
  <c r="R26" i="147"/>
  <c r="Q26" i="147"/>
  <c r="P26" i="147"/>
  <c r="O26" i="147"/>
  <c r="N26" i="147"/>
  <c r="M26" i="147"/>
  <c r="L26" i="147"/>
  <c r="I26" i="147"/>
  <c r="E26" i="147"/>
  <c r="AB25" i="147"/>
  <c r="Z25" i="147"/>
  <c r="X25" i="147"/>
  <c r="V25" i="147"/>
  <c r="T25" i="147"/>
  <c r="S25" i="147"/>
  <c r="R25" i="147"/>
  <c r="Q25" i="147"/>
  <c r="P25" i="147"/>
  <c r="O25" i="147"/>
  <c r="N25" i="147"/>
  <c r="M25" i="147"/>
  <c r="L25" i="147"/>
  <c r="I25" i="147"/>
  <c r="E25" i="147"/>
  <c r="AB24" i="147"/>
  <c r="Z24" i="147"/>
  <c r="X24" i="147"/>
  <c r="V24" i="147"/>
  <c r="T24" i="147"/>
  <c r="S24" i="147"/>
  <c r="R24" i="147"/>
  <c r="Q24" i="147"/>
  <c r="P24" i="147"/>
  <c r="O24" i="147"/>
  <c r="N24" i="147"/>
  <c r="M24" i="147"/>
  <c r="L24" i="147"/>
  <c r="I24" i="147"/>
  <c r="E24" i="147"/>
  <c r="AB23" i="147"/>
  <c r="Z23" i="147"/>
  <c r="X23" i="147"/>
  <c r="V23" i="147"/>
  <c r="U23" i="147"/>
  <c r="T23" i="147"/>
  <c r="S23" i="147"/>
  <c r="R23" i="147"/>
  <c r="Q23" i="147"/>
  <c r="P23" i="147"/>
  <c r="O23" i="147"/>
  <c r="N23" i="147"/>
  <c r="M23" i="147"/>
  <c r="L23" i="147"/>
  <c r="I23" i="147"/>
  <c r="E23" i="147"/>
  <c r="AB22" i="147"/>
  <c r="Z22" i="147"/>
  <c r="X22" i="147"/>
  <c r="V22" i="147"/>
  <c r="U22" i="147"/>
  <c r="T22" i="147"/>
  <c r="S22" i="147"/>
  <c r="R22" i="147"/>
  <c r="Q22" i="147"/>
  <c r="P22" i="147"/>
  <c r="O22" i="147"/>
  <c r="N22" i="147"/>
  <c r="M22" i="147"/>
  <c r="L22" i="147"/>
  <c r="I22" i="147"/>
  <c r="E22" i="147"/>
  <c r="AB21" i="147"/>
  <c r="Z21" i="147"/>
  <c r="X21" i="147"/>
  <c r="V21" i="147"/>
  <c r="U21" i="147"/>
  <c r="T21" i="147"/>
  <c r="S21" i="147"/>
  <c r="R21" i="147"/>
  <c r="Q21" i="147"/>
  <c r="P21" i="147"/>
  <c r="O21" i="147"/>
  <c r="N21" i="147"/>
  <c r="M21" i="147"/>
  <c r="L21" i="147"/>
  <c r="I21" i="147"/>
  <c r="E21" i="147"/>
  <c r="AB20" i="147"/>
  <c r="Z20" i="147"/>
  <c r="X20" i="147"/>
  <c r="V20" i="147"/>
  <c r="U20" i="147"/>
  <c r="T20" i="147"/>
  <c r="S20" i="147"/>
  <c r="R20" i="147"/>
  <c r="Q20" i="147"/>
  <c r="P20" i="147"/>
  <c r="O20" i="147"/>
  <c r="N20" i="147"/>
  <c r="M20" i="147"/>
  <c r="L20" i="147"/>
  <c r="I20" i="147"/>
  <c r="E20" i="147"/>
  <c r="AB19" i="147"/>
  <c r="Z19" i="147"/>
  <c r="X19" i="147"/>
  <c r="V19" i="147"/>
  <c r="U19" i="147"/>
  <c r="T19" i="147"/>
  <c r="S19" i="147"/>
  <c r="R19" i="147"/>
  <c r="Q19" i="147"/>
  <c r="P19" i="147"/>
  <c r="O19" i="147"/>
  <c r="N19" i="147"/>
  <c r="M19" i="147"/>
  <c r="L19" i="147"/>
  <c r="I19" i="147"/>
  <c r="F19" i="147"/>
  <c r="E19" i="147"/>
  <c r="AB18" i="147"/>
  <c r="Z18" i="147"/>
  <c r="X18" i="147"/>
  <c r="V18" i="147"/>
  <c r="U18" i="147"/>
  <c r="T18" i="147"/>
  <c r="S18" i="147"/>
  <c r="R18" i="147"/>
  <c r="Q18" i="147"/>
  <c r="P18" i="147"/>
  <c r="O18" i="147"/>
  <c r="N18" i="147"/>
  <c r="M18" i="147"/>
  <c r="L18" i="147"/>
  <c r="I18" i="147"/>
  <c r="E18" i="147"/>
  <c r="AB17" i="147"/>
  <c r="Z17" i="147"/>
  <c r="X17" i="147"/>
  <c r="V17" i="147"/>
  <c r="U17" i="147"/>
  <c r="T17" i="147"/>
  <c r="S17" i="147"/>
  <c r="R17" i="147"/>
  <c r="Q17" i="147"/>
  <c r="P17" i="147"/>
  <c r="O17" i="147"/>
  <c r="N17" i="147"/>
  <c r="M17" i="147"/>
  <c r="L17" i="147"/>
  <c r="I17" i="147"/>
  <c r="E17" i="147"/>
  <c r="AB16" i="147"/>
  <c r="Z16" i="147"/>
  <c r="X16" i="147"/>
  <c r="V16" i="147"/>
  <c r="U16" i="147"/>
  <c r="T16" i="147"/>
  <c r="S16" i="147"/>
  <c r="R16" i="147"/>
  <c r="Q16" i="147"/>
  <c r="P16" i="147"/>
  <c r="O16" i="147"/>
  <c r="N16" i="147"/>
  <c r="M16" i="147"/>
  <c r="L16" i="147"/>
  <c r="I16" i="147"/>
  <c r="E16" i="147"/>
  <c r="AB15" i="147"/>
  <c r="Z15" i="147"/>
  <c r="X15" i="147"/>
  <c r="V15" i="147"/>
  <c r="U15" i="147"/>
  <c r="T15" i="147"/>
  <c r="S15" i="147"/>
  <c r="R15" i="147"/>
  <c r="Q15" i="147"/>
  <c r="P15" i="147"/>
  <c r="O15" i="147"/>
  <c r="N15" i="147"/>
  <c r="M15" i="147"/>
  <c r="L15" i="147"/>
  <c r="I15" i="147"/>
  <c r="E15" i="147"/>
  <c r="AB14" i="147"/>
  <c r="Z14" i="147"/>
  <c r="X14" i="147"/>
  <c r="V14" i="147"/>
  <c r="U14" i="147"/>
  <c r="T14" i="147"/>
  <c r="S14" i="147"/>
  <c r="R14" i="147"/>
  <c r="Q14" i="147"/>
  <c r="P14" i="147"/>
  <c r="O14" i="147"/>
  <c r="N14" i="147"/>
  <c r="M14" i="147"/>
  <c r="L14" i="147"/>
  <c r="I14" i="147"/>
  <c r="E14" i="147"/>
  <c r="AB13" i="147"/>
  <c r="Z13" i="147"/>
  <c r="X13" i="147"/>
  <c r="V13" i="147"/>
  <c r="U13" i="147"/>
  <c r="T13" i="147"/>
  <c r="S13" i="147"/>
  <c r="R13" i="147"/>
  <c r="Q13" i="147"/>
  <c r="P13" i="147"/>
  <c r="O13" i="147"/>
  <c r="N13" i="147"/>
  <c r="M13" i="147"/>
  <c r="L13" i="147"/>
  <c r="I13" i="147"/>
  <c r="F13" i="147"/>
  <c r="E13" i="147"/>
  <c r="AB12" i="147"/>
  <c r="Z12" i="147"/>
  <c r="X12" i="147"/>
  <c r="V12" i="147"/>
  <c r="U12" i="147"/>
  <c r="T12" i="147"/>
  <c r="S12" i="147"/>
  <c r="R12" i="147"/>
  <c r="Q12" i="147"/>
  <c r="P12" i="147"/>
  <c r="O12" i="147"/>
  <c r="N12" i="147"/>
  <c r="M12" i="147"/>
  <c r="L12" i="147"/>
  <c r="I12" i="147"/>
  <c r="F12" i="147"/>
  <c r="E12" i="147"/>
  <c r="AB11" i="147"/>
  <c r="Z11" i="147"/>
  <c r="X11" i="147"/>
  <c r="V11" i="147"/>
  <c r="U11" i="147"/>
  <c r="T11" i="147"/>
  <c r="S11" i="147"/>
  <c r="R11" i="147"/>
  <c r="Q11" i="147"/>
  <c r="P11" i="147"/>
  <c r="O11" i="147"/>
  <c r="N11" i="147"/>
  <c r="M11" i="147"/>
  <c r="L11" i="147"/>
  <c r="I11" i="147"/>
  <c r="E11" i="147"/>
  <c r="AB10" i="147"/>
  <c r="Z10" i="147"/>
  <c r="X10" i="147"/>
  <c r="V10" i="147"/>
  <c r="U10" i="147"/>
  <c r="T10" i="147"/>
  <c r="S10" i="147"/>
  <c r="R10" i="147"/>
  <c r="Q10" i="147"/>
  <c r="P10" i="147"/>
  <c r="O10" i="147"/>
  <c r="N10" i="147"/>
  <c r="M10" i="147"/>
  <c r="L10" i="147"/>
  <c r="I10" i="147"/>
  <c r="F10" i="147"/>
  <c r="E10" i="147"/>
  <c r="AB9" i="147"/>
  <c r="Z9" i="147"/>
  <c r="X9" i="147"/>
  <c r="V9" i="147"/>
  <c r="U9" i="147"/>
  <c r="T9" i="147"/>
  <c r="S9" i="147"/>
  <c r="R9" i="147"/>
  <c r="Q9" i="147"/>
  <c r="P9" i="147"/>
  <c r="O9" i="147"/>
  <c r="N9" i="147"/>
  <c r="M9" i="147"/>
  <c r="L9" i="147"/>
  <c r="I9" i="147"/>
  <c r="F9" i="147"/>
  <c r="E9" i="147"/>
  <c r="AB8" i="147"/>
  <c r="Z8" i="147"/>
  <c r="X8" i="147"/>
  <c r="V8" i="147"/>
  <c r="U8" i="147"/>
  <c r="T8" i="147"/>
  <c r="S8" i="147"/>
  <c r="R8" i="147"/>
  <c r="Q8" i="147"/>
  <c r="P8" i="147"/>
  <c r="O8" i="147"/>
  <c r="N8" i="147"/>
  <c r="M8" i="147"/>
  <c r="L8" i="147"/>
  <c r="I8" i="147"/>
  <c r="E8" i="147"/>
  <c r="AB7" i="147"/>
  <c r="Z7" i="147"/>
  <c r="X7" i="147"/>
  <c r="V7" i="147"/>
  <c r="U7" i="147"/>
  <c r="T7" i="147"/>
  <c r="S7" i="147"/>
  <c r="R7" i="147"/>
  <c r="Q7" i="147"/>
  <c r="P7" i="147"/>
  <c r="O7" i="147"/>
  <c r="N7" i="147"/>
  <c r="M7" i="147"/>
  <c r="L7" i="147"/>
  <c r="I7" i="147"/>
  <c r="E7" i="147"/>
  <c r="AB6" i="147"/>
  <c r="Z6" i="147"/>
  <c r="X6" i="147"/>
  <c r="V6" i="147"/>
  <c r="U6" i="147"/>
  <c r="T6" i="147"/>
  <c r="S6" i="147"/>
  <c r="R6" i="147"/>
  <c r="Q6" i="147"/>
  <c r="P6" i="147"/>
  <c r="O6" i="147"/>
  <c r="N6" i="147"/>
  <c r="M6" i="147"/>
  <c r="L6" i="147"/>
  <c r="I6" i="147"/>
  <c r="E6" i="147"/>
  <c r="M197" i="143"/>
  <c r="M196" i="143"/>
  <c r="O194" i="143"/>
  <c r="N194" i="143"/>
  <c r="M194" i="143"/>
  <c r="L194" i="143"/>
  <c r="K194" i="143"/>
  <c r="J194" i="143"/>
  <c r="I194" i="143"/>
  <c r="H194" i="143"/>
  <c r="G194" i="143"/>
  <c r="F194" i="143"/>
  <c r="E194" i="143"/>
  <c r="C194" i="143"/>
  <c r="O193" i="143"/>
  <c r="M193" i="143"/>
  <c r="L193" i="143"/>
  <c r="J193" i="143"/>
  <c r="I193" i="143"/>
  <c r="H193" i="143"/>
  <c r="G193" i="143"/>
  <c r="F193" i="143"/>
  <c r="E193" i="143"/>
  <c r="O192" i="143"/>
  <c r="L192" i="143"/>
  <c r="J192" i="143"/>
  <c r="H192" i="143"/>
  <c r="O191" i="143"/>
  <c r="L191" i="143"/>
  <c r="J191" i="143"/>
  <c r="H191" i="143"/>
  <c r="O190" i="143"/>
  <c r="L190" i="143"/>
  <c r="J190" i="143"/>
  <c r="O189" i="143"/>
  <c r="L189" i="143"/>
  <c r="J189" i="143"/>
  <c r="O188" i="143"/>
  <c r="L188" i="143"/>
  <c r="J188" i="143"/>
  <c r="O187" i="143"/>
  <c r="L187" i="143"/>
  <c r="J187" i="143"/>
  <c r="I187" i="143"/>
  <c r="H187" i="143"/>
  <c r="O186" i="143"/>
  <c r="L186" i="143"/>
  <c r="J186" i="143"/>
  <c r="I186" i="143"/>
  <c r="H186" i="143"/>
  <c r="O185" i="143"/>
  <c r="L185" i="143"/>
  <c r="J185" i="143"/>
  <c r="I185" i="143"/>
  <c r="O184" i="143"/>
  <c r="L184" i="143"/>
  <c r="J184" i="143"/>
  <c r="O183" i="143"/>
  <c r="L183" i="143"/>
  <c r="J183" i="143"/>
  <c r="I183" i="143"/>
  <c r="H183" i="143"/>
  <c r="O182" i="143"/>
  <c r="L182" i="143"/>
  <c r="J182" i="143"/>
  <c r="I182" i="143"/>
  <c r="H182" i="143"/>
  <c r="O181" i="143"/>
  <c r="L181" i="143"/>
  <c r="J181" i="143"/>
  <c r="I181" i="143"/>
  <c r="H181" i="143"/>
  <c r="O180" i="143"/>
  <c r="L180" i="143"/>
  <c r="J180" i="143"/>
  <c r="I180" i="143"/>
  <c r="H180" i="143"/>
  <c r="O179" i="143"/>
  <c r="L179" i="143"/>
  <c r="J179" i="143"/>
  <c r="I179" i="143"/>
  <c r="H179" i="143"/>
  <c r="O178" i="143"/>
  <c r="L178" i="143"/>
  <c r="J178" i="143"/>
  <c r="I178" i="143"/>
  <c r="H178" i="143"/>
  <c r="O177" i="143"/>
  <c r="L177" i="143"/>
  <c r="J177" i="143"/>
  <c r="I177" i="143"/>
  <c r="H177" i="143"/>
  <c r="O176" i="143"/>
  <c r="L176" i="143"/>
  <c r="J176" i="143"/>
  <c r="I176" i="143"/>
  <c r="H176" i="143"/>
  <c r="O175" i="143"/>
  <c r="L175" i="143"/>
  <c r="J175" i="143"/>
  <c r="I175" i="143"/>
  <c r="H175" i="143"/>
  <c r="O174" i="143"/>
  <c r="L174" i="143"/>
  <c r="J174" i="143"/>
  <c r="I174" i="143"/>
  <c r="H174" i="143"/>
  <c r="O173" i="143"/>
  <c r="L173" i="143"/>
  <c r="J173" i="143"/>
  <c r="I173" i="143"/>
  <c r="H173" i="143"/>
  <c r="O172" i="143"/>
  <c r="L172" i="143"/>
  <c r="J172" i="143"/>
  <c r="I172" i="143"/>
  <c r="H172" i="143"/>
  <c r="O171" i="143"/>
  <c r="L171" i="143"/>
  <c r="J171" i="143"/>
  <c r="I171" i="143"/>
  <c r="H171" i="143"/>
  <c r="O170" i="143"/>
  <c r="L170" i="143"/>
  <c r="J170" i="143"/>
  <c r="I170" i="143"/>
  <c r="H170" i="143"/>
  <c r="O169" i="143"/>
  <c r="L169" i="143"/>
  <c r="J169" i="143"/>
  <c r="I169" i="143"/>
  <c r="H169" i="143"/>
  <c r="O168" i="143"/>
  <c r="L168" i="143"/>
  <c r="J168" i="143"/>
  <c r="I168" i="143"/>
  <c r="H168" i="143"/>
  <c r="O167" i="143"/>
  <c r="L167" i="143"/>
  <c r="J167" i="143"/>
  <c r="I167" i="143"/>
  <c r="H167" i="143"/>
  <c r="O166" i="143"/>
  <c r="L166" i="143"/>
  <c r="J166" i="143"/>
  <c r="I166" i="143"/>
  <c r="H166" i="143"/>
  <c r="O165" i="143"/>
  <c r="L165" i="143"/>
  <c r="J165" i="143"/>
  <c r="I165" i="143"/>
  <c r="H165" i="143"/>
  <c r="O164" i="143"/>
  <c r="L164" i="143"/>
  <c r="J164" i="143"/>
  <c r="I164" i="143"/>
  <c r="H164" i="143"/>
  <c r="O163" i="143"/>
  <c r="L163" i="143"/>
  <c r="J163" i="143"/>
  <c r="I163" i="143"/>
  <c r="H163" i="143"/>
  <c r="O162" i="143"/>
  <c r="L162" i="143"/>
  <c r="J162" i="143"/>
  <c r="I162" i="143"/>
  <c r="H162" i="143"/>
  <c r="O161" i="143"/>
  <c r="L161" i="143"/>
  <c r="J161" i="143"/>
  <c r="H161" i="143"/>
  <c r="O160" i="143"/>
  <c r="L160" i="143"/>
  <c r="J160" i="143"/>
  <c r="H160" i="143"/>
  <c r="O159" i="143"/>
  <c r="L159" i="143"/>
  <c r="J159" i="143"/>
  <c r="H159" i="143"/>
  <c r="O158" i="143"/>
  <c r="L158" i="143"/>
  <c r="J158" i="143"/>
  <c r="H158" i="143"/>
  <c r="O157" i="143"/>
  <c r="L157" i="143"/>
  <c r="J157" i="143"/>
  <c r="H157" i="143"/>
  <c r="O156" i="143"/>
  <c r="L156" i="143"/>
  <c r="J156" i="143"/>
  <c r="H156" i="143"/>
  <c r="O155" i="143"/>
  <c r="L155" i="143"/>
  <c r="J155" i="143"/>
  <c r="H155" i="143"/>
  <c r="O154" i="143"/>
  <c r="L154" i="143"/>
  <c r="J154" i="143"/>
  <c r="H154" i="143"/>
  <c r="O153" i="143"/>
  <c r="L153" i="143"/>
  <c r="J153" i="143"/>
  <c r="H153" i="143"/>
  <c r="O152" i="143"/>
  <c r="L152" i="143"/>
  <c r="J152" i="143"/>
  <c r="H152" i="143"/>
  <c r="O151" i="143"/>
  <c r="L151" i="143"/>
  <c r="J151" i="143"/>
  <c r="H151" i="143"/>
  <c r="O150" i="143"/>
  <c r="L150" i="143"/>
  <c r="J150" i="143"/>
  <c r="H150" i="143"/>
  <c r="O149" i="143"/>
  <c r="L149" i="143"/>
  <c r="J149" i="143"/>
  <c r="H149" i="143"/>
  <c r="O148" i="143"/>
  <c r="L148" i="143"/>
  <c r="J148" i="143"/>
  <c r="H148" i="143"/>
  <c r="O147" i="143"/>
  <c r="L147" i="143"/>
  <c r="J147" i="143"/>
  <c r="H147" i="143"/>
  <c r="O146" i="143"/>
  <c r="L146" i="143"/>
  <c r="J146" i="143"/>
  <c r="O145" i="143"/>
  <c r="L145" i="143"/>
  <c r="J145" i="143"/>
  <c r="H145" i="143"/>
  <c r="O144" i="143"/>
  <c r="L144" i="143"/>
  <c r="J144" i="143"/>
  <c r="H144" i="143"/>
  <c r="O143" i="143"/>
  <c r="L143" i="143"/>
  <c r="J143" i="143"/>
  <c r="H143" i="143"/>
  <c r="O142" i="143"/>
  <c r="L142" i="143"/>
  <c r="J142" i="143"/>
  <c r="H142" i="143"/>
  <c r="O141" i="143"/>
  <c r="L141" i="143"/>
  <c r="J141" i="143"/>
  <c r="H141" i="143"/>
  <c r="O140" i="143"/>
  <c r="L140" i="143"/>
  <c r="J140" i="143"/>
  <c r="H140" i="143"/>
  <c r="O139" i="143"/>
  <c r="L139" i="143"/>
  <c r="J139" i="143"/>
  <c r="O138" i="143"/>
  <c r="L138" i="143"/>
  <c r="J138" i="143"/>
  <c r="O137" i="143"/>
  <c r="L137" i="143"/>
  <c r="J137" i="143"/>
  <c r="O136" i="143"/>
  <c r="L136" i="143"/>
  <c r="J136" i="143"/>
  <c r="H136" i="143"/>
  <c r="O135" i="143"/>
  <c r="L135" i="143"/>
  <c r="J135" i="143"/>
  <c r="O134" i="143"/>
  <c r="L134" i="143"/>
  <c r="J134" i="143"/>
  <c r="H134" i="143"/>
  <c r="O131" i="143"/>
  <c r="M131" i="143"/>
  <c r="L131" i="143"/>
  <c r="J131" i="143"/>
  <c r="I131" i="143"/>
  <c r="H131" i="143"/>
  <c r="G131" i="143"/>
  <c r="F131" i="143"/>
  <c r="E131" i="143"/>
  <c r="O130" i="143"/>
  <c r="L130" i="143"/>
  <c r="J130" i="143"/>
  <c r="O129" i="143"/>
  <c r="L129" i="143"/>
  <c r="J129" i="143"/>
  <c r="H129" i="143"/>
  <c r="O128" i="143"/>
  <c r="L128" i="143"/>
  <c r="J128" i="143"/>
  <c r="H128" i="143"/>
  <c r="O127" i="143"/>
  <c r="L127" i="143"/>
  <c r="J127" i="143"/>
  <c r="H127" i="143"/>
  <c r="O126" i="143"/>
  <c r="L126" i="143"/>
  <c r="J126" i="143"/>
  <c r="H126" i="143"/>
  <c r="O125" i="143"/>
  <c r="L125" i="143"/>
  <c r="J125" i="143"/>
  <c r="H125" i="143"/>
  <c r="O124" i="143"/>
  <c r="L124" i="143"/>
  <c r="J124" i="143"/>
  <c r="H124" i="143"/>
  <c r="O123" i="143"/>
  <c r="L123" i="143"/>
  <c r="J123" i="143"/>
  <c r="I123" i="143"/>
  <c r="H123" i="143"/>
  <c r="O122" i="143"/>
  <c r="L122" i="143"/>
  <c r="J122" i="143"/>
  <c r="H122" i="143"/>
  <c r="O121" i="143"/>
  <c r="L121" i="143"/>
  <c r="J121" i="143"/>
  <c r="H121" i="143"/>
  <c r="O118" i="143"/>
  <c r="M118" i="143"/>
  <c r="L118" i="143"/>
  <c r="J118" i="143"/>
  <c r="I118" i="143"/>
  <c r="H118" i="143"/>
  <c r="G118" i="143"/>
  <c r="F118" i="143"/>
  <c r="E118" i="143"/>
  <c r="O117" i="143"/>
  <c r="L117" i="143"/>
  <c r="J117" i="143"/>
  <c r="H117" i="143"/>
  <c r="O116" i="143"/>
  <c r="L116" i="143"/>
  <c r="J116" i="143"/>
  <c r="O115" i="143"/>
  <c r="L115" i="143"/>
  <c r="J115" i="143"/>
  <c r="O112" i="143"/>
  <c r="M112" i="143"/>
  <c r="L112" i="143"/>
  <c r="J112" i="143"/>
  <c r="I112" i="143"/>
  <c r="H112" i="143"/>
  <c r="G112" i="143"/>
  <c r="F112" i="143"/>
  <c r="E112" i="143"/>
  <c r="O111" i="143"/>
  <c r="L111" i="143"/>
  <c r="J111" i="143"/>
  <c r="G111" i="143"/>
  <c r="O110" i="143"/>
  <c r="L110" i="143"/>
  <c r="J110" i="143"/>
  <c r="G110" i="143"/>
  <c r="O109" i="143"/>
  <c r="L109" i="143"/>
  <c r="J109" i="143"/>
  <c r="G109" i="143"/>
  <c r="O108" i="143"/>
  <c r="L108" i="143"/>
  <c r="J108" i="143"/>
  <c r="G108" i="143"/>
  <c r="O107" i="143"/>
  <c r="L107" i="143"/>
  <c r="J107" i="143"/>
  <c r="G107" i="143"/>
  <c r="O106" i="143"/>
  <c r="L106" i="143"/>
  <c r="J106" i="143"/>
  <c r="G106" i="143"/>
  <c r="O105" i="143"/>
  <c r="L105" i="143"/>
  <c r="J105" i="143"/>
  <c r="G105" i="143"/>
  <c r="O102" i="143"/>
  <c r="M102" i="143"/>
  <c r="L102" i="143"/>
  <c r="J102" i="143"/>
  <c r="I102" i="143"/>
  <c r="H102" i="143"/>
  <c r="G102" i="143"/>
  <c r="F102" i="143"/>
  <c r="E102" i="143"/>
  <c r="O101" i="143"/>
  <c r="L101" i="143"/>
  <c r="J101" i="143"/>
  <c r="H101" i="143"/>
  <c r="O100" i="143"/>
  <c r="L100" i="143"/>
  <c r="J100" i="143"/>
  <c r="H100" i="143"/>
  <c r="O99" i="143"/>
  <c r="L99" i="143"/>
  <c r="J99" i="143"/>
  <c r="O98" i="143"/>
  <c r="L98" i="143"/>
  <c r="J98" i="143"/>
  <c r="H98" i="143"/>
  <c r="O95" i="143"/>
  <c r="M95" i="143"/>
  <c r="L95" i="143"/>
  <c r="J95" i="143"/>
  <c r="I95" i="143"/>
  <c r="H95" i="143"/>
  <c r="G95" i="143"/>
  <c r="F95" i="143"/>
  <c r="E95" i="143"/>
  <c r="O94" i="143"/>
  <c r="L94" i="143"/>
  <c r="J94" i="143"/>
  <c r="G94" i="143"/>
  <c r="O93" i="143"/>
  <c r="L93" i="143"/>
  <c r="J93" i="143"/>
  <c r="O92" i="143"/>
  <c r="L92" i="143"/>
  <c r="J92" i="143"/>
  <c r="O91" i="143"/>
  <c r="L91" i="143"/>
  <c r="J91" i="143"/>
  <c r="G91" i="143"/>
  <c r="O90" i="143"/>
  <c r="L90" i="143"/>
  <c r="J90" i="143"/>
  <c r="G90" i="143"/>
  <c r="O89" i="143"/>
  <c r="L89" i="143"/>
  <c r="J89" i="143"/>
  <c r="G89" i="143"/>
  <c r="O88" i="143"/>
  <c r="L88" i="143"/>
  <c r="J88" i="143"/>
  <c r="G88" i="143"/>
  <c r="O87" i="143"/>
  <c r="L87" i="143"/>
  <c r="J87" i="143"/>
  <c r="O86" i="143"/>
  <c r="L86" i="143"/>
  <c r="J86" i="143"/>
  <c r="G86" i="143"/>
  <c r="O85" i="143"/>
  <c r="L85" i="143"/>
  <c r="J85" i="143"/>
  <c r="G85" i="143"/>
  <c r="O82" i="143"/>
  <c r="M82" i="143"/>
  <c r="L82" i="143"/>
  <c r="J82" i="143"/>
  <c r="I82" i="143"/>
  <c r="H82" i="143"/>
  <c r="G82" i="143"/>
  <c r="F82" i="143"/>
  <c r="E82" i="143"/>
  <c r="O81" i="143"/>
  <c r="L81" i="143"/>
  <c r="J81" i="143"/>
  <c r="O80" i="143"/>
  <c r="L80" i="143"/>
  <c r="J80" i="143"/>
  <c r="O79" i="143"/>
  <c r="L79" i="143"/>
  <c r="J79" i="143"/>
  <c r="G79" i="143"/>
  <c r="O78" i="143"/>
  <c r="L78" i="143"/>
  <c r="J78" i="143"/>
  <c r="G78" i="143"/>
  <c r="O77" i="143"/>
  <c r="L77" i="143"/>
  <c r="J77" i="143"/>
  <c r="O76" i="143"/>
  <c r="L76" i="143"/>
  <c r="J76" i="143"/>
  <c r="G76" i="143"/>
  <c r="O75" i="143"/>
  <c r="L75" i="143"/>
  <c r="J75" i="143"/>
  <c r="G75" i="143"/>
  <c r="O72" i="143"/>
  <c r="M72" i="143"/>
  <c r="L72" i="143"/>
  <c r="J72" i="143"/>
  <c r="I72" i="143"/>
  <c r="H72" i="143"/>
  <c r="G72" i="143"/>
  <c r="F72" i="143"/>
  <c r="E72" i="143"/>
  <c r="O71" i="143"/>
  <c r="L71" i="143"/>
  <c r="J71" i="143"/>
  <c r="O70" i="143"/>
  <c r="L70" i="143"/>
  <c r="J70" i="143"/>
  <c r="G70" i="143"/>
  <c r="O69" i="143"/>
  <c r="L69" i="143"/>
  <c r="J69" i="143"/>
  <c r="G69" i="143"/>
  <c r="O68" i="143"/>
  <c r="L68" i="143"/>
  <c r="J68" i="143"/>
  <c r="G68" i="143"/>
  <c r="O67" i="143"/>
  <c r="L67" i="143"/>
  <c r="J67" i="143"/>
  <c r="G67" i="143"/>
  <c r="O66" i="143"/>
  <c r="L66" i="143"/>
  <c r="J66" i="143"/>
  <c r="G66" i="143"/>
  <c r="O65" i="143"/>
  <c r="L65" i="143"/>
  <c r="J65" i="143"/>
  <c r="G65" i="143"/>
  <c r="O64" i="143"/>
  <c r="L64" i="143"/>
  <c r="J64" i="143"/>
  <c r="O63" i="143"/>
  <c r="L63" i="143"/>
  <c r="J63" i="143"/>
  <c r="G63" i="143"/>
  <c r="O62" i="143"/>
  <c r="L62" i="143"/>
  <c r="J62" i="143"/>
  <c r="G62" i="143"/>
  <c r="O59" i="143"/>
  <c r="M59" i="143"/>
  <c r="L59" i="143"/>
  <c r="J59" i="143"/>
  <c r="I59" i="143"/>
  <c r="H59" i="143"/>
  <c r="G59" i="143"/>
  <c r="F59" i="143"/>
  <c r="E59" i="143"/>
  <c r="O58" i="143"/>
  <c r="L58" i="143"/>
  <c r="J58" i="143"/>
  <c r="O57" i="143"/>
  <c r="L57" i="143"/>
  <c r="J57" i="143"/>
  <c r="G57" i="143"/>
  <c r="O54" i="143"/>
  <c r="M54" i="143"/>
  <c r="L54" i="143"/>
  <c r="J54" i="143"/>
  <c r="I54" i="143"/>
  <c r="H54" i="143"/>
  <c r="G54" i="143"/>
  <c r="F54" i="143"/>
  <c r="E54" i="143"/>
  <c r="O53" i="143"/>
  <c r="L53" i="143"/>
  <c r="J53" i="143"/>
  <c r="G53" i="143"/>
  <c r="O52" i="143"/>
  <c r="L52" i="143"/>
  <c r="J52" i="143"/>
  <c r="G52" i="143"/>
  <c r="O51" i="143"/>
  <c r="L51" i="143"/>
  <c r="J51" i="143"/>
  <c r="G51" i="143"/>
  <c r="O50" i="143"/>
  <c r="L50" i="143"/>
  <c r="J50" i="143"/>
  <c r="O49" i="143"/>
  <c r="L49" i="143"/>
  <c r="J49" i="143"/>
  <c r="G49" i="143"/>
  <c r="O48" i="143"/>
  <c r="L48" i="143"/>
  <c r="J48" i="143"/>
  <c r="G48" i="143"/>
  <c r="O47" i="143"/>
  <c r="L47" i="143"/>
  <c r="J47" i="143"/>
  <c r="G47" i="143"/>
  <c r="O46" i="143"/>
  <c r="L46" i="143"/>
  <c r="J46" i="143"/>
  <c r="G46" i="143"/>
  <c r="O45" i="143"/>
  <c r="L45" i="143"/>
  <c r="J45" i="143"/>
  <c r="G45" i="143"/>
  <c r="O44" i="143"/>
  <c r="L44" i="143"/>
  <c r="J44" i="143"/>
  <c r="G44" i="143"/>
  <c r="O43" i="143"/>
  <c r="L43" i="143"/>
  <c r="J43" i="143"/>
  <c r="G43" i="143"/>
  <c r="O40" i="143"/>
  <c r="M40" i="143"/>
  <c r="L40" i="143"/>
  <c r="J40" i="143"/>
  <c r="I40" i="143"/>
  <c r="H40" i="143"/>
  <c r="G40" i="143"/>
  <c r="F40" i="143"/>
  <c r="E40" i="143"/>
  <c r="O39" i="143"/>
  <c r="L39" i="143"/>
  <c r="J39" i="143"/>
  <c r="H39" i="143"/>
  <c r="O38" i="143"/>
  <c r="L38" i="143"/>
  <c r="J38" i="143"/>
  <c r="H38" i="143"/>
  <c r="O37" i="143"/>
  <c r="L37" i="143"/>
  <c r="J37" i="143"/>
  <c r="H37" i="143"/>
  <c r="O34" i="143"/>
  <c r="M34" i="143"/>
  <c r="L34" i="143"/>
  <c r="J34" i="143"/>
  <c r="I34" i="143"/>
  <c r="H34" i="143"/>
  <c r="G34" i="143"/>
  <c r="F34" i="143"/>
  <c r="E34" i="143"/>
  <c r="O33" i="143"/>
  <c r="L33" i="143"/>
  <c r="J33" i="143"/>
  <c r="O32" i="143"/>
  <c r="L32" i="143"/>
  <c r="J32" i="143"/>
  <c r="H32" i="143"/>
  <c r="O31" i="143"/>
  <c r="L31" i="143"/>
  <c r="J31" i="143"/>
  <c r="H31" i="143"/>
  <c r="O30" i="143"/>
  <c r="L30" i="143"/>
  <c r="J30" i="143"/>
  <c r="H30" i="143"/>
  <c r="O29" i="143"/>
  <c r="L29" i="143"/>
  <c r="J29" i="143"/>
  <c r="H29" i="143"/>
  <c r="O28" i="143"/>
  <c r="L28" i="143"/>
  <c r="J28" i="143"/>
  <c r="H28" i="143"/>
  <c r="O27" i="143"/>
  <c r="L27" i="143"/>
  <c r="J27" i="143"/>
  <c r="G27" i="143"/>
  <c r="O26" i="143"/>
  <c r="L26" i="143"/>
  <c r="J26" i="143"/>
  <c r="H26" i="143"/>
  <c r="O25" i="143"/>
  <c r="L25" i="143"/>
  <c r="J25" i="143"/>
  <c r="H25" i="143"/>
  <c r="O24" i="143"/>
  <c r="L24" i="143"/>
  <c r="J24" i="143"/>
  <c r="H24" i="143"/>
  <c r="O23" i="143"/>
  <c r="L23" i="143"/>
  <c r="J23" i="143"/>
  <c r="O22" i="143"/>
  <c r="L22" i="143"/>
  <c r="J22" i="143"/>
  <c r="G22" i="143"/>
  <c r="O21" i="143"/>
  <c r="L21" i="143"/>
  <c r="J21" i="143"/>
  <c r="H21" i="143"/>
  <c r="O20" i="143"/>
  <c r="L20" i="143"/>
  <c r="J20" i="143"/>
  <c r="I20" i="143"/>
  <c r="G20" i="143"/>
  <c r="O19" i="143"/>
  <c r="L19" i="143"/>
  <c r="J19" i="143"/>
  <c r="G19" i="143"/>
  <c r="O18" i="143"/>
  <c r="L18" i="143"/>
  <c r="J18" i="143"/>
  <c r="O17" i="143"/>
  <c r="L17" i="143"/>
  <c r="J17" i="143"/>
  <c r="G17" i="143"/>
  <c r="O16" i="143"/>
  <c r="L16" i="143"/>
  <c r="J16" i="143"/>
  <c r="O15" i="143"/>
  <c r="L15" i="143"/>
  <c r="J15" i="143"/>
  <c r="I15" i="143"/>
  <c r="H15" i="143"/>
  <c r="O14" i="143"/>
  <c r="L14" i="143"/>
  <c r="J14" i="143"/>
  <c r="I14" i="143"/>
  <c r="O13" i="143"/>
  <c r="L13" i="143"/>
  <c r="J13" i="143"/>
  <c r="H13" i="143"/>
  <c r="O12" i="143"/>
  <c r="L12" i="143"/>
  <c r="J12" i="143"/>
  <c r="H12" i="143"/>
  <c r="O11" i="143"/>
  <c r="L11" i="143"/>
  <c r="J11" i="143"/>
  <c r="H11" i="143"/>
  <c r="O10" i="143"/>
  <c r="L10" i="143"/>
  <c r="J10" i="143"/>
  <c r="O9" i="143"/>
  <c r="L9" i="143"/>
  <c r="J9" i="143"/>
  <c r="I9" i="143"/>
  <c r="H9" i="143"/>
  <c r="O8" i="143"/>
  <c r="L8" i="143"/>
  <c r="J8" i="143"/>
  <c r="H8" i="143"/>
  <c r="O7" i="143"/>
  <c r="L7" i="143"/>
  <c r="J7" i="143"/>
  <c r="G7" i="143"/>
  <c r="E3" i="143"/>
  <c r="E19" i="142"/>
  <c r="D19" i="142"/>
  <c r="C19" i="142"/>
  <c r="E18" i="142"/>
  <c r="E17" i="142"/>
  <c r="E16" i="142"/>
  <c r="E15" i="142"/>
  <c r="E14" i="142"/>
  <c r="E13" i="142"/>
  <c r="E12" i="142"/>
  <c r="E11" i="142"/>
  <c r="E10" i="142"/>
  <c r="E9" i="142"/>
  <c r="E8" i="142"/>
  <c r="E7" i="142"/>
  <c r="E6" i="142"/>
  <c r="E5" i="142"/>
  <c r="E4" i="142"/>
  <c r="AB194" i="146"/>
  <c r="AB193" i="146"/>
  <c r="AB192" i="146"/>
  <c r="AB191" i="146"/>
  <c r="AB190" i="146"/>
  <c r="AB188" i="146"/>
  <c r="AA188" i="146"/>
  <c r="Z188" i="146"/>
  <c r="AB187" i="146"/>
  <c r="Z187" i="146"/>
  <c r="X187" i="146"/>
  <c r="V187" i="146"/>
  <c r="T187" i="146"/>
  <c r="S187" i="146"/>
  <c r="R187" i="146"/>
  <c r="Q187" i="146"/>
  <c r="P187" i="146"/>
  <c r="O187" i="146"/>
  <c r="N187" i="146"/>
  <c r="M187" i="146"/>
  <c r="L187" i="146"/>
  <c r="I187" i="146"/>
  <c r="E187" i="146"/>
  <c r="AB186" i="146"/>
  <c r="Z186" i="146"/>
  <c r="X186" i="146"/>
  <c r="V186" i="146"/>
  <c r="T186" i="146"/>
  <c r="S186" i="146"/>
  <c r="R186" i="146"/>
  <c r="Q186" i="146"/>
  <c r="P186" i="146"/>
  <c r="O186" i="146"/>
  <c r="N186" i="146"/>
  <c r="M186" i="146"/>
  <c r="L186" i="146"/>
  <c r="I186" i="146"/>
  <c r="E186" i="146"/>
  <c r="AB185" i="146"/>
  <c r="Z185" i="146"/>
  <c r="X185" i="146"/>
  <c r="V185" i="146"/>
  <c r="T185" i="146"/>
  <c r="S185" i="146"/>
  <c r="R185" i="146"/>
  <c r="Q185" i="146"/>
  <c r="P185" i="146"/>
  <c r="O185" i="146"/>
  <c r="N185" i="146"/>
  <c r="M185" i="146"/>
  <c r="L185" i="146"/>
  <c r="I185" i="146"/>
  <c r="E185" i="146"/>
  <c r="AB184" i="146"/>
  <c r="Z184" i="146"/>
  <c r="X184" i="146"/>
  <c r="V184" i="146"/>
  <c r="T184" i="146"/>
  <c r="S184" i="146"/>
  <c r="R184" i="146"/>
  <c r="Q184" i="146"/>
  <c r="P184" i="146"/>
  <c r="O184" i="146"/>
  <c r="N184" i="146"/>
  <c r="M184" i="146"/>
  <c r="L184" i="146"/>
  <c r="I184" i="146"/>
  <c r="E184" i="146"/>
  <c r="AB183" i="146"/>
  <c r="Z183" i="146"/>
  <c r="X183" i="146"/>
  <c r="V183" i="146"/>
  <c r="T183" i="146"/>
  <c r="S183" i="146"/>
  <c r="R183" i="146"/>
  <c r="Q183" i="146"/>
  <c r="P183" i="146"/>
  <c r="O183" i="146"/>
  <c r="N183" i="146"/>
  <c r="M183" i="146"/>
  <c r="L183" i="146"/>
  <c r="I183" i="146"/>
  <c r="E183" i="146"/>
  <c r="AB182" i="146"/>
  <c r="Z182" i="146"/>
  <c r="X182" i="146"/>
  <c r="V182" i="146"/>
  <c r="T182" i="146"/>
  <c r="S182" i="146"/>
  <c r="R182" i="146"/>
  <c r="Q182" i="146"/>
  <c r="P182" i="146"/>
  <c r="O182" i="146"/>
  <c r="N182" i="146"/>
  <c r="M182" i="146"/>
  <c r="L182" i="146"/>
  <c r="I182" i="146"/>
  <c r="E182" i="146"/>
  <c r="AB181" i="146"/>
  <c r="Z181" i="146"/>
  <c r="X181" i="146"/>
  <c r="V181" i="146"/>
  <c r="T181" i="146"/>
  <c r="S181" i="146"/>
  <c r="R181" i="146"/>
  <c r="Q181" i="146"/>
  <c r="P181" i="146"/>
  <c r="O181" i="146"/>
  <c r="N181" i="146"/>
  <c r="M181" i="146"/>
  <c r="L181" i="146"/>
  <c r="I181" i="146"/>
  <c r="E181" i="146"/>
  <c r="AB180" i="146"/>
  <c r="Z180" i="146"/>
  <c r="X180" i="146"/>
  <c r="V180" i="146"/>
  <c r="T180" i="146"/>
  <c r="S180" i="146"/>
  <c r="R180" i="146"/>
  <c r="Q180" i="146"/>
  <c r="P180" i="146"/>
  <c r="O180" i="146"/>
  <c r="N180" i="146"/>
  <c r="M180" i="146"/>
  <c r="L180" i="146"/>
  <c r="I180" i="146"/>
  <c r="E180" i="146"/>
  <c r="AB179" i="146"/>
  <c r="Z179" i="146"/>
  <c r="X179" i="146"/>
  <c r="V179" i="146"/>
  <c r="T179" i="146"/>
  <c r="S179" i="146"/>
  <c r="R179" i="146"/>
  <c r="Q179" i="146"/>
  <c r="P179" i="146"/>
  <c r="O179" i="146"/>
  <c r="N179" i="146"/>
  <c r="M179" i="146"/>
  <c r="L179" i="146"/>
  <c r="I179" i="146"/>
  <c r="E179" i="146"/>
  <c r="AB178" i="146"/>
  <c r="Z178" i="146"/>
  <c r="X178" i="146"/>
  <c r="V178" i="146"/>
  <c r="T178" i="146"/>
  <c r="S178" i="146"/>
  <c r="R178" i="146"/>
  <c r="Q178" i="146"/>
  <c r="P178" i="146"/>
  <c r="O178" i="146"/>
  <c r="N178" i="146"/>
  <c r="M178" i="146"/>
  <c r="L178" i="146"/>
  <c r="I178" i="146"/>
  <c r="E178" i="146"/>
  <c r="AB177" i="146"/>
  <c r="Z177" i="146"/>
  <c r="X177" i="146"/>
  <c r="V177" i="146"/>
  <c r="T177" i="146"/>
  <c r="S177" i="146"/>
  <c r="R177" i="146"/>
  <c r="Q177" i="146"/>
  <c r="P177" i="146"/>
  <c r="O177" i="146"/>
  <c r="N177" i="146"/>
  <c r="M177" i="146"/>
  <c r="L177" i="146"/>
  <c r="I177" i="146"/>
  <c r="E177" i="146"/>
  <c r="AB176" i="146"/>
  <c r="Z176" i="146"/>
  <c r="X176" i="146"/>
  <c r="V176" i="146"/>
  <c r="T176" i="146"/>
  <c r="S176" i="146"/>
  <c r="R176" i="146"/>
  <c r="Q176" i="146"/>
  <c r="P176" i="146"/>
  <c r="O176" i="146"/>
  <c r="N176" i="146"/>
  <c r="M176" i="146"/>
  <c r="L176" i="146"/>
  <c r="I176" i="146"/>
  <c r="E176" i="146"/>
  <c r="AB175" i="146"/>
  <c r="Z175" i="146"/>
  <c r="X175" i="146"/>
  <c r="V175" i="146"/>
  <c r="T175" i="146"/>
  <c r="S175" i="146"/>
  <c r="R175" i="146"/>
  <c r="Q175" i="146"/>
  <c r="P175" i="146"/>
  <c r="O175" i="146"/>
  <c r="N175" i="146"/>
  <c r="M175" i="146"/>
  <c r="L175" i="146"/>
  <c r="I175" i="146"/>
  <c r="E175" i="146"/>
  <c r="AB174" i="146"/>
  <c r="Z174" i="146"/>
  <c r="X174" i="146"/>
  <c r="V174" i="146"/>
  <c r="T174" i="146"/>
  <c r="S174" i="146"/>
  <c r="R174" i="146"/>
  <c r="Q174" i="146"/>
  <c r="P174" i="146"/>
  <c r="O174" i="146"/>
  <c r="N174" i="146"/>
  <c r="M174" i="146"/>
  <c r="L174" i="146"/>
  <c r="I174" i="146"/>
  <c r="E174" i="146"/>
  <c r="AB173" i="146"/>
  <c r="Z173" i="146"/>
  <c r="X173" i="146"/>
  <c r="V173" i="146"/>
  <c r="T173" i="146"/>
  <c r="S173" i="146"/>
  <c r="R173" i="146"/>
  <c r="Q173" i="146"/>
  <c r="P173" i="146"/>
  <c r="O173" i="146"/>
  <c r="N173" i="146"/>
  <c r="M173" i="146"/>
  <c r="L173" i="146"/>
  <c r="I173" i="146"/>
  <c r="E173" i="146"/>
  <c r="AB172" i="146"/>
  <c r="Z172" i="146"/>
  <c r="X172" i="146"/>
  <c r="V172" i="146"/>
  <c r="T172" i="146"/>
  <c r="S172" i="146"/>
  <c r="R172" i="146"/>
  <c r="Q172" i="146"/>
  <c r="P172" i="146"/>
  <c r="O172" i="146"/>
  <c r="N172" i="146"/>
  <c r="M172" i="146"/>
  <c r="L172" i="146"/>
  <c r="I172" i="146"/>
  <c r="E172" i="146"/>
  <c r="AB171" i="146"/>
  <c r="Z171" i="146"/>
  <c r="X171" i="146"/>
  <c r="V171" i="146"/>
  <c r="T171" i="146"/>
  <c r="S171" i="146"/>
  <c r="R171" i="146"/>
  <c r="Q171" i="146"/>
  <c r="P171" i="146"/>
  <c r="O171" i="146"/>
  <c r="N171" i="146"/>
  <c r="M171" i="146"/>
  <c r="L171" i="146"/>
  <c r="I171" i="146"/>
  <c r="E171" i="146"/>
  <c r="AB170" i="146"/>
  <c r="Z170" i="146"/>
  <c r="X170" i="146"/>
  <c r="V170" i="146"/>
  <c r="T170" i="146"/>
  <c r="S170" i="146"/>
  <c r="R170" i="146"/>
  <c r="Q170" i="146"/>
  <c r="P170" i="146"/>
  <c r="O170" i="146"/>
  <c r="N170" i="146"/>
  <c r="M170" i="146"/>
  <c r="L170" i="146"/>
  <c r="I170" i="146"/>
  <c r="E170" i="146"/>
  <c r="AB169" i="146"/>
  <c r="Z169" i="146"/>
  <c r="X169" i="146"/>
  <c r="V169" i="146"/>
  <c r="T169" i="146"/>
  <c r="S169" i="146"/>
  <c r="R169" i="146"/>
  <c r="Q169" i="146"/>
  <c r="P169" i="146"/>
  <c r="O169" i="146"/>
  <c r="N169" i="146"/>
  <c r="M169" i="146"/>
  <c r="L169" i="146"/>
  <c r="I169" i="146"/>
  <c r="E169" i="146"/>
  <c r="AB168" i="146"/>
  <c r="Z168" i="146"/>
  <c r="X168" i="146"/>
  <c r="V168" i="146"/>
  <c r="T168" i="146"/>
  <c r="S168" i="146"/>
  <c r="R168" i="146"/>
  <c r="Q168" i="146"/>
  <c r="P168" i="146"/>
  <c r="O168" i="146"/>
  <c r="N168" i="146"/>
  <c r="M168" i="146"/>
  <c r="L168" i="146"/>
  <c r="I168" i="146"/>
  <c r="E168" i="146"/>
  <c r="AB167" i="146"/>
  <c r="Z167" i="146"/>
  <c r="X167" i="146"/>
  <c r="V167" i="146"/>
  <c r="T167" i="146"/>
  <c r="S167" i="146"/>
  <c r="R167" i="146"/>
  <c r="Q167" i="146"/>
  <c r="P167" i="146"/>
  <c r="O167" i="146"/>
  <c r="N167" i="146"/>
  <c r="M167" i="146"/>
  <c r="L167" i="146"/>
  <c r="I167" i="146"/>
  <c r="E167" i="146"/>
  <c r="AB166" i="146"/>
  <c r="Z166" i="146"/>
  <c r="X166" i="146"/>
  <c r="V166" i="146"/>
  <c r="T166" i="146"/>
  <c r="S166" i="146"/>
  <c r="R166" i="146"/>
  <c r="Q166" i="146"/>
  <c r="P166" i="146"/>
  <c r="O166" i="146"/>
  <c r="N166" i="146"/>
  <c r="M166" i="146"/>
  <c r="L166" i="146"/>
  <c r="I166" i="146"/>
  <c r="E166" i="146"/>
  <c r="AB165" i="146"/>
  <c r="Z165" i="146"/>
  <c r="X165" i="146"/>
  <c r="V165" i="146"/>
  <c r="T165" i="146"/>
  <c r="S165" i="146"/>
  <c r="R165" i="146"/>
  <c r="Q165" i="146"/>
  <c r="P165" i="146"/>
  <c r="O165" i="146"/>
  <c r="N165" i="146"/>
  <c r="M165" i="146"/>
  <c r="L165" i="146"/>
  <c r="I165" i="146"/>
  <c r="E165" i="146"/>
  <c r="AB164" i="146"/>
  <c r="Z164" i="146"/>
  <c r="X164" i="146"/>
  <c r="V164" i="146"/>
  <c r="T164" i="146"/>
  <c r="S164" i="146"/>
  <c r="R164" i="146"/>
  <c r="Q164" i="146"/>
  <c r="P164" i="146"/>
  <c r="O164" i="146"/>
  <c r="N164" i="146"/>
  <c r="M164" i="146"/>
  <c r="L164" i="146"/>
  <c r="I164" i="146"/>
  <c r="E164" i="146"/>
  <c r="AB163" i="146"/>
  <c r="Z163" i="146"/>
  <c r="X163" i="146"/>
  <c r="V163" i="146"/>
  <c r="T163" i="146"/>
  <c r="S163" i="146"/>
  <c r="R163" i="146"/>
  <c r="Q163" i="146"/>
  <c r="P163" i="146"/>
  <c r="O163" i="146"/>
  <c r="N163" i="146"/>
  <c r="M163" i="146"/>
  <c r="L163" i="146"/>
  <c r="I163" i="146"/>
  <c r="E163" i="146"/>
  <c r="AB162" i="146"/>
  <c r="Z162" i="146"/>
  <c r="X162" i="146"/>
  <c r="V162" i="146"/>
  <c r="T162" i="146"/>
  <c r="S162" i="146"/>
  <c r="R162" i="146"/>
  <c r="Q162" i="146"/>
  <c r="P162" i="146"/>
  <c r="O162" i="146"/>
  <c r="N162" i="146"/>
  <c r="M162" i="146"/>
  <c r="L162" i="146"/>
  <c r="I162" i="146"/>
  <c r="E162" i="146"/>
  <c r="AB161" i="146"/>
  <c r="Z161" i="146"/>
  <c r="X161" i="146"/>
  <c r="V161" i="146"/>
  <c r="T161" i="146"/>
  <c r="S161" i="146"/>
  <c r="R161" i="146"/>
  <c r="Q161" i="146"/>
  <c r="P161" i="146"/>
  <c r="O161" i="146"/>
  <c r="N161" i="146"/>
  <c r="M161" i="146"/>
  <c r="L161" i="146"/>
  <c r="I161" i="146"/>
  <c r="E161" i="146"/>
  <c r="AB160" i="146"/>
  <c r="Z160" i="146"/>
  <c r="X160" i="146"/>
  <c r="V160" i="146"/>
  <c r="T160" i="146"/>
  <c r="S160" i="146"/>
  <c r="R160" i="146"/>
  <c r="Q160" i="146"/>
  <c r="P160" i="146"/>
  <c r="O160" i="146"/>
  <c r="N160" i="146"/>
  <c r="M160" i="146"/>
  <c r="L160" i="146"/>
  <c r="I160" i="146"/>
  <c r="F160" i="146"/>
  <c r="E160" i="146"/>
  <c r="AB159" i="146"/>
  <c r="Z159" i="146"/>
  <c r="X159" i="146"/>
  <c r="V159" i="146"/>
  <c r="T159" i="146"/>
  <c r="S159" i="146"/>
  <c r="R159" i="146"/>
  <c r="Q159" i="146"/>
  <c r="P159" i="146"/>
  <c r="O159" i="146"/>
  <c r="N159" i="146"/>
  <c r="M159" i="146"/>
  <c r="L159" i="146"/>
  <c r="I159" i="146"/>
  <c r="E159" i="146"/>
  <c r="AB158" i="146"/>
  <c r="Z158" i="146"/>
  <c r="X158" i="146"/>
  <c r="V158" i="146"/>
  <c r="T158" i="146"/>
  <c r="S158" i="146"/>
  <c r="R158" i="146"/>
  <c r="Q158" i="146"/>
  <c r="P158" i="146"/>
  <c r="O158" i="146"/>
  <c r="N158" i="146"/>
  <c r="M158" i="146"/>
  <c r="L158" i="146"/>
  <c r="I158" i="146"/>
  <c r="E158" i="146"/>
  <c r="AB157" i="146"/>
  <c r="Z157" i="146"/>
  <c r="X157" i="146"/>
  <c r="V157" i="146"/>
  <c r="T157" i="146"/>
  <c r="S157" i="146"/>
  <c r="R157" i="146"/>
  <c r="Q157" i="146"/>
  <c r="P157" i="146"/>
  <c r="O157" i="146"/>
  <c r="N157" i="146"/>
  <c r="M157" i="146"/>
  <c r="L157" i="146"/>
  <c r="I157" i="146"/>
  <c r="F157" i="146"/>
  <c r="E157" i="146"/>
  <c r="AB156" i="146"/>
  <c r="Z156" i="146"/>
  <c r="X156" i="146"/>
  <c r="V156" i="146"/>
  <c r="T156" i="146"/>
  <c r="S156" i="146"/>
  <c r="R156" i="146"/>
  <c r="Q156" i="146"/>
  <c r="P156" i="146"/>
  <c r="O156" i="146"/>
  <c r="N156" i="146"/>
  <c r="M156" i="146"/>
  <c r="L156" i="146"/>
  <c r="I156" i="146"/>
  <c r="E156" i="146"/>
  <c r="AB155" i="146"/>
  <c r="Z155" i="146"/>
  <c r="X155" i="146"/>
  <c r="V155" i="146"/>
  <c r="T155" i="146"/>
  <c r="S155" i="146"/>
  <c r="R155" i="146"/>
  <c r="Q155" i="146"/>
  <c r="P155" i="146"/>
  <c r="O155" i="146"/>
  <c r="N155" i="146"/>
  <c r="M155" i="146"/>
  <c r="L155" i="146"/>
  <c r="I155" i="146"/>
  <c r="E155" i="146"/>
  <c r="AB154" i="146"/>
  <c r="Z154" i="146"/>
  <c r="X154" i="146"/>
  <c r="V154" i="146"/>
  <c r="T154" i="146"/>
  <c r="S154" i="146"/>
  <c r="R154" i="146"/>
  <c r="Q154" i="146"/>
  <c r="P154" i="146"/>
  <c r="O154" i="146"/>
  <c r="N154" i="146"/>
  <c r="M154" i="146"/>
  <c r="L154" i="146"/>
  <c r="I154" i="146"/>
  <c r="E154" i="146"/>
  <c r="AB153" i="146"/>
  <c r="Z153" i="146"/>
  <c r="X153" i="146"/>
  <c r="V153" i="146"/>
  <c r="T153" i="146"/>
  <c r="S153" i="146"/>
  <c r="R153" i="146"/>
  <c r="Q153" i="146"/>
  <c r="P153" i="146"/>
  <c r="O153" i="146"/>
  <c r="N153" i="146"/>
  <c r="M153" i="146"/>
  <c r="L153" i="146"/>
  <c r="I153" i="146"/>
  <c r="E153" i="146"/>
  <c r="AB152" i="146"/>
  <c r="Z152" i="146"/>
  <c r="X152" i="146"/>
  <c r="V152" i="146"/>
  <c r="T152" i="146"/>
  <c r="S152" i="146"/>
  <c r="R152" i="146"/>
  <c r="Q152" i="146"/>
  <c r="P152" i="146"/>
  <c r="O152" i="146"/>
  <c r="N152" i="146"/>
  <c r="M152" i="146"/>
  <c r="L152" i="146"/>
  <c r="I152" i="146"/>
  <c r="E152" i="146"/>
  <c r="AB151" i="146"/>
  <c r="Z151" i="146"/>
  <c r="X151" i="146"/>
  <c r="V151" i="146"/>
  <c r="T151" i="146"/>
  <c r="S151" i="146"/>
  <c r="R151" i="146"/>
  <c r="Q151" i="146"/>
  <c r="P151" i="146"/>
  <c r="O151" i="146"/>
  <c r="N151" i="146"/>
  <c r="M151" i="146"/>
  <c r="L151" i="146"/>
  <c r="I151" i="146"/>
  <c r="E151" i="146"/>
  <c r="AB150" i="146"/>
  <c r="Z150" i="146"/>
  <c r="X150" i="146"/>
  <c r="V150" i="146"/>
  <c r="T150" i="146"/>
  <c r="S150" i="146"/>
  <c r="R150" i="146"/>
  <c r="Q150" i="146"/>
  <c r="P150" i="146"/>
  <c r="O150" i="146"/>
  <c r="N150" i="146"/>
  <c r="M150" i="146"/>
  <c r="L150" i="146"/>
  <c r="I150" i="146"/>
  <c r="E150" i="146"/>
  <c r="AB149" i="146"/>
  <c r="Z149" i="146"/>
  <c r="X149" i="146"/>
  <c r="V149" i="146"/>
  <c r="T149" i="146"/>
  <c r="S149" i="146"/>
  <c r="R149" i="146"/>
  <c r="Q149" i="146"/>
  <c r="P149" i="146"/>
  <c r="O149" i="146"/>
  <c r="N149" i="146"/>
  <c r="M149" i="146"/>
  <c r="L149" i="146"/>
  <c r="I149" i="146"/>
  <c r="F149" i="146"/>
  <c r="E149" i="146"/>
  <c r="AB148" i="146"/>
  <c r="Z148" i="146"/>
  <c r="X148" i="146"/>
  <c r="V148" i="146"/>
  <c r="T148" i="146"/>
  <c r="S148" i="146"/>
  <c r="R148" i="146"/>
  <c r="Q148" i="146"/>
  <c r="P148" i="146"/>
  <c r="O148" i="146"/>
  <c r="N148" i="146"/>
  <c r="M148" i="146"/>
  <c r="L148" i="146"/>
  <c r="I148" i="146"/>
  <c r="E148" i="146"/>
  <c r="AB147" i="146"/>
  <c r="Z147" i="146"/>
  <c r="X147" i="146"/>
  <c r="V147" i="146"/>
  <c r="T147" i="146"/>
  <c r="S147" i="146"/>
  <c r="R147" i="146"/>
  <c r="Q147" i="146"/>
  <c r="P147" i="146"/>
  <c r="O147" i="146"/>
  <c r="N147" i="146"/>
  <c r="M147" i="146"/>
  <c r="L147" i="146"/>
  <c r="I147" i="146"/>
  <c r="E147" i="146"/>
  <c r="AB146" i="146"/>
  <c r="Z146" i="146"/>
  <c r="X146" i="146"/>
  <c r="V146" i="146"/>
  <c r="T146" i="146"/>
  <c r="S146" i="146"/>
  <c r="R146" i="146"/>
  <c r="Q146" i="146"/>
  <c r="P146" i="146"/>
  <c r="O146" i="146"/>
  <c r="N146" i="146"/>
  <c r="M146" i="146"/>
  <c r="L146" i="146"/>
  <c r="I146" i="146"/>
  <c r="E146" i="146"/>
  <c r="AB145" i="146"/>
  <c r="Z145" i="146"/>
  <c r="X145" i="146"/>
  <c r="V145" i="146"/>
  <c r="T145" i="146"/>
  <c r="S145" i="146"/>
  <c r="R145" i="146"/>
  <c r="Q145" i="146"/>
  <c r="P145" i="146"/>
  <c r="O145" i="146"/>
  <c r="N145" i="146"/>
  <c r="M145" i="146"/>
  <c r="L145" i="146"/>
  <c r="I145" i="146"/>
  <c r="E145" i="146"/>
  <c r="AB144" i="146"/>
  <c r="Z144" i="146"/>
  <c r="X144" i="146"/>
  <c r="V144" i="146"/>
  <c r="T144" i="146"/>
  <c r="S144" i="146"/>
  <c r="R144" i="146"/>
  <c r="Q144" i="146"/>
  <c r="P144" i="146"/>
  <c r="O144" i="146"/>
  <c r="N144" i="146"/>
  <c r="M144" i="146"/>
  <c r="L144" i="146"/>
  <c r="I144" i="146"/>
  <c r="E144" i="146"/>
  <c r="AB143" i="146"/>
  <c r="Z143" i="146"/>
  <c r="X143" i="146"/>
  <c r="V143" i="146"/>
  <c r="T143" i="146"/>
  <c r="S143" i="146"/>
  <c r="R143" i="146"/>
  <c r="Q143" i="146"/>
  <c r="P143" i="146"/>
  <c r="O143" i="146"/>
  <c r="N143" i="146"/>
  <c r="M143" i="146"/>
  <c r="L143" i="146"/>
  <c r="I143" i="146"/>
  <c r="F143" i="146"/>
  <c r="E143" i="146"/>
  <c r="AB142" i="146"/>
  <c r="Z142" i="146"/>
  <c r="X142" i="146"/>
  <c r="V142" i="146"/>
  <c r="T142" i="146"/>
  <c r="S142" i="146"/>
  <c r="R142" i="146"/>
  <c r="Q142" i="146"/>
  <c r="P142" i="146"/>
  <c r="O142" i="146"/>
  <c r="N142" i="146"/>
  <c r="M142" i="146"/>
  <c r="L142" i="146"/>
  <c r="I142" i="146"/>
  <c r="E142" i="146"/>
  <c r="AB141" i="146"/>
  <c r="Z141" i="146"/>
  <c r="X141" i="146"/>
  <c r="V141" i="146"/>
  <c r="T141" i="146"/>
  <c r="S141" i="146"/>
  <c r="R141" i="146"/>
  <c r="Q141" i="146"/>
  <c r="P141" i="146"/>
  <c r="O141" i="146"/>
  <c r="N141" i="146"/>
  <c r="M141" i="146"/>
  <c r="L141" i="146"/>
  <c r="I141" i="146"/>
  <c r="E141" i="146"/>
  <c r="AB140" i="146"/>
  <c r="Z140" i="146"/>
  <c r="X140" i="146"/>
  <c r="V140" i="146"/>
  <c r="T140" i="146"/>
  <c r="S140" i="146"/>
  <c r="R140" i="146"/>
  <c r="Q140" i="146"/>
  <c r="P140" i="146"/>
  <c r="O140" i="146"/>
  <c r="N140" i="146"/>
  <c r="M140" i="146"/>
  <c r="L140" i="146"/>
  <c r="I140" i="146"/>
  <c r="F140" i="146"/>
  <c r="E140" i="146"/>
  <c r="AB139" i="146"/>
  <c r="Z139" i="146"/>
  <c r="X139" i="146"/>
  <c r="V139" i="146"/>
  <c r="T139" i="146"/>
  <c r="S139" i="146"/>
  <c r="R139" i="146"/>
  <c r="Q139" i="146"/>
  <c r="P139" i="146"/>
  <c r="O139" i="146"/>
  <c r="N139" i="146"/>
  <c r="M139" i="146"/>
  <c r="L139" i="146"/>
  <c r="I139" i="146"/>
  <c r="F139" i="146"/>
  <c r="E139" i="146"/>
  <c r="AB138" i="146"/>
  <c r="Z138" i="146"/>
  <c r="X138" i="146"/>
  <c r="V138" i="146"/>
  <c r="T138" i="146"/>
  <c r="S138" i="146"/>
  <c r="R138" i="146"/>
  <c r="Q138" i="146"/>
  <c r="P138" i="146"/>
  <c r="O138" i="146"/>
  <c r="N138" i="146"/>
  <c r="M138" i="146"/>
  <c r="L138" i="146"/>
  <c r="I138" i="146"/>
  <c r="E138" i="146"/>
  <c r="AB137" i="146"/>
  <c r="Z137" i="146"/>
  <c r="X137" i="146"/>
  <c r="V137" i="146"/>
  <c r="T137" i="146"/>
  <c r="S137" i="146"/>
  <c r="R137" i="146"/>
  <c r="Q137" i="146"/>
  <c r="P137" i="146"/>
  <c r="O137" i="146"/>
  <c r="N137" i="146"/>
  <c r="M137" i="146"/>
  <c r="L137" i="146"/>
  <c r="I137" i="146"/>
  <c r="E137" i="146"/>
  <c r="AB136" i="146"/>
  <c r="Z136" i="146"/>
  <c r="X136" i="146"/>
  <c r="V136" i="146"/>
  <c r="T136" i="146"/>
  <c r="S136" i="146"/>
  <c r="R136" i="146"/>
  <c r="Q136" i="146"/>
  <c r="P136" i="146"/>
  <c r="O136" i="146"/>
  <c r="N136" i="146"/>
  <c r="M136" i="146"/>
  <c r="L136" i="146"/>
  <c r="I136" i="146"/>
  <c r="E136" i="146"/>
  <c r="AB135" i="146"/>
  <c r="Z135" i="146"/>
  <c r="X135" i="146"/>
  <c r="V135" i="146"/>
  <c r="T135" i="146"/>
  <c r="S135" i="146"/>
  <c r="R135" i="146"/>
  <c r="Q135" i="146"/>
  <c r="P135" i="146"/>
  <c r="O135" i="146"/>
  <c r="N135" i="146"/>
  <c r="M135" i="146"/>
  <c r="L135" i="146"/>
  <c r="I135" i="146"/>
  <c r="F135" i="146"/>
  <c r="E135" i="146"/>
  <c r="AB134" i="146"/>
  <c r="Z134" i="146"/>
  <c r="X134" i="146"/>
  <c r="V134" i="146"/>
  <c r="T134" i="146"/>
  <c r="S134" i="146"/>
  <c r="R134" i="146"/>
  <c r="Q134" i="146"/>
  <c r="P134" i="146"/>
  <c r="O134" i="146"/>
  <c r="N134" i="146"/>
  <c r="M134" i="146"/>
  <c r="L134" i="146"/>
  <c r="I134" i="146"/>
  <c r="F134" i="146"/>
  <c r="E134" i="146"/>
  <c r="AB133" i="146"/>
  <c r="Z133" i="146"/>
  <c r="X133" i="146"/>
  <c r="V133" i="146"/>
  <c r="T133" i="146"/>
  <c r="S133" i="146"/>
  <c r="R133" i="146"/>
  <c r="Q133" i="146"/>
  <c r="P133" i="146"/>
  <c r="O133" i="146"/>
  <c r="N133" i="146"/>
  <c r="M133" i="146"/>
  <c r="L133" i="146"/>
  <c r="I133" i="146"/>
  <c r="F133" i="146"/>
  <c r="E133" i="146"/>
  <c r="AB132" i="146"/>
  <c r="Z132" i="146"/>
  <c r="X132" i="146"/>
  <c r="V132" i="146"/>
  <c r="T132" i="146"/>
  <c r="S132" i="146"/>
  <c r="R132" i="146"/>
  <c r="Q132" i="146"/>
  <c r="P132" i="146"/>
  <c r="O132" i="146"/>
  <c r="N132" i="146"/>
  <c r="M132" i="146"/>
  <c r="L132" i="146"/>
  <c r="I132" i="146"/>
  <c r="F132" i="146"/>
  <c r="E132" i="146"/>
  <c r="AB131" i="146"/>
  <c r="Z131" i="146"/>
  <c r="X131" i="146"/>
  <c r="V131" i="146"/>
  <c r="U131" i="146"/>
  <c r="T131" i="146"/>
  <c r="S131" i="146"/>
  <c r="R131" i="146"/>
  <c r="Q131" i="146"/>
  <c r="P131" i="146"/>
  <c r="O131" i="146"/>
  <c r="N131" i="146"/>
  <c r="M131" i="146"/>
  <c r="L131" i="146"/>
  <c r="I131" i="146"/>
  <c r="F131" i="146"/>
  <c r="E131" i="146"/>
  <c r="AB130" i="146"/>
  <c r="Z130" i="146"/>
  <c r="X130" i="146"/>
  <c r="V130" i="146"/>
  <c r="U130" i="146"/>
  <c r="T130" i="146"/>
  <c r="S130" i="146"/>
  <c r="R130" i="146"/>
  <c r="Q130" i="146"/>
  <c r="P130" i="146"/>
  <c r="O130" i="146"/>
  <c r="N130" i="146"/>
  <c r="M130" i="146"/>
  <c r="L130" i="146"/>
  <c r="I130" i="146"/>
  <c r="E130" i="146"/>
  <c r="AB129" i="146"/>
  <c r="Z129" i="146"/>
  <c r="X129" i="146"/>
  <c r="V129" i="146"/>
  <c r="U129" i="146"/>
  <c r="T129" i="146"/>
  <c r="S129" i="146"/>
  <c r="R129" i="146"/>
  <c r="Q129" i="146"/>
  <c r="P129" i="146"/>
  <c r="O129" i="146"/>
  <c r="N129" i="146"/>
  <c r="M129" i="146"/>
  <c r="L129" i="146"/>
  <c r="I129" i="146"/>
  <c r="E129" i="146"/>
  <c r="AB125" i="146"/>
  <c r="Z125" i="146"/>
  <c r="X125" i="146"/>
  <c r="V125" i="146"/>
  <c r="T125" i="146"/>
  <c r="S125" i="146"/>
  <c r="R125" i="146"/>
  <c r="Q125" i="146"/>
  <c r="P125" i="146"/>
  <c r="O125" i="146"/>
  <c r="N125" i="146"/>
  <c r="M125" i="146"/>
  <c r="L125" i="146"/>
  <c r="I125" i="146"/>
  <c r="E125" i="146"/>
  <c r="AB124" i="146"/>
  <c r="Z124" i="146"/>
  <c r="X124" i="146"/>
  <c r="V124" i="146"/>
  <c r="T124" i="146"/>
  <c r="S124" i="146"/>
  <c r="R124" i="146"/>
  <c r="Q124" i="146"/>
  <c r="P124" i="146"/>
  <c r="O124" i="146"/>
  <c r="N124" i="146"/>
  <c r="M124" i="146"/>
  <c r="L124" i="146"/>
  <c r="I124" i="146"/>
  <c r="E124" i="146"/>
  <c r="AB123" i="146"/>
  <c r="Z123" i="146"/>
  <c r="X123" i="146"/>
  <c r="V123" i="146"/>
  <c r="T123" i="146"/>
  <c r="S123" i="146"/>
  <c r="R123" i="146"/>
  <c r="Q123" i="146"/>
  <c r="P123" i="146"/>
  <c r="O123" i="146"/>
  <c r="N123" i="146"/>
  <c r="M123" i="146"/>
  <c r="L123" i="146"/>
  <c r="I123" i="146"/>
  <c r="E123" i="146"/>
  <c r="AB122" i="146"/>
  <c r="Z122" i="146"/>
  <c r="X122" i="146"/>
  <c r="V122" i="146"/>
  <c r="T122" i="146"/>
  <c r="S122" i="146"/>
  <c r="R122" i="146"/>
  <c r="Q122" i="146"/>
  <c r="P122" i="146"/>
  <c r="O122" i="146"/>
  <c r="N122" i="146"/>
  <c r="M122" i="146"/>
  <c r="L122" i="146"/>
  <c r="I122" i="146"/>
  <c r="F122" i="146"/>
  <c r="E122" i="146"/>
  <c r="AB121" i="146"/>
  <c r="Z121" i="146"/>
  <c r="X121" i="146"/>
  <c r="V121" i="146"/>
  <c r="T121" i="146"/>
  <c r="S121" i="146"/>
  <c r="R121" i="146"/>
  <c r="Q121" i="146"/>
  <c r="P121" i="146"/>
  <c r="O121" i="146"/>
  <c r="N121" i="146"/>
  <c r="M121" i="146"/>
  <c r="L121" i="146"/>
  <c r="I121" i="146"/>
  <c r="F121" i="146"/>
  <c r="E121" i="146"/>
  <c r="AB120" i="146"/>
  <c r="Z120" i="146"/>
  <c r="X120" i="146"/>
  <c r="V120" i="146"/>
  <c r="T120" i="146"/>
  <c r="S120" i="146"/>
  <c r="R120" i="146"/>
  <c r="Q120" i="146"/>
  <c r="P120" i="146"/>
  <c r="O120" i="146"/>
  <c r="N120" i="146"/>
  <c r="M120" i="146"/>
  <c r="L120" i="146"/>
  <c r="I120" i="146"/>
  <c r="E120" i="146"/>
  <c r="AB119" i="146"/>
  <c r="Z119" i="146"/>
  <c r="X119" i="146"/>
  <c r="V119" i="146"/>
  <c r="U119" i="146"/>
  <c r="T119" i="146"/>
  <c r="S119" i="146"/>
  <c r="R119" i="146"/>
  <c r="Q119" i="146"/>
  <c r="P119" i="146"/>
  <c r="O119" i="146"/>
  <c r="N119" i="146"/>
  <c r="M119" i="146"/>
  <c r="L119" i="146"/>
  <c r="I119" i="146"/>
  <c r="E119" i="146"/>
  <c r="AB118" i="146"/>
  <c r="Z118" i="146"/>
  <c r="X118" i="146"/>
  <c r="V118" i="146"/>
  <c r="U118" i="146"/>
  <c r="T118" i="146"/>
  <c r="S118" i="146"/>
  <c r="R118" i="146"/>
  <c r="Q118" i="146"/>
  <c r="P118" i="146"/>
  <c r="O118" i="146"/>
  <c r="N118" i="146"/>
  <c r="M118" i="146"/>
  <c r="L118" i="146"/>
  <c r="I118" i="146"/>
  <c r="F118" i="146"/>
  <c r="E118" i="146"/>
  <c r="AB117" i="146"/>
  <c r="Z117" i="146"/>
  <c r="X117" i="146"/>
  <c r="V117" i="146"/>
  <c r="U117" i="146"/>
  <c r="T117" i="146"/>
  <c r="S117" i="146"/>
  <c r="R117" i="146"/>
  <c r="Q117" i="146"/>
  <c r="P117" i="146"/>
  <c r="O117" i="146"/>
  <c r="N117" i="146"/>
  <c r="M117" i="146"/>
  <c r="L117" i="146"/>
  <c r="I117" i="146"/>
  <c r="F117" i="146"/>
  <c r="E117" i="146"/>
  <c r="AB116" i="146"/>
  <c r="Z116" i="146"/>
  <c r="X116" i="146"/>
  <c r="V116" i="146"/>
  <c r="U116" i="146"/>
  <c r="T116" i="146"/>
  <c r="S116" i="146"/>
  <c r="R116" i="146"/>
  <c r="Q116" i="146"/>
  <c r="P116" i="146"/>
  <c r="O116" i="146"/>
  <c r="N116" i="146"/>
  <c r="M116" i="146"/>
  <c r="L116" i="146"/>
  <c r="I116" i="146"/>
  <c r="F116" i="146"/>
  <c r="E116" i="146"/>
  <c r="AB112" i="146"/>
  <c r="Z112" i="146"/>
  <c r="X112" i="146"/>
  <c r="V112" i="146"/>
  <c r="T112" i="146"/>
  <c r="S112" i="146"/>
  <c r="R112" i="146"/>
  <c r="Q112" i="146"/>
  <c r="P112" i="146"/>
  <c r="O112" i="146"/>
  <c r="N112" i="146"/>
  <c r="M112" i="146"/>
  <c r="L112" i="146"/>
  <c r="I112" i="146"/>
  <c r="F112" i="146"/>
  <c r="E112" i="146"/>
  <c r="AB111" i="146"/>
  <c r="Z111" i="146"/>
  <c r="X111" i="146"/>
  <c r="V111" i="146"/>
  <c r="T111" i="146"/>
  <c r="S111" i="146"/>
  <c r="R111" i="146"/>
  <c r="Q111" i="146"/>
  <c r="P111" i="146"/>
  <c r="O111" i="146"/>
  <c r="N111" i="146"/>
  <c r="M111" i="146"/>
  <c r="L111" i="146"/>
  <c r="I111" i="146"/>
  <c r="E111" i="146"/>
  <c r="AB110" i="146"/>
  <c r="Z110" i="146"/>
  <c r="X110" i="146"/>
  <c r="V110" i="146"/>
  <c r="U110" i="146"/>
  <c r="T110" i="146"/>
  <c r="S110" i="146"/>
  <c r="R110" i="146"/>
  <c r="Q110" i="146"/>
  <c r="P110" i="146"/>
  <c r="O110" i="146"/>
  <c r="N110" i="146"/>
  <c r="M110" i="146"/>
  <c r="L110" i="146"/>
  <c r="I110" i="146"/>
  <c r="F110" i="146"/>
  <c r="E110" i="146"/>
  <c r="AB107" i="146"/>
  <c r="AB106" i="146"/>
  <c r="Z106" i="146"/>
  <c r="X106" i="146"/>
  <c r="V106" i="146"/>
  <c r="T106" i="146"/>
  <c r="S106" i="146"/>
  <c r="R106" i="146"/>
  <c r="Q106" i="146"/>
  <c r="P106" i="146"/>
  <c r="O106" i="146"/>
  <c r="N106" i="146"/>
  <c r="M106" i="146"/>
  <c r="L106" i="146"/>
  <c r="I106" i="146"/>
  <c r="E106" i="146"/>
  <c r="AB105" i="146"/>
  <c r="Z105" i="146"/>
  <c r="X105" i="146"/>
  <c r="V105" i="146"/>
  <c r="T105" i="146"/>
  <c r="S105" i="146"/>
  <c r="R105" i="146"/>
  <c r="Q105" i="146"/>
  <c r="P105" i="146"/>
  <c r="O105" i="146"/>
  <c r="N105" i="146"/>
  <c r="M105" i="146"/>
  <c r="L105" i="146"/>
  <c r="I105" i="146"/>
  <c r="E105" i="146"/>
  <c r="AB104" i="146"/>
  <c r="Z104" i="146"/>
  <c r="X104" i="146"/>
  <c r="V104" i="146"/>
  <c r="T104" i="146"/>
  <c r="S104" i="146"/>
  <c r="R104" i="146"/>
  <c r="Q104" i="146"/>
  <c r="P104" i="146"/>
  <c r="O104" i="146"/>
  <c r="N104" i="146"/>
  <c r="M104" i="146"/>
  <c r="L104" i="146"/>
  <c r="I104" i="146"/>
  <c r="E104" i="146"/>
  <c r="AB103" i="146"/>
  <c r="Z103" i="146"/>
  <c r="X103" i="146"/>
  <c r="V103" i="146"/>
  <c r="U103" i="146"/>
  <c r="T103" i="146"/>
  <c r="S103" i="146"/>
  <c r="R103" i="146"/>
  <c r="Q103" i="146"/>
  <c r="P103" i="146"/>
  <c r="O103" i="146"/>
  <c r="N103" i="146"/>
  <c r="M103" i="146"/>
  <c r="L103" i="146"/>
  <c r="I103" i="146"/>
  <c r="E103" i="146"/>
  <c r="AB102" i="146"/>
  <c r="Z102" i="146"/>
  <c r="X102" i="146"/>
  <c r="V102" i="146"/>
  <c r="U102" i="146"/>
  <c r="T102" i="146"/>
  <c r="S102" i="146"/>
  <c r="R102" i="146"/>
  <c r="Q102" i="146"/>
  <c r="P102" i="146"/>
  <c r="O102" i="146"/>
  <c r="N102" i="146"/>
  <c r="M102" i="146"/>
  <c r="L102" i="146"/>
  <c r="I102" i="146"/>
  <c r="F102" i="146"/>
  <c r="E102" i="146"/>
  <c r="AB101" i="146"/>
  <c r="Z101" i="146"/>
  <c r="X101" i="146"/>
  <c r="V101" i="146"/>
  <c r="U101" i="146"/>
  <c r="T101" i="146"/>
  <c r="S101" i="146"/>
  <c r="R101" i="146"/>
  <c r="Q101" i="146"/>
  <c r="P101" i="146"/>
  <c r="O101" i="146"/>
  <c r="N101" i="146"/>
  <c r="M101" i="146"/>
  <c r="L101" i="146"/>
  <c r="I101" i="146"/>
  <c r="F101" i="146"/>
  <c r="E101" i="146"/>
  <c r="AB100" i="146"/>
  <c r="Z100" i="146"/>
  <c r="X100" i="146"/>
  <c r="V100" i="146"/>
  <c r="U100" i="146"/>
  <c r="T100" i="146"/>
  <c r="S100" i="146"/>
  <c r="R100" i="146"/>
  <c r="Q100" i="146"/>
  <c r="P100" i="146"/>
  <c r="O100" i="146"/>
  <c r="N100" i="146"/>
  <c r="M100" i="146"/>
  <c r="L100" i="146"/>
  <c r="I100" i="146"/>
  <c r="E100" i="146"/>
  <c r="AB97" i="146"/>
  <c r="AB96" i="146"/>
  <c r="Z96" i="146"/>
  <c r="X96" i="146"/>
  <c r="V96" i="146"/>
  <c r="T96" i="146"/>
  <c r="S96" i="146"/>
  <c r="R96" i="146"/>
  <c r="Q96" i="146"/>
  <c r="P96" i="146"/>
  <c r="O96" i="146"/>
  <c r="N96" i="146"/>
  <c r="M96" i="146"/>
  <c r="L96" i="146"/>
  <c r="I96" i="146"/>
  <c r="E96" i="146"/>
  <c r="AB95" i="146"/>
  <c r="Z95" i="146"/>
  <c r="X95" i="146"/>
  <c r="V95" i="146"/>
  <c r="T95" i="146"/>
  <c r="S95" i="146"/>
  <c r="R95" i="146"/>
  <c r="Q95" i="146"/>
  <c r="P95" i="146"/>
  <c r="O95" i="146"/>
  <c r="N95" i="146"/>
  <c r="M95" i="146"/>
  <c r="L95" i="146"/>
  <c r="I95" i="146"/>
  <c r="E95" i="146"/>
  <c r="AB94" i="146"/>
  <c r="Z94" i="146"/>
  <c r="X94" i="146"/>
  <c r="V94" i="146"/>
  <c r="T94" i="146"/>
  <c r="S94" i="146"/>
  <c r="R94" i="146"/>
  <c r="Q94" i="146"/>
  <c r="P94" i="146"/>
  <c r="O94" i="146"/>
  <c r="N94" i="146"/>
  <c r="M94" i="146"/>
  <c r="L94" i="146"/>
  <c r="I94" i="146"/>
  <c r="E94" i="146"/>
  <c r="AB93" i="146"/>
  <c r="Z93" i="146"/>
  <c r="X93" i="146"/>
  <c r="V93" i="146"/>
  <c r="U93" i="146"/>
  <c r="T93" i="146"/>
  <c r="S93" i="146"/>
  <c r="R93" i="146"/>
  <c r="Q93" i="146"/>
  <c r="P93" i="146"/>
  <c r="O93" i="146"/>
  <c r="N93" i="146"/>
  <c r="M93" i="146"/>
  <c r="L93" i="146"/>
  <c r="I93" i="146"/>
  <c r="F93" i="146"/>
  <c r="E93" i="146"/>
  <c r="AB90" i="146"/>
  <c r="AB89" i="146"/>
  <c r="Z89" i="146"/>
  <c r="X89" i="146"/>
  <c r="V89" i="146"/>
  <c r="T89" i="146"/>
  <c r="S89" i="146"/>
  <c r="R89" i="146"/>
  <c r="Q89" i="146"/>
  <c r="P89" i="146"/>
  <c r="O89" i="146"/>
  <c r="N89" i="146"/>
  <c r="M89" i="146"/>
  <c r="L89" i="146"/>
  <c r="I89" i="146"/>
  <c r="E89" i="146"/>
  <c r="AB88" i="146"/>
  <c r="Z88" i="146"/>
  <c r="X88" i="146"/>
  <c r="V88" i="146"/>
  <c r="T88" i="146"/>
  <c r="S88" i="146"/>
  <c r="R88" i="146"/>
  <c r="Q88" i="146"/>
  <c r="P88" i="146"/>
  <c r="O88" i="146"/>
  <c r="N88" i="146"/>
  <c r="M88" i="146"/>
  <c r="L88" i="146"/>
  <c r="I88" i="146"/>
  <c r="E88" i="146"/>
  <c r="AB87" i="146"/>
  <c r="Z87" i="146"/>
  <c r="X87" i="146"/>
  <c r="V87" i="146"/>
  <c r="T87" i="146"/>
  <c r="S87" i="146"/>
  <c r="R87" i="146"/>
  <c r="Q87" i="146"/>
  <c r="P87" i="146"/>
  <c r="O87" i="146"/>
  <c r="N87" i="146"/>
  <c r="M87" i="146"/>
  <c r="L87" i="146"/>
  <c r="I87" i="146"/>
  <c r="F87" i="146"/>
  <c r="E87" i="146"/>
  <c r="AB86" i="146"/>
  <c r="Z86" i="146"/>
  <c r="X86" i="146"/>
  <c r="V86" i="146"/>
  <c r="T86" i="146"/>
  <c r="S86" i="146"/>
  <c r="R86" i="146"/>
  <c r="Q86" i="146"/>
  <c r="P86" i="146"/>
  <c r="O86" i="146"/>
  <c r="N86" i="146"/>
  <c r="M86" i="146"/>
  <c r="L86" i="146"/>
  <c r="I86" i="146"/>
  <c r="E86" i="146"/>
  <c r="AB85" i="146"/>
  <c r="Z85" i="146"/>
  <c r="X85" i="146"/>
  <c r="V85" i="146"/>
  <c r="U85" i="146"/>
  <c r="T85" i="146"/>
  <c r="S85" i="146"/>
  <c r="R85" i="146"/>
  <c r="Q85" i="146"/>
  <c r="P85" i="146"/>
  <c r="O85" i="146"/>
  <c r="N85" i="146"/>
  <c r="M85" i="146"/>
  <c r="L85" i="146"/>
  <c r="I85" i="146"/>
  <c r="E85" i="146"/>
  <c r="AB84" i="146"/>
  <c r="Z84" i="146"/>
  <c r="X84" i="146"/>
  <c r="V84" i="146"/>
  <c r="U84" i="146"/>
  <c r="T84" i="146"/>
  <c r="S84" i="146"/>
  <c r="R84" i="146"/>
  <c r="Q84" i="146"/>
  <c r="P84" i="146"/>
  <c r="O84" i="146"/>
  <c r="N84" i="146"/>
  <c r="M84" i="146"/>
  <c r="L84" i="146"/>
  <c r="I84" i="146"/>
  <c r="E84" i="146"/>
  <c r="AB83" i="146"/>
  <c r="Z83" i="146"/>
  <c r="X83" i="146"/>
  <c r="V83" i="146"/>
  <c r="U83" i="146"/>
  <c r="T83" i="146"/>
  <c r="S83" i="146"/>
  <c r="R83" i="146"/>
  <c r="Q83" i="146"/>
  <c r="P83" i="146"/>
  <c r="O83" i="146"/>
  <c r="N83" i="146"/>
  <c r="M83" i="146"/>
  <c r="L83" i="146"/>
  <c r="I83" i="146"/>
  <c r="E83" i="146"/>
  <c r="AB82" i="146"/>
  <c r="Z82" i="146"/>
  <c r="X82" i="146"/>
  <c r="V82" i="146"/>
  <c r="U82" i="146"/>
  <c r="T82" i="146"/>
  <c r="S82" i="146"/>
  <c r="R82" i="146"/>
  <c r="Q82" i="146"/>
  <c r="P82" i="146"/>
  <c r="O82" i="146"/>
  <c r="N82" i="146"/>
  <c r="M82" i="146"/>
  <c r="L82" i="146"/>
  <c r="I82" i="146"/>
  <c r="E82" i="146"/>
  <c r="AB81" i="146"/>
  <c r="Z81" i="146"/>
  <c r="X81" i="146"/>
  <c r="V81" i="146"/>
  <c r="U81" i="146"/>
  <c r="T81" i="146"/>
  <c r="S81" i="146"/>
  <c r="R81" i="146"/>
  <c r="Q81" i="146"/>
  <c r="P81" i="146"/>
  <c r="O81" i="146"/>
  <c r="N81" i="146"/>
  <c r="M81" i="146"/>
  <c r="L81" i="146"/>
  <c r="I81" i="146"/>
  <c r="F81" i="146"/>
  <c r="E81" i="146"/>
  <c r="AB80" i="146"/>
  <c r="Z80" i="146"/>
  <c r="X80" i="146"/>
  <c r="V80" i="146"/>
  <c r="U80" i="146"/>
  <c r="T80" i="146"/>
  <c r="S80" i="146"/>
  <c r="R80" i="146"/>
  <c r="Q80" i="146"/>
  <c r="P80" i="146"/>
  <c r="O80" i="146"/>
  <c r="N80" i="146"/>
  <c r="M80" i="146"/>
  <c r="L80" i="146"/>
  <c r="I80" i="146"/>
  <c r="E80" i="146"/>
  <c r="AB77" i="146"/>
  <c r="AB76" i="146"/>
  <c r="Z76" i="146"/>
  <c r="X76" i="146"/>
  <c r="V76" i="146"/>
  <c r="T76" i="146"/>
  <c r="S76" i="146"/>
  <c r="R76" i="146"/>
  <c r="Q76" i="146"/>
  <c r="P76" i="146"/>
  <c r="O76" i="146"/>
  <c r="N76" i="146"/>
  <c r="M76" i="146"/>
  <c r="L76" i="146"/>
  <c r="I76" i="146"/>
  <c r="E76" i="146"/>
  <c r="AB75" i="146"/>
  <c r="Z75" i="146"/>
  <c r="X75" i="146"/>
  <c r="V75" i="146"/>
  <c r="T75" i="146"/>
  <c r="S75" i="146"/>
  <c r="R75" i="146"/>
  <c r="Q75" i="146"/>
  <c r="P75" i="146"/>
  <c r="O75" i="146"/>
  <c r="N75" i="146"/>
  <c r="M75" i="146"/>
  <c r="L75" i="146"/>
  <c r="I75" i="146"/>
  <c r="E75" i="146"/>
  <c r="AB74" i="146"/>
  <c r="Z74" i="146"/>
  <c r="X74" i="146"/>
  <c r="V74" i="146"/>
  <c r="T74" i="146"/>
  <c r="S74" i="146"/>
  <c r="R74" i="146"/>
  <c r="Q74" i="146"/>
  <c r="P74" i="146"/>
  <c r="O74" i="146"/>
  <c r="N74" i="146"/>
  <c r="M74" i="146"/>
  <c r="L74" i="146"/>
  <c r="I74" i="146"/>
  <c r="E74" i="146"/>
  <c r="AB73" i="146"/>
  <c r="Z73" i="146"/>
  <c r="X73" i="146"/>
  <c r="V73" i="146"/>
  <c r="U73" i="146"/>
  <c r="T73" i="146"/>
  <c r="S73" i="146"/>
  <c r="R73" i="146"/>
  <c r="Q73" i="146"/>
  <c r="P73" i="146"/>
  <c r="O73" i="146"/>
  <c r="N73" i="146"/>
  <c r="M73" i="146"/>
  <c r="L73" i="146"/>
  <c r="I73" i="146"/>
  <c r="F73" i="146"/>
  <c r="E73" i="146"/>
  <c r="AB72" i="146"/>
  <c r="Z72" i="146"/>
  <c r="X72" i="146"/>
  <c r="V72" i="146"/>
  <c r="U72" i="146"/>
  <c r="T72" i="146"/>
  <c r="S72" i="146"/>
  <c r="R72" i="146"/>
  <c r="Q72" i="146"/>
  <c r="P72" i="146"/>
  <c r="O72" i="146"/>
  <c r="N72" i="146"/>
  <c r="M72" i="146"/>
  <c r="L72" i="146"/>
  <c r="I72" i="146"/>
  <c r="E72" i="146"/>
  <c r="AB71" i="146"/>
  <c r="Z71" i="146"/>
  <c r="X71" i="146"/>
  <c r="V71" i="146"/>
  <c r="U71" i="146"/>
  <c r="T71" i="146"/>
  <c r="S71" i="146"/>
  <c r="R71" i="146"/>
  <c r="Q71" i="146"/>
  <c r="P71" i="146"/>
  <c r="O71" i="146"/>
  <c r="N71" i="146"/>
  <c r="M71" i="146"/>
  <c r="L71" i="146"/>
  <c r="I71" i="146"/>
  <c r="E71" i="146"/>
  <c r="AB70" i="146"/>
  <c r="Z70" i="146"/>
  <c r="X70" i="146"/>
  <c r="V70" i="146"/>
  <c r="U70" i="146"/>
  <c r="T70" i="146"/>
  <c r="S70" i="146"/>
  <c r="R70" i="146"/>
  <c r="Q70" i="146"/>
  <c r="P70" i="146"/>
  <c r="O70" i="146"/>
  <c r="N70" i="146"/>
  <c r="M70" i="146"/>
  <c r="L70" i="146"/>
  <c r="I70" i="146"/>
  <c r="E70" i="146"/>
  <c r="AB66" i="146"/>
  <c r="Z66" i="146"/>
  <c r="X66" i="146"/>
  <c r="V66" i="146"/>
  <c r="T66" i="146"/>
  <c r="S66" i="146"/>
  <c r="R66" i="146"/>
  <c r="Q66" i="146"/>
  <c r="P66" i="146"/>
  <c r="O66" i="146"/>
  <c r="N66" i="146"/>
  <c r="M66" i="146"/>
  <c r="L66" i="146"/>
  <c r="I66" i="146"/>
  <c r="E66" i="146"/>
  <c r="AB65" i="146"/>
  <c r="Z65" i="146"/>
  <c r="X65" i="146"/>
  <c r="V65" i="146"/>
  <c r="T65" i="146"/>
  <c r="S65" i="146"/>
  <c r="R65" i="146"/>
  <c r="Q65" i="146"/>
  <c r="P65" i="146"/>
  <c r="O65" i="146"/>
  <c r="N65" i="146"/>
  <c r="M65" i="146"/>
  <c r="L65" i="146"/>
  <c r="I65" i="146"/>
  <c r="E65" i="146"/>
  <c r="AB64" i="146"/>
  <c r="Z64" i="146"/>
  <c r="X64" i="146"/>
  <c r="V64" i="146"/>
  <c r="T64" i="146"/>
  <c r="S64" i="146"/>
  <c r="R64" i="146"/>
  <c r="Q64" i="146"/>
  <c r="P64" i="146"/>
  <c r="O64" i="146"/>
  <c r="N64" i="146"/>
  <c r="M64" i="146"/>
  <c r="L64" i="146"/>
  <c r="I64" i="146"/>
  <c r="E64" i="146"/>
  <c r="AB63" i="146"/>
  <c r="Z63" i="146"/>
  <c r="X63" i="146"/>
  <c r="V63" i="146"/>
  <c r="T63" i="146"/>
  <c r="S63" i="146"/>
  <c r="R63" i="146"/>
  <c r="Q63" i="146"/>
  <c r="P63" i="146"/>
  <c r="O63" i="146"/>
  <c r="N63" i="146"/>
  <c r="M63" i="146"/>
  <c r="L63" i="146"/>
  <c r="I63" i="146"/>
  <c r="E63" i="146"/>
  <c r="AB62" i="146"/>
  <c r="Z62" i="146"/>
  <c r="X62" i="146"/>
  <c r="V62" i="146"/>
  <c r="T62" i="146"/>
  <c r="S62" i="146"/>
  <c r="R62" i="146"/>
  <c r="Q62" i="146"/>
  <c r="P62" i="146"/>
  <c r="O62" i="146"/>
  <c r="N62" i="146"/>
  <c r="M62" i="146"/>
  <c r="L62" i="146"/>
  <c r="I62" i="146"/>
  <c r="E62" i="146"/>
  <c r="AB61" i="146"/>
  <c r="Z61" i="146"/>
  <c r="X61" i="146"/>
  <c r="V61" i="146"/>
  <c r="U61" i="146"/>
  <c r="T61" i="146"/>
  <c r="S61" i="146"/>
  <c r="R61" i="146"/>
  <c r="Q61" i="146"/>
  <c r="P61" i="146"/>
  <c r="O61" i="146"/>
  <c r="N61" i="146"/>
  <c r="M61" i="146"/>
  <c r="L61" i="146"/>
  <c r="I61" i="146"/>
  <c r="E61" i="146"/>
  <c r="AB60" i="146"/>
  <c r="Z60" i="146"/>
  <c r="X60" i="146"/>
  <c r="V60" i="146"/>
  <c r="U60" i="146"/>
  <c r="T60" i="146"/>
  <c r="S60" i="146"/>
  <c r="R60" i="146"/>
  <c r="Q60" i="146"/>
  <c r="P60" i="146"/>
  <c r="O60" i="146"/>
  <c r="N60" i="146"/>
  <c r="M60" i="146"/>
  <c r="L60" i="146"/>
  <c r="I60" i="146"/>
  <c r="E60" i="146"/>
  <c r="AB59" i="146"/>
  <c r="Z59" i="146"/>
  <c r="X59" i="146"/>
  <c r="V59" i="146"/>
  <c r="U59" i="146"/>
  <c r="T59" i="146"/>
  <c r="S59" i="146"/>
  <c r="R59" i="146"/>
  <c r="Q59" i="146"/>
  <c r="P59" i="146"/>
  <c r="O59" i="146"/>
  <c r="N59" i="146"/>
  <c r="M59" i="146"/>
  <c r="L59" i="146"/>
  <c r="I59" i="146"/>
  <c r="E59" i="146"/>
  <c r="AB58" i="146"/>
  <c r="Z58" i="146"/>
  <c r="X58" i="146"/>
  <c r="V58" i="146"/>
  <c r="U58" i="146"/>
  <c r="T58" i="146"/>
  <c r="S58" i="146"/>
  <c r="R58" i="146"/>
  <c r="Q58" i="146"/>
  <c r="P58" i="146"/>
  <c r="O58" i="146"/>
  <c r="N58" i="146"/>
  <c r="M58" i="146"/>
  <c r="L58" i="146"/>
  <c r="I58" i="146"/>
  <c r="E58" i="146"/>
  <c r="AB57" i="146"/>
  <c r="Z57" i="146"/>
  <c r="X57" i="146"/>
  <c r="V57" i="146"/>
  <c r="U57" i="146"/>
  <c r="T57" i="146"/>
  <c r="S57" i="146"/>
  <c r="R57" i="146"/>
  <c r="Q57" i="146"/>
  <c r="P57" i="146"/>
  <c r="O57" i="146"/>
  <c r="N57" i="146"/>
  <c r="M57" i="146"/>
  <c r="L57" i="146"/>
  <c r="I57" i="146"/>
  <c r="E57" i="146"/>
  <c r="AB54" i="146"/>
  <c r="Z54" i="146"/>
  <c r="X54" i="146"/>
  <c r="V54" i="146"/>
  <c r="U54" i="146"/>
  <c r="T54" i="146"/>
  <c r="S54" i="146"/>
  <c r="R54" i="146"/>
  <c r="Q54" i="146"/>
  <c r="P54" i="146"/>
  <c r="O54" i="146"/>
  <c r="N54" i="146"/>
  <c r="M54" i="146"/>
  <c r="L54" i="146"/>
  <c r="I54" i="146"/>
  <c r="E54" i="146"/>
  <c r="AB53" i="146"/>
  <c r="Z53" i="146"/>
  <c r="X53" i="146"/>
  <c r="V53" i="146"/>
  <c r="U53" i="146"/>
  <c r="T53" i="146"/>
  <c r="S53" i="146"/>
  <c r="R53" i="146"/>
  <c r="Q53" i="146"/>
  <c r="P53" i="146"/>
  <c r="O53" i="146"/>
  <c r="N53" i="146"/>
  <c r="M53" i="146"/>
  <c r="L53" i="146"/>
  <c r="I53" i="146"/>
  <c r="E53" i="146"/>
  <c r="AB50" i="146"/>
  <c r="Z50" i="146"/>
  <c r="X50" i="146"/>
  <c r="V50" i="146"/>
  <c r="T50" i="146"/>
  <c r="S50" i="146"/>
  <c r="R50" i="146"/>
  <c r="Q50" i="146"/>
  <c r="P50" i="146"/>
  <c r="O50" i="146"/>
  <c r="N50" i="146"/>
  <c r="M50" i="146"/>
  <c r="L50" i="146"/>
  <c r="I50" i="146"/>
  <c r="E50" i="146"/>
  <c r="AB49" i="146"/>
  <c r="Z49" i="146"/>
  <c r="V49" i="146"/>
  <c r="T49" i="146"/>
  <c r="S49" i="146"/>
  <c r="R49" i="146"/>
  <c r="Q49" i="146"/>
  <c r="P49" i="146"/>
  <c r="O49" i="146"/>
  <c r="N49" i="146"/>
  <c r="M49" i="146"/>
  <c r="L49" i="146"/>
  <c r="I49" i="146"/>
  <c r="E49" i="146"/>
  <c r="AB48" i="146"/>
  <c r="Z48" i="146"/>
  <c r="X48" i="146"/>
  <c r="V48" i="146"/>
  <c r="T48" i="146"/>
  <c r="S48" i="146"/>
  <c r="R48" i="146"/>
  <c r="Q48" i="146"/>
  <c r="P48" i="146"/>
  <c r="O48" i="146"/>
  <c r="N48" i="146"/>
  <c r="M48" i="146"/>
  <c r="L48" i="146"/>
  <c r="I48" i="146"/>
  <c r="E48" i="146"/>
  <c r="AB47" i="146"/>
  <c r="Z47" i="146"/>
  <c r="X47" i="146"/>
  <c r="V47" i="146"/>
  <c r="T47" i="146"/>
  <c r="S47" i="146"/>
  <c r="R47" i="146"/>
  <c r="Q47" i="146"/>
  <c r="P47" i="146"/>
  <c r="O47" i="146"/>
  <c r="N47" i="146"/>
  <c r="M47" i="146"/>
  <c r="L47" i="146"/>
  <c r="I47" i="146"/>
  <c r="E47" i="146"/>
  <c r="AB46" i="146"/>
  <c r="Z46" i="146"/>
  <c r="X46" i="146"/>
  <c r="V46" i="146"/>
  <c r="U46" i="146"/>
  <c r="T46" i="146"/>
  <c r="S46" i="146"/>
  <c r="R46" i="146"/>
  <c r="Q46" i="146"/>
  <c r="P46" i="146"/>
  <c r="O46" i="146"/>
  <c r="N46" i="146"/>
  <c r="M46" i="146"/>
  <c r="L46" i="146"/>
  <c r="I46" i="146"/>
  <c r="E46" i="146"/>
  <c r="AB45" i="146"/>
  <c r="Z45" i="146"/>
  <c r="X45" i="146"/>
  <c r="V45" i="146"/>
  <c r="U45" i="146"/>
  <c r="T45" i="146"/>
  <c r="S45" i="146"/>
  <c r="R45" i="146"/>
  <c r="Q45" i="146"/>
  <c r="P45" i="146"/>
  <c r="O45" i="146"/>
  <c r="N45" i="146"/>
  <c r="M45" i="146"/>
  <c r="L45" i="146"/>
  <c r="I45" i="146"/>
  <c r="E45" i="146"/>
  <c r="AB44" i="146"/>
  <c r="Z44" i="146"/>
  <c r="X44" i="146"/>
  <c r="V44" i="146"/>
  <c r="U44" i="146"/>
  <c r="T44" i="146"/>
  <c r="S44" i="146"/>
  <c r="R44" i="146"/>
  <c r="Q44" i="146"/>
  <c r="P44" i="146"/>
  <c r="O44" i="146"/>
  <c r="N44" i="146"/>
  <c r="M44" i="146"/>
  <c r="L44" i="146"/>
  <c r="I44" i="146"/>
  <c r="F44" i="146"/>
  <c r="E44" i="146"/>
  <c r="AB43" i="146"/>
  <c r="Z43" i="146"/>
  <c r="X43" i="146"/>
  <c r="V43" i="146"/>
  <c r="U43" i="146"/>
  <c r="T43" i="146"/>
  <c r="S43" i="146"/>
  <c r="R43" i="146"/>
  <c r="Q43" i="146"/>
  <c r="P43" i="146"/>
  <c r="O43" i="146"/>
  <c r="N43" i="146"/>
  <c r="M43" i="146"/>
  <c r="L43" i="146"/>
  <c r="I43" i="146"/>
  <c r="E43" i="146"/>
  <c r="AB42" i="146"/>
  <c r="Z42" i="146"/>
  <c r="X42" i="146"/>
  <c r="V42" i="146"/>
  <c r="U42" i="146"/>
  <c r="T42" i="146"/>
  <c r="S42" i="146"/>
  <c r="R42" i="146"/>
  <c r="Q42" i="146"/>
  <c r="P42" i="146"/>
  <c r="O42" i="146"/>
  <c r="N42" i="146"/>
  <c r="M42" i="146"/>
  <c r="L42" i="146"/>
  <c r="I42" i="146"/>
  <c r="E42" i="146"/>
  <c r="AB41" i="146"/>
  <c r="Z41" i="146"/>
  <c r="X41" i="146"/>
  <c r="V41" i="146"/>
  <c r="U41" i="146"/>
  <c r="T41" i="146"/>
  <c r="S41" i="146"/>
  <c r="R41" i="146"/>
  <c r="Q41" i="146"/>
  <c r="P41" i="146"/>
  <c r="O41" i="146"/>
  <c r="N41" i="146"/>
  <c r="M41" i="146"/>
  <c r="L41" i="146"/>
  <c r="I41" i="146"/>
  <c r="E41" i="146"/>
  <c r="AB40" i="146"/>
  <c r="Z40" i="146"/>
  <c r="X40" i="146"/>
  <c r="V40" i="146"/>
  <c r="U40" i="146"/>
  <c r="T40" i="146"/>
  <c r="S40" i="146"/>
  <c r="R40" i="146"/>
  <c r="Q40" i="146"/>
  <c r="P40" i="146"/>
  <c r="O40" i="146"/>
  <c r="N40" i="146"/>
  <c r="M40" i="146"/>
  <c r="L40" i="146"/>
  <c r="I40" i="146"/>
  <c r="E40" i="146"/>
  <c r="AB37" i="146"/>
  <c r="Z37" i="146"/>
  <c r="X37" i="146"/>
  <c r="V37" i="146"/>
  <c r="T37" i="146"/>
  <c r="S37" i="146"/>
  <c r="R37" i="146"/>
  <c r="Q37" i="146"/>
  <c r="P37" i="146"/>
  <c r="O37" i="146"/>
  <c r="N37" i="146"/>
  <c r="M37" i="146"/>
  <c r="L37" i="146"/>
  <c r="I37" i="146"/>
  <c r="G37" i="146"/>
  <c r="E37" i="146"/>
  <c r="AB36" i="146"/>
  <c r="Z36" i="146"/>
  <c r="X36" i="146"/>
  <c r="V36" i="146"/>
  <c r="T36" i="146"/>
  <c r="S36" i="146"/>
  <c r="R36" i="146"/>
  <c r="Q36" i="146"/>
  <c r="P36" i="146"/>
  <c r="O36" i="146"/>
  <c r="N36" i="146"/>
  <c r="M36" i="146"/>
  <c r="L36" i="146"/>
  <c r="I36" i="146"/>
  <c r="G36" i="146"/>
  <c r="E36" i="146"/>
  <c r="AB35" i="146"/>
  <c r="Z35" i="146"/>
  <c r="X35" i="146"/>
  <c r="V35" i="146"/>
  <c r="U35" i="146"/>
  <c r="T35" i="146"/>
  <c r="S35" i="146"/>
  <c r="R35" i="146"/>
  <c r="Q35" i="146"/>
  <c r="P35" i="146"/>
  <c r="O35" i="146"/>
  <c r="N35" i="146"/>
  <c r="M35" i="146"/>
  <c r="L35" i="146"/>
  <c r="I35" i="146"/>
  <c r="G35" i="146"/>
  <c r="E35" i="146"/>
  <c r="AB33" i="146"/>
  <c r="AB32" i="146"/>
  <c r="Z32" i="146"/>
  <c r="X32" i="146"/>
  <c r="V32" i="146"/>
  <c r="T32" i="146"/>
  <c r="S32" i="146"/>
  <c r="R32" i="146"/>
  <c r="Q32" i="146"/>
  <c r="P32" i="146"/>
  <c r="O32" i="146"/>
  <c r="N32" i="146"/>
  <c r="M32" i="146"/>
  <c r="L32" i="146"/>
  <c r="I32" i="146"/>
  <c r="E32" i="146"/>
  <c r="AB31" i="146"/>
  <c r="Z31" i="146"/>
  <c r="X31" i="146"/>
  <c r="V31" i="146"/>
  <c r="T31" i="146"/>
  <c r="S31" i="146"/>
  <c r="R31" i="146"/>
  <c r="Q31" i="146"/>
  <c r="P31" i="146"/>
  <c r="O31" i="146"/>
  <c r="N31" i="146"/>
  <c r="M31" i="146"/>
  <c r="L31" i="146"/>
  <c r="I31" i="146"/>
  <c r="E31" i="146"/>
  <c r="AB30" i="146"/>
  <c r="Z30" i="146"/>
  <c r="X30" i="146"/>
  <c r="V30" i="146"/>
  <c r="T30" i="146"/>
  <c r="S30" i="146"/>
  <c r="R30" i="146"/>
  <c r="Q30" i="146"/>
  <c r="P30" i="146"/>
  <c r="O30" i="146"/>
  <c r="N30" i="146"/>
  <c r="M30" i="146"/>
  <c r="L30" i="146"/>
  <c r="I30" i="146"/>
  <c r="E30" i="146"/>
  <c r="AB29" i="146"/>
  <c r="Z29" i="146"/>
  <c r="X29" i="146"/>
  <c r="V29" i="146"/>
  <c r="T29" i="146"/>
  <c r="S29" i="146"/>
  <c r="R29" i="146"/>
  <c r="Q29" i="146"/>
  <c r="P29" i="146"/>
  <c r="O29" i="146"/>
  <c r="N29" i="146"/>
  <c r="M29" i="146"/>
  <c r="L29" i="146"/>
  <c r="I29" i="146"/>
  <c r="E29" i="146"/>
  <c r="AB28" i="146"/>
  <c r="Z28" i="146"/>
  <c r="X28" i="146"/>
  <c r="V28" i="146"/>
  <c r="T28" i="146"/>
  <c r="S28" i="146"/>
  <c r="R28" i="146"/>
  <c r="Q28" i="146"/>
  <c r="P28" i="146"/>
  <c r="O28" i="146"/>
  <c r="N28" i="146"/>
  <c r="M28" i="146"/>
  <c r="L28" i="146"/>
  <c r="I28" i="146"/>
  <c r="E28" i="146"/>
  <c r="AB27" i="146"/>
  <c r="Z27" i="146"/>
  <c r="X27" i="146"/>
  <c r="V27" i="146"/>
  <c r="T27" i="146"/>
  <c r="S27" i="146"/>
  <c r="R27" i="146"/>
  <c r="Q27" i="146"/>
  <c r="P27" i="146"/>
  <c r="O27" i="146"/>
  <c r="N27" i="146"/>
  <c r="M27" i="146"/>
  <c r="L27" i="146"/>
  <c r="I27" i="146"/>
  <c r="E27" i="146"/>
  <c r="AB26" i="146"/>
  <c r="Z26" i="146"/>
  <c r="X26" i="146"/>
  <c r="V26" i="146"/>
  <c r="T26" i="146"/>
  <c r="S26" i="146"/>
  <c r="R26" i="146"/>
  <c r="Q26" i="146"/>
  <c r="P26" i="146"/>
  <c r="O26" i="146"/>
  <c r="N26" i="146"/>
  <c r="M26" i="146"/>
  <c r="L26" i="146"/>
  <c r="I26" i="146"/>
  <c r="E26" i="146"/>
  <c r="AB25" i="146"/>
  <c r="Z25" i="146"/>
  <c r="X25" i="146"/>
  <c r="V25" i="146"/>
  <c r="T25" i="146"/>
  <c r="S25" i="146"/>
  <c r="R25" i="146"/>
  <c r="Q25" i="146"/>
  <c r="P25" i="146"/>
  <c r="O25" i="146"/>
  <c r="N25" i="146"/>
  <c r="M25" i="146"/>
  <c r="L25" i="146"/>
  <c r="I25" i="146"/>
  <c r="E25" i="146"/>
  <c r="AB24" i="146"/>
  <c r="Z24" i="146"/>
  <c r="X24" i="146"/>
  <c r="V24" i="146"/>
  <c r="T24" i="146"/>
  <c r="S24" i="146"/>
  <c r="R24" i="146"/>
  <c r="Q24" i="146"/>
  <c r="P24" i="146"/>
  <c r="O24" i="146"/>
  <c r="N24" i="146"/>
  <c r="M24" i="146"/>
  <c r="L24" i="146"/>
  <c r="I24" i="146"/>
  <c r="E24" i="146"/>
  <c r="AB23" i="146"/>
  <c r="Z23" i="146"/>
  <c r="X23" i="146"/>
  <c r="V23" i="146"/>
  <c r="T23" i="146"/>
  <c r="S23" i="146"/>
  <c r="R23" i="146"/>
  <c r="Q23" i="146"/>
  <c r="P23" i="146"/>
  <c r="O23" i="146"/>
  <c r="N23" i="146"/>
  <c r="M23" i="146"/>
  <c r="L23" i="146"/>
  <c r="I23" i="146"/>
  <c r="E23" i="146"/>
  <c r="AB22" i="146"/>
  <c r="Z22" i="146"/>
  <c r="X22" i="146"/>
  <c r="V22" i="146"/>
  <c r="T22" i="146"/>
  <c r="S22" i="146"/>
  <c r="R22" i="146"/>
  <c r="Q22" i="146"/>
  <c r="P22" i="146"/>
  <c r="O22" i="146"/>
  <c r="N22" i="146"/>
  <c r="M22" i="146"/>
  <c r="L22" i="146"/>
  <c r="I22" i="146"/>
  <c r="E22" i="146"/>
  <c r="C22" i="146"/>
  <c r="AB21" i="146"/>
  <c r="Z21" i="146"/>
  <c r="X21" i="146"/>
  <c r="V21" i="146"/>
  <c r="U21" i="146"/>
  <c r="T21" i="146"/>
  <c r="S21" i="146"/>
  <c r="R21" i="146"/>
  <c r="Q21" i="146"/>
  <c r="P21" i="146"/>
  <c r="O21" i="146"/>
  <c r="N21" i="146"/>
  <c r="M21" i="146"/>
  <c r="L21" i="146"/>
  <c r="I21" i="146"/>
  <c r="E21" i="146"/>
  <c r="AB20" i="146"/>
  <c r="Z20" i="146"/>
  <c r="X20" i="146"/>
  <c r="V20" i="146"/>
  <c r="U20" i="146"/>
  <c r="T20" i="146"/>
  <c r="S20" i="146"/>
  <c r="R20" i="146"/>
  <c r="Q20" i="146"/>
  <c r="P20" i="146"/>
  <c r="O20" i="146"/>
  <c r="N20" i="146"/>
  <c r="M20" i="146"/>
  <c r="L20" i="146"/>
  <c r="I20" i="146"/>
  <c r="E20" i="146"/>
  <c r="AB19" i="146"/>
  <c r="Z19" i="146"/>
  <c r="X19" i="146"/>
  <c r="V19" i="146"/>
  <c r="U19" i="146"/>
  <c r="T19" i="146"/>
  <c r="S19" i="146"/>
  <c r="R19" i="146"/>
  <c r="Q19" i="146"/>
  <c r="P19" i="146"/>
  <c r="O19" i="146"/>
  <c r="N19" i="146"/>
  <c r="M19" i="146"/>
  <c r="L19" i="146"/>
  <c r="I19" i="146"/>
  <c r="E19" i="146"/>
  <c r="AB18" i="146"/>
  <c r="Z18" i="146"/>
  <c r="X18" i="146"/>
  <c r="V18" i="146"/>
  <c r="U18" i="146"/>
  <c r="T18" i="146"/>
  <c r="S18" i="146"/>
  <c r="R18" i="146"/>
  <c r="Q18" i="146"/>
  <c r="P18" i="146"/>
  <c r="O18" i="146"/>
  <c r="N18" i="146"/>
  <c r="M18" i="146"/>
  <c r="L18" i="146"/>
  <c r="I18" i="146"/>
  <c r="E18" i="146"/>
  <c r="AB17" i="146"/>
  <c r="Z17" i="146"/>
  <c r="X17" i="146"/>
  <c r="V17" i="146"/>
  <c r="T17" i="146"/>
  <c r="S17" i="146"/>
  <c r="R17" i="146"/>
  <c r="Q17" i="146"/>
  <c r="P17" i="146"/>
  <c r="O17" i="146"/>
  <c r="N17" i="146"/>
  <c r="M17" i="146"/>
  <c r="L17" i="146"/>
  <c r="I17" i="146"/>
  <c r="E17" i="146"/>
  <c r="AB16" i="146"/>
  <c r="Z16" i="146"/>
  <c r="X16" i="146"/>
  <c r="V16" i="146"/>
  <c r="U16" i="146"/>
  <c r="T16" i="146"/>
  <c r="S16" i="146"/>
  <c r="R16" i="146"/>
  <c r="Q16" i="146"/>
  <c r="P16" i="146"/>
  <c r="O16" i="146"/>
  <c r="N16" i="146"/>
  <c r="M16" i="146"/>
  <c r="L16" i="146"/>
  <c r="I16" i="146"/>
  <c r="E16" i="146"/>
  <c r="AB15" i="146"/>
  <c r="Z15" i="146"/>
  <c r="X15" i="146"/>
  <c r="V15" i="146"/>
  <c r="U15" i="146"/>
  <c r="T15" i="146"/>
  <c r="S15" i="146"/>
  <c r="R15" i="146"/>
  <c r="Q15" i="146"/>
  <c r="P15" i="146"/>
  <c r="O15" i="146"/>
  <c r="N15" i="146"/>
  <c r="M15" i="146"/>
  <c r="L15" i="146"/>
  <c r="I15" i="146"/>
  <c r="E15" i="146"/>
  <c r="AB14" i="146"/>
  <c r="Z14" i="146"/>
  <c r="X14" i="146"/>
  <c r="V14" i="146"/>
  <c r="T14" i="146"/>
  <c r="S14" i="146"/>
  <c r="R14" i="146"/>
  <c r="Q14" i="146"/>
  <c r="P14" i="146"/>
  <c r="O14" i="146"/>
  <c r="N14" i="146"/>
  <c r="M14" i="146"/>
  <c r="L14" i="146"/>
  <c r="I14" i="146"/>
  <c r="E14" i="146"/>
  <c r="AB13" i="146"/>
  <c r="Z13" i="146"/>
  <c r="X13" i="146"/>
  <c r="V13" i="146"/>
  <c r="U13" i="146"/>
  <c r="T13" i="146"/>
  <c r="S13" i="146"/>
  <c r="R13" i="146"/>
  <c r="Q13" i="146"/>
  <c r="P13" i="146"/>
  <c r="O13" i="146"/>
  <c r="N13" i="146"/>
  <c r="M13" i="146"/>
  <c r="L13" i="146"/>
  <c r="I13" i="146"/>
  <c r="F13" i="146"/>
  <c r="E13" i="146"/>
  <c r="AB12" i="146"/>
  <c r="Z12" i="146"/>
  <c r="X12" i="146"/>
  <c r="V12" i="146"/>
  <c r="U12" i="146"/>
  <c r="T12" i="146"/>
  <c r="S12" i="146"/>
  <c r="R12" i="146"/>
  <c r="Q12" i="146"/>
  <c r="P12" i="146"/>
  <c r="O12" i="146"/>
  <c r="N12" i="146"/>
  <c r="M12" i="146"/>
  <c r="L12" i="146"/>
  <c r="I12" i="146"/>
  <c r="F12" i="146"/>
  <c r="E12" i="146"/>
  <c r="AB11" i="146"/>
  <c r="Z11" i="146"/>
  <c r="X11" i="146"/>
  <c r="V11" i="146"/>
  <c r="U11" i="146"/>
  <c r="T11" i="146"/>
  <c r="S11" i="146"/>
  <c r="R11" i="146"/>
  <c r="Q11" i="146"/>
  <c r="P11" i="146"/>
  <c r="O11" i="146"/>
  <c r="N11" i="146"/>
  <c r="M11" i="146"/>
  <c r="L11" i="146"/>
  <c r="I11" i="146"/>
  <c r="E11" i="146"/>
  <c r="AB10" i="146"/>
  <c r="Z10" i="146"/>
  <c r="X10" i="146"/>
  <c r="V10" i="146"/>
  <c r="U10" i="146"/>
  <c r="T10" i="146"/>
  <c r="S10" i="146"/>
  <c r="R10" i="146"/>
  <c r="Q10" i="146"/>
  <c r="P10" i="146"/>
  <c r="O10" i="146"/>
  <c r="N10" i="146"/>
  <c r="M10" i="146"/>
  <c r="L10" i="146"/>
  <c r="I10" i="146"/>
  <c r="F10" i="146"/>
  <c r="E10" i="146"/>
  <c r="AB9" i="146"/>
  <c r="Z9" i="146"/>
  <c r="X9" i="146"/>
  <c r="V9" i="146"/>
  <c r="U9" i="146"/>
  <c r="T9" i="146"/>
  <c r="S9" i="146"/>
  <c r="R9" i="146"/>
  <c r="Q9" i="146"/>
  <c r="P9" i="146"/>
  <c r="O9" i="146"/>
  <c r="N9" i="146"/>
  <c r="M9" i="146"/>
  <c r="L9" i="146"/>
  <c r="I9" i="146"/>
  <c r="F9" i="146"/>
  <c r="E9" i="146"/>
  <c r="AB8" i="146"/>
  <c r="Z8" i="146"/>
  <c r="X8" i="146"/>
  <c r="V8" i="146"/>
  <c r="U8" i="146"/>
  <c r="T8" i="146"/>
  <c r="S8" i="146"/>
  <c r="R8" i="146"/>
  <c r="Q8" i="146"/>
  <c r="P8" i="146"/>
  <c r="O8" i="146"/>
  <c r="N8" i="146"/>
  <c r="M8" i="146"/>
  <c r="L8" i="146"/>
  <c r="I8" i="146"/>
  <c r="E8" i="146"/>
  <c r="AB7" i="146"/>
  <c r="Z7" i="146"/>
  <c r="X7" i="146"/>
  <c r="V7" i="146"/>
  <c r="U7" i="146"/>
  <c r="T7" i="146"/>
  <c r="S7" i="146"/>
  <c r="R7" i="146"/>
  <c r="Q7" i="146"/>
  <c r="P7" i="146"/>
  <c r="O7" i="146"/>
  <c r="N7" i="146"/>
  <c r="M7" i="146"/>
  <c r="L7" i="146"/>
  <c r="I7" i="146"/>
  <c r="E7" i="146"/>
  <c r="AB6" i="146"/>
  <c r="Z6" i="146"/>
  <c r="X6" i="146"/>
  <c r="V6" i="146"/>
  <c r="U6" i="146"/>
  <c r="T6" i="146"/>
  <c r="S6" i="146"/>
  <c r="R6" i="146"/>
  <c r="Q6" i="146"/>
  <c r="P6" i="146"/>
  <c r="O6" i="146"/>
  <c r="N6" i="146"/>
  <c r="M6" i="146"/>
  <c r="L6" i="146"/>
  <c r="I6" i="146"/>
  <c r="E6" i="146"/>
  <c r="Q194" i="149"/>
  <c r="P194" i="149"/>
  <c r="O194" i="149"/>
  <c r="N194" i="149"/>
  <c r="M194" i="149"/>
  <c r="L194" i="149"/>
  <c r="K194" i="149"/>
  <c r="J194" i="149"/>
  <c r="I194" i="149"/>
  <c r="H194" i="149"/>
  <c r="G194" i="149"/>
  <c r="F194" i="149"/>
  <c r="E194" i="149"/>
  <c r="C194" i="149"/>
  <c r="Q193" i="149"/>
  <c r="O193" i="149"/>
  <c r="M193" i="149"/>
  <c r="L193" i="149"/>
  <c r="J193" i="149"/>
  <c r="I193" i="149"/>
  <c r="H193" i="149"/>
  <c r="G193" i="149"/>
  <c r="F193" i="149"/>
  <c r="E193" i="149"/>
  <c r="Q192" i="149"/>
  <c r="O192" i="149"/>
  <c r="L192" i="149"/>
  <c r="J192" i="149"/>
  <c r="H192" i="149"/>
  <c r="Q191" i="149"/>
  <c r="O191" i="149"/>
  <c r="L191" i="149"/>
  <c r="J191" i="149"/>
  <c r="H191" i="149"/>
  <c r="Q190" i="149"/>
  <c r="O190" i="149"/>
  <c r="L190" i="149"/>
  <c r="J190" i="149"/>
  <c r="Q189" i="149"/>
  <c r="O189" i="149"/>
  <c r="L189" i="149"/>
  <c r="J189" i="149"/>
  <c r="Q188" i="149"/>
  <c r="O188" i="149"/>
  <c r="L188" i="149"/>
  <c r="J188" i="149"/>
  <c r="Q187" i="149"/>
  <c r="O187" i="149"/>
  <c r="L187" i="149"/>
  <c r="J187" i="149"/>
  <c r="I187" i="149"/>
  <c r="H187" i="149"/>
  <c r="Q186" i="149"/>
  <c r="O186" i="149"/>
  <c r="L186" i="149"/>
  <c r="J186" i="149"/>
  <c r="I186" i="149"/>
  <c r="H186" i="149"/>
  <c r="Q185" i="149"/>
  <c r="O185" i="149"/>
  <c r="L185" i="149"/>
  <c r="J185" i="149"/>
  <c r="I185" i="149"/>
  <c r="Q184" i="149"/>
  <c r="O184" i="149"/>
  <c r="L184" i="149"/>
  <c r="J184" i="149"/>
  <c r="Q183" i="149"/>
  <c r="O183" i="149"/>
  <c r="L183" i="149"/>
  <c r="J183" i="149"/>
  <c r="I183" i="149"/>
  <c r="H183" i="149"/>
  <c r="Q182" i="149"/>
  <c r="O182" i="149"/>
  <c r="L182" i="149"/>
  <c r="J182" i="149"/>
  <c r="I182" i="149"/>
  <c r="H182" i="149"/>
  <c r="Q181" i="149"/>
  <c r="O181" i="149"/>
  <c r="L181" i="149"/>
  <c r="J181" i="149"/>
  <c r="I181" i="149"/>
  <c r="H181" i="149"/>
  <c r="Q180" i="149"/>
  <c r="O180" i="149"/>
  <c r="L180" i="149"/>
  <c r="J180" i="149"/>
  <c r="I180" i="149"/>
  <c r="H180" i="149"/>
  <c r="Q179" i="149"/>
  <c r="O179" i="149"/>
  <c r="L179" i="149"/>
  <c r="J179" i="149"/>
  <c r="I179" i="149"/>
  <c r="H179" i="149"/>
  <c r="Q178" i="149"/>
  <c r="O178" i="149"/>
  <c r="L178" i="149"/>
  <c r="J178" i="149"/>
  <c r="I178" i="149"/>
  <c r="H178" i="149"/>
  <c r="Q177" i="149"/>
  <c r="O177" i="149"/>
  <c r="L177" i="149"/>
  <c r="J177" i="149"/>
  <c r="I177" i="149"/>
  <c r="H177" i="149"/>
  <c r="Q176" i="149"/>
  <c r="O176" i="149"/>
  <c r="L176" i="149"/>
  <c r="J176" i="149"/>
  <c r="I176" i="149"/>
  <c r="H176" i="149"/>
  <c r="Q175" i="149"/>
  <c r="O175" i="149"/>
  <c r="L175" i="149"/>
  <c r="J175" i="149"/>
  <c r="I175" i="149"/>
  <c r="H175" i="149"/>
  <c r="Q174" i="149"/>
  <c r="O174" i="149"/>
  <c r="L174" i="149"/>
  <c r="J174" i="149"/>
  <c r="I174" i="149"/>
  <c r="H174" i="149"/>
  <c r="Q173" i="149"/>
  <c r="O173" i="149"/>
  <c r="L173" i="149"/>
  <c r="J173" i="149"/>
  <c r="I173" i="149"/>
  <c r="H173" i="149"/>
  <c r="Q172" i="149"/>
  <c r="O172" i="149"/>
  <c r="L172" i="149"/>
  <c r="J172" i="149"/>
  <c r="I172" i="149"/>
  <c r="H172" i="149"/>
  <c r="Q171" i="149"/>
  <c r="O171" i="149"/>
  <c r="L171" i="149"/>
  <c r="J171" i="149"/>
  <c r="I171" i="149"/>
  <c r="H171" i="149"/>
  <c r="Q170" i="149"/>
  <c r="O170" i="149"/>
  <c r="L170" i="149"/>
  <c r="J170" i="149"/>
  <c r="I170" i="149"/>
  <c r="H170" i="149"/>
  <c r="Q169" i="149"/>
  <c r="O169" i="149"/>
  <c r="L169" i="149"/>
  <c r="J169" i="149"/>
  <c r="I169" i="149"/>
  <c r="H169" i="149"/>
  <c r="Q168" i="149"/>
  <c r="O168" i="149"/>
  <c r="L168" i="149"/>
  <c r="J168" i="149"/>
  <c r="I168" i="149"/>
  <c r="H168" i="149"/>
  <c r="Q167" i="149"/>
  <c r="O167" i="149"/>
  <c r="L167" i="149"/>
  <c r="J167" i="149"/>
  <c r="I167" i="149"/>
  <c r="H167" i="149"/>
  <c r="Q166" i="149"/>
  <c r="O166" i="149"/>
  <c r="L166" i="149"/>
  <c r="J166" i="149"/>
  <c r="I166" i="149"/>
  <c r="H166" i="149"/>
  <c r="Q165" i="149"/>
  <c r="O165" i="149"/>
  <c r="L165" i="149"/>
  <c r="J165" i="149"/>
  <c r="I165" i="149"/>
  <c r="H165" i="149"/>
  <c r="Q164" i="149"/>
  <c r="O164" i="149"/>
  <c r="L164" i="149"/>
  <c r="J164" i="149"/>
  <c r="I164" i="149"/>
  <c r="H164" i="149"/>
  <c r="Q163" i="149"/>
  <c r="O163" i="149"/>
  <c r="L163" i="149"/>
  <c r="J163" i="149"/>
  <c r="I163" i="149"/>
  <c r="H163" i="149"/>
  <c r="Q162" i="149"/>
  <c r="O162" i="149"/>
  <c r="L162" i="149"/>
  <c r="J162" i="149"/>
  <c r="I162" i="149"/>
  <c r="H162" i="149"/>
  <c r="Q161" i="149"/>
  <c r="O161" i="149"/>
  <c r="L161" i="149"/>
  <c r="J161" i="149"/>
  <c r="H161" i="149"/>
  <c r="Q160" i="149"/>
  <c r="O160" i="149"/>
  <c r="L160" i="149"/>
  <c r="J160" i="149"/>
  <c r="H160" i="149"/>
  <c r="Q159" i="149"/>
  <c r="O159" i="149"/>
  <c r="L159" i="149"/>
  <c r="J159" i="149"/>
  <c r="H159" i="149"/>
  <c r="Q158" i="149"/>
  <c r="O158" i="149"/>
  <c r="L158" i="149"/>
  <c r="J158" i="149"/>
  <c r="H158" i="149"/>
  <c r="Q157" i="149"/>
  <c r="O157" i="149"/>
  <c r="L157" i="149"/>
  <c r="J157" i="149"/>
  <c r="H157" i="149"/>
  <c r="Q156" i="149"/>
  <c r="O156" i="149"/>
  <c r="L156" i="149"/>
  <c r="J156" i="149"/>
  <c r="H156" i="149"/>
  <c r="Q155" i="149"/>
  <c r="O155" i="149"/>
  <c r="L155" i="149"/>
  <c r="J155" i="149"/>
  <c r="H155" i="149"/>
  <c r="Q154" i="149"/>
  <c r="O154" i="149"/>
  <c r="L154" i="149"/>
  <c r="J154" i="149"/>
  <c r="H154" i="149"/>
  <c r="Q153" i="149"/>
  <c r="O153" i="149"/>
  <c r="L153" i="149"/>
  <c r="J153" i="149"/>
  <c r="H153" i="149"/>
  <c r="Q152" i="149"/>
  <c r="O152" i="149"/>
  <c r="L152" i="149"/>
  <c r="J152" i="149"/>
  <c r="H152" i="149"/>
  <c r="Q151" i="149"/>
  <c r="O151" i="149"/>
  <c r="L151" i="149"/>
  <c r="J151" i="149"/>
  <c r="H151" i="149"/>
  <c r="Q150" i="149"/>
  <c r="O150" i="149"/>
  <c r="L150" i="149"/>
  <c r="J150" i="149"/>
  <c r="H150" i="149"/>
  <c r="Q149" i="149"/>
  <c r="O149" i="149"/>
  <c r="L149" i="149"/>
  <c r="J149" i="149"/>
  <c r="H149" i="149"/>
  <c r="Q148" i="149"/>
  <c r="O148" i="149"/>
  <c r="L148" i="149"/>
  <c r="J148" i="149"/>
  <c r="H148" i="149"/>
  <c r="Q147" i="149"/>
  <c r="O147" i="149"/>
  <c r="L147" i="149"/>
  <c r="J147" i="149"/>
  <c r="H147" i="149"/>
  <c r="Q146" i="149"/>
  <c r="O146" i="149"/>
  <c r="L146" i="149"/>
  <c r="J146" i="149"/>
  <c r="Q145" i="149"/>
  <c r="O145" i="149"/>
  <c r="L145" i="149"/>
  <c r="J145" i="149"/>
  <c r="H145" i="149"/>
  <c r="Q144" i="149"/>
  <c r="O144" i="149"/>
  <c r="L144" i="149"/>
  <c r="J144" i="149"/>
  <c r="H144" i="149"/>
  <c r="Q143" i="149"/>
  <c r="O143" i="149"/>
  <c r="L143" i="149"/>
  <c r="J143" i="149"/>
  <c r="H143" i="149"/>
  <c r="Q142" i="149"/>
  <c r="O142" i="149"/>
  <c r="L142" i="149"/>
  <c r="J142" i="149"/>
  <c r="H142" i="149"/>
  <c r="Q141" i="149"/>
  <c r="O141" i="149"/>
  <c r="L141" i="149"/>
  <c r="J141" i="149"/>
  <c r="H141" i="149"/>
  <c r="Q140" i="149"/>
  <c r="O140" i="149"/>
  <c r="L140" i="149"/>
  <c r="J140" i="149"/>
  <c r="H140" i="149"/>
  <c r="Q139" i="149"/>
  <c r="O139" i="149"/>
  <c r="L139" i="149"/>
  <c r="J139" i="149"/>
  <c r="Q138" i="149"/>
  <c r="O138" i="149"/>
  <c r="L138" i="149"/>
  <c r="J138" i="149"/>
  <c r="Q137" i="149"/>
  <c r="O137" i="149"/>
  <c r="L137" i="149"/>
  <c r="J137" i="149"/>
  <c r="Q136" i="149"/>
  <c r="O136" i="149"/>
  <c r="L136" i="149"/>
  <c r="J136" i="149"/>
  <c r="H136" i="149"/>
  <c r="Q135" i="149"/>
  <c r="O135" i="149"/>
  <c r="L135" i="149"/>
  <c r="J135" i="149"/>
  <c r="Q134" i="149"/>
  <c r="O134" i="149"/>
  <c r="L134" i="149"/>
  <c r="J134" i="149"/>
  <c r="H134" i="149"/>
  <c r="Q131" i="149"/>
  <c r="O131" i="149"/>
  <c r="M131" i="149"/>
  <c r="L131" i="149"/>
  <c r="J131" i="149"/>
  <c r="I131" i="149"/>
  <c r="H131" i="149"/>
  <c r="G131" i="149"/>
  <c r="F131" i="149"/>
  <c r="E131" i="149"/>
  <c r="Q130" i="149"/>
  <c r="O130" i="149"/>
  <c r="L130" i="149"/>
  <c r="J130" i="149"/>
  <c r="Q129" i="149"/>
  <c r="O129" i="149"/>
  <c r="L129" i="149"/>
  <c r="J129" i="149"/>
  <c r="H129" i="149"/>
  <c r="Q128" i="149"/>
  <c r="O128" i="149"/>
  <c r="L128" i="149"/>
  <c r="J128" i="149"/>
  <c r="H128" i="149"/>
  <c r="Q127" i="149"/>
  <c r="O127" i="149"/>
  <c r="L127" i="149"/>
  <c r="J127" i="149"/>
  <c r="H127" i="149"/>
  <c r="Q126" i="149"/>
  <c r="O126" i="149"/>
  <c r="L126" i="149"/>
  <c r="J126" i="149"/>
  <c r="H126" i="149"/>
  <c r="Q125" i="149"/>
  <c r="O125" i="149"/>
  <c r="L125" i="149"/>
  <c r="J125" i="149"/>
  <c r="H125" i="149"/>
  <c r="Q124" i="149"/>
  <c r="O124" i="149"/>
  <c r="L124" i="149"/>
  <c r="J124" i="149"/>
  <c r="H124" i="149"/>
  <c r="Q123" i="149"/>
  <c r="O123" i="149"/>
  <c r="L123" i="149"/>
  <c r="J123" i="149"/>
  <c r="I123" i="149"/>
  <c r="H123" i="149"/>
  <c r="Q122" i="149"/>
  <c r="O122" i="149"/>
  <c r="L122" i="149"/>
  <c r="J122" i="149"/>
  <c r="H122" i="149"/>
  <c r="Q121" i="149"/>
  <c r="O121" i="149"/>
  <c r="L121" i="149"/>
  <c r="J121" i="149"/>
  <c r="H121" i="149"/>
  <c r="Q118" i="149"/>
  <c r="O118" i="149"/>
  <c r="M118" i="149"/>
  <c r="L118" i="149"/>
  <c r="J118" i="149"/>
  <c r="I118" i="149"/>
  <c r="H118" i="149"/>
  <c r="G118" i="149"/>
  <c r="F118" i="149"/>
  <c r="E118" i="149"/>
  <c r="Q117" i="149"/>
  <c r="O117" i="149"/>
  <c r="L117" i="149"/>
  <c r="J117" i="149"/>
  <c r="H117" i="149"/>
  <c r="Q116" i="149"/>
  <c r="O116" i="149"/>
  <c r="L116" i="149"/>
  <c r="J116" i="149"/>
  <c r="Q115" i="149"/>
  <c r="O115" i="149"/>
  <c r="L115" i="149"/>
  <c r="J115" i="149"/>
  <c r="Q112" i="149"/>
  <c r="O112" i="149"/>
  <c r="M112" i="149"/>
  <c r="L112" i="149"/>
  <c r="J112" i="149"/>
  <c r="I112" i="149"/>
  <c r="H112" i="149"/>
  <c r="G112" i="149"/>
  <c r="F112" i="149"/>
  <c r="E112" i="149"/>
  <c r="Q111" i="149"/>
  <c r="O111" i="149"/>
  <c r="L111" i="149"/>
  <c r="J111" i="149"/>
  <c r="G111" i="149"/>
  <c r="Q110" i="149"/>
  <c r="O110" i="149"/>
  <c r="L110" i="149"/>
  <c r="J110" i="149"/>
  <c r="G110" i="149"/>
  <c r="Q109" i="149"/>
  <c r="O109" i="149"/>
  <c r="L109" i="149"/>
  <c r="J109" i="149"/>
  <c r="G109" i="149"/>
  <c r="Q108" i="149"/>
  <c r="O108" i="149"/>
  <c r="L108" i="149"/>
  <c r="J108" i="149"/>
  <c r="G108" i="149"/>
  <c r="Q107" i="149"/>
  <c r="O107" i="149"/>
  <c r="L107" i="149"/>
  <c r="J107" i="149"/>
  <c r="G107" i="149"/>
  <c r="Q106" i="149"/>
  <c r="O106" i="149"/>
  <c r="L106" i="149"/>
  <c r="J106" i="149"/>
  <c r="G106" i="149"/>
  <c r="Q105" i="149"/>
  <c r="O105" i="149"/>
  <c r="L105" i="149"/>
  <c r="J105" i="149"/>
  <c r="G105" i="149"/>
  <c r="Q102" i="149"/>
  <c r="O102" i="149"/>
  <c r="M102" i="149"/>
  <c r="L102" i="149"/>
  <c r="J102" i="149"/>
  <c r="I102" i="149"/>
  <c r="H102" i="149"/>
  <c r="G102" i="149"/>
  <c r="F102" i="149"/>
  <c r="E102" i="149"/>
  <c r="Q101" i="149"/>
  <c r="O101" i="149"/>
  <c r="L101" i="149"/>
  <c r="J101" i="149"/>
  <c r="H101" i="149"/>
  <c r="Q100" i="149"/>
  <c r="O100" i="149"/>
  <c r="L100" i="149"/>
  <c r="J100" i="149"/>
  <c r="H100" i="149"/>
  <c r="Q99" i="149"/>
  <c r="O99" i="149"/>
  <c r="L99" i="149"/>
  <c r="J99" i="149"/>
  <c r="Q98" i="149"/>
  <c r="O98" i="149"/>
  <c r="L98" i="149"/>
  <c r="J98" i="149"/>
  <c r="H98" i="149"/>
  <c r="Q95" i="149"/>
  <c r="O95" i="149"/>
  <c r="M95" i="149"/>
  <c r="L95" i="149"/>
  <c r="J95" i="149"/>
  <c r="I95" i="149"/>
  <c r="H95" i="149"/>
  <c r="G95" i="149"/>
  <c r="F95" i="149"/>
  <c r="E95" i="149"/>
  <c r="Q94" i="149"/>
  <c r="O94" i="149"/>
  <c r="L94" i="149"/>
  <c r="J94" i="149"/>
  <c r="G94" i="149"/>
  <c r="Q93" i="149"/>
  <c r="O93" i="149"/>
  <c r="L93" i="149"/>
  <c r="J93" i="149"/>
  <c r="Q92" i="149"/>
  <c r="O92" i="149"/>
  <c r="L92" i="149"/>
  <c r="J92" i="149"/>
  <c r="Q91" i="149"/>
  <c r="O91" i="149"/>
  <c r="L91" i="149"/>
  <c r="J91" i="149"/>
  <c r="G91" i="149"/>
  <c r="Q90" i="149"/>
  <c r="O90" i="149"/>
  <c r="L90" i="149"/>
  <c r="J90" i="149"/>
  <c r="G90" i="149"/>
  <c r="Q89" i="149"/>
  <c r="O89" i="149"/>
  <c r="L89" i="149"/>
  <c r="J89" i="149"/>
  <c r="G89" i="149"/>
  <c r="Q88" i="149"/>
  <c r="O88" i="149"/>
  <c r="L88" i="149"/>
  <c r="J88" i="149"/>
  <c r="G88" i="149"/>
  <c r="Q87" i="149"/>
  <c r="O87" i="149"/>
  <c r="L87" i="149"/>
  <c r="J87" i="149"/>
  <c r="Q86" i="149"/>
  <c r="O86" i="149"/>
  <c r="L86" i="149"/>
  <c r="J86" i="149"/>
  <c r="G86" i="149"/>
  <c r="Q85" i="149"/>
  <c r="O85" i="149"/>
  <c r="L85" i="149"/>
  <c r="J85" i="149"/>
  <c r="G85" i="149"/>
  <c r="Q82" i="149"/>
  <c r="O82" i="149"/>
  <c r="M82" i="149"/>
  <c r="L82" i="149"/>
  <c r="J82" i="149"/>
  <c r="I82" i="149"/>
  <c r="H82" i="149"/>
  <c r="G82" i="149"/>
  <c r="F82" i="149"/>
  <c r="E82" i="149"/>
  <c r="Q81" i="149"/>
  <c r="O81" i="149"/>
  <c r="L81" i="149"/>
  <c r="J81" i="149"/>
  <c r="Q80" i="149"/>
  <c r="O80" i="149"/>
  <c r="L80" i="149"/>
  <c r="J80" i="149"/>
  <c r="Q79" i="149"/>
  <c r="O79" i="149"/>
  <c r="L79" i="149"/>
  <c r="J79" i="149"/>
  <c r="G79" i="149"/>
  <c r="Q78" i="149"/>
  <c r="O78" i="149"/>
  <c r="L78" i="149"/>
  <c r="J78" i="149"/>
  <c r="G78" i="149"/>
  <c r="Q77" i="149"/>
  <c r="O77" i="149"/>
  <c r="L77" i="149"/>
  <c r="J77" i="149"/>
  <c r="Q76" i="149"/>
  <c r="O76" i="149"/>
  <c r="L76" i="149"/>
  <c r="J76" i="149"/>
  <c r="G76" i="149"/>
  <c r="Q75" i="149"/>
  <c r="O75" i="149"/>
  <c r="L75" i="149"/>
  <c r="J75" i="149"/>
  <c r="G75" i="149"/>
  <c r="Q72" i="149"/>
  <c r="O72" i="149"/>
  <c r="M72" i="149"/>
  <c r="L72" i="149"/>
  <c r="J72" i="149"/>
  <c r="I72" i="149"/>
  <c r="H72" i="149"/>
  <c r="G72" i="149"/>
  <c r="F72" i="149"/>
  <c r="E72" i="149"/>
  <c r="Q71" i="149"/>
  <c r="O71" i="149"/>
  <c r="L71" i="149"/>
  <c r="J71" i="149"/>
  <c r="Q70" i="149"/>
  <c r="O70" i="149"/>
  <c r="L70" i="149"/>
  <c r="J70" i="149"/>
  <c r="G70" i="149"/>
  <c r="Q69" i="149"/>
  <c r="O69" i="149"/>
  <c r="L69" i="149"/>
  <c r="J69" i="149"/>
  <c r="G69" i="149"/>
  <c r="Q68" i="149"/>
  <c r="O68" i="149"/>
  <c r="L68" i="149"/>
  <c r="J68" i="149"/>
  <c r="G68" i="149"/>
  <c r="Q67" i="149"/>
  <c r="O67" i="149"/>
  <c r="L67" i="149"/>
  <c r="J67" i="149"/>
  <c r="G67" i="149"/>
  <c r="Q66" i="149"/>
  <c r="O66" i="149"/>
  <c r="L66" i="149"/>
  <c r="J66" i="149"/>
  <c r="G66" i="149"/>
  <c r="Q65" i="149"/>
  <c r="O65" i="149"/>
  <c r="L65" i="149"/>
  <c r="J65" i="149"/>
  <c r="G65" i="149"/>
  <c r="Q64" i="149"/>
  <c r="O64" i="149"/>
  <c r="L64" i="149"/>
  <c r="J64" i="149"/>
  <c r="Q63" i="149"/>
  <c r="O63" i="149"/>
  <c r="L63" i="149"/>
  <c r="J63" i="149"/>
  <c r="G63" i="149"/>
  <c r="Q62" i="149"/>
  <c r="O62" i="149"/>
  <c r="L62" i="149"/>
  <c r="J62" i="149"/>
  <c r="G62" i="149"/>
  <c r="Q59" i="149"/>
  <c r="O59" i="149"/>
  <c r="M59" i="149"/>
  <c r="L59" i="149"/>
  <c r="J59" i="149"/>
  <c r="I59" i="149"/>
  <c r="H59" i="149"/>
  <c r="G59" i="149"/>
  <c r="F59" i="149"/>
  <c r="E59" i="149"/>
  <c r="Q58" i="149"/>
  <c r="O58" i="149"/>
  <c r="L58" i="149"/>
  <c r="J58" i="149"/>
  <c r="Q57" i="149"/>
  <c r="O57" i="149"/>
  <c r="L57" i="149"/>
  <c r="J57" i="149"/>
  <c r="G57" i="149"/>
  <c r="Q54" i="149"/>
  <c r="O54" i="149"/>
  <c r="M54" i="149"/>
  <c r="L54" i="149"/>
  <c r="J54" i="149"/>
  <c r="I54" i="149"/>
  <c r="H54" i="149"/>
  <c r="G54" i="149"/>
  <c r="F54" i="149"/>
  <c r="E54" i="149"/>
  <c r="Q53" i="149"/>
  <c r="O53" i="149"/>
  <c r="L53" i="149"/>
  <c r="J53" i="149"/>
  <c r="G53" i="149"/>
  <c r="Q52" i="149"/>
  <c r="O52" i="149"/>
  <c r="L52" i="149"/>
  <c r="J52" i="149"/>
  <c r="G52" i="149"/>
  <c r="Q51" i="149"/>
  <c r="O51" i="149"/>
  <c r="L51" i="149"/>
  <c r="J51" i="149"/>
  <c r="G51" i="149"/>
  <c r="Q50" i="149"/>
  <c r="O50" i="149"/>
  <c r="L50" i="149"/>
  <c r="J50" i="149"/>
  <c r="Q49" i="149"/>
  <c r="O49" i="149"/>
  <c r="L49" i="149"/>
  <c r="J49" i="149"/>
  <c r="G49" i="149"/>
  <c r="Q48" i="149"/>
  <c r="O48" i="149"/>
  <c r="L48" i="149"/>
  <c r="J48" i="149"/>
  <c r="G48" i="149"/>
  <c r="Q47" i="149"/>
  <c r="O47" i="149"/>
  <c r="L47" i="149"/>
  <c r="J47" i="149"/>
  <c r="G47" i="149"/>
  <c r="Q46" i="149"/>
  <c r="O46" i="149"/>
  <c r="L46" i="149"/>
  <c r="J46" i="149"/>
  <c r="G46" i="149"/>
  <c r="Q45" i="149"/>
  <c r="O45" i="149"/>
  <c r="L45" i="149"/>
  <c r="J45" i="149"/>
  <c r="G45" i="149"/>
  <c r="Q44" i="149"/>
  <c r="O44" i="149"/>
  <c r="L44" i="149"/>
  <c r="J44" i="149"/>
  <c r="G44" i="149"/>
  <c r="Q43" i="149"/>
  <c r="O43" i="149"/>
  <c r="L43" i="149"/>
  <c r="J43" i="149"/>
  <c r="G43" i="149"/>
  <c r="Q40" i="149"/>
  <c r="O40" i="149"/>
  <c r="M40" i="149"/>
  <c r="L40" i="149"/>
  <c r="J40" i="149"/>
  <c r="I40" i="149"/>
  <c r="H40" i="149"/>
  <c r="G40" i="149"/>
  <c r="F40" i="149"/>
  <c r="E40" i="149"/>
  <c r="Q39" i="149"/>
  <c r="O39" i="149"/>
  <c r="L39" i="149"/>
  <c r="J39" i="149"/>
  <c r="H39" i="149"/>
  <c r="Q38" i="149"/>
  <c r="O38" i="149"/>
  <c r="L38" i="149"/>
  <c r="J38" i="149"/>
  <c r="H38" i="149"/>
  <c r="Q37" i="149"/>
  <c r="O37" i="149"/>
  <c r="L37" i="149"/>
  <c r="J37" i="149"/>
  <c r="H37" i="149"/>
  <c r="Q34" i="149"/>
  <c r="O34" i="149"/>
  <c r="N34" i="149"/>
  <c r="M34" i="149"/>
  <c r="L34" i="149"/>
  <c r="K34" i="149"/>
  <c r="J34" i="149"/>
  <c r="I34" i="149"/>
  <c r="H34" i="149"/>
  <c r="G34" i="149"/>
  <c r="F34" i="149"/>
  <c r="E34" i="149"/>
  <c r="Q33" i="149"/>
  <c r="O33" i="149"/>
  <c r="L33" i="149"/>
  <c r="J33" i="149"/>
  <c r="Q32" i="149"/>
  <c r="O32" i="149"/>
  <c r="L32" i="149"/>
  <c r="J32" i="149"/>
  <c r="H32" i="149"/>
  <c r="Q31" i="149"/>
  <c r="O31" i="149"/>
  <c r="L31" i="149"/>
  <c r="J31" i="149"/>
  <c r="H31" i="149"/>
  <c r="Q30" i="149"/>
  <c r="O30" i="149"/>
  <c r="L30" i="149"/>
  <c r="J30" i="149"/>
  <c r="H30" i="149"/>
  <c r="Q29" i="149"/>
  <c r="O29" i="149"/>
  <c r="L29" i="149"/>
  <c r="J29" i="149"/>
  <c r="H29" i="149"/>
  <c r="Q28" i="149"/>
  <c r="O28" i="149"/>
  <c r="L28" i="149"/>
  <c r="J28" i="149"/>
  <c r="H28" i="149"/>
  <c r="Q27" i="149"/>
  <c r="O27" i="149"/>
  <c r="L27" i="149"/>
  <c r="J27" i="149"/>
  <c r="G27" i="149"/>
  <c r="Q26" i="149"/>
  <c r="O26" i="149"/>
  <c r="L26" i="149"/>
  <c r="J26" i="149"/>
  <c r="H26" i="149"/>
  <c r="Q25" i="149"/>
  <c r="O25" i="149"/>
  <c r="L25" i="149"/>
  <c r="J25" i="149"/>
  <c r="H25" i="149"/>
  <c r="Q24" i="149"/>
  <c r="O24" i="149"/>
  <c r="L24" i="149"/>
  <c r="J24" i="149"/>
  <c r="H24" i="149"/>
  <c r="Q23" i="149"/>
  <c r="O23" i="149"/>
  <c r="L23" i="149"/>
  <c r="K23" i="149"/>
  <c r="J23" i="149"/>
  <c r="Q22" i="149"/>
  <c r="O22" i="149"/>
  <c r="L22" i="149"/>
  <c r="J22" i="149"/>
  <c r="G22" i="149"/>
  <c r="Q21" i="149"/>
  <c r="O21" i="149"/>
  <c r="L21" i="149"/>
  <c r="J21" i="149"/>
  <c r="H21" i="149"/>
  <c r="Q20" i="149"/>
  <c r="O20" i="149"/>
  <c r="L20" i="149"/>
  <c r="J20" i="149"/>
  <c r="I20" i="149"/>
  <c r="G20" i="149"/>
  <c r="Q19" i="149"/>
  <c r="O19" i="149"/>
  <c r="L19" i="149"/>
  <c r="J19" i="149"/>
  <c r="G19" i="149"/>
  <c r="Q18" i="149"/>
  <c r="O18" i="149"/>
  <c r="L18" i="149"/>
  <c r="J18" i="149"/>
  <c r="Q17" i="149"/>
  <c r="O17" i="149"/>
  <c r="L17" i="149"/>
  <c r="J17" i="149"/>
  <c r="G17" i="149"/>
  <c r="Q16" i="149"/>
  <c r="O16" i="149"/>
  <c r="L16" i="149"/>
  <c r="J16" i="149"/>
  <c r="Q15" i="149"/>
  <c r="O15" i="149"/>
  <c r="L15" i="149"/>
  <c r="J15" i="149"/>
  <c r="I15" i="149"/>
  <c r="H15" i="149"/>
  <c r="Q14" i="149"/>
  <c r="O14" i="149"/>
  <c r="L14" i="149"/>
  <c r="J14" i="149"/>
  <c r="I14" i="149"/>
  <c r="Q13" i="149"/>
  <c r="O13" i="149"/>
  <c r="L13" i="149"/>
  <c r="J13" i="149"/>
  <c r="H13" i="149"/>
  <c r="Q12" i="149"/>
  <c r="O12" i="149"/>
  <c r="L12" i="149"/>
  <c r="J12" i="149"/>
  <c r="H12" i="149"/>
  <c r="Q11" i="149"/>
  <c r="O11" i="149"/>
  <c r="L11" i="149"/>
  <c r="J11" i="149"/>
  <c r="H11" i="149"/>
  <c r="Q10" i="149"/>
  <c r="O10" i="149"/>
  <c r="L10" i="149"/>
  <c r="J10" i="149"/>
  <c r="Q9" i="149"/>
  <c r="O9" i="149"/>
  <c r="L9" i="149"/>
  <c r="J9" i="149"/>
  <c r="I9" i="149"/>
  <c r="H9" i="149"/>
  <c r="Q8" i="149"/>
  <c r="O8" i="149"/>
  <c r="L8" i="149"/>
  <c r="J8" i="149"/>
  <c r="H8" i="149"/>
  <c r="Q7" i="149"/>
  <c r="O7" i="149"/>
  <c r="L7" i="149"/>
  <c r="J7" i="149"/>
  <c r="G7" i="149"/>
  <c r="E3" i="149"/>
  <c r="E194" i="158"/>
  <c r="C194" i="158"/>
  <c r="E193" i="158"/>
  <c r="E131" i="158"/>
  <c r="E118" i="158"/>
  <c r="E112" i="158"/>
  <c r="E102" i="158"/>
  <c r="E95" i="158"/>
  <c r="E82" i="158"/>
  <c r="E72" i="158"/>
  <c r="E59" i="158"/>
  <c r="E54" i="158"/>
  <c r="E40" i="158"/>
  <c r="E34" i="158"/>
  <c r="E3" i="158"/>
  <c r="F4" i="152"/>
  <c r="E4" i="152"/>
  <c r="D4" i="152"/>
  <c r="E3" i="152"/>
  <c r="D3" i="152"/>
  <c r="E2" i="152"/>
  <c r="D2" i="152"/>
  <c r="I195" i="156"/>
  <c r="H195" i="156"/>
  <c r="G195" i="156"/>
  <c r="F195" i="156"/>
  <c r="E195" i="156"/>
  <c r="C195" i="156"/>
  <c r="I194" i="156"/>
  <c r="H194" i="156"/>
  <c r="G194" i="156"/>
  <c r="F194" i="156"/>
  <c r="E194" i="156"/>
  <c r="I193" i="156"/>
  <c r="H193" i="156"/>
  <c r="G193" i="156"/>
  <c r="I192" i="156"/>
  <c r="H192" i="156"/>
  <c r="G192" i="156"/>
  <c r="I191" i="156"/>
  <c r="H191" i="156"/>
  <c r="G191" i="156"/>
  <c r="I190" i="156"/>
  <c r="H190" i="156"/>
  <c r="G190" i="156"/>
  <c r="I189" i="156"/>
  <c r="H189" i="156"/>
  <c r="G189" i="156"/>
  <c r="I188" i="156"/>
  <c r="H188" i="156"/>
  <c r="G188" i="156"/>
  <c r="I187" i="156"/>
  <c r="H187" i="156"/>
  <c r="G187" i="156"/>
  <c r="I186" i="156"/>
  <c r="H186" i="156"/>
  <c r="G186" i="156"/>
  <c r="I185" i="156"/>
  <c r="H185" i="156"/>
  <c r="G185" i="156"/>
  <c r="I184" i="156"/>
  <c r="H184" i="156"/>
  <c r="G184" i="156"/>
  <c r="I183" i="156"/>
  <c r="H183" i="156"/>
  <c r="G183" i="156"/>
  <c r="I182" i="156"/>
  <c r="H182" i="156"/>
  <c r="G182" i="156"/>
  <c r="I181" i="156"/>
  <c r="H181" i="156"/>
  <c r="G181" i="156"/>
  <c r="I180" i="156"/>
  <c r="H180" i="156"/>
  <c r="G180" i="156"/>
  <c r="I179" i="156"/>
  <c r="H179" i="156"/>
  <c r="G179" i="156"/>
  <c r="I178" i="156"/>
  <c r="H178" i="156"/>
  <c r="G178" i="156"/>
  <c r="I177" i="156"/>
  <c r="H177" i="156"/>
  <c r="G177" i="156"/>
  <c r="I176" i="156"/>
  <c r="H176" i="156"/>
  <c r="G176" i="156"/>
  <c r="I175" i="156"/>
  <c r="H175" i="156"/>
  <c r="G175" i="156"/>
  <c r="I174" i="156"/>
  <c r="H174" i="156"/>
  <c r="G174" i="156"/>
  <c r="I173" i="156"/>
  <c r="H173" i="156"/>
  <c r="G173" i="156"/>
  <c r="I172" i="156"/>
  <c r="H172" i="156"/>
  <c r="G172" i="156"/>
  <c r="I171" i="156"/>
  <c r="H171" i="156"/>
  <c r="G171" i="156"/>
  <c r="I170" i="156"/>
  <c r="H170" i="156"/>
  <c r="G170" i="156"/>
  <c r="I169" i="156"/>
  <c r="H169" i="156"/>
  <c r="G169" i="156"/>
  <c r="I168" i="156"/>
  <c r="H168" i="156"/>
  <c r="G168" i="156"/>
  <c r="I167" i="156"/>
  <c r="H167" i="156"/>
  <c r="G167" i="156"/>
  <c r="I166" i="156"/>
  <c r="G166" i="156"/>
  <c r="F166" i="156"/>
  <c r="E166" i="156"/>
  <c r="I165" i="156"/>
  <c r="G165" i="156"/>
  <c r="I164" i="156"/>
  <c r="G164" i="156"/>
  <c r="I163" i="156"/>
  <c r="G163" i="156"/>
  <c r="F163" i="156"/>
  <c r="E163" i="156"/>
  <c r="I162" i="156"/>
  <c r="G162" i="156"/>
  <c r="I161" i="156"/>
  <c r="G161" i="156"/>
  <c r="I160" i="156"/>
  <c r="G160" i="156"/>
  <c r="I159" i="156"/>
  <c r="G159" i="156"/>
  <c r="I158" i="156"/>
  <c r="G158" i="156"/>
  <c r="I157" i="156"/>
  <c r="G157" i="156"/>
  <c r="I156" i="156"/>
  <c r="G156" i="156"/>
  <c r="I155" i="156"/>
  <c r="G155" i="156"/>
  <c r="F155" i="156"/>
  <c r="E155" i="156"/>
  <c r="I154" i="156"/>
  <c r="G154" i="156"/>
  <c r="I153" i="156"/>
  <c r="G153" i="156"/>
  <c r="I152" i="156"/>
  <c r="G152" i="156"/>
  <c r="I151" i="156"/>
  <c r="G151" i="156"/>
  <c r="I150" i="156"/>
  <c r="G150" i="156"/>
  <c r="I149" i="156"/>
  <c r="G149" i="156"/>
  <c r="F149" i="156"/>
  <c r="E149" i="156"/>
  <c r="I148" i="156"/>
  <c r="G148" i="156"/>
  <c r="F148" i="156"/>
  <c r="I147" i="156"/>
  <c r="G147" i="156"/>
  <c r="F147" i="156"/>
  <c r="I146" i="156"/>
  <c r="G146" i="156"/>
  <c r="F146" i="156"/>
  <c r="E146" i="156"/>
  <c r="I145" i="156"/>
  <c r="G145" i="156"/>
  <c r="F145" i="156"/>
  <c r="E145" i="156"/>
  <c r="I144" i="156"/>
  <c r="G144" i="156"/>
  <c r="I143" i="156"/>
  <c r="G143" i="156"/>
  <c r="I142" i="156"/>
  <c r="G142" i="156"/>
  <c r="I141" i="156"/>
  <c r="G141" i="156"/>
  <c r="F141" i="156"/>
  <c r="E141" i="156"/>
  <c r="I140" i="156"/>
  <c r="G140" i="156"/>
  <c r="F140" i="156"/>
  <c r="E140" i="156"/>
  <c r="I139" i="156"/>
  <c r="G139" i="156"/>
  <c r="F139" i="156"/>
  <c r="E139" i="156"/>
  <c r="I138" i="156"/>
  <c r="G138" i="156"/>
  <c r="F138" i="156"/>
  <c r="E138" i="156"/>
  <c r="I137" i="156"/>
  <c r="G137" i="156"/>
  <c r="F137" i="156"/>
  <c r="E137" i="156"/>
  <c r="I135" i="156"/>
  <c r="H135" i="156"/>
  <c r="G135" i="156"/>
  <c r="I132" i="156"/>
  <c r="H132" i="156"/>
  <c r="G132" i="156"/>
  <c r="F132" i="156"/>
  <c r="E132" i="156"/>
  <c r="I131" i="156"/>
  <c r="G131" i="156"/>
  <c r="I130" i="156"/>
  <c r="G130" i="156"/>
  <c r="I129" i="156"/>
  <c r="G129" i="156"/>
  <c r="I128" i="156"/>
  <c r="G128" i="156"/>
  <c r="F128" i="156"/>
  <c r="E128" i="156"/>
  <c r="I127" i="156"/>
  <c r="G127" i="156"/>
  <c r="F127" i="156"/>
  <c r="E127" i="156"/>
  <c r="I126" i="156"/>
  <c r="G126" i="156"/>
  <c r="F126" i="156"/>
  <c r="I125" i="156"/>
  <c r="G125" i="156"/>
  <c r="F125" i="156"/>
  <c r="I124" i="156"/>
  <c r="G124" i="156"/>
  <c r="F124" i="156"/>
  <c r="E124" i="156"/>
  <c r="I123" i="156"/>
  <c r="G123" i="156"/>
  <c r="F123" i="156"/>
  <c r="E123" i="156"/>
  <c r="I122" i="156"/>
  <c r="G122" i="156"/>
  <c r="F122" i="156"/>
  <c r="E122" i="156"/>
  <c r="I119" i="156"/>
  <c r="H119" i="156"/>
  <c r="G119" i="156"/>
  <c r="F119" i="156"/>
  <c r="E119" i="156"/>
  <c r="I118" i="156"/>
  <c r="G118" i="156"/>
  <c r="F118" i="156"/>
  <c r="E118" i="156"/>
  <c r="I117" i="156"/>
  <c r="G117" i="156"/>
  <c r="I116" i="156"/>
  <c r="G116" i="156"/>
  <c r="F116" i="156"/>
  <c r="E116" i="156"/>
  <c r="I113" i="156"/>
  <c r="H113" i="156"/>
  <c r="G113" i="156"/>
  <c r="F113" i="156"/>
  <c r="E113" i="156"/>
  <c r="I112" i="156"/>
  <c r="H112" i="156"/>
  <c r="G112" i="156"/>
  <c r="I111" i="156"/>
  <c r="H111" i="156"/>
  <c r="G111" i="156"/>
  <c r="I110" i="156"/>
  <c r="H110" i="156"/>
  <c r="G110" i="156"/>
  <c r="I109" i="156"/>
  <c r="H109" i="156"/>
  <c r="G109" i="156"/>
  <c r="I108" i="156"/>
  <c r="G108" i="156"/>
  <c r="F108" i="156"/>
  <c r="E108" i="156"/>
  <c r="I107" i="156"/>
  <c r="G107" i="156"/>
  <c r="F107" i="156"/>
  <c r="E107" i="156"/>
  <c r="I106" i="156"/>
  <c r="H106" i="156"/>
  <c r="G106" i="156"/>
  <c r="I103" i="156"/>
  <c r="H103" i="156"/>
  <c r="G103" i="156"/>
  <c r="F103" i="156"/>
  <c r="E103" i="156"/>
  <c r="I102" i="156"/>
  <c r="H102" i="156"/>
  <c r="G102" i="156"/>
  <c r="I101" i="156"/>
  <c r="H101" i="156"/>
  <c r="G101" i="156"/>
  <c r="I100" i="156"/>
  <c r="H100" i="156"/>
  <c r="G100" i="156"/>
  <c r="I99" i="156"/>
  <c r="H99" i="156"/>
  <c r="G99" i="156"/>
  <c r="F99" i="156"/>
  <c r="E99" i="156"/>
  <c r="I96" i="156"/>
  <c r="H96" i="156"/>
  <c r="G96" i="156"/>
  <c r="F96" i="156"/>
  <c r="E96" i="156"/>
  <c r="I95" i="156"/>
  <c r="G95" i="156"/>
  <c r="I94" i="156"/>
  <c r="G94" i="156"/>
  <c r="I93" i="156"/>
  <c r="G93" i="156"/>
  <c r="F93" i="156"/>
  <c r="E93" i="156"/>
  <c r="I92" i="156"/>
  <c r="G92" i="156"/>
  <c r="I91" i="156"/>
  <c r="G91" i="156"/>
  <c r="I90" i="156"/>
  <c r="G90" i="156"/>
  <c r="I89" i="156"/>
  <c r="G89" i="156"/>
  <c r="I88" i="156"/>
  <c r="G88" i="156"/>
  <c r="I87" i="156"/>
  <c r="G87" i="156"/>
  <c r="F87" i="156"/>
  <c r="E87" i="156"/>
  <c r="I86" i="156"/>
  <c r="G86" i="156"/>
  <c r="I83" i="156"/>
  <c r="H83" i="156"/>
  <c r="G83" i="156"/>
  <c r="F83" i="156"/>
  <c r="E83" i="156"/>
  <c r="I82" i="156"/>
  <c r="H82" i="156"/>
  <c r="G82" i="156"/>
  <c r="I81" i="156"/>
  <c r="H81" i="156"/>
  <c r="G81" i="156"/>
  <c r="I80" i="156"/>
  <c r="H80" i="156"/>
  <c r="G80" i="156"/>
  <c r="I79" i="156"/>
  <c r="G79" i="156"/>
  <c r="F79" i="156"/>
  <c r="E79" i="156"/>
  <c r="I78" i="156"/>
  <c r="H78" i="156"/>
  <c r="G78" i="156"/>
  <c r="I77" i="156"/>
  <c r="H77" i="156"/>
  <c r="G77" i="156"/>
  <c r="I76" i="156"/>
  <c r="H76" i="156"/>
  <c r="G76" i="156"/>
  <c r="I73" i="156"/>
  <c r="H73" i="156"/>
  <c r="G73" i="156"/>
  <c r="E73" i="156"/>
  <c r="I72" i="156"/>
  <c r="H72" i="156"/>
  <c r="G72" i="156"/>
  <c r="I71" i="156"/>
  <c r="H71" i="156"/>
  <c r="G71" i="156"/>
  <c r="I70" i="156"/>
  <c r="H70" i="156"/>
  <c r="G70" i="156"/>
  <c r="I69" i="156"/>
  <c r="H69" i="156"/>
  <c r="G69" i="156"/>
  <c r="I68" i="156"/>
  <c r="H68" i="156"/>
  <c r="G68" i="156"/>
  <c r="I67" i="156"/>
  <c r="H67" i="156"/>
  <c r="G67" i="156"/>
  <c r="I66" i="156"/>
  <c r="H66" i="156"/>
  <c r="G66" i="156"/>
  <c r="I65" i="156"/>
  <c r="H65" i="156"/>
  <c r="G65" i="156"/>
  <c r="I64" i="156"/>
  <c r="H64" i="156"/>
  <c r="G64" i="156"/>
  <c r="I63" i="156"/>
  <c r="H63" i="156"/>
  <c r="G63" i="156"/>
  <c r="I60" i="156"/>
  <c r="H60" i="156"/>
  <c r="G60" i="156"/>
  <c r="E60" i="156"/>
  <c r="I59" i="156"/>
  <c r="H59" i="156"/>
  <c r="G59" i="156"/>
  <c r="I58" i="156"/>
  <c r="H58" i="156"/>
  <c r="G58" i="156"/>
  <c r="I55" i="156"/>
  <c r="H55" i="156"/>
  <c r="G55" i="156"/>
  <c r="F55" i="156"/>
  <c r="E55" i="156"/>
  <c r="I54" i="156"/>
  <c r="G54" i="156"/>
  <c r="I53" i="156"/>
  <c r="G53" i="156"/>
  <c r="I52" i="156"/>
  <c r="G52" i="156"/>
  <c r="I51" i="156"/>
  <c r="G51" i="156"/>
  <c r="I50" i="156"/>
  <c r="G50" i="156"/>
  <c r="I49" i="156"/>
  <c r="G49" i="156"/>
  <c r="I48" i="156"/>
  <c r="G48" i="156"/>
  <c r="F48" i="156"/>
  <c r="E48" i="156"/>
  <c r="I47" i="156"/>
  <c r="G47" i="156"/>
  <c r="I46" i="156"/>
  <c r="G46" i="156"/>
  <c r="I45" i="156"/>
  <c r="G45" i="156"/>
  <c r="I44" i="156"/>
  <c r="G44" i="156"/>
  <c r="I41" i="156"/>
  <c r="H41" i="156"/>
  <c r="G41" i="156"/>
  <c r="E41" i="156"/>
  <c r="I40" i="156"/>
  <c r="H40" i="156"/>
  <c r="G40" i="156"/>
  <c r="I39" i="156"/>
  <c r="H39" i="156"/>
  <c r="G39" i="156"/>
  <c r="I38" i="156"/>
  <c r="H38" i="156"/>
  <c r="G38" i="156"/>
  <c r="I35" i="156"/>
  <c r="H35" i="156"/>
  <c r="G35" i="156"/>
  <c r="F35" i="156"/>
  <c r="E35" i="156"/>
  <c r="I34" i="156"/>
  <c r="G34" i="156"/>
  <c r="F34" i="156"/>
  <c r="I33" i="156"/>
  <c r="G33" i="156"/>
  <c r="F33" i="156"/>
  <c r="I32" i="156"/>
  <c r="G32" i="156"/>
  <c r="F32" i="156"/>
  <c r="E32" i="156"/>
  <c r="I31" i="156"/>
  <c r="G31" i="156"/>
  <c r="F31" i="156"/>
  <c r="I30" i="156"/>
  <c r="G30" i="156"/>
  <c r="F30" i="156"/>
  <c r="I29" i="156"/>
  <c r="G29" i="156"/>
  <c r="F29" i="156"/>
  <c r="I28" i="156"/>
  <c r="G28" i="156"/>
  <c r="F28" i="156"/>
  <c r="I27" i="156"/>
  <c r="G27" i="156"/>
  <c r="F27" i="156"/>
  <c r="I26" i="156"/>
  <c r="G26" i="156"/>
  <c r="F26" i="156"/>
  <c r="I25" i="156"/>
  <c r="G25" i="156"/>
  <c r="F25" i="156"/>
  <c r="I24" i="156"/>
  <c r="G24" i="156"/>
  <c r="F24" i="156"/>
  <c r="I23" i="156"/>
  <c r="G23" i="156"/>
  <c r="F23" i="156"/>
  <c r="I22" i="156"/>
  <c r="G22" i="156"/>
  <c r="F22" i="156"/>
  <c r="I21" i="156"/>
  <c r="G21" i="156"/>
  <c r="F21" i="156"/>
  <c r="E21" i="156"/>
  <c r="I20" i="156"/>
  <c r="G20" i="156"/>
  <c r="F20" i="156"/>
  <c r="I19" i="156"/>
  <c r="G19" i="156"/>
  <c r="F19" i="156"/>
  <c r="I18" i="156"/>
  <c r="G18" i="156"/>
  <c r="F18" i="156"/>
  <c r="I17" i="156"/>
  <c r="G17" i="156"/>
  <c r="F17" i="156"/>
  <c r="I16" i="156"/>
  <c r="G16" i="156"/>
  <c r="F16" i="156"/>
  <c r="I15" i="156"/>
  <c r="G15" i="156"/>
  <c r="F15" i="156"/>
  <c r="E15" i="156"/>
  <c r="I14" i="156"/>
  <c r="G14" i="156"/>
  <c r="F14" i="156"/>
  <c r="E14" i="156"/>
  <c r="I13" i="156"/>
  <c r="G13" i="156"/>
  <c r="F13" i="156"/>
  <c r="I12" i="156"/>
  <c r="G12" i="156"/>
  <c r="F12" i="156"/>
  <c r="E12" i="156"/>
  <c r="I11" i="156"/>
  <c r="G11" i="156"/>
  <c r="F11" i="156"/>
  <c r="E11" i="156"/>
  <c r="I10" i="156"/>
  <c r="G10" i="156"/>
  <c r="F10" i="156"/>
  <c r="I9" i="156"/>
  <c r="G9" i="156"/>
  <c r="F9" i="156"/>
  <c r="I8" i="156"/>
  <c r="G8" i="156"/>
  <c r="F8" i="156"/>
  <c r="S9" i="155"/>
  <c r="R9" i="155"/>
  <c r="Q9" i="155"/>
  <c r="P9" i="155"/>
  <c r="O9" i="155"/>
  <c r="N9" i="155"/>
  <c r="M9" i="155"/>
  <c r="L9" i="155"/>
  <c r="K9" i="155"/>
  <c r="J9" i="155"/>
  <c r="I9" i="155"/>
  <c r="H9" i="155"/>
  <c r="G9" i="155"/>
  <c r="F9" i="155"/>
  <c r="E9" i="155"/>
  <c r="C9" i="155"/>
  <c r="T8" i="155"/>
  <c r="S8" i="155"/>
  <c r="Q8" i="155"/>
  <c r="O8" i="155"/>
  <c r="J8" i="155"/>
  <c r="H8" i="155"/>
  <c r="E8" i="155"/>
  <c r="S7" i="155"/>
  <c r="Q7" i="155"/>
  <c r="L7" i="155"/>
  <c r="J7" i="155"/>
  <c r="H7" i="155"/>
  <c r="E3" i="155"/>
  <c r="V189" i="154"/>
  <c r="G189" i="154"/>
  <c r="F189" i="154"/>
  <c r="Z188" i="154"/>
  <c r="X188" i="154"/>
  <c r="V188" i="154"/>
  <c r="G188" i="154"/>
  <c r="F188" i="154"/>
  <c r="C188" i="154"/>
  <c r="AB187" i="154"/>
  <c r="Z187" i="154"/>
  <c r="X187" i="154"/>
  <c r="V187" i="154"/>
  <c r="T187" i="154"/>
  <c r="S187" i="154"/>
  <c r="R187" i="154"/>
  <c r="Q187" i="154"/>
  <c r="P187" i="154"/>
  <c r="O187" i="154"/>
  <c r="N187" i="154"/>
  <c r="M187" i="154"/>
  <c r="L187" i="154"/>
  <c r="I187" i="154"/>
  <c r="G187" i="154"/>
  <c r="E187" i="154"/>
  <c r="AB186" i="154"/>
  <c r="Z186" i="154"/>
  <c r="X186" i="154"/>
  <c r="V186" i="154"/>
  <c r="T186" i="154"/>
  <c r="S186" i="154"/>
  <c r="R186" i="154"/>
  <c r="Q186" i="154"/>
  <c r="P186" i="154"/>
  <c r="O186" i="154"/>
  <c r="N186" i="154"/>
  <c r="M186" i="154"/>
  <c r="L186" i="154"/>
  <c r="I186" i="154"/>
  <c r="G186" i="154"/>
  <c r="E186" i="154"/>
  <c r="AB185" i="154"/>
  <c r="Z185" i="154"/>
  <c r="X185" i="154"/>
  <c r="V185" i="154"/>
  <c r="T185" i="154"/>
  <c r="S185" i="154"/>
  <c r="R185" i="154"/>
  <c r="Q185" i="154"/>
  <c r="P185" i="154"/>
  <c r="O185" i="154"/>
  <c r="N185" i="154"/>
  <c r="M185" i="154"/>
  <c r="L185" i="154"/>
  <c r="I185" i="154"/>
  <c r="G185" i="154"/>
  <c r="E185" i="154"/>
  <c r="AB184" i="154"/>
  <c r="Z184" i="154"/>
  <c r="X184" i="154"/>
  <c r="V184" i="154"/>
  <c r="T184" i="154"/>
  <c r="S184" i="154"/>
  <c r="R184" i="154"/>
  <c r="Q184" i="154"/>
  <c r="P184" i="154"/>
  <c r="O184" i="154"/>
  <c r="N184" i="154"/>
  <c r="M184" i="154"/>
  <c r="L184" i="154"/>
  <c r="I184" i="154"/>
  <c r="G184" i="154"/>
  <c r="E184" i="154"/>
  <c r="AB183" i="154"/>
  <c r="Z183" i="154"/>
  <c r="X183" i="154"/>
  <c r="V183" i="154"/>
  <c r="T183" i="154"/>
  <c r="S183" i="154"/>
  <c r="R183" i="154"/>
  <c r="Q183" i="154"/>
  <c r="P183" i="154"/>
  <c r="O183" i="154"/>
  <c r="N183" i="154"/>
  <c r="M183" i="154"/>
  <c r="L183" i="154"/>
  <c r="I183" i="154"/>
  <c r="G183" i="154"/>
  <c r="E183" i="154"/>
  <c r="AB182" i="154"/>
  <c r="Z182" i="154"/>
  <c r="X182" i="154"/>
  <c r="V182" i="154"/>
  <c r="T182" i="154"/>
  <c r="S182" i="154"/>
  <c r="R182" i="154"/>
  <c r="Q182" i="154"/>
  <c r="P182" i="154"/>
  <c r="O182" i="154"/>
  <c r="N182" i="154"/>
  <c r="M182" i="154"/>
  <c r="L182" i="154"/>
  <c r="I182" i="154"/>
  <c r="E182" i="154"/>
  <c r="AB181" i="154"/>
  <c r="Z181" i="154"/>
  <c r="X181" i="154"/>
  <c r="V181" i="154"/>
  <c r="T181" i="154"/>
  <c r="S181" i="154"/>
  <c r="R181" i="154"/>
  <c r="Q181" i="154"/>
  <c r="P181" i="154"/>
  <c r="O181" i="154"/>
  <c r="N181" i="154"/>
  <c r="M181" i="154"/>
  <c r="L181" i="154"/>
  <c r="I181" i="154"/>
  <c r="E181" i="154"/>
  <c r="AB180" i="154"/>
  <c r="Z180" i="154"/>
  <c r="X180" i="154"/>
  <c r="V180" i="154"/>
  <c r="T180" i="154"/>
  <c r="S180" i="154"/>
  <c r="R180" i="154"/>
  <c r="Q180" i="154"/>
  <c r="P180" i="154"/>
  <c r="O180" i="154"/>
  <c r="N180" i="154"/>
  <c r="M180" i="154"/>
  <c r="L180" i="154"/>
  <c r="I180" i="154"/>
  <c r="E180" i="154"/>
  <c r="AB179" i="154"/>
  <c r="Z179" i="154"/>
  <c r="X179" i="154"/>
  <c r="V179" i="154"/>
  <c r="T179" i="154"/>
  <c r="S179" i="154"/>
  <c r="R179" i="154"/>
  <c r="Q179" i="154"/>
  <c r="P179" i="154"/>
  <c r="O179" i="154"/>
  <c r="N179" i="154"/>
  <c r="M179" i="154"/>
  <c r="L179" i="154"/>
  <c r="I179" i="154"/>
  <c r="E179" i="154"/>
  <c r="AB178" i="154"/>
  <c r="Z178" i="154"/>
  <c r="X178" i="154"/>
  <c r="V178" i="154"/>
  <c r="T178" i="154"/>
  <c r="S178" i="154"/>
  <c r="R178" i="154"/>
  <c r="Q178" i="154"/>
  <c r="P178" i="154"/>
  <c r="O178" i="154"/>
  <c r="N178" i="154"/>
  <c r="M178" i="154"/>
  <c r="L178" i="154"/>
  <c r="I178" i="154"/>
  <c r="E178" i="154"/>
  <c r="AB177" i="154"/>
  <c r="Z177" i="154"/>
  <c r="X177" i="154"/>
  <c r="V177" i="154"/>
  <c r="T177" i="154"/>
  <c r="S177" i="154"/>
  <c r="R177" i="154"/>
  <c r="Q177" i="154"/>
  <c r="P177" i="154"/>
  <c r="O177" i="154"/>
  <c r="N177" i="154"/>
  <c r="M177" i="154"/>
  <c r="L177" i="154"/>
  <c r="I177" i="154"/>
  <c r="E177" i="154"/>
  <c r="AB176" i="154"/>
  <c r="Z176" i="154"/>
  <c r="X176" i="154"/>
  <c r="V176" i="154"/>
  <c r="T176" i="154"/>
  <c r="S176" i="154"/>
  <c r="R176" i="154"/>
  <c r="Q176" i="154"/>
  <c r="P176" i="154"/>
  <c r="O176" i="154"/>
  <c r="N176" i="154"/>
  <c r="M176" i="154"/>
  <c r="L176" i="154"/>
  <c r="I176" i="154"/>
  <c r="E176" i="154"/>
  <c r="AB175" i="154"/>
  <c r="Z175" i="154"/>
  <c r="X175" i="154"/>
  <c r="V175" i="154"/>
  <c r="T175" i="154"/>
  <c r="S175" i="154"/>
  <c r="R175" i="154"/>
  <c r="Q175" i="154"/>
  <c r="P175" i="154"/>
  <c r="O175" i="154"/>
  <c r="N175" i="154"/>
  <c r="M175" i="154"/>
  <c r="L175" i="154"/>
  <c r="I175" i="154"/>
  <c r="E175" i="154"/>
  <c r="AB174" i="154"/>
  <c r="Z174" i="154"/>
  <c r="X174" i="154"/>
  <c r="V174" i="154"/>
  <c r="T174" i="154"/>
  <c r="S174" i="154"/>
  <c r="R174" i="154"/>
  <c r="Q174" i="154"/>
  <c r="P174" i="154"/>
  <c r="O174" i="154"/>
  <c r="N174" i="154"/>
  <c r="M174" i="154"/>
  <c r="L174" i="154"/>
  <c r="I174" i="154"/>
  <c r="E174" i="154"/>
  <c r="AB173" i="154"/>
  <c r="Z173" i="154"/>
  <c r="X173" i="154"/>
  <c r="V173" i="154"/>
  <c r="T173" i="154"/>
  <c r="S173" i="154"/>
  <c r="R173" i="154"/>
  <c r="Q173" i="154"/>
  <c r="P173" i="154"/>
  <c r="O173" i="154"/>
  <c r="N173" i="154"/>
  <c r="M173" i="154"/>
  <c r="L173" i="154"/>
  <c r="I173" i="154"/>
  <c r="E173" i="154"/>
  <c r="AB172" i="154"/>
  <c r="Z172" i="154"/>
  <c r="X172" i="154"/>
  <c r="V172" i="154"/>
  <c r="T172" i="154"/>
  <c r="S172" i="154"/>
  <c r="R172" i="154"/>
  <c r="Q172" i="154"/>
  <c r="P172" i="154"/>
  <c r="O172" i="154"/>
  <c r="N172" i="154"/>
  <c r="M172" i="154"/>
  <c r="L172" i="154"/>
  <c r="I172" i="154"/>
  <c r="E172" i="154"/>
  <c r="AB171" i="154"/>
  <c r="Z171" i="154"/>
  <c r="X171" i="154"/>
  <c r="V171" i="154"/>
  <c r="T171" i="154"/>
  <c r="S171" i="154"/>
  <c r="R171" i="154"/>
  <c r="Q171" i="154"/>
  <c r="P171" i="154"/>
  <c r="O171" i="154"/>
  <c r="N171" i="154"/>
  <c r="M171" i="154"/>
  <c r="L171" i="154"/>
  <c r="I171" i="154"/>
  <c r="E171" i="154"/>
  <c r="AB170" i="154"/>
  <c r="Z170" i="154"/>
  <c r="X170" i="154"/>
  <c r="V170" i="154"/>
  <c r="T170" i="154"/>
  <c r="S170" i="154"/>
  <c r="R170" i="154"/>
  <c r="Q170" i="154"/>
  <c r="P170" i="154"/>
  <c r="O170" i="154"/>
  <c r="N170" i="154"/>
  <c r="M170" i="154"/>
  <c r="L170" i="154"/>
  <c r="I170" i="154"/>
  <c r="E170" i="154"/>
  <c r="AB169" i="154"/>
  <c r="Z169" i="154"/>
  <c r="X169" i="154"/>
  <c r="V169" i="154"/>
  <c r="T169" i="154"/>
  <c r="S169" i="154"/>
  <c r="R169" i="154"/>
  <c r="Q169" i="154"/>
  <c r="P169" i="154"/>
  <c r="O169" i="154"/>
  <c r="N169" i="154"/>
  <c r="M169" i="154"/>
  <c r="L169" i="154"/>
  <c r="I169" i="154"/>
  <c r="E169" i="154"/>
  <c r="AB168" i="154"/>
  <c r="Z168" i="154"/>
  <c r="X168" i="154"/>
  <c r="V168" i="154"/>
  <c r="T168" i="154"/>
  <c r="S168" i="154"/>
  <c r="R168" i="154"/>
  <c r="Q168" i="154"/>
  <c r="P168" i="154"/>
  <c r="O168" i="154"/>
  <c r="N168" i="154"/>
  <c r="M168" i="154"/>
  <c r="L168" i="154"/>
  <c r="I168" i="154"/>
  <c r="E168" i="154"/>
  <c r="AB167" i="154"/>
  <c r="Z167" i="154"/>
  <c r="X167" i="154"/>
  <c r="V167" i="154"/>
  <c r="T167" i="154"/>
  <c r="S167" i="154"/>
  <c r="R167" i="154"/>
  <c r="Q167" i="154"/>
  <c r="P167" i="154"/>
  <c r="O167" i="154"/>
  <c r="N167" i="154"/>
  <c r="M167" i="154"/>
  <c r="L167" i="154"/>
  <c r="I167" i="154"/>
  <c r="E167" i="154"/>
  <c r="AB166" i="154"/>
  <c r="Z166" i="154"/>
  <c r="X166" i="154"/>
  <c r="V166" i="154"/>
  <c r="T166" i="154"/>
  <c r="S166" i="154"/>
  <c r="R166" i="154"/>
  <c r="Q166" i="154"/>
  <c r="P166" i="154"/>
  <c r="O166" i="154"/>
  <c r="N166" i="154"/>
  <c r="M166" i="154"/>
  <c r="L166" i="154"/>
  <c r="I166" i="154"/>
  <c r="E166" i="154"/>
  <c r="AB165" i="154"/>
  <c r="Z165" i="154"/>
  <c r="X165" i="154"/>
  <c r="V165" i="154"/>
  <c r="T165" i="154"/>
  <c r="S165" i="154"/>
  <c r="R165" i="154"/>
  <c r="Q165" i="154"/>
  <c r="P165" i="154"/>
  <c r="O165" i="154"/>
  <c r="N165" i="154"/>
  <c r="M165" i="154"/>
  <c r="L165" i="154"/>
  <c r="I165" i="154"/>
  <c r="E165" i="154"/>
  <c r="AB164" i="154"/>
  <c r="Z164" i="154"/>
  <c r="X164" i="154"/>
  <c r="V164" i="154"/>
  <c r="T164" i="154"/>
  <c r="S164" i="154"/>
  <c r="R164" i="154"/>
  <c r="Q164" i="154"/>
  <c r="P164" i="154"/>
  <c r="O164" i="154"/>
  <c r="N164" i="154"/>
  <c r="M164" i="154"/>
  <c r="L164" i="154"/>
  <c r="I164" i="154"/>
  <c r="E164" i="154"/>
  <c r="AB163" i="154"/>
  <c r="Z163" i="154"/>
  <c r="X163" i="154"/>
  <c r="V163" i="154"/>
  <c r="T163" i="154"/>
  <c r="S163" i="154"/>
  <c r="R163" i="154"/>
  <c r="Q163" i="154"/>
  <c r="P163" i="154"/>
  <c r="O163" i="154"/>
  <c r="N163" i="154"/>
  <c r="M163" i="154"/>
  <c r="L163" i="154"/>
  <c r="I163" i="154"/>
  <c r="E163" i="154"/>
  <c r="AB162" i="154"/>
  <c r="Z162" i="154"/>
  <c r="X162" i="154"/>
  <c r="V162" i="154"/>
  <c r="T162" i="154"/>
  <c r="S162" i="154"/>
  <c r="R162" i="154"/>
  <c r="Q162" i="154"/>
  <c r="P162" i="154"/>
  <c r="O162" i="154"/>
  <c r="N162" i="154"/>
  <c r="M162" i="154"/>
  <c r="L162" i="154"/>
  <c r="I162" i="154"/>
  <c r="E162" i="154"/>
  <c r="AB161" i="154"/>
  <c r="Z161" i="154"/>
  <c r="X161" i="154"/>
  <c r="V161" i="154"/>
  <c r="T161" i="154"/>
  <c r="S161" i="154"/>
  <c r="R161" i="154"/>
  <c r="Q161" i="154"/>
  <c r="P161" i="154"/>
  <c r="O161" i="154"/>
  <c r="N161" i="154"/>
  <c r="M161" i="154"/>
  <c r="L161" i="154"/>
  <c r="I161" i="154"/>
  <c r="E161" i="154"/>
  <c r="AB160" i="154"/>
  <c r="Z160" i="154"/>
  <c r="X160" i="154"/>
  <c r="V160" i="154"/>
  <c r="T160" i="154"/>
  <c r="S160" i="154"/>
  <c r="R160" i="154"/>
  <c r="Q160" i="154"/>
  <c r="P160" i="154"/>
  <c r="O160" i="154"/>
  <c r="N160" i="154"/>
  <c r="M160" i="154"/>
  <c r="L160" i="154"/>
  <c r="I160" i="154"/>
  <c r="F160" i="154"/>
  <c r="E160" i="154"/>
  <c r="AB159" i="154"/>
  <c r="Z159" i="154"/>
  <c r="X159" i="154"/>
  <c r="V159" i="154"/>
  <c r="T159" i="154"/>
  <c r="S159" i="154"/>
  <c r="R159" i="154"/>
  <c r="Q159" i="154"/>
  <c r="P159" i="154"/>
  <c r="O159" i="154"/>
  <c r="N159" i="154"/>
  <c r="M159" i="154"/>
  <c r="L159" i="154"/>
  <c r="I159" i="154"/>
  <c r="E159" i="154"/>
  <c r="AB158" i="154"/>
  <c r="Z158" i="154"/>
  <c r="X158" i="154"/>
  <c r="V158" i="154"/>
  <c r="T158" i="154"/>
  <c r="S158" i="154"/>
  <c r="R158" i="154"/>
  <c r="Q158" i="154"/>
  <c r="P158" i="154"/>
  <c r="O158" i="154"/>
  <c r="N158" i="154"/>
  <c r="M158" i="154"/>
  <c r="L158" i="154"/>
  <c r="I158" i="154"/>
  <c r="E158" i="154"/>
  <c r="AB157" i="154"/>
  <c r="Z157" i="154"/>
  <c r="X157" i="154"/>
  <c r="V157" i="154"/>
  <c r="T157" i="154"/>
  <c r="S157" i="154"/>
  <c r="R157" i="154"/>
  <c r="Q157" i="154"/>
  <c r="P157" i="154"/>
  <c r="O157" i="154"/>
  <c r="N157" i="154"/>
  <c r="M157" i="154"/>
  <c r="L157" i="154"/>
  <c r="I157" i="154"/>
  <c r="F157" i="154"/>
  <c r="E157" i="154"/>
  <c r="AB156" i="154"/>
  <c r="Z156" i="154"/>
  <c r="X156" i="154"/>
  <c r="V156" i="154"/>
  <c r="T156" i="154"/>
  <c r="S156" i="154"/>
  <c r="R156" i="154"/>
  <c r="Q156" i="154"/>
  <c r="P156" i="154"/>
  <c r="O156" i="154"/>
  <c r="N156" i="154"/>
  <c r="M156" i="154"/>
  <c r="L156" i="154"/>
  <c r="I156" i="154"/>
  <c r="E156" i="154"/>
  <c r="AB155" i="154"/>
  <c r="Z155" i="154"/>
  <c r="X155" i="154"/>
  <c r="V155" i="154"/>
  <c r="T155" i="154"/>
  <c r="S155" i="154"/>
  <c r="R155" i="154"/>
  <c r="Q155" i="154"/>
  <c r="P155" i="154"/>
  <c r="O155" i="154"/>
  <c r="N155" i="154"/>
  <c r="M155" i="154"/>
  <c r="L155" i="154"/>
  <c r="I155" i="154"/>
  <c r="E155" i="154"/>
  <c r="AB154" i="154"/>
  <c r="Z154" i="154"/>
  <c r="X154" i="154"/>
  <c r="V154" i="154"/>
  <c r="T154" i="154"/>
  <c r="S154" i="154"/>
  <c r="R154" i="154"/>
  <c r="Q154" i="154"/>
  <c r="P154" i="154"/>
  <c r="O154" i="154"/>
  <c r="N154" i="154"/>
  <c r="M154" i="154"/>
  <c r="L154" i="154"/>
  <c r="I154" i="154"/>
  <c r="E154" i="154"/>
  <c r="AB153" i="154"/>
  <c r="Z153" i="154"/>
  <c r="X153" i="154"/>
  <c r="V153" i="154"/>
  <c r="T153" i="154"/>
  <c r="S153" i="154"/>
  <c r="R153" i="154"/>
  <c r="Q153" i="154"/>
  <c r="P153" i="154"/>
  <c r="O153" i="154"/>
  <c r="N153" i="154"/>
  <c r="M153" i="154"/>
  <c r="L153" i="154"/>
  <c r="I153" i="154"/>
  <c r="E153" i="154"/>
  <c r="AB152" i="154"/>
  <c r="Z152" i="154"/>
  <c r="X152" i="154"/>
  <c r="V152" i="154"/>
  <c r="T152" i="154"/>
  <c r="S152" i="154"/>
  <c r="R152" i="154"/>
  <c r="Q152" i="154"/>
  <c r="P152" i="154"/>
  <c r="O152" i="154"/>
  <c r="N152" i="154"/>
  <c r="M152" i="154"/>
  <c r="L152" i="154"/>
  <c r="I152" i="154"/>
  <c r="E152" i="154"/>
  <c r="AB151" i="154"/>
  <c r="Z151" i="154"/>
  <c r="X151" i="154"/>
  <c r="V151" i="154"/>
  <c r="T151" i="154"/>
  <c r="S151" i="154"/>
  <c r="R151" i="154"/>
  <c r="Q151" i="154"/>
  <c r="P151" i="154"/>
  <c r="O151" i="154"/>
  <c r="N151" i="154"/>
  <c r="M151" i="154"/>
  <c r="L151" i="154"/>
  <c r="I151" i="154"/>
  <c r="E151" i="154"/>
  <c r="AB150" i="154"/>
  <c r="Z150" i="154"/>
  <c r="X150" i="154"/>
  <c r="V150" i="154"/>
  <c r="T150" i="154"/>
  <c r="S150" i="154"/>
  <c r="R150" i="154"/>
  <c r="Q150" i="154"/>
  <c r="P150" i="154"/>
  <c r="O150" i="154"/>
  <c r="N150" i="154"/>
  <c r="M150" i="154"/>
  <c r="L150" i="154"/>
  <c r="I150" i="154"/>
  <c r="E150" i="154"/>
  <c r="AB149" i="154"/>
  <c r="Z149" i="154"/>
  <c r="X149" i="154"/>
  <c r="V149" i="154"/>
  <c r="T149" i="154"/>
  <c r="S149" i="154"/>
  <c r="R149" i="154"/>
  <c r="Q149" i="154"/>
  <c r="P149" i="154"/>
  <c r="O149" i="154"/>
  <c r="N149" i="154"/>
  <c r="M149" i="154"/>
  <c r="L149" i="154"/>
  <c r="I149" i="154"/>
  <c r="F149" i="154"/>
  <c r="E149" i="154"/>
  <c r="AB148" i="154"/>
  <c r="Z148" i="154"/>
  <c r="X148" i="154"/>
  <c r="V148" i="154"/>
  <c r="T148" i="154"/>
  <c r="S148" i="154"/>
  <c r="R148" i="154"/>
  <c r="Q148" i="154"/>
  <c r="P148" i="154"/>
  <c r="O148" i="154"/>
  <c r="N148" i="154"/>
  <c r="M148" i="154"/>
  <c r="L148" i="154"/>
  <c r="I148" i="154"/>
  <c r="E148" i="154"/>
  <c r="AB147" i="154"/>
  <c r="Z147" i="154"/>
  <c r="X147" i="154"/>
  <c r="V147" i="154"/>
  <c r="T147" i="154"/>
  <c r="S147" i="154"/>
  <c r="R147" i="154"/>
  <c r="Q147" i="154"/>
  <c r="P147" i="154"/>
  <c r="O147" i="154"/>
  <c r="N147" i="154"/>
  <c r="M147" i="154"/>
  <c r="L147" i="154"/>
  <c r="I147" i="154"/>
  <c r="E147" i="154"/>
  <c r="AB146" i="154"/>
  <c r="Z146" i="154"/>
  <c r="X146" i="154"/>
  <c r="V146" i="154"/>
  <c r="T146" i="154"/>
  <c r="S146" i="154"/>
  <c r="R146" i="154"/>
  <c r="Q146" i="154"/>
  <c r="P146" i="154"/>
  <c r="O146" i="154"/>
  <c r="N146" i="154"/>
  <c r="M146" i="154"/>
  <c r="L146" i="154"/>
  <c r="I146" i="154"/>
  <c r="E146" i="154"/>
  <c r="AB145" i="154"/>
  <c r="Z145" i="154"/>
  <c r="X145" i="154"/>
  <c r="V145" i="154"/>
  <c r="T145" i="154"/>
  <c r="S145" i="154"/>
  <c r="R145" i="154"/>
  <c r="Q145" i="154"/>
  <c r="P145" i="154"/>
  <c r="O145" i="154"/>
  <c r="N145" i="154"/>
  <c r="M145" i="154"/>
  <c r="L145" i="154"/>
  <c r="I145" i="154"/>
  <c r="E145" i="154"/>
  <c r="AB144" i="154"/>
  <c r="Z144" i="154"/>
  <c r="X144" i="154"/>
  <c r="V144" i="154"/>
  <c r="T144" i="154"/>
  <c r="S144" i="154"/>
  <c r="R144" i="154"/>
  <c r="Q144" i="154"/>
  <c r="P144" i="154"/>
  <c r="O144" i="154"/>
  <c r="N144" i="154"/>
  <c r="M144" i="154"/>
  <c r="L144" i="154"/>
  <c r="I144" i="154"/>
  <c r="E144" i="154"/>
  <c r="AB143" i="154"/>
  <c r="Z143" i="154"/>
  <c r="X143" i="154"/>
  <c r="V143" i="154"/>
  <c r="T143" i="154"/>
  <c r="S143" i="154"/>
  <c r="R143" i="154"/>
  <c r="Q143" i="154"/>
  <c r="P143" i="154"/>
  <c r="O143" i="154"/>
  <c r="N143" i="154"/>
  <c r="M143" i="154"/>
  <c r="L143" i="154"/>
  <c r="I143" i="154"/>
  <c r="F143" i="154"/>
  <c r="E143" i="154"/>
  <c r="AB142" i="154"/>
  <c r="Z142" i="154"/>
  <c r="X142" i="154"/>
  <c r="V142" i="154"/>
  <c r="T142" i="154"/>
  <c r="S142" i="154"/>
  <c r="R142" i="154"/>
  <c r="Q142" i="154"/>
  <c r="P142" i="154"/>
  <c r="O142" i="154"/>
  <c r="N142" i="154"/>
  <c r="M142" i="154"/>
  <c r="L142" i="154"/>
  <c r="I142" i="154"/>
  <c r="E142" i="154"/>
  <c r="AB141" i="154"/>
  <c r="Z141" i="154"/>
  <c r="X141" i="154"/>
  <c r="V141" i="154"/>
  <c r="U141" i="154"/>
  <c r="T141" i="154"/>
  <c r="S141" i="154"/>
  <c r="R141" i="154"/>
  <c r="Q141" i="154"/>
  <c r="P141" i="154"/>
  <c r="O141" i="154"/>
  <c r="N141" i="154"/>
  <c r="M141" i="154"/>
  <c r="L141" i="154"/>
  <c r="I141" i="154"/>
  <c r="E141" i="154"/>
  <c r="AB140" i="154"/>
  <c r="Z140" i="154"/>
  <c r="X140" i="154"/>
  <c r="V140" i="154"/>
  <c r="U140" i="154"/>
  <c r="T140" i="154"/>
  <c r="S140" i="154"/>
  <c r="R140" i="154"/>
  <c r="Q140" i="154"/>
  <c r="P140" i="154"/>
  <c r="O140" i="154"/>
  <c r="N140" i="154"/>
  <c r="M140" i="154"/>
  <c r="L140" i="154"/>
  <c r="I140" i="154"/>
  <c r="F140" i="154"/>
  <c r="E140" i="154"/>
  <c r="AB139" i="154"/>
  <c r="Z139" i="154"/>
  <c r="X139" i="154"/>
  <c r="V139" i="154"/>
  <c r="U139" i="154"/>
  <c r="T139" i="154"/>
  <c r="S139" i="154"/>
  <c r="R139" i="154"/>
  <c r="Q139" i="154"/>
  <c r="P139" i="154"/>
  <c r="O139" i="154"/>
  <c r="N139" i="154"/>
  <c r="M139" i="154"/>
  <c r="L139" i="154"/>
  <c r="I139" i="154"/>
  <c r="F139" i="154"/>
  <c r="E139" i="154"/>
  <c r="AB138" i="154"/>
  <c r="Z138" i="154"/>
  <c r="X138" i="154"/>
  <c r="V138" i="154"/>
  <c r="U138" i="154"/>
  <c r="T138" i="154"/>
  <c r="S138" i="154"/>
  <c r="R138" i="154"/>
  <c r="Q138" i="154"/>
  <c r="P138" i="154"/>
  <c r="O138" i="154"/>
  <c r="N138" i="154"/>
  <c r="M138" i="154"/>
  <c r="L138" i="154"/>
  <c r="I138" i="154"/>
  <c r="E138" i="154"/>
  <c r="AB137" i="154"/>
  <c r="Z137" i="154"/>
  <c r="X137" i="154"/>
  <c r="V137" i="154"/>
  <c r="U137" i="154"/>
  <c r="T137" i="154"/>
  <c r="S137" i="154"/>
  <c r="R137" i="154"/>
  <c r="Q137" i="154"/>
  <c r="P137" i="154"/>
  <c r="O137" i="154"/>
  <c r="N137" i="154"/>
  <c r="M137" i="154"/>
  <c r="L137" i="154"/>
  <c r="I137" i="154"/>
  <c r="E137" i="154"/>
  <c r="AB136" i="154"/>
  <c r="Z136" i="154"/>
  <c r="X136" i="154"/>
  <c r="V136" i="154"/>
  <c r="U136" i="154"/>
  <c r="T136" i="154"/>
  <c r="S136" i="154"/>
  <c r="R136" i="154"/>
  <c r="Q136" i="154"/>
  <c r="P136" i="154"/>
  <c r="O136" i="154"/>
  <c r="N136" i="154"/>
  <c r="M136" i="154"/>
  <c r="L136" i="154"/>
  <c r="I136" i="154"/>
  <c r="E136" i="154"/>
  <c r="AB135" i="154"/>
  <c r="Z135" i="154"/>
  <c r="X135" i="154"/>
  <c r="V135" i="154"/>
  <c r="U135" i="154"/>
  <c r="T135" i="154"/>
  <c r="S135" i="154"/>
  <c r="R135" i="154"/>
  <c r="Q135" i="154"/>
  <c r="P135" i="154"/>
  <c r="O135" i="154"/>
  <c r="N135" i="154"/>
  <c r="M135" i="154"/>
  <c r="L135" i="154"/>
  <c r="I135" i="154"/>
  <c r="F135" i="154"/>
  <c r="E135" i="154"/>
  <c r="AB134" i="154"/>
  <c r="Z134" i="154"/>
  <c r="X134" i="154"/>
  <c r="V134" i="154"/>
  <c r="U134" i="154"/>
  <c r="T134" i="154"/>
  <c r="S134" i="154"/>
  <c r="R134" i="154"/>
  <c r="Q134" i="154"/>
  <c r="P134" i="154"/>
  <c r="O134" i="154"/>
  <c r="N134" i="154"/>
  <c r="M134" i="154"/>
  <c r="L134" i="154"/>
  <c r="I134" i="154"/>
  <c r="F134" i="154"/>
  <c r="E134" i="154"/>
  <c r="AB133" i="154"/>
  <c r="Z133" i="154"/>
  <c r="X133" i="154"/>
  <c r="V133" i="154"/>
  <c r="U133" i="154"/>
  <c r="T133" i="154"/>
  <c r="S133" i="154"/>
  <c r="R133" i="154"/>
  <c r="Q133" i="154"/>
  <c r="P133" i="154"/>
  <c r="O133" i="154"/>
  <c r="N133" i="154"/>
  <c r="M133" i="154"/>
  <c r="L133" i="154"/>
  <c r="I133" i="154"/>
  <c r="F133" i="154"/>
  <c r="E133" i="154"/>
  <c r="AB132" i="154"/>
  <c r="Z132" i="154"/>
  <c r="X132" i="154"/>
  <c r="V132" i="154"/>
  <c r="U132" i="154"/>
  <c r="T132" i="154"/>
  <c r="S132" i="154"/>
  <c r="R132" i="154"/>
  <c r="Q132" i="154"/>
  <c r="P132" i="154"/>
  <c r="O132" i="154"/>
  <c r="N132" i="154"/>
  <c r="M132" i="154"/>
  <c r="L132" i="154"/>
  <c r="I132" i="154"/>
  <c r="F132" i="154"/>
  <c r="E132" i="154"/>
  <c r="AB131" i="154"/>
  <c r="Z131" i="154"/>
  <c r="X131" i="154"/>
  <c r="V131" i="154"/>
  <c r="U131" i="154"/>
  <c r="T131" i="154"/>
  <c r="S131" i="154"/>
  <c r="R131" i="154"/>
  <c r="Q131" i="154"/>
  <c r="P131" i="154"/>
  <c r="O131" i="154"/>
  <c r="N131" i="154"/>
  <c r="M131" i="154"/>
  <c r="L131" i="154"/>
  <c r="I131" i="154"/>
  <c r="F131" i="154"/>
  <c r="E131" i="154"/>
  <c r="AB130" i="154"/>
  <c r="Z130" i="154"/>
  <c r="X130" i="154"/>
  <c r="V130" i="154"/>
  <c r="U130" i="154"/>
  <c r="T130" i="154"/>
  <c r="S130" i="154"/>
  <c r="R130" i="154"/>
  <c r="Q130" i="154"/>
  <c r="P130" i="154"/>
  <c r="O130" i="154"/>
  <c r="N130" i="154"/>
  <c r="M130" i="154"/>
  <c r="L130" i="154"/>
  <c r="I130" i="154"/>
  <c r="E130" i="154"/>
  <c r="AB129" i="154"/>
  <c r="Z129" i="154"/>
  <c r="X129" i="154"/>
  <c r="V129" i="154"/>
  <c r="U129" i="154"/>
  <c r="T129" i="154"/>
  <c r="S129" i="154"/>
  <c r="R129" i="154"/>
  <c r="Q129" i="154"/>
  <c r="P129" i="154"/>
  <c r="O129" i="154"/>
  <c r="N129" i="154"/>
  <c r="M129" i="154"/>
  <c r="L129" i="154"/>
  <c r="I129" i="154"/>
  <c r="E129" i="154"/>
  <c r="AB125" i="154"/>
  <c r="Z125" i="154"/>
  <c r="X125" i="154"/>
  <c r="V125" i="154"/>
  <c r="T125" i="154"/>
  <c r="S125" i="154"/>
  <c r="R125" i="154"/>
  <c r="Q125" i="154"/>
  <c r="P125" i="154"/>
  <c r="O125" i="154"/>
  <c r="N125" i="154"/>
  <c r="M125" i="154"/>
  <c r="L125" i="154"/>
  <c r="I125" i="154"/>
  <c r="E125" i="154"/>
  <c r="AB124" i="154"/>
  <c r="Z124" i="154"/>
  <c r="X124" i="154"/>
  <c r="V124" i="154"/>
  <c r="T124" i="154"/>
  <c r="S124" i="154"/>
  <c r="R124" i="154"/>
  <c r="Q124" i="154"/>
  <c r="P124" i="154"/>
  <c r="O124" i="154"/>
  <c r="N124" i="154"/>
  <c r="M124" i="154"/>
  <c r="L124" i="154"/>
  <c r="I124" i="154"/>
  <c r="E124" i="154"/>
  <c r="AB123" i="154"/>
  <c r="Z123" i="154"/>
  <c r="X123" i="154"/>
  <c r="V123" i="154"/>
  <c r="T123" i="154"/>
  <c r="S123" i="154"/>
  <c r="R123" i="154"/>
  <c r="Q123" i="154"/>
  <c r="P123" i="154"/>
  <c r="O123" i="154"/>
  <c r="N123" i="154"/>
  <c r="M123" i="154"/>
  <c r="L123" i="154"/>
  <c r="I123" i="154"/>
  <c r="E123" i="154"/>
  <c r="AB122" i="154"/>
  <c r="Z122" i="154"/>
  <c r="X122" i="154"/>
  <c r="V122" i="154"/>
  <c r="U122" i="154"/>
  <c r="T122" i="154"/>
  <c r="S122" i="154"/>
  <c r="R122" i="154"/>
  <c r="Q122" i="154"/>
  <c r="P122" i="154"/>
  <c r="O122" i="154"/>
  <c r="N122" i="154"/>
  <c r="M122" i="154"/>
  <c r="L122" i="154"/>
  <c r="I122" i="154"/>
  <c r="F122" i="154"/>
  <c r="E122" i="154"/>
  <c r="AB121" i="154"/>
  <c r="Z121" i="154"/>
  <c r="X121" i="154"/>
  <c r="V121" i="154"/>
  <c r="U121" i="154"/>
  <c r="T121" i="154"/>
  <c r="S121" i="154"/>
  <c r="R121" i="154"/>
  <c r="Q121" i="154"/>
  <c r="P121" i="154"/>
  <c r="O121" i="154"/>
  <c r="N121" i="154"/>
  <c r="M121" i="154"/>
  <c r="L121" i="154"/>
  <c r="I121" i="154"/>
  <c r="F121" i="154"/>
  <c r="E121" i="154"/>
  <c r="AB120" i="154"/>
  <c r="Z120" i="154"/>
  <c r="X120" i="154"/>
  <c r="V120" i="154"/>
  <c r="U120" i="154"/>
  <c r="T120" i="154"/>
  <c r="S120" i="154"/>
  <c r="R120" i="154"/>
  <c r="Q120" i="154"/>
  <c r="P120" i="154"/>
  <c r="O120" i="154"/>
  <c r="N120" i="154"/>
  <c r="M120" i="154"/>
  <c r="L120" i="154"/>
  <c r="I120" i="154"/>
  <c r="E120" i="154"/>
  <c r="AB119" i="154"/>
  <c r="Z119" i="154"/>
  <c r="X119" i="154"/>
  <c r="V119" i="154"/>
  <c r="U119" i="154"/>
  <c r="T119" i="154"/>
  <c r="S119" i="154"/>
  <c r="R119" i="154"/>
  <c r="Q119" i="154"/>
  <c r="P119" i="154"/>
  <c r="O119" i="154"/>
  <c r="N119" i="154"/>
  <c r="M119" i="154"/>
  <c r="L119" i="154"/>
  <c r="I119" i="154"/>
  <c r="E119" i="154"/>
  <c r="AB118" i="154"/>
  <c r="Z118" i="154"/>
  <c r="X118" i="154"/>
  <c r="V118" i="154"/>
  <c r="U118" i="154"/>
  <c r="T118" i="154"/>
  <c r="S118" i="154"/>
  <c r="R118" i="154"/>
  <c r="Q118" i="154"/>
  <c r="P118" i="154"/>
  <c r="O118" i="154"/>
  <c r="N118" i="154"/>
  <c r="M118" i="154"/>
  <c r="L118" i="154"/>
  <c r="I118" i="154"/>
  <c r="F118" i="154"/>
  <c r="E118" i="154"/>
  <c r="AB117" i="154"/>
  <c r="Z117" i="154"/>
  <c r="X117" i="154"/>
  <c r="V117" i="154"/>
  <c r="U117" i="154"/>
  <c r="T117" i="154"/>
  <c r="S117" i="154"/>
  <c r="R117" i="154"/>
  <c r="Q117" i="154"/>
  <c r="P117" i="154"/>
  <c r="O117" i="154"/>
  <c r="N117" i="154"/>
  <c r="M117" i="154"/>
  <c r="L117" i="154"/>
  <c r="I117" i="154"/>
  <c r="F117" i="154"/>
  <c r="E117" i="154"/>
  <c r="AB116" i="154"/>
  <c r="Z116" i="154"/>
  <c r="X116" i="154"/>
  <c r="V116" i="154"/>
  <c r="U116" i="154"/>
  <c r="T116" i="154"/>
  <c r="S116" i="154"/>
  <c r="R116" i="154"/>
  <c r="Q116" i="154"/>
  <c r="P116" i="154"/>
  <c r="O116" i="154"/>
  <c r="N116" i="154"/>
  <c r="M116" i="154"/>
  <c r="L116" i="154"/>
  <c r="I116" i="154"/>
  <c r="F116" i="154"/>
  <c r="E116" i="154"/>
  <c r="AB112" i="154"/>
  <c r="Z112" i="154"/>
  <c r="X112" i="154"/>
  <c r="V112" i="154"/>
  <c r="U112" i="154"/>
  <c r="T112" i="154"/>
  <c r="S112" i="154"/>
  <c r="R112" i="154"/>
  <c r="Q112" i="154"/>
  <c r="P112" i="154"/>
  <c r="O112" i="154"/>
  <c r="N112" i="154"/>
  <c r="M112" i="154"/>
  <c r="L112" i="154"/>
  <c r="I112" i="154"/>
  <c r="F112" i="154"/>
  <c r="E112" i="154"/>
  <c r="AB111" i="154"/>
  <c r="Z111" i="154"/>
  <c r="X111" i="154"/>
  <c r="V111" i="154"/>
  <c r="U111" i="154"/>
  <c r="T111" i="154"/>
  <c r="S111" i="154"/>
  <c r="R111" i="154"/>
  <c r="Q111" i="154"/>
  <c r="P111" i="154"/>
  <c r="O111" i="154"/>
  <c r="N111" i="154"/>
  <c r="M111" i="154"/>
  <c r="L111" i="154"/>
  <c r="I111" i="154"/>
  <c r="E111" i="154"/>
  <c r="AB110" i="154"/>
  <c r="Z110" i="154"/>
  <c r="X110" i="154"/>
  <c r="V110" i="154"/>
  <c r="U110" i="154"/>
  <c r="T110" i="154"/>
  <c r="S110" i="154"/>
  <c r="R110" i="154"/>
  <c r="Q110" i="154"/>
  <c r="P110" i="154"/>
  <c r="O110" i="154"/>
  <c r="N110" i="154"/>
  <c r="M110" i="154"/>
  <c r="L110" i="154"/>
  <c r="I110" i="154"/>
  <c r="F110" i="154"/>
  <c r="E110" i="154"/>
  <c r="AB106" i="154"/>
  <c r="Z106" i="154"/>
  <c r="X106" i="154"/>
  <c r="V106" i="154"/>
  <c r="T106" i="154"/>
  <c r="S106" i="154"/>
  <c r="R106" i="154"/>
  <c r="Q106" i="154"/>
  <c r="P106" i="154"/>
  <c r="O106" i="154"/>
  <c r="N106" i="154"/>
  <c r="M106" i="154"/>
  <c r="L106" i="154"/>
  <c r="I106" i="154"/>
  <c r="E106" i="154"/>
  <c r="AB105" i="154"/>
  <c r="Z105" i="154"/>
  <c r="X105" i="154"/>
  <c r="V105" i="154"/>
  <c r="T105" i="154"/>
  <c r="S105" i="154"/>
  <c r="R105" i="154"/>
  <c r="Q105" i="154"/>
  <c r="P105" i="154"/>
  <c r="O105" i="154"/>
  <c r="N105" i="154"/>
  <c r="M105" i="154"/>
  <c r="L105" i="154"/>
  <c r="I105" i="154"/>
  <c r="E105" i="154"/>
  <c r="AB104" i="154"/>
  <c r="Z104" i="154"/>
  <c r="X104" i="154"/>
  <c r="V104" i="154"/>
  <c r="U104" i="154"/>
  <c r="T104" i="154"/>
  <c r="S104" i="154"/>
  <c r="R104" i="154"/>
  <c r="Q104" i="154"/>
  <c r="P104" i="154"/>
  <c r="O104" i="154"/>
  <c r="N104" i="154"/>
  <c r="M104" i="154"/>
  <c r="L104" i="154"/>
  <c r="I104" i="154"/>
  <c r="E104" i="154"/>
  <c r="AB103" i="154"/>
  <c r="Z103" i="154"/>
  <c r="X103" i="154"/>
  <c r="V103" i="154"/>
  <c r="U103" i="154"/>
  <c r="T103" i="154"/>
  <c r="S103" i="154"/>
  <c r="R103" i="154"/>
  <c r="Q103" i="154"/>
  <c r="P103" i="154"/>
  <c r="O103" i="154"/>
  <c r="N103" i="154"/>
  <c r="M103" i="154"/>
  <c r="L103" i="154"/>
  <c r="I103" i="154"/>
  <c r="E103" i="154"/>
  <c r="AB102" i="154"/>
  <c r="Z102" i="154"/>
  <c r="X102" i="154"/>
  <c r="V102" i="154"/>
  <c r="U102" i="154"/>
  <c r="T102" i="154"/>
  <c r="S102" i="154"/>
  <c r="R102" i="154"/>
  <c r="Q102" i="154"/>
  <c r="P102" i="154"/>
  <c r="O102" i="154"/>
  <c r="N102" i="154"/>
  <c r="M102" i="154"/>
  <c r="L102" i="154"/>
  <c r="I102" i="154"/>
  <c r="F102" i="154"/>
  <c r="E102" i="154"/>
  <c r="AB101" i="154"/>
  <c r="Z101" i="154"/>
  <c r="X101" i="154"/>
  <c r="V101" i="154"/>
  <c r="U101" i="154"/>
  <c r="T101" i="154"/>
  <c r="S101" i="154"/>
  <c r="R101" i="154"/>
  <c r="Q101" i="154"/>
  <c r="P101" i="154"/>
  <c r="O101" i="154"/>
  <c r="N101" i="154"/>
  <c r="M101" i="154"/>
  <c r="L101" i="154"/>
  <c r="I101" i="154"/>
  <c r="F101" i="154"/>
  <c r="E101" i="154"/>
  <c r="AB100" i="154"/>
  <c r="Z100" i="154"/>
  <c r="X100" i="154"/>
  <c r="V100" i="154"/>
  <c r="U100" i="154"/>
  <c r="T100" i="154"/>
  <c r="S100" i="154"/>
  <c r="R100" i="154"/>
  <c r="Q100" i="154"/>
  <c r="P100" i="154"/>
  <c r="O100" i="154"/>
  <c r="N100" i="154"/>
  <c r="M100" i="154"/>
  <c r="L100" i="154"/>
  <c r="I100" i="154"/>
  <c r="E100" i="154"/>
  <c r="AB96" i="154"/>
  <c r="Z96" i="154"/>
  <c r="X96" i="154"/>
  <c r="V96" i="154"/>
  <c r="T96" i="154"/>
  <c r="S96" i="154"/>
  <c r="R96" i="154"/>
  <c r="Q96" i="154"/>
  <c r="P96" i="154"/>
  <c r="O96" i="154"/>
  <c r="N96" i="154"/>
  <c r="M96" i="154"/>
  <c r="L96" i="154"/>
  <c r="I96" i="154"/>
  <c r="E96" i="154"/>
  <c r="AB95" i="154"/>
  <c r="Z95" i="154"/>
  <c r="X95" i="154"/>
  <c r="V95" i="154"/>
  <c r="U95" i="154"/>
  <c r="T95" i="154"/>
  <c r="S95" i="154"/>
  <c r="R95" i="154"/>
  <c r="Q95" i="154"/>
  <c r="P95" i="154"/>
  <c r="O95" i="154"/>
  <c r="N95" i="154"/>
  <c r="M95" i="154"/>
  <c r="L95" i="154"/>
  <c r="I95" i="154"/>
  <c r="E95" i="154"/>
  <c r="AB94" i="154"/>
  <c r="Z94" i="154"/>
  <c r="X94" i="154"/>
  <c r="V94" i="154"/>
  <c r="U94" i="154"/>
  <c r="T94" i="154"/>
  <c r="S94" i="154"/>
  <c r="R94" i="154"/>
  <c r="Q94" i="154"/>
  <c r="P94" i="154"/>
  <c r="O94" i="154"/>
  <c r="N94" i="154"/>
  <c r="M94" i="154"/>
  <c r="L94" i="154"/>
  <c r="I94" i="154"/>
  <c r="E94" i="154"/>
  <c r="AB93" i="154"/>
  <c r="Z93" i="154"/>
  <c r="X93" i="154"/>
  <c r="V93" i="154"/>
  <c r="U93" i="154"/>
  <c r="T93" i="154"/>
  <c r="S93" i="154"/>
  <c r="R93" i="154"/>
  <c r="Q93" i="154"/>
  <c r="P93" i="154"/>
  <c r="O93" i="154"/>
  <c r="N93" i="154"/>
  <c r="M93" i="154"/>
  <c r="L93" i="154"/>
  <c r="I93" i="154"/>
  <c r="G93" i="154"/>
  <c r="F93" i="154"/>
  <c r="E93" i="154"/>
  <c r="AB89" i="154"/>
  <c r="Z89" i="154"/>
  <c r="X89" i="154"/>
  <c r="V89" i="154"/>
  <c r="T89" i="154"/>
  <c r="S89" i="154"/>
  <c r="R89" i="154"/>
  <c r="Q89" i="154"/>
  <c r="P89" i="154"/>
  <c r="O89" i="154"/>
  <c r="N89" i="154"/>
  <c r="M89" i="154"/>
  <c r="L89" i="154"/>
  <c r="I89" i="154"/>
  <c r="E89" i="154"/>
  <c r="AB88" i="154"/>
  <c r="Z88" i="154"/>
  <c r="X88" i="154"/>
  <c r="V88" i="154"/>
  <c r="U88" i="154"/>
  <c r="T88" i="154"/>
  <c r="S88" i="154"/>
  <c r="R88" i="154"/>
  <c r="Q88" i="154"/>
  <c r="P88" i="154"/>
  <c r="O88" i="154"/>
  <c r="N88" i="154"/>
  <c r="M88" i="154"/>
  <c r="L88" i="154"/>
  <c r="I88" i="154"/>
  <c r="E88" i="154"/>
  <c r="AB87" i="154"/>
  <c r="Z87" i="154"/>
  <c r="X87" i="154"/>
  <c r="V87" i="154"/>
  <c r="U87" i="154"/>
  <c r="T87" i="154"/>
  <c r="S87" i="154"/>
  <c r="R87" i="154"/>
  <c r="Q87" i="154"/>
  <c r="P87" i="154"/>
  <c r="O87" i="154"/>
  <c r="N87" i="154"/>
  <c r="M87" i="154"/>
  <c r="L87" i="154"/>
  <c r="I87" i="154"/>
  <c r="F87" i="154"/>
  <c r="E87" i="154"/>
  <c r="AB86" i="154"/>
  <c r="Z86" i="154"/>
  <c r="X86" i="154"/>
  <c r="V86" i="154"/>
  <c r="U86" i="154"/>
  <c r="T86" i="154"/>
  <c r="S86" i="154"/>
  <c r="R86" i="154"/>
  <c r="Q86" i="154"/>
  <c r="P86" i="154"/>
  <c r="O86" i="154"/>
  <c r="N86" i="154"/>
  <c r="M86" i="154"/>
  <c r="L86" i="154"/>
  <c r="I86" i="154"/>
  <c r="G86" i="154"/>
  <c r="E86" i="154"/>
  <c r="AB85" i="154"/>
  <c r="Z85" i="154"/>
  <c r="X85" i="154"/>
  <c r="V85" i="154"/>
  <c r="U85" i="154"/>
  <c r="T85" i="154"/>
  <c r="S85" i="154"/>
  <c r="R85" i="154"/>
  <c r="Q85" i="154"/>
  <c r="P85" i="154"/>
  <c r="O85" i="154"/>
  <c r="N85" i="154"/>
  <c r="M85" i="154"/>
  <c r="L85" i="154"/>
  <c r="I85" i="154"/>
  <c r="E85" i="154"/>
  <c r="AB84" i="154"/>
  <c r="Z84" i="154"/>
  <c r="X84" i="154"/>
  <c r="V84" i="154"/>
  <c r="U84" i="154"/>
  <c r="T84" i="154"/>
  <c r="S84" i="154"/>
  <c r="R84" i="154"/>
  <c r="Q84" i="154"/>
  <c r="P84" i="154"/>
  <c r="O84" i="154"/>
  <c r="N84" i="154"/>
  <c r="M84" i="154"/>
  <c r="L84" i="154"/>
  <c r="I84" i="154"/>
  <c r="E84" i="154"/>
  <c r="AB83" i="154"/>
  <c r="Z83" i="154"/>
  <c r="X83" i="154"/>
  <c r="V83" i="154"/>
  <c r="U83" i="154"/>
  <c r="T83" i="154"/>
  <c r="S83" i="154"/>
  <c r="R83" i="154"/>
  <c r="Q83" i="154"/>
  <c r="P83" i="154"/>
  <c r="O83" i="154"/>
  <c r="N83" i="154"/>
  <c r="M83" i="154"/>
  <c r="L83" i="154"/>
  <c r="I83" i="154"/>
  <c r="E83" i="154"/>
  <c r="AB82" i="154"/>
  <c r="Z82" i="154"/>
  <c r="X82" i="154"/>
  <c r="V82" i="154"/>
  <c r="U82" i="154"/>
  <c r="T82" i="154"/>
  <c r="S82" i="154"/>
  <c r="R82" i="154"/>
  <c r="Q82" i="154"/>
  <c r="P82" i="154"/>
  <c r="O82" i="154"/>
  <c r="N82" i="154"/>
  <c r="M82" i="154"/>
  <c r="L82" i="154"/>
  <c r="I82" i="154"/>
  <c r="E82" i="154"/>
  <c r="AB81" i="154"/>
  <c r="Z81" i="154"/>
  <c r="X81" i="154"/>
  <c r="V81" i="154"/>
  <c r="U81" i="154"/>
  <c r="T81" i="154"/>
  <c r="S81" i="154"/>
  <c r="R81" i="154"/>
  <c r="Q81" i="154"/>
  <c r="P81" i="154"/>
  <c r="O81" i="154"/>
  <c r="N81" i="154"/>
  <c r="M81" i="154"/>
  <c r="L81" i="154"/>
  <c r="I81" i="154"/>
  <c r="F81" i="154"/>
  <c r="E81" i="154"/>
  <c r="AB80" i="154"/>
  <c r="Z80" i="154"/>
  <c r="X80" i="154"/>
  <c r="V80" i="154"/>
  <c r="U80" i="154"/>
  <c r="T80" i="154"/>
  <c r="S80" i="154"/>
  <c r="R80" i="154"/>
  <c r="Q80" i="154"/>
  <c r="P80" i="154"/>
  <c r="O80" i="154"/>
  <c r="N80" i="154"/>
  <c r="M80" i="154"/>
  <c r="L80" i="154"/>
  <c r="I80" i="154"/>
  <c r="E80" i="154"/>
  <c r="C80" i="154"/>
  <c r="AB76" i="154"/>
  <c r="Z76" i="154"/>
  <c r="X76" i="154"/>
  <c r="V76" i="154"/>
  <c r="T76" i="154"/>
  <c r="S76" i="154"/>
  <c r="R76" i="154"/>
  <c r="Q76" i="154"/>
  <c r="P76" i="154"/>
  <c r="O76" i="154"/>
  <c r="N76" i="154"/>
  <c r="M76" i="154"/>
  <c r="L76" i="154"/>
  <c r="I76" i="154"/>
  <c r="E76" i="154"/>
  <c r="AB75" i="154"/>
  <c r="Z75" i="154"/>
  <c r="X75" i="154"/>
  <c r="V75" i="154"/>
  <c r="T75" i="154"/>
  <c r="S75" i="154"/>
  <c r="R75" i="154"/>
  <c r="Q75" i="154"/>
  <c r="P75" i="154"/>
  <c r="O75" i="154"/>
  <c r="N75" i="154"/>
  <c r="M75" i="154"/>
  <c r="L75" i="154"/>
  <c r="I75" i="154"/>
  <c r="E75" i="154"/>
  <c r="AB74" i="154"/>
  <c r="Z74" i="154"/>
  <c r="X74" i="154"/>
  <c r="V74" i="154"/>
  <c r="U74" i="154"/>
  <c r="T74" i="154"/>
  <c r="S74" i="154"/>
  <c r="R74" i="154"/>
  <c r="Q74" i="154"/>
  <c r="P74" i="154"/>
  <c r="O74" i="154"/>
  <c r="N74" i="154"/>
  <c r="M74" i="154"/>
  <c r="L74" i="154"/>
  <c r="I74" i="154"/>
  <c r="E74" i="154"/>
  <c r="AB73" i="154"/>
  <c r="Z73" i="154"/>
  <c r="X73" i="154"/>
  <c r="V73" i="154"/>
  <c r="U73" i="154"/>
  <c r="T73" i="154"/>
  <c r="S73" i="154"/>
  <c r="R73" i="154"/>
  <c r="Q73" i="154"/>
  <c r="P73" i="154"/>
  <c r="O73" i="154"/>
  <c r="N73" i="154"/>
  <c r="M73" i="154"/>
  <c r="L73" i="154"/>
  <c r="I73" i="154"/>
  <c r="F73" i="154"/>
  <c r="E73" i="154"/>
  <c r="AB72" i="154"/>
  <c r="Z72" i="154"/>
  <c r="X72" i="154"/>
  <c r="V72" i="154"/>
  <c r="U72" i="154"/>
  <c r="T72" i="154"/>
  <c r="S72" i="154"/>
  <c r="R72" i="154"/>
  <c r="Q72" i="154"/>
  <c r="P72" i="154"/>
  <c r="O72" i="154"/>
  <c r="N72" i="154"/>
  <c r="M72" i="154"/>
  <c r="L72" i="154"/>
  <c r="I72" i="154"/>
  <c r="E72" i="154"/>
  <c r="C72" i="154"/>
  <c r="AB71" i="154"/>
  <c r="Z71" i="154"/>
  <c r="X71" i="154"/>
  <c r="V71" i="154"/>
  <c r="U71" i="154"/>
  <c r="T71" i="154"/>
  <c r="S71" i="154"/>
  <c r="R71" i="154"/>
  <c r="Q71" i="154"/>
  <c r="P71" i="154"/>
  <c r="O71" i="154"/>
  <c r="N71" i="154"/>
  <c r="M71" i="154"/>
  <c r="L71" i="154"/>
  <c r="I71" i="154"/>
  <c r="E71" i="154"/>
  <c r="AB70" i="154"/>
  <c r="Z70" i="154"/>
  <c r="X70" i="154"/>
  <c r="V70" i="154"/>
  <c r="U70" i="154"/>
  <c r="T70" i="154"/>
  <c r="S70" i="154"/>
  <c r="R70" i="154"/>
  <c r="Q70" i="154"/>
  <c r="P70" i="154"/>
  <c r="O70" i="154"/>
  <c r="N70" i="154"/>
  <c r="M70" i="154"/>
  <c r="L70" i="154"/>
  <c r="I70" i="154"/>
  <c r="E70" i="154"/>
  <c r="AB66" i="154"/>
  <c r="Z66" i="154"/>
  <c r="X66" i="154"/>
  <c r="V66" i="154"/>
  <c r="U66" i="154"/>
  <c r="T66" i="154"/>
  <c r="S66" i="154"/>
  <c r="R66" i="154"/>
  <c r="Q66" i="154"/>
  <c r="P66" i="154"/>
  <c r="O66" i="154"/>
  <c r="N66" i="154"/>
  <c r="M66" i="154"/>
  <c r="L66" i="154"/>
  <c r="I66" i="154"/>
  <c r="E66" i="154"/>
  <c r="AB65" i="154"/>
  <c r="Z65" i="154"/>
  <c r="X65" i="154"/>
  <c r="V65" i="154"/>
  <c r="U65" i="154"/>
  <c r="T65" i="154"/>
  <c r="S65" i="154"/>
  <c r="R65" i="154"/>
  <c r="Q65" i="154"/>
  <c r="P65" i="154"/>
  <c r="O65" i="154"/>
  <c r="N65" i="154"/>
  <c r="M65" i="154"/>
  <c r="L65" i="154"/>
  <c r="I65" i="154"/>
  <c r="E65" i="154"/>
  <c r="AB64" i="154"/>
  <c r="Z64" i="154"/>
  <c r="X64" i="154"/>
  <c r="V64" i="154"/>
  <c r="U64" i="154"/>
  <c r="T64" i="154"/>
  <c r="S64" i="154"/>
  <c r="R64" i="154"/>
  <c r="Q64" i="154"/>
  <c r="P64" i="154"/>
  <c r="O64" i="154"/>
  <c r="N64" i="154"/>
  <c r="M64" i="154"/>
  <c r="L64" i="154"/>
  <c r="I64" i="154"/>
  <c r="E64" i="154"/>
  <c r="AB63" i="154"/>
  <c r="Z63" i="154"/>
  <c r="X63" i="154"/>
  <c r="V63" i="154"/>
  <c r="U63" i="154"/>
  <c r="T63" i="154"/>
  <c r="S63" i="154"/>
  <c r="R63" i="154"/>
  <c r="Q63" i="154"/>
  <c r="P63" i="154"/>
  <c r="O63" i="154"/>
  <c r="N63" i="154"/>
  <c r="M63" i="154"/>
  <c r="L63" i="154"/>
  <c r="I63" i="154"/>
  <c r="E63" i="154"/>
  <c r="AB62" i="154"/>
  <c r="Z62" i="154"/>
  <c r="X62" i="154"/>
  <c r="V62" i="154"/>
  <c r="U62" i="154"/>
  <c r="T62" i="154"/>
  <c r="S62" i="154"/>
  <c r="R62" i="154"/>
  <c r="Q62" i="154"/>
  <c r="P62" i="154"/>
  <c r="O62" i="154"/>
  <c r="N62" i="154"/>
  <c r="M62" i="154"/>
  <c r="L62" i="154"/>
  <c r="I62" i="154"/>
  <c r="E62" i="154"/>
  <c r="AB61" i="154"/>
  <c r="Z61" i="154"/>
  <c r="X61" i="154"/>
  <c r="V61" i="154"/>
  <c r="U61" i="154"/>
  <c r="T61" i="154"/>
  <c r="S61" i="154"/>
  <c r="R61" i="154"/>
  <c r="Q61" i="154"/>
  <c r="P61" i="154"/>
  <c r="O61" i="154"/>
  <c r="N61" i="154"/>
  <c r="M61" i="154"/>
  <c r="L61" i="154"/>
  <c r="I61" i="154"/>
  <c r="E61" i="154"/>
  <c r="AB60" i="154"/>
  <c r="Z60" i="154"/>
  <c r="X60" i="154"/>
  <c r="V60" i="154"/>
  <c r="U60" i="154"/>
  <c r="T60" i="154"/>
  <c r="S60" i="154"/>
  <c r="R60" i="154"/>
  <c r="Q60" i="154"/>
  <c r="P60" i="154"/>
  <c r="O60" i="154"/>
  <c r="N60" i="154"/>
  <c r="M60" i="154"/>
  <c r="L60" i="154"/>
  <c r="I60" i="154"/>
  <c r="E60" i="154"/>
  <c r="AB59" i="154"/>
  <c r="Z59" i="154"/>
  <c r="X59" i="154"/>
  <c r="V59" i="154"/>
  <c r="U59" i="154"/>
  <c r="T59" i="154"/>
  <c r="S59" i="154"/>
  <c r="R59" i="154"/>
  <c r="Q59" i="154"/>
  <c r="P59" i="154"/>
  <c r="O59" i="154"/>
  <c r="N59" i="154"/>
  <c r="M59" i="154"/>
  <c r="L59" i="154"/>
  <c r="I59" i="154"/>
  <c r="E59" i="154"/>
  <c r="AB58" i="154"/>
  <c r="Z58" i="154"/>
  <c r="X58" i="154"/>
  <c r="V58" i="154"/>
  <c r="U58" i="154"/>
  <c r="T58" i="154"/>
  <c r="S58" i="154"/>
  <c r="R58" i="154"/>
  <c r="Q58" i="154"/>
  <c r="P58" i="154"/>
  <c r="O58" i="154"/>
  <c r="N58" i="154"/>
  <c r="M58" i="154"/>
  <c r="L58" i="154"/>
  <c r="I58" i="154"/>
  <c r="G58" i="154"/>
  <c r="E58" i="154"/>
  <c r="AB57" i="154"/>
  <c r="Z57" i="154"/>
  <c r="X57" i="154"/>
  <c r="V57" i="154"/>
  <c r="U57" i="154"/>
  <c r="T57" i="154"/>
  <c r="S57" i="154"/>
  <c r="R57" i="154"/>
  <c r="Q57" i="154"/>
  <c r="P57" i="154"/>
  <c r="O57" i="154"/>
  <c r="N57" i="154"/>
  <c r="M57" i="154"/>
  <c r="L57" i="154"/>
  <c r="I57" i="154"/>
  <c r="E57" i="154"/>
  <c r="AB54" i="154"/>
  <c r="Z54" i="154"/>
  <c r="X54" i="154"/>
  <c r="V54" i="154"/>
  <c r="U54" i="154"/>
  <c r="T54" i="154"/>
  <c r="S54" i="154"/>
  <c r="R54" i="154"/>
  <c r="Q54" i="154"/>
  <c r="P54" i="154"/>
  <c r="O54" i="154"/>
  <c r="N54" i="154"/>
  <c r="M54" i="154"/>
  <c r="L54" i="154"/>
  <c r="I54" i="154"/>
  <c r="E54" i="154"/>
  <c r="AB53" i="154"/>
  <c r="Z53" i="154"/>
  <c r="X53" i="154"/>
  <c r="V53" i="154"/>
  <c r="U53" i="154"/>
  <c r="T53" i="154"/>
  <c r="S53" i="154"/>
  <c r="R53" i="154"/>
  <c r="Q53" i="154"/>
  <c r="P53" i="154"/>
  <c r="O53" i="154"/>
  <c r="N53" i="154"/>
  <c r="M53" i="154"/>
  <c r="L53" i="154"/>
  <c r="I53" i="154"/>
  <c r="E53" i="154"/>
  <c r="AB50" i="154"/>
  <c r="Z50" i="154"/>
  <c r="X50" i="154"/>
  <c r="V50" i="154"/>
  <c r="T50" i="154"/>
  <c r="S50" i="154"/>
  <c r="R50" i="154"/>
  <c r="Q50" i="154"/>
  <c r="P50" i="154"/>
  <c r="O50" i="154"/>
  <c r="N50" i="154"/>
  <c r="M50" i="154"/>
  <c r="L50" i="154"/>
  <c r="I50" i="154"/>
  <c r="E50" i="154"/>
  <c r="AB49" i="154"/>
  <c r="Z49" i="154"/>
  <c r="X49" i="154"/>
  <c r="V49" i="154"/>
  <c r="T49" i="154"/>
  <c r="S49" i="154"/>
  <c r="R49" i="154"/>
  <c r="Q49" i="154"/>
  <c r="P49" i="154"/>
  <c r="O49" i="154"/>
  <c r="N49" i="154"/>
  <c r="M49" i="154"/>
  <c r="L49" i="154"/>
  <c r="I49" i="154"/>
  <c r="E49" i="154"/>
  <c r="AB48" i="154"/>
  <c r="Z48" i="154"/>
  <c r="X48" i="154"/>
  <c r="V48" i="154"/>
  <c r="T48" i="154"/>
  <c r="S48" i="154"/>
  <c r="R48" i="154"/>
  <c r="Q48" i="154"/>
  <c r="P48" i="154"/>
  <c r="O48" i="154"/>
  <c r="N48" i="154"/>
  <c r="M48" i="154"/>
  <c r="L48" i="154"/>
  <c r="I48" i="154"/>
  <c r="E48" i="154"/>
  <c r="AB47" i="154"/>
  <c r="Z47" i="154"/>
  <c r="X47" i="154"/>
  <c r="V47" i="154"/>
  <c r="U47" i="154"/>
  <c r="T47" i="154"/>
  <c r="S47" i="154"/>
  <c r="R47" i="154"/>
  <c r="Q47" i="154"/>
  <c r="P47" i="154"/>
  <c r="O47" i="154"/>
  <c r="N47" i="154"/>
  <c r="M47" i="154"/>
  <c r="L47" i="154"/>
  <c r="I47" i="154"/>
  <c r="E47" i="154"/>
  <c r="AB46" i="154"/>
  <c r="Z46" i="154"/>
  <c r="X46" i="154"/>
  <c r="V46" i="154"/>
  <c r="U46" i="154"/>
  <c r="T46" i="154"/>
  <c r="S46" i="154"/>
  <c r="R46" i="154"/>
  <c r="Q46" i="154"/>
  <c r="P46" i="154"/>
  <c r="O46" i="154"/>
  <c r="N46" i="154"/>
  <c r="M46" i="154"/>
  <c r="L46" i="154"/>
  <c r="I46" i="154"/>
  <c r="E46" i="154"/>
  <c r="AB45" i="154"/>
  <c r="Z45" i="154"/>
  <c r="X45" i="154"/>
  <c r="V45" i="154"/>
  <c r="U45" i="154"/>
  <c r="T45" i="154"/>
  <c r="S45" i="154"/>
  <c r="R45" i="154"/>
  <c r="Q45" i="154"/>
  <c r="P45" i="154"/>
  <c r="O45" i="154"/>
  <c r="N45" i="154"/>
  <c r="M45" i="154"/>
  <c r="L45" i="154"/>
  <c r="I45" i="154"/>
  <c r="E45" i="154"/>
  <c r="AB44" i="154"/>
  <c r="Z44" i="154"/>
  <c r="X44" i="154"/>
  <c r="V44" i="154"/>
  <c r="U44" i="154"/>
  <c r="T44" i="154"/>
  <c r="S44" i="154"/>
  <c r="R44" i="154"/>
  <c r="Q44" i="154"/>
  <c r="P44" i="154"/>
  <c r="O44" i="154"/>
  <c r="N44" i="154"/>
  <c r="M44" i="154"/>
  <c r="L44" i="154"/>
  <c r="I44" i="154"/>
  <c r="F44" i="154"/>
  <c r="E44" i="154"/>
  <c r="AB43" i="154"/>
  <c r="Z43" i="154"/>
  <c r="X43" i="154"/>
  <c r="V43" i="154"/>
  <c r="U43" i="154"/>
  <c r="T43" i="154"/>
  <c r="S43" i="154"/>
  <c r="R43" i="154"/>
  <c r="Q43" i="154"/>
  <c r="P43" i="154"/>
  <c r="O43" i="154"/>
  <c r="N43" i="154"/>
  <c r="M43" i="154"/>
  <c r="L43" i="154"/>
  <c r="I43" i="154"/>
  <c r="E43" i="154"/>
  <c r="AB42" i="154"/>
  <c r="Z42" i="154"/>
  <c r="X42" i="154"/>
  <c r="V42" i="154"/>
  <c r="U42" i="154"/>
  <c r="T42" i="154"/>
  <c r="S42" i="154"/>
  <c r="R42" i="154"/>
  <c r="Q42" i="154"/>
  <c r="P42" i="154"/>
  <c r="O42" i="154"/>
  <c r="N42" i="154"/>
  <c r="M42" i="154"/>
  <c r="L42" i="154"/>
  <c r="I42" i="154"/>
  <c r="E42" i="154"/>
  <c r="AB41" i="154"/>
  <c r="Z41" i="154"/>
  <c r="X41" i="154"/>
  <c r="V41" i="154"/>
  <c r="U41" i="154"/>
  <c r="T41" i="154"/>
  <c r="S41" i="154"/>
  <c r="R41" i="154"/>
  <c r="Q41" i="154"/>
  <c r="P41" i="154"/>
  <c r="O41" i="154"/>
  <c r="N41" i="154"/>
  <c r="M41" i="154"/>
  <c r="L41" i="154"/>
  <c r="I41" i="154"/>
  <c r="E41" i="154"/>
  <c r="AB40" i="154"/>
  <c r="Z40" i="154"/>
  <c r="X40" i="154"/>
  <c r="V40" i="154"/>
  <c r="U40" i="154"/>
  <c r="T40" i="154"/>
  <c r="S40" i="154"/>
  <c r="R40" i="154"/>
  <c r="Q40" i="154"/>
  <c r="P40" i="154"/>
  <c r="O40" i="154"/>
  <c r="N40" i="154"/>
  <c r="M40" i="154"/>
  <c r="L40" i="154"/>
  <c r="I40" i="154"/>
  <c r="E40" i="154"/>
  <c r="AB37" i="154"/>
  <c r="Z37" i="154"/>
  <c r="X37" i="154"/>
  <c r="V37" i="154"/>
  <c r="T37" i="154"/>
  <c r="S37" i="154"/>
  <c r="R37" i="154"/>
  <c r="Q37" i="154"/>
  <c r="P37" i="154"/>
  <c r="O37" i="154"/>
  <c r="N37" i="154"/>
  <c r="M37" i="154"/>
  <c r="L37" i="154"/>
  <c r="I37" i="154"/>
  <c r="E37" i="154"/>
  <c r="AB36" i="154"/>
  <c r="Z36" i="154"/>
  <c r="X36" i="154"/>
  <c r="V36" i="154"/>
  <c r="T36" i="154"/>
  <c r="S36" i="154"/>
  <c r="R36" i="154"/>
  <c r="Q36" i="154"/>
  <c r="P36" i="154"/>
  <c r="O36" i="154"/>
  <c r="N36" i="154"/>
  <c r="M36" i="154"/>
  <c r="L36" i="154"/>
  <c r="I36" i="154"/>
  <c r="E36" i="154"/>
  <c r="AB35" i="154"/>
  <c r="Z35" i="154"/>
  <c r="X35" i="154"/>
  <c r="V35" i="154"/>
  <c r="U35" i="154"/>
  <c r="T35" i="154"/>
  <c r="S35" i="154"/>
  <c r="R35" i="154"/>
  <c r="Q35" i="154"/>
  <c r="P35" i="154"/>
  <c r="O35" i="154"/>
  <c r="N35" i="154"/>
  <c r="M35" i="154"/>
  <c r="L35" i="154"/>
  <c r="I35" i="154"/>
  <c r="E35" i="154"/>
  <c r="AB32" i="154"/>
  <c r="Z32" i="154"/>
  <c r="X32" i="154"/>
  <c r="V32" i="154"/>
  <c r="T32" i="154"/>
  <c r="S32" i="154"/>
  <c r="R32" i="154"/>
  <c r="Q32" i="154"/>
  <c r="P32" i="154"/>
  <c r="O32" i="154"/>
  <c r="N32" i="154"/>
  <c r="M32" i="154"/>
  <c r="L32" i="154"/>
  <c r="I32" i="154"/>
  <c r="G32" i="154"/>
  <c r="E32" i="154"/>
  <c r="AB31" i="154"/>
  <c r="Z31" i="154"/>
  <c r="X31" i="154"/>
  <c r="V31" i="154"/>
  <c r="T31" i="154"/>
  <c r="S31" i="154"/>
  <c r="R31" i="154"/>
  <c r="Q31" i="154"/>
  <c r="P31" i="154"/>
  <c r="O31" i="154"/>
  <c r="N31" i="154"/>
  <c r="M31" i="154"/>
  <c r="L31" i="154"/>
  <c r="I31" i="154"/>
  <c r="E31" i="154"/>
  <c r="AB30" i="154"/>
  <c r="Z30" i="154"/>
  <c r="X30" i="154"/>
  <c r="V30" i="154"/>
  <c r="T30" i="154"/>
  <c r="S30" i="154"/>
  <c r="R30" i="154"/>
  <c r="Q30" i="154"/>
  <c r="P30" i="154"/>
  <c r="O30" i="154"/>
  <c r="N30" i="154"/>
  <c r="M30" i="154"/>
  <c r="L30" i="154"/>
  <c r="I30" i="154"/>
  <c r="E30" i="154"/>
  <c r="AB29" i="154"/>
  <c r="Z29" i="154"/>
  <c r="X29" i="154"/>
  <c r="V29" i="154"/>
  <c r="T29" i="154"/>
  <c r="S29" i="154"/>
  <c r="R29" i="154"/>
  <c r="Q29" i="154"/>
  <c r="P29" i="154"/>
  <c r="O29" i="154"/>
  <c r="N29" i="154"/>
  <c r="M29" i="154"/>
  <c r="L29" i="154"/>
  <c r="I29" i="154"/>
  <c r="E29" i="154"/>
  <c r="AB28" i="154"/>
  <c r="Z28" i="154"/>
  <c r="X28" i="154"/>
  <c r="V28" i="154"/>
  <c r="T28" i="154"/>
  <c r="S28" i="154"/>
  <c r="R28" i="154"/>
  <c r="Q28" i="154"/>
  <c r="P28" i="154"/>
  <c r="O28" i="154"/>
  <c r="N28" i="154"/>
  <c r="M28" i="154"/>
  <c r="L28" i="154"/>
  <c r="I28" i="154"/>
  <c r="E28" i="154"/>
  <c r="AB27" i="154"/>
  <c r="Z27" i="154"/>
  <c r="X27" i="154"/>
  <c r="V27" i="154"/>
  <c r="T27" i="154"/>
  <c r="S27" i="154"/>
  <c r="R27" i="154"/>
  <c r="Q27" i="154"/>
  <c r="P27" i="154"/>
  <c r="O27" i="154"/>
  <c r="N27" i="154"/>
  <c r="M27" i="154"/>
  <c r="L27" i="154"/>
  <c r="I27" i="154"/>
  <c r="E27" i="154"/>
  <c r="AB26" i="154"/>
  <c r="Z26" i="154"/>
  <c r="X26" i="154"/>
  <c r="V26" i="154"/>
  <c r="T26" i="154"/>
  <c r="S26" i="154"/>
  <c r="R26" i="154"/>
  <c r="Q26" i="154"/>
  <c r="P26" i="154"/>
  <c r="O26" i="154"/>
  <c r="N26" i="154"/>
  <c r="M26" i="154"/>
  <c r="L26" i="154"/>
  <c r="I26" i="154"/>
  <c r="E26" i="154"/>
  <c r="AB25" i="154"/>
  <c r="Z25" i="154"/>
  <c r="X25" i="154"/>
  <c r="V25" i="154"/>
  <c r="T25" i="154"/>
  <c r="S25" i="154"/>
  <c r="R25" i="154"/>
  <c r="Q25" i="154"/>
  <c r="P25" i="154"/>
  <c r="O25" i="154"/>
  <c r="N25" i="154"/>
  <c r="M25" i="154"/>
  <c r="L25" i="154"/>
  <c r="I25" i="154"/>
  <c r="E25" i="154"/>
  <c r="AB24" i="154"/>
  <c r="Z24" i="154"/>
  <c r="X24" i="154"/>
  <c r="V24" i="154"/>
  <c r="T24" i="154"/>
  <c r="S24" i="154"/>
  <c r="R24" i="154"/>
  <c r="Q24" i="154"/>
  <c r="P24" i="154"/>
  <c r="O24" i="154"/>
  <c r="N24" i="154"/>
  <c r="M24" i="154"/>
  <c r="L24" i="154"/>
  <c r="I24" i="154"/>
  <c r="E24" i="154"/>
  <c r="AB23" i="154"/>
  <c r="Z23" i="154"/>
  <c r="X23" i="154"/>
  <c r="V23" i="154"/>
  <c r="U23" i="154"/>
  <c r="T23" i="154"/>
  <c r="S23" i="154"/>
  <c r="R23" i="154"/>
  <c r="Q23" i="154"/>
  <c r="P23" i="154"/>
  <c r="O23" i="154"/>
  <c r="N23" i="154"/>
  <c r="M23" i="154"/>
  <c r="L23" i="154"/>
  <c r="I23" i="154"/>
  <c r="E23" i="154"/>
  <c r="C23" i="154"/>
  <c r="AB22" i="154"/>
  <c r="Z22" i="154"/>
  <c r="X22" i="154"/>
  <c r="V22" i="154"/>
  <c r="U22" i="154"/>
  <c r="T22" i="154"/>
  <c r="S22" i="154"/>
  <c r="R22" i="154"/>
  <c r="Q22" i="154"/>
  <c r="P22" i="154"/>
  <c r="O22" i="154"/>
  <c r="N22" i="154"/>
  <c r="M22" i="154"/>
  <c r="L22" i="154"/>
  <c r="I22" i="154"/>
  <c r="E22" i="154"/>
  <c r="AB21" i="154"/>
  <c r="Z21" i="154"/>
  <c r="X21" i="154"/>
  <c r="V21" i="154"/>
  <c r="U21" i="154"/>
  <c r="T21" i="154"/>
  <c r="S21" i="154"/>
  <c r="R21" i="154"/>
  <c r="Q21" i="154"/>
  <c r="P21" i="154"/>
  <c r="O21" i="154"/>
  <c r="N21" i="154"/>
  <c r="M21" i="154"/>
  <c r="L21" i="154"/>
  <c r="I21" i="154"/>
  <c r="E21" i="154"/>
  <c r="C21" i="154"/>
  <c r="AB20" i="154"/>
  <c r="Z20" i="154"/>
  <c r="X20" i="154"/>
  <c r="V20" i="154"/>
  <c r="U20" i="154"/>
  <c r="T20" i="154"/>
  <c r="S20" i="154"/>
  <c r="R20" i="154"/>
  <c r="Q20" i="154"/>
  <c r="P20" i="154"/>
  <c r="O20" i="154"/>
  <c r="N20" i="154"/>
  <c r="M20" i="154"/>
  <c r="L20" i="154"/>
  <c r="I20" i="154"/>
  <c r="E20" i="154"/>
  <c r="AB19" i="154"/>
  <c r="Z19" i="154"/>
  <c r="X19" i="154"/>
  <c r="V19" i="154"/>
  <c r="U19" i="154"/>
  <c r="T19" i="154"/>
  <c r="S19" i="154"/>
  <c r="R19" i="154"/>
  <c r="Q19" i="154"/>
  <c r="P19" i="154"/>
  <c r="O19" i="154"/>
  <c r="N19" i="154"/>
  <c r="M19" i="154"/>
  <c r="L19" i="154"/>
  <c r="I19" i="154"/>
  <c r="F19" i="154"/>
  <c r="E19" i="154"/>
  <c r="C19" i="154"/>
  <c r="AB18" i="154"/>
  <c r="Z18" i="154"/>
  <c r="X18" i="154"/>
  <c r="V18" i="154"/>
  <c r="U18" i="154"/>
  <c r="T18" i="154"/>
  <c r="S18" i="154"/>
  <c r="R18" i="154"/>
  <c r="Q18" i="154"/>
  <c r="P18" i="154"/>
  <c r="O18" i="154"/>
  <c r="N18" i="154"/>
  <c r="M18" i="154"/>
  <c r="L18" i="154"/>
  <c r="I18" i="154"/>
  <c r="E18" i="154"/>
  <c r="AB17" i="154"/>
  <c r="Z17" i="154"/>
  <c r="X17" i="154"/>
  <c r="V17" i="154"/>
  <c r="U17" i="154"/>
  <c r="T17" i="154"/>
  <c r="S17" i="154"/>
  <c r="R17" i="154"/>
  <c r="Q17" i="154"/>
  <c r="P17" i="154"/>
  <c r="O17" i="154"/>
  <c r="N17" i="154"/>
  <c r="M17" i="154"/>
  <c r="L17" i="154"/>
  <c r="I17" i="154"/>
  <c r="E17" i="154"/>
  <c r="AB16" i="154"/>
  <c r="Z16" i="154"/>
  <c r="X16" i="154"/>
  <c r="V16" i="154"/>
  <c r="U16" i="154"/>
  <c r="T16" i="154"/>
  <c r="S16" i="154"/>
  <c r="R16" i="154"/>
  <c r="Q16" i="154"/>
  <c r="P16" i="154"/>
  <c r="O16" i="154"/>
  <c r="N16" i="154"/>
  <c r="M16" i="154"/>
  <c r="L16" i="154"/>
  <c r="I16" i="154"/>
  <c r="E16" i="154"/>
  <c r="C16" i="154"/>
  <c r="AB15" i="154"/>
  <c r="Z15" i="154"/>
  <c r="X15" i="154"/>
  <c r="V15" i="154"/>
  <c r="U15" i="154"/>
  <c r="T15" i="154"/>
  <c r="S15" i="154"/>
  <c r="R15" i="154"/>
  <c r="Q15" i="154"/>
  <c r="P15" i="154"/>
  <c r="O15" i="154"/>
  <c r="N15" i="154"/>
  <c r="M15" i="154"/>
  <c r="L15" i="154"/>
  <c r="I15" i="154"/>
  <c r="E15" i="154"/>
  <c r="C15" i="154"/>
  <c r="AB14" i="154"/>
  <c r="Z14" i="154"/>
  <c r="X14" i="154"/>
  <c r="V14" i="154"/>
  <c r="U14" i="154"/>
  <c r="T14" i="154"/>
  <c r="S14" i="154"/>
  <c r="R14" i="154"/>
  <c r="Q14" i="154"/>
  <c r="P14" i="154"/>
  <c r="O14" i="154"/>
  <c r="N14" i="154"/>
  <c r="M14" i="154"/>
  <c r="L14" i="154"/>
  <c r="I14" i="154"/>
  <c r="E14" i="154"/>
  <c r="AB13" i="154"/>
  <c r="Z13" i="154"/>
  <c r="X13" i="154"/>
  <c r="V13" i="154"/>
  <c r="U13" i="154"/>
  <c r="T13" i="154"/>
  <c r="S13" i="154"/>
  <c r="R13" i="154"/>
  <c r="Q13" i="154"/>
  <c r="P13" i="154"/>
  <c r="O13" i="154"/>
  <c r="N13" i="154"/>
  <c r="M13" i="154"/>
  <c r="L13" i="154"/>
  <c r="I13" i="154"/>
  <c r="F13" i="154"/>
  <c r="E13" i="154"/>
  <c r="C13" i="154"/>
  <c r="AB12" i="154"/>
  <c r="Z12" i="154"/>
  <c r="X12" i="154"/>
  <c r="V12" i="154"/>
  <c r="U12" i="154"/>
  <c r="T12" i="154"/>
  <c r="S12" i="154"/>
  <c r="R12" i="154"/>
  <c r="Q12" i="154"/>
  <c r="P12" i="154"/>
  <c r="O12" i="154"/>
  <c r="N12" i="154"/>
  <c r="M12" i="154"/>
  <c r="L12" i="154"/>
  <c r="I12" i="154"/>
  <c r="F12" i="154"/>
  <c r="E12" i="154"/>
  <c r="AB11" i="154"/>
  <c r="Z11" i="154"/>
  <c r="X11" i="154"/>
  <c r="V11" i="154"/>
  <c r="U11" i="154"/>
  <c r="T11" i="154"/>
  <c r="S11" i="154"/>
  <c r="R11" i="154"/>
  <c r="Q11" i="154"/>
  <c r="P11" i="154"/>
  <c r="O11" i="154"/>
  <c r="N11" i="154"/>
  <c r="M11" i="154"/>
  <c r="L11" i="154"/>
  <c r="I11" i="154"/>
  <c r="E11" i="154"/>
  <c r="C11" i="154"/>
  <c r="AB10" i="154"/>
  <c r="Z10" i="154"/>
  <c r="X10" i="154"/>
  <c r="V10" i="154"/>
  <c r="U10" i="154"/>
  <c r="T10" i="154"/>
  <c r="S10" i="154"/>
  <c r="R10" i="154"/>
  <c r="Q10" i="154"/>
  <c r="P10" i="154"/>
  <c r="O10" i="154"/>
  <c r="N10" i="154"/>
  <c r="M10" i="154"/>
  <c r="L10" i="154"/>
  <c r="I10" i="154"/>
  <c r="F10" i="154"/>
  <c r="E10" i="154"/>
  <c r="C10" i="154"/>
  <c r="AB9" i="154"/>
  <c r="Z9" i="154"/>
  <c r="X9" i="154"/>
  <c r="V9" i="154"/>
  <c r="U9" i="154"/>
  <c r="T9" i="154"/>
  <c r="S9" i="154"/>
  <c r="R9" i="154"/>
  <c r="Q9" i="154"/>
  <c r="P9" i="154"/>
  <c r="O9" i="154"/>
  <c r="N9" i="154"/>
  <c r="M9" i="154"/>
  <c r="L9" i="154"/>
  <c r="I9" i="154"/>
  <c r="F9" i="154"/>
  <c r="E9" i="154"/>
  <c r="AB8" i="154"/>
  <c r="Z8" i="154"/>
  <c r="X8" i="154"/>
  <c r="V8" i="154"/>
  <c r="U8" i="154"/>
  <c r="T8" i="154"/>
  <c r="S8" i="154"/>
  <c r="R8" i="154"/>
  <c r="Q8" i="154"/>
  <c r="P8" i="154"/>
  <c r="O8" i="154"/>
  <c r="N8" i="154"/>
  <c r="M8" i="154"/>
  <c r="L8" i="154"/>
  <c r="I8" i="154"/>
  <c r="E8" i="154"/>
  <c r="C8" i="154"/>
  <c r="AB7" i="154"/>
  <c r="Z7" i="154"/>
  <c r="X7" i="154"/>
  <c r="V7" i="154"/>
  <c r="U7" i="154"/>
  <c r="T7" i="154"/>
  <c r="S7" i="154"/>
  <c r="R7" i="154"/>
  <c r="Q7" i="154"/>
  <c r="P7" i="154"/>
  <c r="O7" i="154"/>
  <c r="N7" i="154"/>
  <c r="M7" i="154"/>
  <c r="L7" i="154"/>
  <c r="I7" i="154"/>
  <c r="E7" i="154"/>
  <c r="C7" i="154"/>
  <c r="AB6" i="154"/>
  <c r="Z6" i="154"/>
  <c r="X6" i="154"/>
  <c r="V6" i="154"/>
  <c r="U6" i="154"/>
  <c r="T6" i="154"/>
  <c r="S6" i="154"/>
  <c r="R6" i="154"/>
  <c r="Q6" i="154"/>
  <c r="P6" i="154"/>
  <c r="O6" i="154"/>
  <c r="N6" i="154"/>
  <c r="M6" i="154"/>
  <c r="L6" i="154"/>
  <c r="I6" i="154"/>
  <c r="E6" i="154"/>
  <c r="U17" i="153"/>
  <c r="S17" i="153"/>
  <c r="Q17" i="153"/>
  <c r="P17" i="153"/>
  <c r="O17" i="153"/>
  <c r="M17" i="153"/>
  <c r="L17" i="153"/>
  <c r="K17" i="153"/>
  <c r="J17" i="153"/>
  <c r="I17" i="153"/>
  <c r="H17" i="153"/>
  <c r="G17" i="153"/>
  <c r="U16" i="153"/>
  <c r="S16" i="153"/>
  <c r="Q16" i="153"/>
  <c r="P16" i="153"/>
  <c r="J16" i="153"/>
  <c r="H16" i="153"/>
  <c r="U15" i="153"/>
  <c r="S15" i="153"/>
  <c r="Q15" i="153"/>
  <c r="P15" i="153"/>
  <c r="J15" i="153"/>
  <c r="G15" i="153"/>
  <c r="U14" i="153"/>
  <c r="S14" i="153"/>
  <c r="Q14" i="153"/>
  <c r="P14" i="153"/>
  <c r="M14" i="153"/>
  <c r="L14" i="153"/>
  <c r="J14" i="153"/>
  <c r="I14" i="153"/>
  <c r="G14" i="153"/>
  <c r="U13" i="153"/>
  <c r="S13" i="153"/>
  <c r="Q13" i="153"/>
  <c r="P13" i="153"/>
  <c r="J13" i="153"/>
  <c r="G13" i="153"/>
  <c r="U12" i="153"/>
  <c r="S12" i="153"/>
  <c r="Q12" i="153"/>
  <c r="P12" i="153"/>
  <c r="J12" i="153"/>
  <c r="I12" i="153"/>
  <c r="U11" i="153"/>
  <c r="S11" i="153"/>
  <c r="Q11" i="153"/>
  <c r="P11" i="153"/>
  <c r="J11" i="153"/>
  <c r="G11" i="153"/>
  <c r="U10" i="153"/>
  <c r="S10" i="153"/>
  <c r="Q10" i="153"/>
  <c r="P10" i="153"/>
  <c r="M10" i="153"/>
  <c r="L10" i="153"/>
  <c r="J10" i="153"/>
  <c r="H10" i="153"/>
  <c r="U9" i="153"/>
  <c r="S9" i="153"/>
  <c r="Q9" i="153"/>
  <c r="P9" i="153"/>
  <c r="M9" i="153"/>
  <c r="L9" i="153"/>
  <c r="J9" i="153"/>
  <c r="H9" i="153"/>
  <c r="U8" i="153"/>
  <c r="S8" i="153"/>
  <c r="Q8" i="153"/>
  <c r="P8" i="153"/>
  <c r="J8" i="153"/>
  <c r="I8" i="153"/>
  <c r="H8" i="153"/>
  <c r="U7" i="153"/>
  <c r="S7" i="153"/>
  <c r="Q7" i="153"/>
  <c r="P7" i="153"/>
  <c r="L7" i="153"/>
  <c r="J7" i="153"/>
  <c r="H7" i="153"/>
  <c r="E3" i="153"/>
  <c r="I2" i="159"/>
  <c r="G2" i="159"/>
  <c r="F2" i="159"/>
  <c r="E2" i="159"/>
  <c r="D2" i="159"/>
  <c r="C7" i="162"/>
  <c r="C6" i="162"/>
  <c r="C5" i="162"/>
  <c r="C4" i="162"/>
  <c r="C3" i="162"/>
  <c r="C2" i="162"/>
  <c r="E194" i="161"/>
  <c r="C194" i="161"/>
  <c r="E193" i="161"/>
  <c r="E131" i="161"/>
  <c r="E118" i="161"/>
  <c r="E112" i="161"/>
  <c r="E102" i="161"/>
  <c r="E95" i="161"/>
  <c r="E82" i="161"/>
  <c r="E72" i="161"/>
  <c r="E59" i="161"/>
  <c r="E54" i="161"/>
  <c r="E40" i="161"/>
  <c r="E34" i="161"/>
  <c r="S5" i="166"/>
  <c r="Q5" i="166"/>
  <c r="O5" i="166"/>
  <c r="M5" i="166"/>
  <c r="L5" i="166"/>
  <c r="J5" i="166"/>
  <c r="I5" i="166"/>
  <c r="H5" i="166"/>
  <c r="S9" i="167"/>
  <c r="R9" i="167"/>
  <c r="Q9" i="167"/>
  <c r="P9" i="167"/>
  <c r="O9" i="167"/>
  <c r="N9" i="167"/>
  <c r="M9" i="167"/>
  <c r="L9" i="167"/>
  <c r="K9" i="167"/>
  <c r="J9" i="167"/>
  <c r="I9" i="167"/>
  <c r="H9" i="167"/>
  <c r="G9" i="167"/>
  <c r="F9" i="167"/>
  <c r="E9" i="167"/>
  <c r="S8" i="167"/>
  <c r="Q8" i="167"/>
  <c r="J8" i="167"/>
  <c r="S7" i="167"/>
  <c r="Q7" i="167"/>
  <c r="M7" i="167"/>
  <c r="L7" i="167"/>
  <c r="J7" i="167"/>
  <c r="H7" i="167"/>
  <c r="S6" i="167"/>
  <c r="Q6" i="167"/>
  <c r="O6" i="167"/>
  <c r="M6" i="167"/>
  <c r="L6" i="167"/>
  <c r="J6" i="167"/>
  <c r="S5" i="167"/>
  <c r="Q5" i="167"/>
  <c r="J5" i="167"/>
  <c r="G5" i="167"/>
  <c r="E24" i="169"/>
  <c r="C24" i="169"/>
  <c r="E23" i="169"/>
  <c r="C23" i="169"/>
  <c r="E22" i="169"/>
  <c r="C22" i="169"/>
  <c r="E21" i="169"/>
  <c r="C21" i="169"/>
  <c r="E20" i="169"/>
  <c r="C20" i="169"/>
  <c r="E19" i="169"/>
  <c r="C19" i="169"/>
  <c r="E18" i="169"/>
  <c r="C18" i="169"/>
  <c r="E17" i="169"/>
  <c r="C17" i="169"/>
  <c r="Z14" i="169"/>
  <c r="Z13" i="169"/>
  <c r="X13" i="169"/>
  <c r="V13" i="169"/>
  <c r="T13" i="169"/>
  <c r="S13" i="169"/>
  <c r="R13" i="169"/>
  <c r="Q13" i="169"/>
  <c r="P13" i="169"/>
  <c r="O13" i="169"/>
  <c r="N13" i="169"/>
  <c r="M13" i="169"/>
  <c r="L13" i="169"/>
  <c r="I13" i="169"/>
  <c r="E13" i="169"/>
  <c r="Z12" i="169"/>
  <c r="X12" i="169"/>
  <c r="V12" i="169"/>
  <c r="T12" i="169"/>
  <c r="S12" i="169"/>
  <c r="R12" i="169"/>
  <c r="Q12" i="169"/>
  <c r="P12" i="169"/>
  <c r="O12" i="169"/>
  <c r="N12" i="169"/>
  <c r="M12" i="169"/>
  <c r="L12" i="169"/>
  <c r="I12" i="169"/>
  <c r="E12" i="169"/>
  <c r="Z11" i="169"/>
  <c r="X11" i="169"/>
  <c r="V11" i="169"/>
  <c r="U11" i="169"/>
  <c r="T11" i="169"/>
  <c r="S11" i="169"/>
  <c r="R11" i="169"/>
  <c r="Q11" i="169"/>
  <c r="P11" i="169"/>
  <c r="O11" i="169"/>
  <c r="N11" i="169"/>
  <c r="M11" i="169"/>
  <c r="L11" i="169"/>
  <c r="I11" i="169"/>
  <c r="E11" i="169"/>
  <c r="Z10" i="169"/>
  <c r="X10" i="169"/>
  <c r="V10" i="169"/>
  <c r="T10" i="169"/>
  <c r="S10" i="169"/>
  <c r="R10" i="169"/>
  <c r="Q10" i="169"/>
  <c r="P10" i="169"/>
  <c r="O10" i="169"/>
  <c r="N10" i="169"/>
  <c r="M10" i="169"/>
  <c r="L10" i="169"/>
  <c r="I10" i="169"/>
  <c r="E10" i="169"/>
  <c r="Z9" i="169"/>
  <c r="X9" i="169"/>
  <c r="V9" i="169"/>
  <c r="T9" i="169"/>
  <c r="S9" i="169"/>
  <c r="R9" i="169"/>
  <c r="Q9" i="169"/>
  <c r="P9" i="169"/>
  <c r="O9" i="169"/>
  <c r="N9" i="169"/>
  <c r="M9" i="169"/>
  <c r="L9" i="169"/>
  <c r="I9" i="169"/>
  <c r="E9" i="169"/>
  <c r="Z8" i="169"/>
  <c r="X8" i="169"/>
  <c r="V8" i="169"/>
  <c r="T8" i="169"/>
  <c r="S8" i="169"/>
  <c r="R8" i="169"/>
  <c r="Q8" i="169"/>
  <c r="P8" i="169"/>
  <c r="O8" i="169"/>
  <c r="N8" i="169"/>
  <c r="M8" i="169"/>
  <c r="L8" i="169"/>
  <c r="I8" i="169"/>
  <c r="E8" i="169"/>
  <c r="Z7" i="169"/>
  <c r="X7" i="169"/>
  <c r="V7" i="169"/>
  <c r="U7" i="169"/>
  <c r="T7" i="169"/>
  <c r="S7" i="169"/>
  <c r="R7" i="169"/>
  <c r="Q7" i="169"/>
  <c r="P7" i="169"/>
  <c r="O7" i="169"/>
  <c r="N7" i="169"/>
  <c r="M7" i="169"/>
  <c r="L7" i="169"/>
  <c r="I7" i="169"/>
  <c r="E7" i="169"/>
  <c r="Z6" i="169"/>
  <c r="X6" i="169"/>
  <c r="V6" i="169"/>
  <c r="T6" i="169"/>
  <c r="S6" i="169"/>
  <c r="R6" i="169"/>
  <c r="Q6" i="169"/>
  <c r="P6" i="169"/>
  <c r="O6" i="169"/>
  <c r="N6" i="169"/>
  <c r="M6" i="169"/>
  <c r="L6" i="169"/>
  <c r="I6" i="169"/>
  <c r="E6" i="169"/>
  <c r="N13" i="164"/>
  <c r="M13" i="164"/>
  <c r="L13" i="164"/>
  <c r="K13" i="164"/>
  <c r="J13" i="164"/>
  <c r="I13" i="164"/>
  <c r="H13" i="164"/>
  <c r="G13" i="164"/>
  <c r="F13" i="164"/>
  <c r="E13" i="164"/>
  <c r="N12" i="164"/>
  <c r="M12" i="164"/>
  <c r="L12" i="164"/>
  <c r="H12" i="164"/>
  <c r="F12" i="164"/>
  <c r="E12" i="164"/>
  <c r="N11" i="164"/>
  <c r="M11" i="164"/>
  <c r="L11" i="164"/>
  <c r="H11" i="164"/>
  <c r="F11" i="164"/>
  <c r="E11" i="164"/>
  <c r="N10" i="164"/>
  <c r="M10" i="164"/>
  <c r="L10" i="164"/>
  <c r="H10" i="164"/>
  <c r="F10" i="164"/>
  <c r="N9" i="164"/>
  <c r="M9" i="164"/>
  <c r="L9" i="164"/>
  <c r="H9" i="164"/>
  <c r="F9" i="164"/>
  <c r="E9" i="164"/>
  <c r="N8" i="164"/>
  <c r="M8" i="164"/>
  <c r="L8" i="164"/>
  <c r="H8" i="164"/>
  <c r="F8" i="164"/>
  <c r="N7" i="164"/>
  <c r="M7" i="164"/>
  <c r="L7" i="164"/>
  <c r="H7" i="164"/>
  <c r="F7" i="164"/>
  <c r="E7" i="164"/>
  <c r="N6" i="164"/>
  <c r="M6" i="164"/>
  <c r="L6" i="164"/>
  <c r="H6" i="164"/>
  <c r="F6" i="164"/>
  <c r="E6" i="164"/>
  <c r="N5" i="164"/>
  <c r="M5" i="164"/>
  <c r="L5" i="164"/>
  <c r="I5" i="164"/>
  <c r="H5" i="164"/>
  <c r="E5" i="164"/>
  <c r="F17" i="163"/>
  <c r="E17" i="163"/>
  <c r="D17" i="163"/>
  <c r="F16" i="163"/>
  <c r="D16" i="163"/>
  <c r="F15" i="163"/>
  <c r="E15" i="163"/>
  <c r="D15" i="163"/>
  <c r="F11" i="163"/>
  <c r="E11" i="163"/>
  <c r="D11" i="163"/>
  <c r="F10" i="163"/>
  <c r="E10" i="163"/>
  <c r="D10" i="163"/>
  <c r="F9" i="163"/>
  <c r="E9" i="163"/>
  <c r="D9" i="163"/>
  <c r="F8" i="163"/>
  <c r="E8" i="163"/>
  <c r="D8" i="163"/>
  <c r="F7" i="163"/>
  <c r="E7" i="163"/>
  <c r="D7" i="163"/>
  <c r="F6" i="163"/>
  <c r="E6" i="163"/>
  <c r="D6" i="163"/>
  <c r="F5" i="163"/>
  <c r="E5" i="163"/>
  <c r="D5" i="163"/>
  <c r="F4" i="163"/>
  <c r="D4" i="163"/>
  <c r="F3" i="163"/>
  <c r="D3" i="163"/>
  <c r="L8" i="170"/>
  <c r="L7" i="170"/>
  <c r="K7" i="170"/>
  <c r="J7" i="170"/>
  <c r="I7" i="170"/>
  <c r="H7" i="170"/>
  <c r="L6" i="170"/>
  <c r="H6" i="170"/>
  <c r="G6" i="170"/>
  <c r="F6" i="170"/>
  <c r="L5" i="170"/>
  <c r="H5" i="170"/>
  <c r="G5" i="170"/>
  <c r="F5" i="170"/>
  <c r="Q5" i="171"/>
  <c r="J5" i="171"/>
  <c r="G5" i="171"/>
  <c r="E5" i="171"/>
  <c r="Z37" i="172"/>
  <c r="Y37" i="172"/>
  <c r="X37" i="172"/>
  <c r="Z35" i="172"/>
  <c r="X35" i="172"/>
  <c r="V35" i="172"/>
  <c r="T35" i="172"/>
  <c r="S35" i="172"/>
  <c r="R35" i="172"/>
  <c r="Q35" i="172"/>
  <c r="P35" i="172"/>
  <c r="O35" i="172"/>
  <c r="N35" i="172"/>
  <c r="M35" i="172"/>
  <c r="L35" i="172"/>
  <c r="I35" i="172"/>
  <c r="E35" i="172"/>
  <c r="Z34" i="172"/>
  <c r="X34" i="172"/>
  <c r="V34" i="172"/>
  <c r="T34" i="172"/>
  <c r="S34" i="172"/>
  <c r="R34" i="172"/>
  <c r="Q34" i="172"/>
  <c r="P34" i="172"/>
  <c r="O34" i="172"/>
  <c r="N34" i="172"/>
  <c r="M34" i="172"/>
  <c r="L34" i="172"/>
  <c r="I34" i="172"/>
  <c r="E34" i="172"/>
  <c r="Z33" i="172"/>
  <c r="X33" i="172"/>
  <c r="V33" i="172"/>
  <c r="T33" i="172"/>
  <c r="S33" i="172"/>
  <c r="R33" i="172"/>
  <c r="Q33" i="172"/>
  <c r="P33" i="172"/>
  <c r="O33" i="172"/>
  <c r="N33" i="172"/>
  <c r="M33" i="172"/>
  <c r="L33" i="172"/>
  <c r="I33" i="172"/>
  <c r="E33" i="172"/>
  <c r="Z31" i="172"/>
  <c r="X31" i="172"/>
  <c r="V31" i="172"/>
  <c r="T31" i="172"/>
  <c r="S31" i="172"/>
  <c r="R31" i="172"/>
  <c r="Q31" i="172"/>
  <c r="P31" i="172"/>
  <c r="O31" i="172"/>
  <c r="N31" i="172"/>
  <c r="M31" i="172"/>
  <c r="L31" i="172"/>
  <c r="I31" i="172"/>
  <c r="E31" i="172"/>
  <c r="Z29" i="172"/>
  <c r="X29" i="172"/>
  <c r="V29" i="172"/>
  <c r="T29" i="172"/>
  <c r="S29" i="172"/>
  <c r="R29" i="172"/>
  <c r="Q29" i="172"/>
  <c r="P29" i="172"/>
  <c r="O29" i="172"/>
  <c r="N29" i="172"/>
  <c r="M29" i="172"/>
  <c r="L29" i="172"/>
  <c r="I29" i="172"/>
  <c r="E29" i="172"/>
  <c r="Z28" i="172"/>
  <c r="X28" i="172"/>
  <c r="V28" i="172"/>
  <c r="T28" i="172"/>
  <c r="S28" i="172"/>
  <c r="R28" i="172"/>
  <c r="Q28" i="172"/>
  <c r="P28" i="172"/>
  <c r="O28" i="172"/>
  <c r="N28" i="172"/>
  <c r="M28" i="172"/>
  <c r="L28" i="172"/>
  <c r="I28" i="172"/>
  <c r="E28" i="172"/>
  <c r="Z27" i="172"/>
  <c r="X27" i="172"/>
  <c r="V27" i="172"/>
  <c r="T27" i="172"/>
  <c r="S27" i="172"/>
  <c r="R27" i="172"/>
  <c r="Q27" i="172"/>
  <c r="P27" i="172"/>
  <c r="O27" i="172"/>
  <c r="N27" i="172"/>
  <c r="M27" i="172"/>
  <c r="L27" i="172"/>
  <c r="I27" i="172"/>
  <c r="E27" i="172"/>
  <c r="Z25" i="172"/>
  <c r="X25" i="172"/>
  <c r="V25" i="172"/>
  <c r="T25" i="172"/>
  <c r="S25" i="172"/>
  <c r="R25" i="172"/>
  <c r="Q25" i="172"/>
  <c r="P25" i="172"/>
  <c r="O25" i="172"/>
  <c r="N25" i="172"/>
  <c r="M25" i="172"/>
  <c r="L25" i="172"/>
  <c r="I25" i="172"/>
  <c r="E25" i="172"/>
  <c r="Z23" i="172"/>
  <c r="X23" i="172"/>
  <c r="V23" i="172"/>
  <c r="T23" i="172"/>
  <c r="S23" i="172"/>
  <c r="R23" i="172"/>
  <c r="Q23" i="172"/>
  <c r="P23" i="172"/>
  <c r="O23" i="172"/>
  <c r="N23" i="172"/>
  <c r="M23" i="172"/>
  <c r="L23" i="172"/>
  <c r="I23" i="172"/>
  <c r="E23" i="172"/>
  <c r="Z21" i="172"/>
  <c r="X21" i="172"/>
  <c r="V21" i="172"/>
  <c r="T21" i="172"/>
  <c r="S21" i="172"/>
  <c r="R21" i="172"/>
  <c r="Q21" i="172"/>
  <c r="P21" i="172"/>
  <c r="O21" i="172"/>
  <c r="N21" i="172"/>
  <c r="M21" i="172"/>
  <c r="L21" i="172"/>
  <c r="I21" i="172"/>
  <c r="E21" i="172"/>
  <c r="Z20" i="172"/>
  <c r="X20" i="172"/>
  <c r="V20" i="172"/>
  <c r="U20" i="172"/>
  <c r="T20" i="172"/>
  <c r="S20" i="172"/>
  <c r="R20" i="172"/>
  <c r="Q20" i="172"/>
  <c r="P20" i="172"/>
  <c r="O20" i="172"/>
  <c r="N20" i="172"/>
  <c r="M20" i="172"/>
  <c r="L20" i="172"/>
  <c r="I20" i="172"/>
  <c r="E20" i="172"/>
  <c r="Z18" i="172"/>
  <c r="X18" i="172"/>
  <c r="V18" i="172"/>
  <c r="T18" i="172"/>
  <c r="S18" i="172"/>
  <c r="R18" i="172"/>
  <c r="Q18" i="172"/>
  <c r="P18" i="172"/>
  <c r="O18" i="172"/>
  <c r="N18" i="172"/>
  <c r="M18" i="172"/>
  <c r="L18" i="172"/>
  <c r="I18" i="172"/>
  <c r="E18" i="172"/>
  <c r="Z16" i="172"/>
  <c r="X16" i="172"/>
  <c r="V16" i="172"/>
  <c r="T16" i="172"/>
  <c r="S16" i="172"/>
  <c r="R16" i="172"/>
  <c r="Q16" i="172"/>
  <c r="P16" i="172"/>
  <c r="O16" i="172"/>
  <c r="N16" i="172"/>
  <c r="M16" i="172"/>
  <c r="L16" i="172"/>
  <c r="I16" i="172"/>
  <c r="E16" i="172"/>
  <c r="Z15" i="172"/>
  <c r="X15" i="172"/>
  <c r="V15" i="172"/>
  <c r="T15" i="172"/>
  <c r="S15" i="172"/>
  <c r="R15" i="172"/>
  <c r="Q15" i="172"/>
  <c r="P15" i="172"/>
  <c r="O15" i="172"/>
  <c r="N15" i="172"/>
  <c r="M15" i="172"/>
  <c r="L15" i="172"/>
  <c r="I15" i="172"/>
  <c r="E15" i="172"/>
  <c r="Z13" i="172"/>
  <c r="X13" i="172"/>
  <c r="V13" i="172"/>
  <c r="T13" i="172"/>
  <c r="S13" i="172"/>
  <c r="R13" i="172"/>
  <c r="Q13" i="172"/>
  <c r="P13" i="172"/>
  <c r="O13" i="172"/>
  <c r="N13" i="172"/>
  <c r="M13" i="172"/>
  <c r="L13" i="172"/>
  <c r="I13" i="172"/>
  <c r="E13" i="172"/>
  <c r="Z11" i="172"/>
  <c r="X11" i="172"/>
  <c r="V11" i="172"/>
  <c r="T11" i="172"/>
  <c r="S11" i="172"/>
  <c r="R11" i="172"/>
  <c r="Q11" i="172"/>
  <c r="P11" i="172"/>
  <c r="O11" i="172"/>
  <c r="N11" i="172"/>
  <c r="M11" i="172"/>
  <c r="L11" i="172"/>
  <c r="I11" i="172"/>
  <c r="E11" i="172"/>
  <c r="Z10" i="172"/>
  <c r="X10" i="172"/>
  <c r="V10" i="172"/>
  <c r="T10" i="172"/>
  <c r="S10" i="172"/>
  <c r="R10" i="172"/>
  <c r="Q10" i="172"/>
  <c r="P10" i="172"/>
  <c r="O10" i="172"/>
  <c r="N10" i="172"/>
  <c r="M10" i="172"/>
  <c r="L10" i="172"/>
  <c r="I10" i="172"/>
  <c r="E10" i="172"/>
  <c r="Z9" i="172"/>
  <c r="X9" i="172"/>
  <c r="V9" i="172"/>
  <c r="T9" i="172"/>
  <c r="S9" i="172"/>
  <c r="R9" i="172"/>
  <c r="Q9" i="172"/>
  <c r="P9" i="172"/>
  <c r="O9" i="172"/>
  <c r="N9" i="172"/>
  <c r="M9" i="172"/>
  <c r="L9" i="172"/>
  <c r="I9" i="172"/>
  <c r="E9" i="172"/>
  <c r="Z8" i="172"/>
  <c r="X8" i="172"/>
  <c r="V8" i="172"/>
  <c r="T8" i="172"/>
  <c r="S8" i="172"/>
  <c r="R8" i="172"/>
  <c r="Q8" i="172"/>
  <c r="P8" i="172"/>
  <c r="O8" i="172"/>
  <c r="N8" i="172"/>
  <c r="M8" i="172"/>
  <c r="L8" i="172"/>
  <c r="I8" i="172"/>
  <c r="E8" i="172"/>
  <c r="Z7" i="172"/>
  <c r="X7" i="172"/>
  <c r="V7" i="172"/>
  <c r="T7" i="172"/>
  <c r="S7" i="172"/>
  <c r="R7" i="172"/>
  <c r="Q7" i="172"/>
  <c r="P7" i="172"/>
  <c r="O7" i="172"/>
  <c r="N7" i="172"/>
  <c r="M7" i="172"/>
  <c r="L7" i="172"/>
  <c r="I7" i="172"/>
  <c r="E7" i="172"/>
  <c r="Z6" i="172"/>
  <c r="X6" i="172"/>
  <c r="V6" i="172"/>
  <c r="T6" i="172"/>
  <c r="S6" i="172"/>
  <c r="R6" i="172"/>
  <c r="Q6" i="172"/>
  <c r="P6" i="172"/>
  <c r="O6" i="172"/>
  <c r="N6" i="172"/>
  <c r="M6" i="172"/>
  <c r="L6" i="172"/>
  <c r="I6" i="172"/>
  <c r="E6" i="172"/>
  <c r="M9" i="173"/>
  <c r="K9" i="173"/>
  <c r="J9" i="173"/>
  <c r="I9" i="173"/>
  <c r="H9" i="173"/>
  <c r="G9" i="173"/>
  <c r="F9" i="173"/>
  <c r="E9" i="173"/>
  <c r="J8" i="173"/>
  <c r="H8" i="173"/>
  <c r="E8" i="173"/>
  <c r="J7" i="173"/>
  <c r="H7" i="173"/>
  <c r="E7" i="173"/>
  <c r="G3" i="173"/>
  <c r="E3" i="173"/>
  <c r="G1" i="173"/>
  <c r="F57" i="178"/>
  <c r="E57" i="178"/>
  <c r="C57" i="178"/>
  <c r="F56" i="178"/>
  <c r="E56" i="178"/>
  <c r="F55" i="178"/>
  <c r="F54" i="178"/>
  <c r="F53" i="178"/>
  <c r="F52" i="178"/>
  <c r="F49" i="178"/>
  <c r="F48" i="178"/>
  <c r="F45" i="178"/>
  <c r="F44" i="178"/>
  <c r="F43" i="178"/>
  <c r="F42" i="178"/>
  <c r="F39" i="178"/>
  <c r="F38" i="178"/>
  <c r="F35" i="178"/>
  <c r="F34" i="178"/>
  <c r="F31" i="178"/>
  <c r="F30" i="178"/>
  <c r="F29" i="178"/>
  <c r="F26" i="178"/>
  <c r="F25" i="178"/>
  <c r="F24" i="178"/>
  <c r="F21" i="178"/>
  <c r="F20" i="178"/>
  <c r="F19" i="178"/>
  <c r="F16" i="178"/>
  <c r="F15" i="178"/>
  <c r="F12" i="178"/>
  <c r="F11" i="178"/>
  <c r="F10" i="178"/>
  <c r="F9" i="178"/>
  <c r="F8" i="178"/>
  <c r="F7" i="178"/>
  <c r="E58" i="176"/>
  <c r="C58" i="176"/>
  <c r="E57" i="176"/>
  <c r="E50" i="176"/>
  <c r="E46" i="176"/>
  <c r="E40" i="176"/>
  <c r="E36" i="176"/>
  <c r="E32" i="176"/>
  <c r="E27" i="176"/>
  <c r="E21" i="176"/>
  <c r="E16" i="176"/>
  <c r="E12" i="176"/>
  <c r="C10" i="180"/>
  <c r="C9" i="180"/>
  <c r="C8" i="180"/>
  <c r="C7" i="180"/>
  <c r="C6" i="180"/>
  <c r="C11" i="180" s="1"/>
  <c r="C3" i="180"/>
  <c r="C4" i="180" s="1"/>
  <c r="G69" i="185"/>
  <c r="F69" i="185"/>
  <c r="E69" i="185"/>
  <c r="C69" i="185"/>
  <c r="G68" i="185"/>
  <c r="F68" i="185"/>
  <c r="E68" i="185"/>
  <c r="F67" i="185"/>
  <c r="F66" i="185"/>
  <c r="F65" i="185"/>
  <c r="F64" i="185"/>
  <c r="F63" i="185"/>
  <c r="F62" i="185"/>
  <c r="F61" i="185"/>
  <c r="G60" i="185"/>
  <c r="G59" i="185"/>
  <c r="G56" i="185"/>
  <c r="F56" i="185"/>
  <c r="E56" i="185"/>
  <c r="F55" i="185"/>
  <c r="G54" i="185"/>
  <c r="G51" i="185"/>
  <c r="F51" i="185"/>
  <c r="E51" i="185"/>
  <c r="F50" i="185"/>
  <c r="G47" i="185"/>
  <c r="F47" i="185"/>
  <c r="E47" i="185"/>
  <c r="F46" i="185"/>
  <c r="F45" i="185"/>
  <c r="F44" i="185"/>
  <c r="G43" i="185"/>
  <c r="G40" i="185"/>
  <c r="F40" i="185"/>
  <c r="E40" i="185"/>
  <c r="F39" i="185"/>
  <c r="F38" i="185"/>
  <c r="F37" i="185"/>
  <c r="G36" i="185"/>
  <c r="G33" i="185"/>
  <c r="F33" i="185"/>
  <c r="E33" i="185"/>
  <c r="F32" i="185"/>
  <c r="F31" i="185"/>
  <c r="G28" i="185"/>
  <c r="F28" i="185"/>
  <c r="E28" i="185"/>
  <c r="F27" i="185"/>
  <c r="F26" i="185"/>
  <c r="F25" i="185"/>
  <c r="F24" i="185"/>
  <c r="F23" i="185"/>
  <c r="F22" i="185"/>
  <c r="F21" i="185"/>
  <c r="F20" i="185"/>
  <c r="F19" i="185"/>
  <c r="F18" i="185"/>
  <c r="F17" i="185"/>
  <c r="G14" i="185"/>
  <c r="F14" i="185"/>
  <c r="E14" i="185"/>
  <c r="F13" i="185"/>
  <c r="F12" i="185"/>
  <c r="F11" i="185"/>
  <c r="F10" i="185"/>
  <c r="F9" i="185"/>
  <c r="G8" i="185"/>
  <c r="G7" i="185"/>
  <c r="R64" i="181"/>
  <c r="Q64" i="181"/>
  <c r="P64" i="181"/>
  <c r="O64" i="181"/>
  <c r="N64" i="181"/>
  <c r="M64" i="181"/>
  <c r="L64" i="181"/>
  <c r="K64" i="181"/>
  <c r="J64" i="181"/>
  <c r="I64" i="181"/>
  <c r="H64" i="181"/>
  <c r="G64" i="181"/>
  <c r="F64" i="181"/>
  <c r="E64" i="181"/>
  <c r="C64" i="181"/>
  <c r="R63" i="181"/>
  <c r="Q63" i="181"/>
  <c r="P63" i="181"/>
  <c r="O63" i="181"/>
  <c r="N63" i="181"/>
  <c r="M63" i="181"/>
  <c r="L63" i="181"/>
  <c r="K63" i="181"/>
  <c r="J63" i="181"/>
  <c r="I63" i="181"/>
  <c r="H63" i="181"/>
  <c r="G63" i="181"/>
  <c r="F63" i="181"/>
  <c r="E63" i="181"/>
  <c r="R62" i="181"/>
  <c r="Q62" i="181"/>
  <c r="P62" i="181"/>
  <c r="J62" i="181"/>
  <c r="E62" i="181"/>
  <c r="R61" i="181"/>
  <c r="Q61" i="181"/>
  <c r="P61" i="181"/>
  <c r="J61" i="181"/>
  <c r="E61" i="181"/>
  <c r="R60" i="181"/>
  <c r="Q60" i="181"/>
  <c r="P60" i="181"/>
  <c r="J60" i="181"/>
  <c r="R59" i="181"/>
  <c r="Q59" i="181"/>
  <c r="P59" i="181"/>
  <c r="J59" i="181"/>
  <c r="R58" i="181"/>
  <c r="Q58" i="181"/>
  <c r="P58" i="181"/>
  <c r="J58" i="181"/>
  <c r="R57" i="181"/>
  <c r="Q57" i="181"/>
  <c r="P57" i="181"/>
  <c r="J57" i="181"/>
  <c r="R56" i="181"/>
  <c r="Q56" i="181"/>
  <c r="P56" i="181"/>
  <c r="J56" i="181"/>
  <c r="R53" i="181"/>
  <c r="Q53" i="181"/>
  <c r="P53" i="181"/>
  <c r="O53" i="181"/>
  <c r="N53" i="181"/>
  <c r="M53" i="181"/>
  <c r="L53" i="181"/>
  <c r="K53" i="181"/>
  <c r="J53" i="181"/>
  <c r="I53" i="181"/>
  <c r="H53" i="181"/>
  <c r="G53" i="181"/>
  <c r="F53" i="181"/>
  <c r="E53" i="181"/>
  <c r="R52" i="181"/>
  <c r="Q52" i="181"/>
  <c r="P52" i="181"/>
  <c r="J52" i="181"/>
  <c r="H52" i="181"/>
  <c r="E52" i="181"/>
  <c r="R51" i="181"/>
  <c r="Q51" i="181"/>
  <c r="P51" i="181"/>
  <c r="J51" i="181"/>
  <c r="R48" i="181"/>
  <c r="Q48" i="181"/>
  <c r="P48" i="181"/>
  <c r="O48" i="181"/>
  <c r="N48" i="181"/>
  <c r="M48" i="181"/>
  <c r="L48" i="181"/>
  <c r="K48" i="181"/>
  <c r="J48" i="181"/>
  <c r="I48" i="181"/>
  <c r="H48" i="181"/>
  <c r="G48" i="181"/>
  <c r="F48" i="181"/>
  <c r="E48" i="181"/>
  <c r="R47" i="181"/>
  <c r="Q47" i="181"/>
  <c r="P47" i="181"/>
  <c r="J47" i="181"/>
  <c r="R44" i="181"/>
  <c r="Q44" i="181"/>
  <c r="P44" i="181"/>
  <c r="O44" i="181"/>
  <c r="N44" i="181"/>
  <c r="M44" i="181"/>
  <c r="L44" i="181"/>
  <c r="K44" i="181"/>
  <c r="J44" i="181"/>
  <c r="I44" i="181"/>
  <c r="H44" i="181"/>
  <c r="G44" i="181"/>
  <c r="F44" i="181"/>
  <c r="E44" i="181"/>
  <c r="R43" i="181"/>
  <c r="Q43" i="181"/>
  <c r="P43" i="181"/>
  <c r="J43" i="181"/>
  <c r="G43" i="181"/>
  <c r="E43" i="181"/>
  <c r="R42" i="181"/>
  <c r="Q42" i="181"/>
  <c r="P42" i="181"/>
  <c r="J42" i="181"/>
  <c r="E42" i="181"/>
  <c r="R39" i="181"/>
  <c r="Q39" i="181"/>
  <c r="P39" i="181"/>
  <c r="O39" i="181"/>
  <c r="N39" i="181"/>
  <c r="M39" i="181"/>
  <c r="L39" i="181"/>
  <c r="K39" i="181"/>
  <c r="J39" i="181"/>
  <c r="I39" i="181"/>
  <c r="H39" i="181"/>
  <c r="G39" i="181"/>
  <c r="F39" i="181"/>
  <c r="E39" i="181"/>
  <c r="D39" i="181"/>
  <c r="R38" i="181"/>
  <c r="Q38" i="181"/>
  <c r="P38" i="181"/>
  <c r="J38" i="181"/>
  <c r="G38" i="181"/>
  <c r="R37" i="181"/>
  <c r="Q37" i="181"/>
  <c r="P37" i="181"/>
  <c r="J37" i="181"/>
  <c r="G37" i="181"/>
  <c r="E37" i="181"/>
  <c r="R36" i="181"/>
  <c r="Q36" i="181"/>
  <c r="P36" i="181"/>
  <c r="J36" i="181"/>
  <c r="G36" i="181"/>
  <c r="R35" i="181"/>
  <c r="Q35" i="181"/>
  <c r="P35" i="181"/>
  <c r="J35" i="181"/>
  <c r="G35" i="181"/>
  <c r="R32" i="181"/>
  <c r="Q32" i="181"/>
  <c r="P32" i="181"/>
  <c r="O32" i="181"/>
  <c r="N32" i="181"/>
  <c r="M32" i="181"/>
  <c r="L32" i="181"/>
  <c r="K32" i="181"/>
  <c r="J32" i="181"/>
  <c r="I32" i="181"/>
  <c r="H32" i="181"/>
  <c r="G32" i="181"/>
  <c r="F32" i="181"/>
  <c r="E32" i="181"/>
  <c r="R31" i="181"/>
  <c r="Q31" i="181"/>
  <c r="J31" i="181"/>
  <c r="R30" i="181"/>
  <c r="Q30" i="181"/>
  <c r="P30" i="181"/>
  <c r="J30" i="181"/>
  <c r="R27" i="181"/>
  <c r="Q27" i="181"/>
  <c r="P27" i="181"/>
  <c r="O27" i="181"/>
  <c r="N27" i="181"/>
  <c r="M27" i="181"/>
  <c r="L27" i="181"/>
  <c r="K27" i="181"/>
  <c r="J27" i="181"/>
  <c r="I27" i="181"/>
  <c r="H27" i="181"/>
  <c r="G27" i="181"/>
  <c r="F27" i="181"/>
  <c r="E27" i="181"/>
  <c r="R26" i="181"/>
  <c r="Q26" i="181"/>
  <c r="P26" i="181"/>
  <c r="J26" i="181"/>
  <c r="G26" i="181"/>
  <c r="R25" i="181"/>
  <c r="Q25" i="181"/>
  <c r="P25" i="181"/>
  <c r="J25" i="181"/>
  <c r="G25" i="181"/>
  <c r="E25" i="181"/>
  <c r="R24" i="181"/>
  <c r="Q24" i="181"/>
  <c r="P24" i="181"/>
  <c r="J24" i="181"/>
  <c r="G24" i="181"/>
  <c r="R23" i="181"/>
  <c r="Q23" i="181"/>
  <c r="P23" i="181"/>
  <c r="J23" i="181"/>
  <c r="G23" i="181"/>
  <c r="R22" i="181"/>
  <c r="Q22" i="181"/>
  <c r="P22" i="181"/>
  <c r="J22" i="181"/>
  <c r="G22" i="181"/>
  <c r="R21" i="181"/>
  <c r="Q21" i="181"/>
  <c r="P21" i="181"/>
  <c r="J21" i="181"/>
  <c r="G21" i="181"/>
  <c r="R20" i="181"/>
  <c r="Q20" i="181"/>
  <c r="P20" i="181"/>
  <c r="J20" i="181"/>
  <c r="G20" i="181"/>
  <c r="R19" i="181"/>
  <c r="Q19" i="181"/>
  <c r="P19" i="181"/>
  <c r="J19" i="181"/>
  <c r="G19" i="181"/>
  <c r="E19" i="181"/>
  <c r="R18" i="181"/>
  <c r="Q18" i="181"/>
  <c r="P18" i="181"/>
  <c r="J18" i="181"/>
  <c r="G18" i="181"/>
  <c r="E18" i="181"/>
  <c r="R17" i="181"/>
  <c r="Q17" i="181"/>
  <c r="P17" i="181"/>
  <c r="J17" i="181"/>
  <c r="G17" i="181"/>
  <c r="E17" i="181"/>
  <c r="R14" i="181"/>
  <c r="Q14" i="181"/>
  <c r="P14" i="181"/>
  <c r="O14" i="181"/>
  <c r="N14" i="181"/>
  <c r="M14" i="181"/>
  <c r="L14" i="181"/>
  <c r="K14" i="181"/>
  <c r="J14" i="181"/>
  <c r="I14" i="181"/>
  <c r="H14" i="181"/>
  <c r="G14" i="181"/>
  <c r="F14" i="181"/>
  <c r="E14" i="181"/>
  <c r="R13" i="181"/>
  <c r="Q13" i="181"/>
  <c r="P13" i="181"/>
  <c r="J13" i="181"/>
  <c r="H13" i="181"/>
  <c r="R12" i="181"/>
  <c r="Q12" i="181"/>
  <c r="P12" i="181"/>
  <c r="J12" i="181"/>
  <c r="H12" i="181"/>
  <c r="R11" i="181"/>
  <c r="Q11" i="181"/>
  <c r="P11" i="181"/>
  <c r="J11" i="181"/>
  <c r="H11" i="181"/>
  <c r="R10" i="181"/>
  <c r="Q10" i="181"/>
  <c r="J10" i="181"/>
  <c r="E10" i="181"/>
  <c r="R9" i="181"/>
  <c r="Q9" i="181"/>
  <c r="P9" i="181"/>
  <c r="J9" i="181"/>
  <c r="E9" i="181"/>
  <c r="R8" i="181"/>
  <c r="Q8" i="181"/>
  <c r="P8" i="181"/>
  <c r="J8" i="181"/>
  <c r="E8" i="181"/>
  <c r="R7" i="181"/>
  <c r="Q7" i="181"/>
  <c r="P7" i="181"/>
  <c r="J7" i="181"/>
  <c r="H7" i="181"/>
  <c r="E3" i="181"/>
  <c r="N65" i="179"/>
  <c r="N64" i="179"/>
  <c r="N63" i="179"/>
  <c r="L63" i="179"/>
  <c r="K63" i="179"/>
  <c r="J63" i="179"/>
  <c r="E63" i="179"/>
  <c r="N62" i="179"/>
  <c r="L62" i="179"/>
  <c r="K62" i="179"/>
  <c r="J62" i="179"/>
  <c r="E62" i="179"/>
  <c r="N61" i="179"/>
  <c r="L61" i="179"/>
  <c r="K61" i="179"/>
  <c r="J61" i="179"/>
  <c r="E61" i="179"/>
  <c r="N60" i="179"/>
  <c r="L60" i="179"/>
  <c r="K60" i="179"/>
  <c r="J60" i="179"/>
  <c r="E60" i="179"/>
  <c r="N59" i="179"/>
  <c r="L59" i="179"/>
  <c r="K59" i="179"/>
  <c r="J59" i="179"/>
  <c r="E59" i="179"/>
  <c r="N58" i="179"/>
  <c r="L58" i="179"/>
  <c r="K58" i="179"/>
  <c r="J58" i="179"/>
  <c r="E58" i="179"/>
  <c r="N57" i="179"/>
  <c r="L57" i="179"/>
  <c r="K57" i="179"/>
  <c r="J57" i="179"/>
  <c r="E57" i="179"/>
  <c r="N56" i="179"/>
  <c r="L56" i="179"/>
  <c r="K56" i="179"/>
  <c r="J56" i="179"/>
  <c r="E56" i="179"/>
  <c r="N55" i="179"/>
  <c r="L55" i="179"/>
  <c r="K55" i="179"/>
  <c r="J55" i="179"/>
  <c r="E55" i="179"/>
  <c r="N52" i="179"/>
  <c r="N51" i="179"/>
  <c r="L51" i="179"/>
  <c r="K51" i="179"/>
  <c r="J51" i="179"/>
  <c r="E51" i="179"/>
  <c r="N50" i="179"/>
  <c r="L50" i="179"/>
  <c r="K50" i="179"/>
  <c r="J50" i="179"/>
  <c r="E50" i="179"/>
  <c r="N46" i="179"/>
  <c r="L46" i="179"/>
  <c r="K46" i="179"/>
  <c r="J46" i="179"/>
  <c r="E46" i="179"/>
  <c r="N43" i="179"/>
  <c r="N42" i="179"/>
  <c r="L42" i="179"/>
  <c r="K42" i="179"/>
  <c r="J42" i="179"/>
  <c r="E42" i="179"/>
  <c r="P41" i="179"/>
  <c r="N41" i="179"/>
  <c r="L41" i="179"/>
  <c r="K41" i="179"/>
  <c r="J41" i="179"/>
  <c r="E41" i="179"/>
  <c r="N40" i="179"/>
  <c r="L40" i="179"/>
  <c r="K40" i="179"/>
  <c r="J40" i="179"/>
  <c r="E40" i="179"/>
  <c r="N39" i="179"/>
  <c r="L39" i="179"/>
  <c r="K39" i="179"/>
  <c r="J39" i="179"/>
  <c r="E39" i="179"/>
  <c r="N36" i="179"/>
  <c r="N35" i="179"/>
  <c r="L35" i="179"/>
  <c r="K35" i="179"/>
  <c r="J35" i="179"/>
  <c r="E35" i="179"/>
  <c r="N34" i="179"/>
  <c r="L34" i="179"/>
  <c r="K34" i="179"/>
  <c r="J34" i="179"/>
  <c r="E34" i="179"/>
  <c r="N33" i="179"/>
  <c r="L33" i="179"/>
  <c r="K33" i="179"/>
  <c r="J33" i="179"/>
  <c r="E33" i="179"/>
  <c r="N32" i="179"/>
  <c r="L32" i="179"/>
  <c r="K32" i="179"/>
  <c r="J32" i="179"/>
  <c r="E32" i="179"/>
  <c r="N29" i="179"/>
  <c r="N28" i="179"/>
  <c r="L28" i="179"/>
  <c r="K28" i="179"/>
  <c r="J28" i="179"/>
  <c r="E28" i="179"/>
  <c r="P27" i="179"/>
  <c r="N27" i="179"/>
  <c r="L27" i="179"/>
  <c r="K27" i="179"/>
  <c r="J27" i="179"/>
  <c r="E27" i="179"/>
  <c r="N24" i="179"/>
  <c r="N23" i="179"/>
  <c r="L23" i="179"/>
  <c r="K23" i="179"/>
  <c r="J23" i="179"/>
  <c r="E23" i="179"/>
  <c r="N22" i="179"/>
  <c r="L22" i="179"/>
  <c r="K22" i="179"/>
  <c r="J22" i="179"/>
  <c r="E22" i="179"/>
  <c r="N21" i="179"/>
  <c r="L21" i="179"/>
  <c r="K21" i="179"/>
  <c r="J21" i="179"/>
  <c r="E21" i="179"/>
  <c r="N20" i="179"/>
  <c r="L20" i="179"/>
  <c r="K20" i="179"/>
  <c r="J20" i="179"/>
  <c r="E20" i="179"/>
  <c r="P19" i="179"/>
  <c r="N19" i="179"/>
  <c r="L19" i="179"/>
  <c r="K19" i="179"/>
  <c r="J19" i="179"/>
  <c r="E19" i="179"/>
  <c r="N18" i="179"/>
  <c r="L18" i="179"/>
  <c r="K18" i="179"/>
  <c r="J18" i="179"/>
  <c r="E18" i="179"/>
  <c r="N17" i="179"/>
  <c r="L17" i="179"/>
  <c r="K17" i="179"/>
  <c r="J17" i="179"/>
  <c r="E17" i="179"/>
  <c r="P16" i="179"/>
  <c r="N16" i="179"/>
  <c r="L16" i="179"/>
  <c r="K16" i="179"/>
  <c r="J16" i="179"/>
  <c r="E16" i="179"/>
  <c r="N15" i="179"/>
  <c r="L15" i="179"/>
  <c r="K15" i="179"/>
  <c r="J15" i="179"/>
  <c r="E15" i="179"/>
  <c r="N14" i="179"/>
  <c r="L14" i="179"/>
  <c r="K14" i="179"/>
  <c r="J14" i="179"/>
  <c r="E14" i="179"/>
  <c r="N13" i="179"/>
  <c r="L13" i="179"/>
  <c r="K13" i="179"/>
  <c r="J13" i="179"/>
  <c r="E13" i="179"/>
  <c r="N10" i="179"/>
  <c r="N9" i="179"/>
  <c r="L9" i="179"/>
  <c r="K9" i="179"/>
  <c r="J9" i="179"/>
  <c r="E9" i="179"/>
  <c r="N8" i="179"/>
  <c r="L8" i="179"/>
  <c r="K8" i="179"/>
  <c r="J8" i="179"/>
  <c r="E8" i="179"/>
  <c r="N7" i="179"/>
  <c r="L7" i="179"/>
  <c r="K7" i="179"/>
  <c r="J7" i="179"/>
  <c r="E7" i="179"/>
  <c r="N6" i="179"/>
  <c r="L6" i="179"/>
  <c r="K6" i="179"/>
  <c r="J6" i="179"/>
  <c r="E6" i="179"/>
  <c r="N5" i="179"/>
  <c r="L5" i="179"/>
  <c r="K5" i="179"/>
  <c r="J5" i="179"/>
  <c r="E5" i="179"/>
  <c r="N4" i="179"/>
  <c r="L4" i="179"/>
  <c r="K4" i="179"/>
  <c r="J4" i="179"/>
  <c r="E4" i="179"/>
  <c r="N3" i="179"/>
  <c r="L3" i="179"/>
  <c r="K3" i="179"/>
  <c r="J3" i="179"/>
  <c r="E3" i="179"/>
  <c r="C166" i="68"/>
  <c r="F56" i="68"/>
  <c r="D56" i="68"/>
  <c r="F55" i="68"/>
  <c r="E55" i="68"/>
  <c r="F54" i="68"/>
  <c r="E54" i="68"/>
  <c r="F53" i="68"/>
  <c r="F52" i="68"/>
  <c r="E52" i="68"/>
  <c r="F51" i="68"/>
  <c r="E51" i="68"/>
  <c r="F50" i="68"/>
  <c r="E50" i="68"/>
  <c r="F49" i="68"/>
  <c r="E49" i="68"/>
  <c r="F48" i="68"/>
  <c r="E48" i="68"/>
  <c r="F47" i="68"/>
  <c r="E47" i="68"/>
  <c r="F42" i="68"/>
  <c r="F41" i="68"/>
  <c r="F34" i="68"/>
  <c r="F31" i="68"/>
  <c r="F30" i="68"/>
  <c r="F29" i="68"/>
  <c r="F28" i="68"/>
  <c r="E27" i="68"/>
  <c r="E26" i="68"/>
  <c r="E25" i="68"/>
  <c r="E24" i="68"/>
  <c r="E23" i="68"/>
  <c r="F20" i="68"/>
  <c r="T77" i="183"/>
  <c r="S77" i="183"/>
  <c r="R77" i="183"/>
  <c r="Q77" i="183"/>
  <c r="P77" i="183"/>
  <c r="O77" i="183"/>
  <c r="N77" i="183"/>
  <c r="M77" i="183"/>
  <c r="L77" i="183"/>
  <c r="K77" i="183"/>
  <c r="J77" i="183"/>
  <c r="I77" i="183"/>
  <c r="H77" i="183"/>
  <c r="G77" i="183"/>
  <c r="F77" i="183"/>
  <c r="E77" i="183"/>
  <c r="C77" i="183"/>
  <c r="T76" i="183"/>
  <c r="R76" i="183"/>
  <c r="Q76" i="183"/>
  <c r="P76" i="183"/>
  <c r="O76" i="183"/>
  <c r="N76" i="183"/>
  <c r="M76" i="183"/>
  <c r="L76" i="183"/>
  <c r="K76" i="183"/>
  <c r="J76" i="183"/>
  <c r="I76" i="183"/>
  <c r="H76" i="183"/>
  <c r="G76" i="183"/>
  <c r="F76" i="183"/>
  <c r="E76" i="183"/>
  <c r="T75" i="183"/>
  <c r="R75" i="183"/>
  <c r="Q75" i="183"/>
  <c r="J75" i="183"/>
  <c r="E75" i="183"/>
  <c r="T74" i="183"/>
  <c r="R74" i="183"/>
  <c r="Q74" i="183"/>
  <c r="J74" i="183"/>
  <c r="E74" i="183"/>
  <c r="T73" i="183"/>
  <c r="R73" i="183"/>
  <c r="Q73" i="183"/>
  <c r="J73" i="183"/>
  <c r="T72" i="183"/>
  <c r="R72" i="183"/>
  <c r="Q72" i="183"/>
  <c r="J72" i="183"/>
  <c r="T71" i="183"/>
  <c r="R71" i="183"/>
  <c r="Q71" i="183"/>
  <c r="J71" i="183"/>
  <c r="H71" i="183"/>
  <c r="E71" i="183"/>
  <c r="T70" i="183"/>
  <c r="R70" i="183"/>
  <c r="Q70" i="183"/>
  <c r="J70" i="183"/>
  <c r="T69" i="183"/>
  <c r="R69" i="183"/>
  <c r="Q69" i="183"/>
  <c r="J69" i="183"/>
  <c r="T68" i="183"/>
  <c r="R68" i="183"/>
  <c r="Q68" i="183"/>
  <c r="J68" i="183"/>
  <c r="T67" i="183"/>
  <c r="R67" i="183"/>
  <c r="Q67" i="183"/>
  <c r="P67" i="183"/>
  <c r="J67" i="183"/>
  <c r="H67" i="183"/>
  <c r="E67" i="183"/>
  <c r="T64" i="183"/>
  <c r="R64" i="183"/>
  <c r="Q64" i="183"/>
  <c r="P64" i="183"/>
  <c r="O64" i="183"/>
  <c r="N64" i="183"/>
  <c r="M64" i="183"/>
  <c r="L64" i="183"/>
  <c r="K64" i="183"/>
  <c r="J64" i="183"/>
  <c r="I64" i="183"/>
  <c r="H64" i="183"/>
  <c r="G64" i="183"/>
  <c r="F64" i="183"/>
  <c r="E64" i="183"/>
  <c r="T63" i="183"/>
  <c r="R63" i="183"/>
  <c r="Q63" i="183"/>
  <c r="J63" i="183"/>
  <c r="T62" i="183"/>
  <c r="R62" i="183"/>
  <c r="Q62" i="183"/>
  <c r="J62" i="183"/>
  <c r="T59" i="183"/>
  <c r="S59" i="183"/>
  <c r="R59" i="183"/>
  <c r="Q59" i="183"/>
  <c r="P59" i="183"/>
  <c r="O59" i="183"/>
  <c r="N59" i="183"/>
  <c r="M59" i="183"/>
  <c r="L59" i="183"/>
  <c r="K59" i="183"/>
  <c r="J59" i="183"/>
  <c r="I59" i="183"/>
  <c r="H59" i="183"/>
  <c r="G59" i="183"/>
  <c r="F59" i="183"/>
  <c r="E59" i="183"/>
  <c r="T58" i="183"/>
  <c r="R58" i="183"/>
  <c r="Q58" i="183"/>
  <c r="J58" i="183"/>
  <c r="T57" i="183"/>
  <c r="R57" i="183"/>
  <c r="Q57" i="183"/>
  <c r="J57" i="183"/>
  <c r="T56" i="183"/>
  <c r="R56" i="183"/>
  <c r="J56" i="183"/>
  <c r="T55" i="183"/>
  <c r="R55" i="183"/>
  <c r="J55" i="183"/>
  <c r="T52" i="183"/>
  <c r="R52" i="183"/>
  <c r="Q52" i="183"/>
  <c r="P52" i="183"/>
  <c r="O52" i="183"/>
  <c r="N52" i="183"/>
  <c r="M52" i="183"/>
  <c r="L52" i="183"/>
  <c r="K52" i="183"/>
  <c r="J52" i="183"/>
  <c r="I52" i="183"/>
  <c r="H52" i="183"/>
  <c r="G52" i="183"/>
  <c r="F52" i="183"/>
  <c r="E52" i="183"/>
  <c r="T51" i="183"/>
  <c r="R51" i="183"/>
  <c r="Q51" i="183"/>
  <c r="J51" i="183"/>
  <c r="T48" i="183"/>
  <c r="S48" i="183"/>
  <c r="R48" i="183"/>
  <c r="Q48" i="183"/>
  <c r="P48" i="183"/>
  <c r="O48" i="183"/>
  <c r="N48" i="183"/>
  <c r="M48" i="183"/>
  <c r="L48" i="183"/>
  <c r="K48" i="183"/>
  <c r="J48" i="183"/>
  <c r="I48" i="183"/>
  <c r="H48" i="183"/>
  <c r="G48" i="183"/>
  <c r="F48" i="183"/>
  <c r="E48" i="183"/>
  <c r="T47" i="183"/>
  <c r="R47" i="183"/>
  <c r="Q47" i="183"/>
  <c r="J47" i="183"/>
  <c r="T46" i="183"/>
  <c r="R46" i="183"/>
  <c r="J46" i="183"/>
  <c r="E46" i="183"/>
  <c r="T45" i="183"/>
  <c r="R45" i="183"/>
  <c r="Q45" i="183"/>
  <c r="J45" i="183"/>
  <c r="G45" i="183"/>
  <c r="E45" i="183"/>
  <c r="T44" i="183"/>
  <c r="R44" i="183"/>
  <c r="J44" i="183"/>
  <c r="G44" i="183"/>
  <c r="E44" i="183"/>
  <c r="T43" i="183"/>
  <c r="R43" i="183"/>
  <c r="J43" i="183"/>
  <c r="T40" i="183"/>
  <c r="R40" i="183"/>
  <c r="Q40" i="183"/>
  <c r="P40" i="183"/>
  <c r="O40" i="183"/>
  <c r="N40" i="183"/>
  <c r="M40" i="183"/>
  <c r="L40" i="183"/>
  <c r="K40" i="183"/>
  <c r="J40" i="183"/>
  <c r="I40" i="183"/>
  <c r="H40" i="183"/>
  <c r="G40" i="183"/>
  <c r="F40" i="183"/>
  <c r="E40" i="183"/>
  <c r="T39" i="183"/>
  <c r="R39" i="183"/>
  <c r="Q39" i="183"/>
  <c r="J39" i="183"/>
  <c r="G39" i="183"/>
  <c r="T38" i="183"/>
  <c r="R38" i="183"/>
  <c r="Q38" i="183"/>
  <c r="J38" i="183"/>
  <c r="G38" i="183"/>
  <c r="T37" i="183"/>
  <c r="R37" i="183"/>
  <c r="J37" i="183"/>
  <c r="G37" i="183"/>
  <c r="T36" i="183"/>
  <c r="R36" i="183"/>
  <c r="Q36" i="183"/>
  <c r="J36" i="183"/>
  <c r="E36" i="183"/>
  <c r="T33" i="183"/>
  <c r="R33" i="183"/>
  <c r="Q33" i="183"/>
  <c r="P33" i="183"/>
  <c r="O33" i="183"/>
  <c r="N33" i="183"/>
  <c r="M33" i="183"/>
  <c r="L33" i="183"/>
  <c r="K33" i="183"/>
  <c r="J33" i="183"/>
  <c r="I33" i="183"/>
  <c r="H33" i="183"/>
  <c r="G33" i="183"/>
  <c r="F33" i="183"/>
  <c r="E33" i="183"/>
  <c r="T32" i="183"/>
  <c r="R32" i="183"/>
  <c r="Q32" i="183"/>
  <c r="J32" i="183"/>
  <c r="T31" i="183"/>
  <c r="R31" i="183"/>
  <c r="J31" i="183"/>
  <c r="T28" i="183"/>
  <c r="R28" i="183"/>
  <c r="Q28" i="183"/>
  <c r="P28" i="183"/>
  <c r="O28" i="183"/>
  <c r="N28" i="183"/>
  <c r="M28" i="183"/>
  <c r="L28" i="183"/>
  <c r="K28" i="183"/>
  <c r="J28" i="183"/>
  <c r="I28" i="183"/>
  <c r="H28" i="183"/>
  <c r="G28" i="183"/>
  <c r="F28" i="183"/>
  <c r="E28" i="183"/>
  <c r="T27" i="183"/>
  <c r="R27" i="183"/>
  <c r="Q27" i="183"/>
  <c r="J27" i="183"/>
  <c r="G27" i="183"/>
  <c r="T26" i="183"/>
  <c r="R26" i="183"/>
  <c r="Q26" i="183"/>
  <c r="J26" i="183"/>
  <c r="G26" i="183"/>
  <c r="E26" i="183"/>
  <c r="T25" i="183"/>
  <c r="R25" i="183"/>
  <c r="Q25" i="183"/>
  <c r="J25" i="183"/>
  <c r="G25" i="183"/>
  <c r="T24" i="183"/>
  <c r="R24" i="183"/>
  <c r="Q24" i="183"/>
  <c r="J24" i="183"/>
  <c r="G24" i="183"/>
  <c r="T23" i="183"/>
  <c r="R23" i="183"/>
  <c r="Q23" i="183"/>
  <c r="J23" i="183"/>
  <c r="G23" i="183"/>
  <c r="T22" i="183"/>
  <c r="R22" i="183"/>
  <c r="Q22" i="183"/>
  <c r="J22" i="183"/>
  <c r="G22" i="183"/>
  <c r="T21" i="183"/>
  <c r="R21" i="183"/>
  <c r="Q21" i="183"/>
  <c r="J21" i="183"/>
  <c r="G21" i="183"/>
  <c r="T20" i="183"/>
  <c r="R20" i="183"/>
  <c r="Q20" i="183"/>
  <c r="J20" i="183"/>
  <c r="G20" i="183"/>
  <c r="T19" i="183"/>
  <c r="R19" i="183"/>
  <c r="Q19" i="183"/>
  <c r="J19" i="183"/>
  <c r="G19" i="183"/>
  <c r="E19" i="183"/>
  <c r="T18" i="183"/>
  <c r="R18" i="183"/>
  <c r="Q18" i="183"/>
  <c r="J18" i="183"/>
  <c r="G18" i="183"/>
  <c r="E18" i="183"/>
  <c r="T17" i="183"/>
  <c r="R17" i="183"/>
  <c r="Q17" i="183"/>
  <c r="J17" i="183"/>
  <c r="G17" i="183"/>
  <c r="E17" i="183"/>
  <c r="T14" i="183"/>
  <c r="R14" i="183"/>
  <c r="Q14" i="183"/>
  <c r="P14" i="183"/>
  <c r="O14" i="183"/>
  <c r="N14" i="183"/>
  <c r="M14" i="183"/>
  <c r="L14" i="183"/>
  <c r="K14" i="183"/>
  <c r="J14" i="183"/>
  <c r="I14" i="183"/>
  <c r="H14" i="183"/>
  <c r="G14" i="183"/>
  <c r="F14" i="183"/>
  <c r="E14" i="183"/>
  <c r="T13" i="183"/>
  <c r="R13" i="183"/>
  <c r="Q13" i="183"/>
  <c r="J13" i="183"/>
  <c r="H13" i="183"/>
  <c r="T12" i="183"/>
  <c r="R12" i="183"/>
  <c r="Q12" i="183"/>
  <c r="J12" i="183"/>
  <c r="H12" i="183"/>
  <c r="T11" i="183"/>
  <c r="R11" i="183"/>
  <c r="Q11" i="183"/>
  <c r="J11" i="183"/>
  <c r="H11" i="183"/>
  <c r="T10" i="183"/>
  <c r="R10" i="183"/>
  <c r="Q10" i="183"/>
  <c r="J10" i="183"/>
  <c r="E10" i="183"/>
  <c r="T9" i="183"/>
  <c r="R9" i="183"/>
  <c r="Q9" i="183"/>
  <c r="J9" i="183"/>
  <c r="E9" i="183"/>
  <c r="T8" i="183"/>
  <c r="R8" i="183"/>
  <c r="Q8" i="183"/>
  <c r="J8" i="183"/>
  <c r="E8" i="183"/>
  <c r="T7" i="183"/>
  <c r="R7" i="183"/>
  <c r="Q7" i="183"/>
  <c r="J7" i="183"/>
  <c r="H7" i="183"/>
  <c r="E3" i="183"/>
  <c r="Q7" i="131"/>
  <c r="Q12" i="131"/>
  <c r="Q27" i="131"/>
  <c r="Q18" i="131"/>
  <c r="Q13" i="131"/>
  <c r="Q11" i="131"/>
</calcChain>
</file>

<file path=xl/sharedStrings.xml><?xml version="1.0" encoding="utf-8"?>
<sst xmlns="http://schemas.openxmlformats.org/spreadsheetml/2006/main" count="13278" uniqueCount="1369">
  <si>
    <t>NATIONAL INSTITUTE FOR LEGISLATIVE AND DEMOCRATIC STUDIES</t>
  </si>
  <si>
    <t>STAFF PAYROLL FOR THE MONTH OF FEBRUARY, 2026 (NEW PERM STAFF)</t>
  </si>
  <si>
    <t>STAFF NAME</t>
  </si>
  <si>
    <t>DESIGNATION</t>
  </si>
  <si>
    <t>GRADE LEVEL</t>
  </si>
  <si>
    <t>BASIC SALARY</t>
  </si>
  <si>
    <t>ALLCE/ AREARS</t>
  </si>
  <si>
    <t>ALLOWANCE</t>
  </si>
  <si>
    <t>DUTY ALLCE</t>
  </si>
  <si>
    <t>GROSS SALARY</t>
  </si>
  <si>
    <t>AUCTION</t>
  </si>
  <si>
    <t>COOP 1 CONTR/SPEC SAVINGS</t>
  </si>
  <si>
    <t>COOP.1 LOAN RECOVERY</t>
  </si>
  <si>
    <t>COOP 2 CONTR/SPEC SAVINGS</t>
  </si>
  <si>
    <t>NHF DED.</t>
  </si>
  <si>
    <t>PAYE</t>
  </si>
  <si>
    <t>EMPLOYEE PENSIONS</t>
  </si>
  <si>
    <t>TOTAL DEDUCTION</t>
  </si>
  <si>
    <t>JANUARY, 2026</t>
  </si>
  <si>
    <t>FEBRUARY, 2026</t>
  </si>
  <si>
    <t>N</t>
  </si>
  <si>
    <t>S/N</t>
  </si>
  <si>
    <t>DG'S OFFICE</t>
  </si>
  <si>
    <t xml:space="preserve"> </t>
  </si>
  <si>
    <t>ATAKPO EMMANUEL OKON</t>
  </si>
  <si>
    <t>ASSISTANT DIRECTOR</t>
  </si>
  <si>
    <t xml:space="preserve">     15(7)</t>
  </si>
  <si>
    <t>BAFFA ALASAN</t>
  </si>
  <si>
    <t>CHIEF LEGAL OFFICCER</t>
  </si>
  <si>
    <t>14(7)</t>
  </si>
  <si>
    <t>OCHUNU LYNDA IHEKANMANANDU</t>
  </si>
  <si>
    <t>PRINCIPAL LEGAL OFFICER</t>
  </si>
  <si>
    <t>12(7)</t>
  </si>
  <si>
    <t>DORCAS MARK ESSET</t>
  </si>
  <si>
    <t>PRINCIPAL RESEARCH OFFICER</t>
  </si>
  <si>
    <t>AYOPEMI AYOBAMI ANUOLUWAPO</t>
  </si>
  <si>
    <t>SENIOR LEGAL OFFICER</t>
  </si>
  <si>
    <t>10(7)</t>
  </si>
  <si>
    <t>PRINCESS BARBARA AGOYE</t>
  </si>
  <si>
    <t>SENIORGI OFFICER</t>
  </si>
  <si>
    <t>SANUSI MOHAMMED MATO</t>
  </si>
  <si>
    <t>SENIOR INF &amp;COMM OFFICER</t>
  </si>
  <si>
    <t>TOTAL</t>
  </si>
  <si>
    <t>LEG. SUPPORT SEVICES</t>
  </si>
  <si>
    <t>IBRAHIM BELLO IBRAHIM</t>
  </si>
  <si>
    <t>PRINC. RESEARCH OFFICER</t>
  </si>
  <si>
    <t>ENI GEMOGONO-EVAL DAVID</t>
  </si>
  <si>
    <t>AKEBONG SAMUEL ESSIEN</t>
  </si>
  <si>
    <t>UDUAKOBONG JOHN OBOT</t>
  </si>
  <si>
    <t xml:space="preserve"> SENIOR RESEARCH OFFICER</t>
  </si>
  <si>
    <t>MATHIAS OMANULU AGBONI</t>
  </si>
  <si>
    <t>OLUFADI MARIAM MOJISOLA</t>
  </si>
  <si>
    <t>SENIOR. RESEARCH OFFICER</t>
  </si>
  <si>
    <t xml:space="preserve">EBUNILO ELVIS EBUKA </t>
  </si>
  <si>
    <t xml:space="preserve"> RESEARCH OFFICER</t>
  </si>
  <si>
    <t>9(7)</t>
  </si>
  <si>
    <t>MUHAMMED BASHIR ABDULLAHI</t>
  </si>
  <si>
    <t>BENEDICTA OGHECHI BNNAMANI</t>
  </si>
  <si>
    <t>GARBA EPHRAIM</t>
  </si>
  <si>
    <t>ABDURRAHMANZUWAIRA IBRAHIM</t>
  </si>
  <si>
    <t>DEMOCRACY  &amp; GOVERNANCE</t>
  </si>
  <si>
    <t>NAPHTALI AMANA</t>
  </si>
  <si>
    <t>SENIOR RESEARCH OFFICER</t>
  </si>
  <si>
    <t>UDOFA SAMUEL IME</t>
  </si>
  <si>
    <t>RESEARCH OFFICER</t>
  </si>
  <si>
    <t>DEPARTMENT OF STUDIES</t>
  </si>
  <si>
    <t>AHMAD IBRAHIM</t>
  </si>
  <si>
    <t xml:space="preserve"> PROGRM OFFICER</t>
  </si>
  <si>
    <t>INUWA ABDULLAHI GAMAU</t>
  </si>
  <si>
    <t>CHIEF PROGRM OFFICER</t>
  </si>
  <si>
    <t>ABDULKAREEM SOFIAT DAMOLA</t>
  </si>
  <si>
    <t>ASSISTANT PROGRM OFFICER</t>
  </si>
  <si>
    <t>8(7)</t>
  </si>
  <si>
    <t>UBOSI CHIZOBA AUGUSTINE</t>
  </si>
  <si>
    <t>ECON. DEV. &amp; SOC. RESEARCH</t>
  </si>
  <si>
    <t>HABIBA AWWALU BABANGIDA</t>
  </si>
  <si>
    <t>SENIOR RESEARCH FELLOW</t>
  </si>
  <si>
    <t xml:space="preserve">FADILA JUMARE </t>
  </si>
  <si>
    <t>REASEARCH FELLOW 1</t>
  </si>
  <si>
    <t>JAMILU SANI</t>
  </si>
  <si>
    <t>REASEARCH FELLOW 2</t>
  </si>
  <si>
    <t>13(7)</t>
  </si>
  <si>
    <t xml:space="preserve">YUSUF ADENIYI JAMIU </t>
  </si>
  <si>
    <t>UDUIJE PAUL IFEANYICHUKWU</t>
  </si>
  <si>
    <t>TRAINING  &amp;  INT''L COOP</t>
  </si>
  <si>
    <t>TOBI BOMBATA</t>
  </si>
  <si>
    <t>ASSIST. TRAINING OFFICER</t>
  </si>
  <si>
    <t>DEMOCRCY RADIO 104.9</t>
  </si>
  <si>
    <t>OLUWAKEMI KINDNESS</t>
  </si>
  <si>
    <t>REPORTER/NEWS EDITOR</t>
  </si>
  <si>
    <t>PATRICIA OSINACHI UFOMBA</t>
  </si>
  <si>
    <t>PRESENTER/MUSIC LIBRARIAN</t>
  </si>
  <si>
    <t>AL-KADRIYAR ABDULLAHI</t>
  </si>
  <si>
    <t>PROGRAMMES RESEARCHER</t>
  </si>
  <si>
    <t>ADENEKAN ADEPEJU SOFIAT</t>
  </si>
  <si>
    <t>PRESENTER</t>
  </si>
  <si>
    <t>4</t>
  </si>
  <si>
    <t>FINANCE &amp; ACCOUNTS</t>
  </si>
  <si>
    <t>AUWAL AHMED SAEED</t>
  </si>
  <si>
    <t>15(7)</t>
  </si>
  <si>
    <t>AHMAD ABDULLAHI AHMAD</t>
  </si>
  <si>
    <t>ASSISTANT ACCOUNT OFFICER</t>
  </si>
  <si>
    <t>2</t>
  </si>
  <si>
    <t>ADMIN &amp; HUMAN RESOURCE</t>
  </si>
  <si>
    <t>IBRAHIM ABUBAKAR WAZIRI</t>
  </si>
  <si>
    <t>DEPUTY DIRECTOR</t>
  </si>
  <si>
    <t>16(7)</t>
  </si>
  <si>
    <t>NSEABASI OKON UDOEYO</t>
  </si>
  <si>
    <t xml:space="preserve"> 15(7)</t>
  </si>
  <si>
    <t>JARIGBE ELIZABETH USHAMA ALI</t>
  </si>
  <si>
    <t>SENIOR ADMIN/HR OFFICER</t>
  </si>
  <si>
    <t>FOLAKEMI OLAMIDE ALUKO</t>
  </si>
  <si>
    <t>ADMINSTRATIVE OFFICER</t>
  </si>
  <si>
    <t>HAUWA NASIR IBRAHIM</t>
  </si>
  <si>
    <t>BABATUNDE OLUWASEYI ADESUA</t>
  </si>
  <si>
    <t>ASSISTANT ADMIN/HR OFFICER</t>
  </si>
  <si>
    <t xml:space="preserve"> 8(7)</t>
  </si>
  <si>
    <t xml:space="preserve">SATI NGUMWAN SAMSON </t>
  </si>
  <si>
    <t>SENIOR MOTOR DRIVER MECH</t>
  </si>
  <si>
    <t>5(7)</t>
  </si>
  <si>
    <t>PATRICK OCHEME CHARLES</t>
  </si>
  <si>
    <t>MOTOR DRIVER MECH</t>
  </si>
  <si>
    <t>4(7)</t>
  </si>
  <si>
    <t>PETER IDOHO PAUL</t>
  </si>
  <si>
    <t>9</t>
  </si>
  <si>
    <t>GRAND TOTAL</t>
  </si>
  <si>
    <t xml:space="preserve">PREPARED BY:  Rahila N. Habu                                        SIGNATURE………………..                                  </t>
  </si>
  <si>
    <t>INTERNAL MEMO</t>
  </si>
  <si>
    <t>FROM : DEPUTY DIRECTOR,  FINANCE AND ACCOUNTS</t>
  </si>
  <si>
    <t>THRU: DIRECTOR, FINANCE AND ACCOUNTS</t>
  </si>
  <si>
    <t>TO: DG</t>
  </si>
  <si>
    <t>29TH JANUARY , 2021</t>
  </si>
  <si>
    <t>SUBJECT: PAYROLL FOR THE MONTH OF JANUARY, 2021</t>
  </si>
  <si>
    <t>Find below the details of  NILDS Staff Payroll for the month of January, 2021</t>
  </si>
  <si>
    <t>TO:</t>
  </si>
  <si>
    <t>DIRECTOR, GENERAL</t>
  </si>
  <si>
    <t>THRU:</t>
  </si>
  <si>
    <t>DIRECTOR, FINANCE AND ACCOUNT</t>
  </si>
  <si>
    <t xml:space="preserve">FROM: </t>
  </si>
  <si>
    <t>DEPUTY DIRECTOR, FINANCE AND ACCOUNTS</t>
  </si>
  <si>
    <t xml:space="preserve">DATE: </t>
  </si>
  <si>
    <t>25TH FEBRUARY, 2026</t>
  </si>
  <si>
    <t>SUBJECT: PAYROLL OF NEW PERMANENT STAFF FOR THE MONTH OF FEBRUARY 2026</t>
  </si>
  <si>
    <t>Find below the details of NILDS Staff Payroll for the Month of  February 2026:</t>
  </si>
  <si>
    <t>NGN</t>
  </si>
  <si>
    <t>GROSS SALARY FOR  FEBRUARY, 2026</t>
  </si>
  <si>
    <t>DEDUCTIONS</t>
  </si>
  <si>
    <t xml:space="preserve">COOP SOCIETY 1 DEDUCTIONS </t>
  </si>
  <si>
    <t xml:space="preserve">COOP SOCIETY 2 DEDUCTIONS </t>
  </si>
  <si>
    <t>NHF DEDUCTIONS</t>
  </si>
  <si>
    <t>PAYE DEDUCTIONS</t>
  </si>
  <si>
    <t>PENSION DEDUCTIONS</t>
  </si>
  <si>
    <t>TOTAL DEDUCTIONS FOR  FEBRUARY 2026</t>
  </si>
  <si>
    <t>NET PAY AS PER  FEBRUARY 2026 PAYROLL</t>
  </si>
  <si>
    <t>NET PAY AS PER JANUARY 2026 PAYROLL</t>
  </si>
  <si>
    <t>NET INCREASE/ (DECREASE)  IN PAY FOR FEBRUARY 2026</t>
  </si>
  <si>
    <t>ANALYSED AS FOLLOWS:</t>
  </si>
  <si>
    <t>Effect of Cooperative 1 Adjustments for February 2026</t>
  </si>
  <si>
    <t>Effect of Cooperative 2 Adjustments for February 2026</t>
  </si>
  <si>
    <t>Effect of annual rent relief on PAYE ifo Ibrahim Abubakar Waziri &amp; 4 others</t>
  </si>
  <si>
    <t>Effect of enrolment of Habiba Awwalu Babangida on resumption</t>
  </si>
  <si>
    <t>Effect of removal of December 2025 salary arrears paid in January</t>
  </si>
  <si>
    <t>Effect of prorated salary of Garba Ephraim &amp; 3 others now grossed up</t>
  </si>
  <si>
    <t>Effect of enrolment of Al-kadriyar Abdullahi &amp; 3 others due to conversion</t>
  </si>
  <si>
    <t>Effect of regularization of assumption date ifo Ibrahim Abubakar Waziri</t>
  </si>
  <si>
    <t>JANUARY, 2025</t>
  </si>
  <si>
    <t>FEBRUARY, 2025</t>
  </si>
  <si>
    <t>No. of Staff</t>
  </si>
  <si>
    <t>Director General's Office</t>
  </si>
  <si>
    <t>Legis. Support Services</t>
  </si>
  <si>
    <t>Democracy and Governance</t>
  </si>
  <si>
    <t>Studies</t>
  </si>
  <si>
    <t>Economic Dev. &amp; Social Research</t>
  </si>
  <si>
    <t>Training &amp; Int'l Cooperation</t>
  </si>
  <si>
    <t>Democracy Radio 104.9</t>
  </si>
  <si>
    <t>Finance and Accounts</t>
  </si>
  <si>
    <t>Admin &amp; Human Resource</t>
  </si>
  <si>
    <r>
      <t>The Director General is requested to consider and approve payment of</t>
    </r>
    <r>
      <rPr>
        <b/>
        <sz val="14"/>
        <rFont val="Times New Roman"/>
        <charset val="134"/>
      </rPr>
      <t xml:space="preserve">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17,349,004.49 </t>
    </r>
    <r>
      <rPr>
        <sz val="14"/>
        <rFont val="Times New Roman"/>
        <charset val="134"/>
      </rPr>
      <t xml:space="preserve">to Guaranty Trust Bank  the February  2026 Net Salary for New Permanent Staff,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>384,000.00</t>
    </r>
    <r>
      <rPr>
        <sz val="14"/>
        <rFont val="Times New Roman"/>
        <charset val="134"/>
      </rPr>
      <t xml:space="preserve"> to Cooperative Society 1,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>115,332.50</t>
    </r>
    <r>
      <rPr>
        <sz val="14"/>
        <rFont val="Times New Roman"/>
        <charset val="134"/>
      </rPr>
      <t xml:space="preserve">  to Cooperative Society 2, and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2,935,966.44 </t>
    </r>
    <r>
      <rPr>
        <sz val="14"/>
        <rFont val="Times New Roman"/>
        <charset val="134"/>
      </rPr>
      <t xml:space="preserve">being PAYE Tax Deductions from New Staff Salary for  February, 2026. </t>
    </r>
  </si>
  <si>
    <t>RAHILA NURUDEEN HABU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</si>
  <si>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</si>
  <si>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</t>
  </si>
  <si>
    <t>S/NO</t>
  </si>
  <si>
    <t>NAME</t>
  </si>
  <si>
    <t>NO OF MONTHS</t>
  </si>
  <si>
    <t>ANNUAL SALARY GROSSED UP</t>
  </si>
  <si>
    <t>ANNUAL RENT RELIEF (20% MAX OF N500,000)</t>
  </si>
  <si>
    <t>NATIONAL HOUSING SCHEME = 2.5% OF BASIC SALARY</t>
  </si>
  <si>
    <t>PENSION CONTRIBUTION = 8% OF CONSOLIDATED</t>
  </si>
  <si>
    <t>NHIS</t>
  </si>
  <si>
    <t>TOTAL RELIEF</t>
  </si>
  <si>
    <t>CHARGEABLE INCOME</t>
  </si>
  <si>
    <t>ANNUAL TAX PAYABLE</t>
  </si>
  <si>
    <t>MONTHLY TAX PAYABLE JANUARY</t>
  </si>
  <si>
    <t>STAFF PAYROLL FOR THE MONTH OF DECEMBER, 2025 (NEW PERM STAFF)</t>
  </si>
  <si>
    <t>ARREARS</t>
  </si>
  <si>
    <t>COOP CONTR/SPEC SAVINGS</t>
  </si>
  <si>
    <t>COOP. LOAN RECOVERY</t>
  </si>
  <si>
    <t>DECEMBER, 2025</t>
  </si>
  <si>
    <t>TRAINING  &amp;  INT'L COOP</t>
  </si>
  <si>
    <t>7</t>
  </si>
  <si>
    <t>NEW PERMANENT STAFF ENHANCED WELFARE SCHEDULE 2026</t>
  </si>
  <si>
    <t>AMOUNT</t>
  </si>
  <si>
    <t>Grade Level       01 - 13</t>
  </si>
  <si>
    <t>Grade Level         14 - 17</t>
  </si>
  <si>
    <t>SUMMARY OF FUNDING</t>
  </si>
  <si>
    <t>PARTICULARS</t>
  </si>
  <si>
    <r>
      <rPr>
        <b/>
        <sz val="16"/>
        <rFont val="Times New Roman"/>
        <charset val="134"/>
      </rPr>
      <t>AMOUNT(</t>
    </r>
    <r>
      <rPr>
        <b/>
        <strike/>
        <sz val="16"/>
        <rFont val="Times New Roman"/>
        <charset val="134"/>
      </rPr>
      <t>N</t>
    </r>
    <r>
      <rPr>
        <b/>
        <sz val="16"/>
        <rFont val="Times New Roman"/>
        <charset val="134"/>
      </rPr>
      <t>)</t>
    </r>
  </si>
  <si>
    <t>Permanent Staff</t>
  </si>
  <si>
    <t>Total on Personnel Account</t>
  </si>
  <si>
    <t>Contract Staff</t>
  </si>
  <si>
    <t>Casual, Sabbatical &amp; NYSC</t>
  </si>
  <si>
    <t>Consultancy Staff</t>
  </si>
  <si>
    <t>New Perm Staff</t>
  </si>
  <si>
    <t>New Contract Staff</t>
  </si>
  <si>
    <t>Total on Overhead  Account</t>
  </si>
  <si>
    <t>NEW STAFF CHRISTMAS WELFARE DECEMBER, 2024</t>
  </si>
  <si>
    <t>HOLINESS PAUL UDO</t>
  </si>
  <si>
    <t>ADMINISTRATION OFFICER, M&amp;E</t>
  </si>
  <si>
    <t>CHARITY UDO AKAN</t>
  </si>
  <si>
    <t>SANI UMAR IBRAHIM</t>
  </si>
  <si>
    <t>STORE OFFICER</t>
  </si>
  <si>
    <t>EDIDIONG EZEKIEL ATAT</t>
  </si>
  <si>
    <t>ASSIST PROCUREMENT OFFICER</t>
  </si>
  <si>
    <t>ALIYU GARBA LERE</t>
  </si>
  <si>
    <t>ASSIST INFORMATION OFFICER</t>
  </si>
  <si>
    <t>INTERNAL AUDIT</t>
  </si>
  <si>
    <t>HASSAN ABDULHADI</t>
  </si>
  <si>
    <t>AUDITOR 11</t>
  </si>
  <si>
    <t>UMAR MUSA PADAH</t>
  </si>
  <si>
    <t>UMOH USENOBONG EMMANUEL</t>
  </si>
  <si>
    <t>MARTINS SOLOMON UDOM</t>
  </si>
  <si>
    <t>RESEARCH FELLOW 11</t>
  </si>
  <si>
    <t>OBOT ETIMBUK EMMANUEL</t>
  </si>
  <si>
    <t>PRINCIPAL INFO. OFFICER</t>
  </si>
  <si>
    <t>ISHAKA DELE</t>
  </si>
  <si>
    <t>DR. IBANGA ISSAC JONAH</t>
  </si>
  <si>
    <t>ASSIST. CHIEF PROGRM OFFICER</t>
  </si>
  <si>
    <t>UDONSI QUEENETH CHIWENDU</t>
  </si>
  <si>
    <t>ASSIST PROGRAMME OFFICER</t>
  </si>
  <si>
    <t>UDOKANG NSISONG BONIFACE</t>
  </si>
  <si>
    <t>DR. SAMUEL AKPAN MBADAH</t>
  </si>
  <si>
    <t>ASSIST. CHIEF TRAINING OFFICER</t>
  </si>
  <si>
    <t>LEG, CTRE FOR SEC. ANALYSIS</t>
  </si>
  <si>
    <t>UDOH ANIETIE JONAH</t>
  </si>
  <si>
    <t>ENYONGAMA SUNDAY THOMAS</t>
  </si>
  <si>
    <t>UDUAK MONDAY ETIAN</t>
  </si>
  <si>
    <t>ASSIST RESEARCH OFFICER</t>
  </si>
  <si>
    <t>DAUDA HAMZA ILIYASU</t>
  </si>
  <si>
    <t>ASST. ACCOUNT. OFFICER</t>
  </si>
  <si>
    <t>1</t>
  </si>
  <si>
    <t>CHINWEOTUTO PRAISE UKPAI</t>
  </si>
  <si>
    <t>ADMINISTRATION OFFICER, GIU</t>
  </si>
  <si>
    <t>AISHA AMINU SAMBO</t>
  </si>
  <si>
    <t>ASSIST ADMIN OFFICER, GIU</t>
  </si>
  <si>
    <t>ABDULHAKEEM GARBA LERE</t>
  </si>
  <si>
    <t>ASSIST ADMIN OFFICER</t>
  </si>
  <si>
    <t>ABDULRAHMAN BABA KHADIJAT</t>
  </si>
  <si>
    <t>3</t>
  </si>
  <si>
    <t>NEW STAFF END OF YEAR BONUS DECEMBER 2024</t>
  </si>
  <si>
    <t>HALF SALARY</t>
  </si>
  <si>
    <t>STAFF PAYROLL FOR THE MONTH OF SEPTEMBER 2024</t>
  </si>
  <si>
    <t>PRORATED BASIC SALARY</t>
  </si>
  <si>
    <t>PRORATED ALLOWANCE</t>
  </si>
  <si>
    <t>CURRENT GROSS SALARY</t>
  </si>
  <si>
    <t>PENSION</t>
  </si>
  <si>
    <t>NET SALARY</t>
  </si>
  <si>
    <t>NATIONAL ASSEMBLY ABUJA</t>
  </si>
  <si>
    <t>TAX COMPUTATION FOR 2022</t>
  </si>
  <si>
    <t>MONTHLY TOTAL SALARY</t>
  </si>
  <si>
    <t>NET SALARY (EXC OF CRA)</t>
  </si>
  <si>
    <t>CRA=#200,000+(20% 0F NET SALARY (EXC OF CRA)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</si>
  <si>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</si>
  <si>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</si>
  <si>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</si>
  <si>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</si>
  <si>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</si>
  <si>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</si>
  <si>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MONTHLY TAX PAYABLE</t>
  </si>
  <si>
    <t>MINIMUM TAX PAYABLE</t>
  </si>
  <si>
    <t>NEW ACTUAL TAX PAYABLE</t>
  </si>
  <si>
    <t>Total</t>
  </si>
  <si>
    <t>SEPTEMBER, 2024</t>
  </si>
  <si>
    <t>OCTOBER, 2024</t>
  </si>
  <si>
    <t xml:space="preserve">PAYE </t>
  </si>
  <si>
    <t>AUGUST, 2024</t>
  </si>
  <si>
    <t>JOSEPH GWATANA</t>
  </si>
  <si>
    <t>SENIOR MOTOR DRIVER MECH.</t>
  </si>
  <si>
    <t>PRORATED FOR 12 DAYS</t>
  </si>
  <si>
    <t>ABDULMUSHIN TAWFIQ LADAN</t>
  </si>
  <si>
    <t>ICT OFFICER</t>
  </si>
  <si>
    <t>95(7)</t>
  </si>
  <si>
    <t>SCHEDULE OF 1ST 28 DAY TO THE NEWLY CONVERTED STAFF</t>
  </si>
  <si>
    <t>AMOUNT (NGN)</t>
  </si>
  <si>
    <t>PAYE (NGN)</t>
  </si>
  <si>
    <t>NET AMOUNT (NGN)</t>
  </si>
  <si>
    <t>Alabi Adesina Muhydeen</t>
  </si>
  <si>
    <t>Ikip Lebo</t>
  </si>
  <si>
    <t>Rasheedat Daibu</t>
  </si>
  <si>
    <t>Yussuf Yussuf Dayyabu</t>
  </si>
  <si>
    <t>09</t>
  </si>
  <si>
    <t>Rahimat Onize Suberu</t>
  </si>
  <si>
    <t>08</t>
  </si>
  <si>
    <t>Ramatu Ibrahim Abdulraheem</t>
  </si>
  <si>
    <t>Katman Emmanuel</t>
  </si>
  <si>
    <t>Usman Muhammed Gidado</t>
  </si>
  <si>
    <t>Abdulmushin Tawfiq Ladan</t>
  </si>
  <si>
    <t>Joseph Gwatana</t>
  </si>
  <si>
    <t>05</t>
  </si>
  <si>
    <t>SALARY</t>
  </si>
  <si>
    <t>RESEARCH/HARDSHIP</t>
  </si>
  <si>
    <t xml:space="preserve">JULY 2024 NET SALARY </t>
  </si>
  <si>
    <t>COOP CONTR/SPEC. SAVINGS</t>
  </si>
  <si>
    <t>COOP LOAN REC.</t>
  </si>
  <si>
    <t>PAYE TAX</t>
  </si>
  <si>
    <t>PENSION DEDUCTION</t>
  </si>
  <si>
    <t>Rahimat Suberu Onize</t>
  </si>
  <si>
    <t>Acct Assistant</t>
  </si>
  <si>
    <t>Asst Chief Proc Officer</t>
  </si>
  <si>
    <t>Yusuf Yusuf Dayyabu</t>
  </si>
  <si>
    <t>Ramatu Ibrahim Abdulrahim</t>
  </si>
  <si>
    <t>Info Asst</t>
  </si>
  <si>
    <t xml:space="preserve">Rasheedat Daibu </t>
  </si>
  <si>
    <t>Senior Info Officer</t>
  </si>
  <si>
    <t>Dr. Alabi Adesina Muhydeen</t>
  </si>
  <si>
    <t>Head, Laiason Office</t>
  </si>
  <si>
    <t>Temporary Full time</t>
  </si>
  <si>
    <t>TOTAL - MONTHLY</t>
  </si>
  <si>
    <t>MONTHLY PENSIONS</t>
  </si>
  <si>
    <t>ANNUAL PENSIONS</t>
  </si>
  <si>
    <t>JUNE, 2024</t>
  </si>
  <si>
    <t>JULY, 2024</t>
  </si>
  <si>
    <t>USMAN WALI</t>
  </si>
  <si>
    <t>15 (8)</t>
  </si>
  <si>
    <t>AYOBOLU OLAJIDE OLUFUNSHO</t>
  </si>
  <si>
    <t>ASST.DIR., INFORMATION</t>
  </si>
  <si>
    <t>15 (9)</t>
  </si>
  <si>
    <t>ARAOYE GANIYAT TITILOLA</t>
  </si>
  <si>
    <t>ASST. DIRECTOR, ACCOUNTS</t>
  </si>
  <si>
    <t>MAGAJI BALA</t>
  </si>
  <si>
    <t>DD ADMIN</t>
  </si>
  <si>
    <t>16(9)</t>
  </si>
  <si>
    <t>REKIYA IBRAHIM ATTAH</t>
  </si>
  <si>
    <t>DEPUTY DIRECTOR TRAINING</t>
  </si>
  <si>
    <t>16 (9)</t>
  </si>
  <si>
    <t>STAFF SALLAH WELFARE JUNE, 2024</t>
  </si>
  <si>
    <t xml:space="preserve">PROF. ABUBAKAR O. SULAIMAN </t>
  </si>
  <si>
    <t>DIRECTOR GENERAL</t>
  </si>
  <si>
    <t>CONSOL</t>
  </si>
  <si>
    <t>RAHEEM USMAN AYIGORO</t>
  </si>
  <si>
    <t>SA-INFRASTRUCTURE</t>
  </si>
  <si>
    <t>MARIAM MOHAMMED BELLO</t>
  </si>
  <si>
    <t>SA- SPECIAL DUTIES</t>
  </si>
  <si>
    <t>DR IKEME ARTHUR J.O</t>
  </si>
  <si>
    <t>DEPUTY DIRECTOR, M&amp;E</t>
  </si>
  <si>
    <t>MOSHOOD M. OLALERE</t>
  </si>
  <si>
    <t>DEPUTY DIR. GENERAL SERVICE</t>
  </si>
  <si>
    <t>ANDRAWUS MUSA</t>
  </si>
  <si>
    <t>ASST. DIRECTOR, STORES</t>
  </si>
  <si>
    <t>15(9)</t>
  </si>
  <si>
    <t>DR FRANCIS NDUM OJIE</t>
  </si>
  <si>
    <t>AD, TRAINING &amp; IC./SA TO DG</t>
  </si>
  <si>
    <t>ALI ABDULLAHI</t>
  </si>
  <si>
    <t>CHIEF ICT OFFICER</t>
  </si>
  <si>
    <t>14(11)</t>
  </si>
  <si>
    <t>EMILY EKHIDE</t>
  </si>
  <si>
    <t>RESEARCH FELLOW 1</t>
  </si>
  <si>
    <t>14(10)</t>
  </si>
  <si>
    <t>DORIS DAKDA AARON</t>
  </si>
  <si>
    <t>RESEARCH FELLOW I</t>
  </si>
  <si>
    <t>14(8)</t>
  </si>
  <si>
    <t>ABDULSALAM S. MUSTAPHA</t>
  </si>
  <si>
    <t>ASST. MANAGER ICT</t>
  </si>
  <si>
    <t>13(11)</t>
  </si>
  <si>
    <t>PERCY TERFA GBAHABO</t>
  </si>
  <si>
    <t>HEAD, NILDS LIAISON OFFICE</t>
  </si>
  <si>
    <t>13(10)</t>
  </si>
  <si>
    <t>HASSANA AHMED IBRAHIM</t>
  </si>
  <si>
    <t>PA- TO DG</t>
  </si>
  <si>
    <t>13 (9)</t>
  </si>
  <si>
    <t>ADUGBA RICHARD TERSEER</t>
  </si>
  <si>
    <t>12(9)</t>
  </si>
  <si>
    <t>LUCKY AGWOM</t>
  </si>
  <si>
    <t>RESEARCH ASSISTANT</t>
  </si>
  <si>
    <t>IDRIS IBRAHIM</t>
  </si>
  <si>
    <t>FARUQ ATOFARATI</t>
  </si>
  <si>
    <t>PA (SPECIAL DUTIES) TO DG</t>
  </si>
  <si>
    <t>ELIZABETH OGECHUKWU ONYEAKU</t>
  </si>
  <si>
    <t>9(9)</t>
  </si>
  <si>
    <t>VICTOR ASUKWO</t>
  </si>
  <si>
    <t>NNANDI LIVINUS ATURE</t>
  </si>
  <si>
    <t>ABDULRAHMAN A SULAIMAN</t>
  </si>
  <si>
    <t>9(8)</t>
  </si>
  <si>
    <t>DARE SHEU MAGBON</t>
  </si>
  <si>
    <t>ADMINISTRATION OFFICER</t>
  </si>
  <si>
    <t>ABUBAKAR SULAIMAN SODEEQ</t>
  </si>
  <si>
    <t>JIMOH ADEBAYO ZAKA</t>
  </si>
  <si>
    <t>ASST. OFFICER/COMM</t>
  </si>
  <si>
    <t>MOHAMMED BELLO</t>
  </si>
  <si>
    <t xml:space="preserve">PROTOCOL ASSISTANT </t>
  </si>
  <si>
    <t>8(9)</t>
  </si>
  <si>
    <t>HARUNA JIBRIL AMEH</t>
  </si>
  <si>
    <t>ASST. ADMIN. OFFICER</t>
  </si>
  <si>
    <t>8(8)</t>
  </si>
  <si>
    <t>OSANAIYE DAVID AKINYEMI</t>
  </si>
  <si>
    <t>DIRECTOR INTERNAL AUDIT</t>
  </si>
  <si>
    <t>17(9)</t>
  </si>
  <si>
    <t>JAMILA ABDUL</t>
  </si>
  <si>
    <t xml:space="preserve">SENIOR INTERNAL AUDITOR </t>
  </si>
  <si>
    <t>IJEOMA EWELUKWA</t>
  </si>
  <si>
    <t>10(8)</t>
  </si>
  <si>
    <t>PROF. EDOBA BRIGHT OMOREGBE</t>
  </si>
  <si>
    <t>AG. DLSS</t>
  </si>
  <si>
    <t>DR CLINTON JAJA</t>
  </si>
  <si>
    <t xml:space="preserve">SENIOR RESEARCH FELLOW </t>
  </si>
  <si>
    <t>BETHEL UZOMA IHUGBA</t>
  </si>
  <si>
    <t>DEPUTY DIRECTOR, LEGAL RESEARCH</t>
  </si>
  <si>
    <t>16(8)</t>
  </si>
  <si>
    <t>OGUCHE SAMUEL</t>
  </si>
  <si>
    <t xml:space="preserve">SNR RESEARCH FELLOW </t>
  </si>
  <si>
    <t>IBRAHIM USMAN</t>
  </si>
  <si>
    <t>DR MOHAMMED O. AMALI</t>
  </si>
  <si>
    <t>YAHAYA SHAMSU</t>
  </si>
  <si>
    <t>BILKIS S. LAWAL-GAMBARI</t>
  </si>
  <si>
    <t>ZAINAB AKINDE</t>
  </si>
  <si>
    <t>ABDULLAHI AHMAD USMAN</t>
  </si>
  <si>
    <t>GUNAT NANSAK MARK</t>
  </si>
  <si>
    <t>LEGAL SERVICES</t>
  </si>
  <si>
    <t>DR SHUIBU DANWANKA</t>
  </si>
  <si>
    <t>DIRECTOR LEGAL SERVICES</t>
  </si>
  <si>
    <t>ABDULSALAM BAKO</t>
  </si>
  <si>
    <t>MANAGER, LEGAL SERVICES</t>
  </si>
  <si>
    <t>DR. ADEWALE ADEREMI</t>
  </si>
  <si>
    <t>DIRECTOR, DEMOCRATIC STUDIES</t>
  </si>
  <si>
    <t>NDANUSA MOHAMMED MANZUMA</t>
  </si>
  <si>
    <t>SNR RESEARCH FELLOW</t>
  </si>
  <si>
    <t>15(8)</t>
  </si>
  <si>
    <t>EJALONIBU GANIYU LAYI</t>
  </si>
  <si>
    <t>LOHNA BONKAT JONATHAN</t>
  </si>
  <si>
    <t>YUNUSA ABDULLAHI</t>
  </si>
  <si>
    <t>UDEFUNA NNADOZIE PATRICK</t>
  </si>
  <si>
    <t>12(8)</t>
  </si>
  <si>
    <t>SHAFIU YAHYA MIKAIL</t>
  </si>
  <si>
    <t>HASSAN YERIMA</t>
  </si>
  <si>
    <t>HAUWA PATE SADIQ</t>
  </si>
  <si>
    <t>PRINCIPAL PROGRAMME OFFICER</t>
  </si>
  <si>
    <t>KOLAPO Q. ABAYOMI</t>
  </si>
  <si>
    <t>DR ASIMIYU G. ABIOLA</t>
  </si>
  <si>
    <t>DIRECTOR POST GRADUATE</t>
  </si>
  <si>
    <t>ANTHONY EDET</t>
  </si>
  <si>
    <t>CHIEF PROGRAMMES OFFICER</t>
  </si>
  <si>
    <t>14(9)</t>
  </si>
  <si>
    <t>IGWE STACY</t>
  </si>
  <si>
    <t>PROGRAMME OFFICER</t>
  </si>
  <si>
    <t>10(9)</t>
  </si>
  <si>
    <t>OLANIYAN TAIWO ABINBOLA</t>
  </si>
  <si>
    <t>AMINAT JUMOKE SULAIMON</t>
  </si>
  <si>
    <t>AST. PROGRAMME OFFICER</t>
  </si>
  <si>
    <t>TERFA WILLIAMS ABRAHAM</t>
  </si>
  <si>
    <t>DR AUGUSTINE C. OSIGWE</t>
  </si>
  <si>
    <t>OMOJU OLUWASOLA EMMANUEL</t>
  </si>
  <si>
    <t>IBE EZECHI CYRIACUS</t>
  </si>
  <si>
    <t>RESEARCH FELLOW II</t>
  </si>
  <si>
    <t>OSIKHEN LEO IGBANOI</t>
  </si>
  <si>
    <t>OKUNGBOWA OSARETIN GODSPOWER</t>
  </si>
  <si>
    <t>YUSUF IBRAHIM</t>
  </si>
  <si>
    <t>MUSTAPHA RAFIU AYOBANJI</t>
  </si>
  <si>
    <t>MARYAM MUSA SADA</t>
  </si>
  <si>
    <t>ASSIT. RESEARCH OFFICER</t>
  </si>
  <si>
    <t>CHARITY EZENWAJIOBI</t>
  </si>
  <si>
    <t>REASEARCH. ASST.</t>
  </si>
  <si>
    <t>AKINSANMI ADEJOKE OLUKEMI</t>
  </si>
  <si>
    <t>Ag. DIR. TRAINING &amp; IC</t>
  </si>
  <si>
    <t>17(7)</t>
  </si>
  <si>
    <t>MOHAMMED R. ADAMU</t>
  </si>
  <si>
    <t>CHIEF TRAINING OFFICER</t>
  </si>
  <si>
    <t>OKECHUKWU UCHENNA HULDA</t>
  </si>
  <si>
    <t xml:space="preserve">PRINCIPALTRAINING OFFICER </t>
  </si>
  <si>
    <t>TASSNEEM IBRAHIM</t>
  </si>
  <si>
    <t>SENIOR PROGRAMME OFFICER</t>
  </si>
  <si>
    <t>LIBRARY &amp;  DOCUMENTATION</t>
  </si>
  <si>
    <t>DR MAIMUNA IZAH</t>
  </si>
  <si>
    <t>INSITUTE LIBRARIAN</t>
  </si>
  <si>
    <t>CATHERINE E. IKOKOH</t>
  </si>
  <si>
    <t>SNR RESEARCH FELLOW DOCU</t>
  </si>
  <si>
    <t>ALIYU SANNI ABUBAKAR</t>
  </si>
  <si>
    <t>RESEARCH FELLOW 11 DATA &amp; DOCU</t>
  </si>
  <si>
    <t>CHINAKO N. ASOGWA</t>
  </si>
  <si>
    <t>AMOS ABA</t>
  </si>
  <si>
    <t>LIBRARY ASSISTANT</t>
  </si>
  <si>
    <t>8(12)</t>
  </si>
  <si>
    <t>TITILAYO DANIEL MARVELLOUS</t>
  </si>
  <si>
    <t>8(11)</t>
  </si>
  <si>
    <t>ENENCHE JEREMIAH AGADA</t>
  </si>
  <si>
    <t>NGARA CHRISTOPHER OCHANJA</t>
  </si>
  <si>
    <t>EGUATU U. ONYEJELEM</t>
  </si>
  <si>
    <t xml:space="preserve">PRINCIPAL M&amp;E OFFICER </t>
  </si>
  <si>
    <t>CHRISTIAN MADUABUCHI ODO</t>
  </si>
  <si>
    <t>PRINCIPAL ICT OFFICER</t>
  </si>
  <si>
    <t>12(10)</t>
  </si>
  <si>
    <t>IBRAHIM M. MSHELIA</t>
  </si>
  <si>
    <t>DIR. FINANCE &amp; ACCOUNTS</t>
  </si>
  <si>
    <t>DEP. DIRECTOR, ACCOUNTS</t>
  </si>
  <si>
    <t>TONDO IORWUESE EDWARD</t>
  </si>
  <si>
    <t>SHEHU ABDULLAHI</t>
  </si>
  <si>
    <t>CHIEF ACCOUNT OFFICER</t>
  </si>
  <si>
    <t>OJOGIWA ABISOLA GANIAT</t>
  </si>
  <si>
    <t>ASST. CHIEF BUDGET OFFICER</t>
  </si>
  <si>
    <t>RAHILA SALIHU</t>
  </si>
  <si>
    <t>HUSSAIN HAZEEM</t>
  </si>
  <si>
    <t>ACCOUNT. OFFICER</t>
  </si>
  <si>
    <t>MUNIRAT JIMOH</t>
  </si>
  <si>
    <t>ACCOUNT ASSISTANT</t>
  </si>
  <si>
    <t>SHOLAGBERU T. SOFIAT</t>
  </si>
  <si>
    <t>10</t>
  </si>
  <si>
    <t>AMINU BELLO DUKKU</t>
  </si>
  <si>
    <t>DIR ADMIN</t>
  </si>
  <si>
    <t>ARCH. TIJO ZARA BORYO</t>
  </si>
  <si>
    <t>DEPUTY DIRECTOR, ASSETS/MAINT.</t>
  </si>
  <si>
    <t>SIMON YAKUBU WAKAWA</t>
  </si>
  <si>
    <t>CHIEF , ASSETS &amp; MAINT. OFFICER</t>
  </si>
  <si>
    <t>SALAMATU YAKUBU</t>
  </si>
  <si>
    <t>CHIEF ADMIN OFFICER</t>
  </si>
  <si>
    <t>USMAN WAZIRI</t>
  </si>
  <si>
    <t>EROMOSELE OMONIGBO</t>
  </si>
  <si>
    <t>PRINCIPAL PERSONNEL OFFICER</t>
  </si>
  <si>
    <t>OGUNYOMI ROTIMI</t>
  </si>
  <si>
    <t>OMOUDU QUEEN PRISCILLA</t>
  </si>
  <si>
    <t>PRINCIPAL CONF. SECRETARY</t>
  </si>
  <si>
    <t>JUWAIRATU ABDULSALAM ISAH</t>
  </si>
  <si>
    <t>PRINC.LIAISON OFFICER</t>
  </si>
  <si>
    <t>ABDULWAHAB DAHIRU</t>
  </si>
  <si>
    <t>PRINCIPAL ADMIN OFFICER</t>
  </si>
  <si>
    <t>BASSEY NSONGURUA UDOFIA</t>
  </si>
  <si>
    <t>PRINC.CONFIDENTIAL SECRETARY II</t>
  </si>
  <si>
    <t>ODEH SUZIE</t>
  </si>
  <si>
    <t>PRINC. ADMIN &amp; HR OFFICER</t>
  </si>
  <si>
    <t>YUSUF SADIQ SANI</t>
  </si>
  <si>
    <t>SENIOR CONFIDENTIAL SECR</t>
  </si>
  <si>
    <t>STELLA NGIZI PAUL</t>
  </si>
  <si>
    <t>10(10)</t>
  </si>
  <si>
    <t>OWOEYE TOSIN KAYODE</t>
  </si>
  <si>
    <t>ISERE RICHARD KANTEE</t>
  </si>
  <si>
    <t>SNR ADMIN OFFICER</t>
  </si>
  <si>
    <t>FAROOQ ONIKIJIPA ABDULAFEEZ</t>
  </si>
  <si>
    <t>ADMIN. OFFICER</t>
  </si>
  <si>
    <t>NAZIRU RABIU IBRAHIM</t>
  </si>
  <si>
    <t>SNR CONFIDENTIAL SECRETARY</t>
  </si>
  <si>
    <t>GIDEON B. LAMIDO</t>
  </si>
  <si>
    <t>TRANSPORT OFFICER</t>
  </si>
  <si>
    <t>IWODI ENE JUDITH</t>
  </si>
  <si>
    <t>SENIOR CONFIDENTIAL SECRETARY</t>
  </si>
  <si>
    <t>SARATU H. GWALEM</t>
  </si>
  <si>
    <t>ADMIN. ASSISTANT DLSS</t>
  </si>
  <si>
    <t>BUKOLA HAUWA SHIRU</t>
  </si>
  <si>
    <t>ADMIN. &amp; HR OFFICER</t>
  </si>
  <si>
    <t>CHRISTABEL UKOH</t>
  </si>
  <si>
    <t>CONFIDENTIAL SECRETARY</t>
  </si>
  <si>
    <t>HARUNA MUSA</t>
  </si>
  <si>
    <t>ADMIN. ASST.</t>
  </si>
  <si>
    <t>YAHAYA ADAMU ABDULHAMID</t>
  </si>
  <si>
    <t>ASST. OFF. ASSET &amp; MAINT.t.</t>
  </si>
  <si>
    <t>AYUBA SULE</t>
  </si>
  <si>
    <t>DISPATCH OFFICER</t>
  </si>
  <si>
    <t>ETTI  HAWANAT OYENIKE</t>
  </si>
  <si>
    <t>OLATUNJI OYEDELE YUSUF</t>
  </si>
  <si>
    <t>CHIEF DRIVER</t>
  </si>
  <si>
    <t>7(6)</t>
  </si>
  <si>
    <t>TASIU MOHAMMED</t>
  </si>
  <si>
    <t>NAMADI IDRIS UMAR</t>
  </si>
  <si>
    <t>ALIYU YAKUBU</t>
  </si>
  <si>
    <t>ABDULLAHI HARUNA</t>
  </si>
  <si>
    <t>OGABO OGAH USMAN</t>
  </si>
  <si>
    <t>7(5)</t>
  </si>
  <si>
    <t>ETSU UMARU</t>
  </si>
  <si>
    <t>EDACHE  OGA</t>
  </si>
  <si>
    <t>YUGUDA S. IDRIS</t>
  </si>
  <si>
    <t>GARBA ADAMU</t>
  </si>
  <si>
    <t>BAKARI HUSSEINI</t>
  </si>
  <si>
    <t>YUNUSA ABDULMUMINI ELEOJO</t>
  </si>
  <si>
    <t>CHIEF MOTOR DRIVER MECH.</t>
  </si>
  <si>
    <t>7(3)</t>
  </si>
  <si>
    <t>JOHN GIMAH</t>
  </si>
  <si>
    <t>ABUBAKAR MUSA DANLAMI</t>
  </si>
  <si>
    <t>7(4)</t>
  </si>
  <si>
    <t>OYINLOLA ISMAHEEL TAIWO</t>
  </si>
  <si>
    <t>SENIOR DRIVER</t>
  </si>
  <si>
    <t>5(11)</t>
  </si>
  <si>
    <t>IBRAHIM ZAKARI AHMAD</t>
  </si>
  <si>
    <t>DRIVER</t>
  </si>
  <si>
    <t>5 (10)</t>
  </si>
  <si>
    <t>SHEDRACK NASARA M.</t>
  </si>
  <si>
    <t>IBRAHIM ALIYU</t>
  </si>
  <si>
    <t>ABUBAKAR AMINU DOLE</t>
  </si>
  <si>
    <t>DARAMOLA SANJO SAMSON</t>
  </si>
  <si>
    <t>ABDULLAHI YUSUF</t>
  </si>
  <si>
    <t>SUNDAY ADEYI</t>
  </si>
  <si>
    <t>JONATHAN GABRIEL</t>
  </si>
  <si>
    <t>ZHOKWO PETER</t>
  </si>
  <si>
    <t>JOHN ETIMBUK UDO</t>
  </si>
  <si>
    <t>5(9)</t>
  </si>
  <si>
    <t>LAWAL TANIMU</t>
  </si>
  <si>
    <t>4(10)</t>
  </si>
  <si>
    <t>SAHEED AYINLA AJIA</t>
  </si>
  <si>
    <t>MOTOR DRIVER MECHANIC</t>
  </si>
  <si>
    <t>4(8)</t>
  </si>
  <si>
    <t>ABUBAKAR YAHAYA</t>
  </si>
  <si>
    <t>SULEIMAN USMAN</t>
  </si>
  <si>
    <t>ABDULLAHI HUSSAINI</t>
  </si>
  <si>
    <t>SENIOR MOTOR DRIVER</t>
  </si>
  <si>
    <t>5(8)</t>
  </si>
  <si>
    <t>SALIHU ABASS</t>
  </si>
  <si>
    <t>59</t>
  </si>
  <si>
    <t>Consultants</t>
  </si>
  <si>
    <t>Cleaners &amp; Securities</t>
  </si>
  <si>
    <t>OLD PAYE</t>
  </si>
  <si>
    <t>ADJUSTED PAYE</t>
  </si>
  <si>
    <t>DIFFERENCE</t>
  </si>
  <si>
    <t>FOR 7 MONTHS</t>
  </si>
  <si>
    <t>TOTAL DIFF IN RES ALLOW</t>
  </si>
  <si>
    <t>NET DIFFERENCE</t>
  </si>
  <si>
    <t>STAFF PAYROLL FOR THE MONTH OF MARCH, 2024</t>
  </si>
  <si>
    <t>NEW PAYE</t>
  </si>
  <si>
    <t>FEBRUARY, 2024</t>
  </si>
  <si>
    <t>MARCH,    2024</t>
  </si>
  <si>
    <t>PREPARED BY:  Rahila N. Habu                                        SIGNATURE………………..                                  DATE:  29TH JANUARY, 2024</t>
  </si>
  <si>
    <t>Difference</t>
  </si>
  <si>
    <t>DR SHUAIBU DANWANKA</t>
  </si>
  <si>
    <t>difference</t>
  </si>
  <si>
    <t>TOTAL - ANNUAL</t>
  </si>
  <si>
    <t>UPGRADE FROM  GL 16(9) TO GL 17(7)</t>
  </si>
  <si>
    <t>COMPUTATION OF 2.5% EMPLOYEE NATIONAL HOUSING FUND (NHF)</t>
  </si>
  <si>
    <t>ANNUAL SALARY</t>
  </si>
  <si>
    <t>MONTHLY SALARY</t>
  </si>
  <si>
    <t>EMPLOYEE NHF @ 2.5%</t>
  </si>
  <si>
    <t xml:space="preserve">OLD EMPLOYEE NHF </t>
  </si>
  <si>
    <t>PPS TO DG</t>
  </si>
  <si>
    <t>PA- TRAINING</t>
  </si>
  <si>
    <t>PA-TECHNICAL</t>
  </si>
  <si>
    <t>SENIOR INTERNAL AUDITOR</t>
  </si>
  <si>
    <t>AUDIT OFFICER</t>
  </si>
  <si>
    <t>Gross</t>
  </si>
  <si>
    <t>STAFF SALLAH WELFARE APRIL 2024</t>
  </si>
  <si>
    <t>AUDITOR II</t>
  </si>
  <si>
    <t>COMPUTATION OF JANUARY 2024 ARREARS</t>
  </si>
  <si>
    <t xml:space="preserve"> AREARS</t>
  </si>
  <si>
    <t>RESEARCH ALLOW.</t>
  </si>
  <si>
    <t>HARDSHIP ALLOW.</t>
  </si>
  <si>
    <t>NEW GROSS SALARY</t>
  </si>
  <si>
    <t>OLD GROSS SALARY</t>
  </si>
  <si>
    <t>VARIATION IN GROSS SALARY</t>
  </si>
  <si>
    <t>NEW PAYE TAX</t>
  </si>
  <si>
    <t>OLD PAYE TAX</t>
  </si>
  <si>
    <t>VARIATION IN PAYE TAX</t>
  </si>
  <si>
    <t>JANUARY 2024 ARREARS</t>
  </si>
  <si>
    <t>A</t>
  </si>
  <si>
    <t>B</t>
  </si>
  <si>
    <t>(A-B)</t>
  </si>
  <si>
    <t>Less 700,000</t>
  </si>
  <si>
    <t>to be paid in February</t>
  </si>
  <si>
    <t>Total Tax Regularisation Figure</t>
  </si>
  <si>
    <t>Amount of Over Deduction (paid in January)</t>
  </si>
  <si>
    <t>Amount of Under Deduction</t>
  </si>
  <si>
    <t>Net Difference</t>
  </si>
  <si>
    <t>Add Over deduction to be paid in February</t>
  </si>
  <si>
    <t>INACCURATE TAX CHARGED</t>
  </si>
  <si>
    <t xml:space="preserve">ACCURATE  TAX FIGURE </t>
  </si>
  <si>
    <t>EXCESS DEDUCTION</t>
  </si>
  <si>
    <t>CHANGES IN GROSS SALARY AND PAYE TAX</t>
  </si>
  <si>
    <t>COMPUTATION OF 8% EMPLOYEE PENSION DEDUCTION</t>
  </si>
  <si>
    <t>CONSOLIDATED SALARY</t>
  </si>
  <si>
    <t>STAFF PAYROLL FOR THE MONTH OF FEBRUARY 2024</t>
  </si>
  <si>
    <t>RENT</t>
  </si>
  <si>
    <t>UTILITY</t>
  </si>
  <si>
    <t>DOMESTIC</t>
  </si>
  <si>
    <t>ENTERT.</t>
  </si>
  <si>
    <t>FURNIT.</t>
  </si>
  <si>
    <t>FUEL</t>
  </si>
  <si>
    <t>ALLCE</t>
  </si>
  <si>
    <t>NEW LEVEL</t>
  </si>
  <si>
    <t>ARREARS FOR DECEMBER</t>
  </si>
  <si>
    <t xml:space="preserve">NATIONAL INSTITUTE FOR LEGISLATIVE STUDIES (NILS) </t>
  </si>
  <si>
    <t>MULTI-PURPOSE COOPERATIVE SOCIETY LIMITED</t>
  </si>
  <si>
    <t>MEMBERSHIP LIST FOR FEBRUARY, 2024 MONTHLY DEDUCTIONS</t>
  </si>
  <si>
    <t>V2868756.50AT 7.5% of N2</t>
  </si>
  <si>
    <t xml:space="preserve"> MONTH</t>
  </si>
  <si>
    <t>MOUNTLY DEDUCTION</t>
  </si>
  <si>
    <t>REG. FEE</t>
  </si>
  <si>
    <t>SPECIAL SAVING</t>
  </si>
  <si>
    <t>LOAN DEDUCTION</t>
  </si>
  <si>
    <t>03101</t>
  </si>
  <si>
    <t>Dr. ADEYEMI FAJINGBESI</t>
  </si>
  <si>
    <t>03102</t>
  </si>
  <si>
    <t>DR. ASIMIYU G ABIOLA</t>
  </si>
  <si>
    <t>03103</t>
  </si>
  <si>
    <t>Dr. KABIR AHMED</t>
  </si>
  <si>
    <t>03104</t>
  </si>
  <si>
    <t xml:space="preserve">MSHELIA MADU IBRAHIM </t>
  </si>
  <si>
    <t>03105</t>
  </si>
  <si>
    <t>MATTHEW EZE NWOSU</t>
  </si>
  <si>
    <t>03106</t>
  </si>
  <si>
    <t>KABIR SULAIMAN</t>
  </si>
  <si>
    <t>03107</t>
  </si>
  <si>
    <t>RICHARD KWALMI</t>
  </si>
  <si>
    <t>03108</t>
  </si>
  <si>
    <t>TONYE CLINTON JAJA</t>
  </si>
  <si>
    <t>03109</t>
  </si>
  <si>
    <t>OLAGUNJU OLALEKAN JOHN</t>
  </si>
  <si>
    <t>03110</t>
  </si>
  <si>
    <t>NWAJEI KANAYO</t>
  </si>
  <si>
    <t>03111</t>
  </si>
  <si>
    <t>SIMON WAKAWA</t>
  </si>
  <si>
    <t>03112</t>
  </si>
  <si>
    <t>03113</t>
  </si>
  <si>
    <t>ALFRED TOKUNBO</t>
  </si>
  <si>
    <t>03114</t>
  </si>
  <si>
    <t>AMINCI THOMAS</t>
  </si>
  <si>
    <t>03115</t>
  </si>
  <si>
    <t>TONDO, IORWUESE EDWARD</t>
  </si>
  <si>
    <t>03116</t>
  </si>
  <si>
    <t>MAGAJI BALA ALHAJI</t>
  </si>
  <si>
    <t>03117</t>
  </si>
  <si>
    <t>HUSSEIN MUSA EGYE</t>
  </si>
  <si>
    <t>03118</t>
  </si>
  <si>
    <t>CHINAKO ASOGWA</t>
  </si>
  <si>
    <t>03119</t>
  </si>
  <si>
    <t>Dr. UMAR AMINU</t>
  </si>
  <si>
    <t>03120</t>
  </si>
  <si>
    <t>03121</t>
  </si>
  <si>
    <t>ABUBAKAR TANKO LAMIDO</t>
  </si>
  <si>
    <t>03122</t>
  </si>
  <si>
    <t>UDEFUNA PATRICK NNADOZIE</t>
  </si>
  <si>
    <t>03123</t>
  </si>
  <si>
    <t>CATHERINE IKOKOH</t>
  </si>
  <si>
    <t>03124</t>
  </si>
  <si>
    <t>ALIYU, SANI ABUBAKAR</t>
  </si>
  <si>
    <t>03125</t>
  </si>
  <si>
    <t>HAZEEM MUHAMMED HUSSAIN</t>
  </si>
  <si>
    <t>03126</t>
  </si>
  <si>
    <t>NGARA CHRISTOPHER</t>
  </si>
  <si>
    <t>03127</t>
  </si>
  <si>
    <t>03128</t>
  </si>
  <si>
    <t>EROMOSELE OMONIGHO</t>
  </si>
  <si>
    <t>03129</t>
  </si>
  <si>
    <t>ADAMU SARATU ATTAJIRI</t>
  </si>
  <si>
    <t>03130</t>
  </si>
  <si>
    <t>OYEDELE OLATUNJI</t>
  </si>
  <si>
    <t>03131</t>
  </si>
  <si>
    <t>ABDULSALAM MUSTAFA</t>
  </si>
  <si>
    <t>03132</t>
  </si>
  <si>
    <t>ONYEJELEM EGWUATU</t>
  </si>
  <si>
    <t>03133</t>
  </si>
  <si>
    <t>MOHAMMED R ADAMU</t>
  </si>
  <si>
    <t>03134</t>
  </si>
  <si>
    <t>03135</t>
  </si>
  <si>
    <t>03136</t>
  </si>
  <si>
    <t>03137</t>
  </si>
  <si>
    <t>03138</t>
  </si>
  <si>
    <t>EWELUKWA IJEOMA NKOLIKA</t>
  </si>
  <si>
    <t>03139</t>
  </si>
  <si>
    <t>03140</t>
  </si>
  <si>
    <t>EDACHE OGAH</t>
  </si>
  <si>
    <t>03141</t>
  </si>
  <si>
    <t>YAKUBU ALIYU</t>
  </si>
  <si>
    <t>03142</t>
  </si>
  <si>
    <t>03143</t>
  </si>
  <si>
    <t>EJEME PATRICK</t>
  </si>
  <si>
    <t>03144</t>
  </si>
  <si>
    <t>ALFRED ISABU</t>
  </si>
  <si>
    <t>03145</t>
  </si>
  <si>
    <t>DANJUMA KAGADAMA</t>
  </si>
  <si>
    <t>03146</t>
  </si>
  <si>
    <t>03147</t>
  </si>
  <si>
    <t>OGABO USMAN OGAH</t>
  </si>
  <si>
    <t>03148</t>
  </si>
  <si>
    <t>03149</t>
  </si>
  <si>
    <t>03150</t>
  </si>
  <si>
    <t>ETSU UMAR</t>
  </si>
  <si>
    <t>03151</t>
  </si>
  <si>
    <t xml:space="preserve">ESE OTENUDA </t>
  </si>
  <si>
    <t>03152</t>
  </si>
  <si>
    <t>03153</t>
  </si>
  <si>
    <t>FADILA JUMARE</t>
  </si>
  <si>
    <t>03154</t>
  </si>
  <si>
    <t>MOSHOOD MUSIBAU OLALERE</t>
  </si>
  <si>
    <t>03155</t>
  </si>
  <si>
    <t>FATIMA BASHIR HAMIDU</t>
  </si>
  <si>
    <t>03156</t>
  </si>
  <si>
    <t>GIDEON BABOR LAMIDO</t>
  </si>
  <si>
    <t>03157</t>
  </si>
  <si>
    <t>EMMANUEL E. UZODINMA</t>
  </si>
  <si>
    <t>03158</t>
  </si>
  <si>
    <t>TAKWASA GALADIMA</t>
  </si>
  <si>
    <t>03159</t>
  </si>
  <si>
    <t>MOHAMMED YAHAYA AGEDE</t>
  </si>
  <si>
    <t>03160</t>
  </si>
  <si>
    <t>ADEJOKE AKINWUNMI</t>
  </si>
  <si>
    <t>03161</t>
  </si>
  <si>
    <t>03162</t>
  </si>
  <si>
    <t>MURTALA LAWAL</t>
  </si>
  <si>
    <t>03163</t>
  </si>
  <si>
    <t>03164</t>
  </si>
  <si>
    <t>03165</t>
  </si>
  <si>
    <t>DR. BETHEL IHUGBA</t>
  </si>
  <si>
    <t>03166</t>
  </si>
  <si>
    <t>03167</t>
  </si>
  <si>
    <t>ABDULLAHI SHEHU</t>
  </si>
  <si>
    <t>03168</t>
  </si>
  <si>
    <t>ABDULLAHI YUNUSA</t>
  </si>
  <si>
    <t>03169</t>
  </si>
  <si>
    <t>YUGUDA IDRIS</t>
  </si>
  <si>
    <t>03170</t>
  </si>
  <si>
    <t>03171</t>
  </si>
  <si>
    <t>BASHIR WALI ABBA</t>
  </si>
  <si>
    <t>03172</t>
  </si>
  <si>
    <t>ADUGBA TERSEER</t>
  </si>
  <si>
    <t>03173</t>
  </si>
  <si>
    <t>ONYEAKU CHUKWUKA EDMOND</t>
  </si>
  <si>
    <t>03174</t>
  </si>
  <si>
    <t>MARUF ABDULSALAM</t>
  </si>
  <si>
    <t>03175</t>
  </si>
  <si>
    <t>USMAN IBRAHIM</t>
  </si>
  <si>
    <t>03176</t>
  </si>
  <si>
    <t>NSONGURUA BASSEY</t>
  </si>
  <si>
    <t>03177</t>
  </si>
  <si>
    <t>BORYO TIJO ZARA</t>
  </si>
  <si>
    <t>03178</t>
  </si>
  <si>
    <t>KUSAI ETSEKU RICHARD</t>
  </si>
  <si>
    <t>03179</t>
  </si>
  <si>
    <t>IKEME ARTHUR</t>
  </si>
  <si>
    <t>03180</t>
  </si>
  <si>
    <t>EJALONIYU GANIYU LAYI</t>
  </si>
  <si>
    <t>03181</t>
  </si>
  <si>
    <t>CHARLES ALFRED</t>
  </si>
  <si>
    <t>03182</t>
  </si>
  <si>
    <t>MUHAMMED ISIAKA</t>
  </si>
  <si>
    <t>03183</t>
  </si>
  <si>
    <t>AMALI ONYILOKWU AMALI</t>
  </si>
  <si>
    <t>03184</t>
  </si>
  <si>
    <t>DORIS AARON DAKDA</t>
  </si>
  <si>
    <t>03185</t>
  </si>
  <si>
    <t>IKHIDE EMILY EDOISA</t>
  </si>
  <si>
    <t>03186</t>
  </si>
  <si>
    <t>ONYIMADU CHUKWUEMEKA</t>
  </si>
  <si>
    <t>03187</t>
  </si>
  <si>
    <t>PAUL STELLA NGOZI</t>
  </si>
  <si>
    <t>03188</t>
  </si>
  <si>
    <t>OMOJU OLUWASOLA EMM</t>
  </si>
  <si>
    <t>03189</t>
  </si>
  <si>
    <t>OSIGWE AUGUSTINE CHIDIEBERE</t>
  </si>
  <si>
    <t>03190</t>
  </si>
  <si>
    <t>FALADE OLANYEKUN FALADE</t>
  </si>
  <si>
    <t>03191</t>
  </si>
  <si>
    <t>03193</t>
  </si>
  <si>
    <t>SHEDRACK NASARA</t>
  </si>
  <si>
    <t>03194</t>
  </si>
  <si>
    <t>ALIYU IBRAHIM</t>
  </si>
  <si>
    <t>03195</t>
  </si>
  <si>
    <t>DARAMOLA SAMSON SANJO</t>
  </si>
  <si>
    <t>03196</t>
  </si>
  <si>
    <t>IDRIS MSHELIA</t>
  </si>
  <si>
    <t>03197</t>
  </si>
  <si>
    <t>MADUABUCHI CHRISTIAN ODO</t>
  </si>
  <si>
    <t>03198</t>
  </si>
  <si>
    <t>DR. OMUYUWIWA GANIYU</t>
  </si>
  <si>
    <t>03199</t>
  </si>
  <si>
    <t>YUSIF SADIQ SANNI</t>
  </si>
  <si>
    <t>031100</t>
  </si>
  <si>
    <t>ADEJOH EMMANUEL</t>
  </si>
  <si>
    <t>031101</t>
  </si>
  <si>
    <t>SARATU HAMALAI</t>
  </si>
  <si>
    <t>031102</t>
  </si>
  <si>
    <t>AUWAL BASHIR</t>
  </si>
  <si>
    <t>031103</t>
  </si>
  <si>
    <t>PROF. AJAYI FEMI</t>
  </si>
  <si>
    <t>031104</t>
  </si>
  <si>
    <t>GBAHABO PERCY TERFA</t>
  </si>
  <si>
    <t>031105</t>
  </si>
  <si>
    <t>ODEH SUZIE OREFI</t>
  </si>
  <si>
    <t>031107</t>
  </si>
  <si>
    <t>DR. MAMMAN IZAH</t>
  </si>
  <si>
    <t>031108</t>
  </si>
  <si>
    <t>ONYEKESON QUEEN</t>
  </si>
  <si>
    <t>031109</t>
  </si>
  <si>
    <t>031112</t>
  </si>
  <si>
    <t>ISMAHEEL TAIWO OYINLOLA</t>
  </si>
  <si>
    <t>031113</t>
  </si>
  <si>
    <t>031114</t>
  </si>
  <si>
    <t>ABA AMOS TERSOO</t>
  </si>
  <si>
    <t>031115</t>
  </si>
  <si>
    <t>PETER ZHOKWO</t>
  </si>
  <si>
    <t>031116</t>
  </si>
  <si>
    <t>031117</t>
  </si>
  <si>
    <t>JONATHAN BONKAT LOHNA</t>
  </si>
  <si>
    <t>031118</t>
  </si>
  <si>
    <t>GIMAH JOHN</t>
  </si>
  <si>
    <t>031119</t>
  </si>
  <si>
    <t>YUNUSA MUMUNI</t>
  </si>
  <si>
    <t>031120</t>
  </si>
  <si>
    <t>GABRIEL JONATHAN</t>
  </si>
  <si>
    <t>031121</t>
  </si>
  <si>
    <t>SHOLAGBERU TAIYE SOFIAT</t>
  </si>
  <si>
    <t>031122</t>
  </si>
  <si>
    <t>SADIQ PATE HAUWA</t>
  </si>
  <si>
    <t>031123</t>
  </si>
  <si>
    <t>031124</t>
  </si>
  <si>
    <t>BUKOLA SIRIKU HAUWA</t>
  </si>
  <si>
    <t>031125</t>
  </si>
  <si>
    <t>SULAIMAN AYOOLA ABDULRAHMAN</t>
  </si>
  <si>
    <t>031126</t>
  </si>
  <si>
    <t>031127</t>
  </si>
  <si>
    <t>ALABELEWE SARAFADEEN</t>
  </si>
  <si>
    <t>031128</t>
  </si>
  <si>
    <t>NGHARGBU RIFKATU</t>
  </si>
  <si>
    <t>031129</t>
  </si>
  <si>
    <t>DARE SHEU MAGOBON</t>
  </si>
  <si>
    <t>NILDS MGT</t>
  </si>
  <si>
    <t>031131</t>
  </si>
  <si>
    <t>031132</t>
  </si>
  <si>
    <t>ETIM VICTOR ASUKWO</t>
  </si>
  <si>
    <t>031133</t>
  </si>
  <si>
    <t>AYOBOLU OLUFUNSHO OLAJIDE</t>
  </si>
  <si>
    <t>031134</t>
  </si>
  <si>
    <t>VALENTINA AYONGO TETTEH</t>
  </si>
  <si>
    <t>031135</t>
  </si>
  <si>
    <t>IBRAHIM HASSANA AHMED</t>
  </si>
  <si>
    <t>031137</t>
  </si>
  <si>
    <t>UDO JOHN ETIMBUK</t>
  </si>
  <si>
    <t>031138</t>
  </si>
  <si>
    <t>NDANUSA MOHAMMED MANZUMA-NDAABA</t>
  </si>
  <si>
    <t>031139</t>
  </si>
  <si>
    <t>EZENWAJIOBA CHIDINMA CHARITY</t>
  </si>
  <si>
    <t>031140</t>
  </si>
  <si>
    <t>031141</t>
  </si>
  <si>
    <t>031142</t>
  </si>
  <si>
    <t>ADEWALE ADEREMI</t>
  </si>
  <si>
    <t>031143</t>
  </si>
  <si>
    <t>JIMOH MUNIRAT</t>
  </si>
  <si>
    <t>031145</t>
  </si>
  <si>
    <t>031146</t>
  </si>
  <si>
    <t>ABRU IDOWU OLOLADE</t>
  </si>
  <si>
    <t>031147</t>
  </si>
  <si>
    <t>USMAN YAKUB OLUWATOYIN</t>
  </si>
  <si>
    <t>031149</t>
  </si>
  <si>
    <t>OMOREGIE EDOBA BRIGHT</t>
  </si>
  <si>
    <t>031151</t>
  </si>
  <si>
    <t>DANIEL MARVELLOUS TITILAYO</t>
  </si>
  <si>
    <t>031152</t>
  </si>
  <si>
    <t>ABAYOMI KOLAPO QUADRI</t>
  </si>
  <si>
    <t>031154</t>
  </si>
  <si>
    <t>031155</t>
  </si>
  <si>
    <t>031156</t>
  </si>
  <si>
    <t>NANDI LIVINUS ATURE</t>
  </si>
  <si>
    <t>031158</t>
  </si>
  <si>
    <t>031159</t>
  </si>
  <si>
    <t>031160</t>
  </si>
  <si>
    <t>JEREMIAH AGADA</t>
  </si>
  <si>
    <t>031161</t>
  </si>
  <si>
    <t>ZAINAB ABBASS</t>
  </si>
  <si>
    <t>031162</t>
  </si>
  <si>
    <t>GANIYAT TITILOLA ARAOYE</t>
  </si>
  <si>
    <t>031163</t>
  </si>
  <si>
    <t>TANIMU LAWAL</t>
  </si>
  <si>
    <t>031164</t>
  </si>
  <si>
    <t>CHRISTABLE UKOH</t>
  </si>
  <si>
    <t>031166</t>
  </si>
  <si>
    <t>031167</t>
  </si>
  <si>
    <t>DAVID OSANAIYE</t>
  </si>
  <si>
    <t>031168</t>
  </si>
  <si>
    <t>RABIAT SALMAN</t>
  </si>
  <si>
    <t>031170</t>
  </si>
  <si>
    <t>ABDULRAHEEMUSMAN AYIGORO</t>
  </si>
  <si>
    <t>031171</t>
  </si>
  <si>
    <t xml:space="preserve"> ABDULLAHI YUSUF</t>
  </si>
  <si>
    <t>031172</t>
  </si>
  <si>
    <t>ABDUL JAMILA</t>
  </si>
  <si>
    <t>031173</t>
  </si>
  <si>
    <t>IBRAHIM ATTA REKIYA</t>
  </si>
  <si>
    <t>031174</t>
  </si>
  <si>
    <t>031175</t>
  </si>
  <si>
    <t>KAYODE OWOEYE TOSIN</t>
  </si>
  <si>
    <t>031176</t>
  </si>
  <si>
    <t>031177</t>
  </si>
  <si>
    <t>SULAIMAN AMINAT JUMOKE</t>
  </si>
  <si>
    <t>031178</t>
  </si>
  <si>
    <t>SHUAIBU DANWANKA</t>
  </si>
  <si>
    <t>031179</t>
  </si>
  <si>
    <t>YAHAYA SHAFIU MIKAÍL</t>
  </si>
  <si>
    <t>031180</t>
  </si>
  <si>
    <t>031181</t>
  </si>
  <si>
    <t>031182</t>
  </si>
  <si>
    <t>IBRAHIM NAZIRU RABIU</t>
  </si>
  <si>
    <t>031183</t>
  </si>
  <si>
    <t>RICHARD ISERE KANTEE</t>
  </si>
  <si>
    <t>031184</t>
  </si>
  <si>
    <t>031185</t>
  </si>
  <si>
    <t>FAROOQ ONIKIJIPA AFEEZ</t>
  </si>
  <si>
    <t>031186</t>
  </si>
  <si>
    <t>ETTI HAWANAT OYENIKE</t>
  </si>
  <si>
    <t>031191</t>
  </si>
  <si>
    <t>TONGS LUCKY AGWOM</t>
  </si>
  <si>
    <t>031192</t>
  </si>
  <si>
    <t>ABASS SALIHU</t>
  </si>
  <si>
    <t>031193</t>
  </si>
  <si>
    <t>USMAN SULEIMAN</t>
  </si>
  <si>
    <t>ABUBAKAR YAHAYA BIODUN</t>
  </si>
  <si>
    <t>ANALYSIS OF CHANGES IN CONTRIBUTION</t>
  </si>
  <si>
    <t>PREV. MONTH</t>
  </si>
  <si>
    <t>CURRENT MONTH</t>
  </si>
  <si>
    <t>DAYYABU YUSUF YUSUF</t>
  </si>
  <si>
    <t>Contract Schedule</t>
  </si>
  <si>
    <t>Tongs Lucky Agwom</t>
  </si>
  <si>
    <t>ABBASS SALIHU</t>
  </si>
  <si>
    <t>ANALYSIS OF CHANGES IN LOAN</t>
  </si>
  <si>
    <t>Leo Igbanoi</t>
  </si>
  <si>
    <t>Dr. Shuaibu Danwanka</t>
  </si>
  <si>
    <t>Grand Total</t>
  </si>
  <si>
    <t>031136</t>
  </si>
  <si>
    <t>AHMADU ILIYA</t>
  </si>
  <si>
    <t>031148</t>
  </si>
  <si>
    <t>ENOBONG SAMBO</t>
  </si>
  <si>
    <t>031150</t>
  </si>
  <si>
    <t>SALIHU HASSAN</t>
  </si>
  <si>
    <t>031153</t>
  </si>
  <si>
    <t>ABOAMAN INNOCENT</t>
  </si>
  <si>
    <t>031157</t>
  </si>
  <si>
    <t>OLARENWAJU NIYI JOHN</t>
  </si>
  <si>
    <t>031169</t>
  </si>
  <si>
    <t>JAMES ISHAYA MORO</t>
  </si>
  <si>
    <t>031187</t>
  </si>
  <si>
    <t>LEBO IKIP</t>
  </si>
  <si>
    <t>031188</t>
  </si>
  <si>
    <t>SUBERU RAHIMAT ONIZE</t>
  </si>
  <si>
    <t>031189</t>
  </si>
  <si>
    <t>RAMATU IBRAHIM ABDULRAHEEM</t>
  </si>
  <si>
    <t>031190</t>
  </si>
  <si>
    <t>STAFF ENHANCED WELFARE SCHEDULE 2024</t>
  </si>
  <si>
    <t>SULEIMAN ABUBAKAR SODEEQ</t>
  </si>
  <si>
    <t>STAFF PAYROLL FOR THE MONTH OF NOVEMBER 2023</t>
  </si>
  <si>
    <t>CURRENT GRADE LEVEL</t>
  </si>
  <si>
    <t>NEW GRADE LEVEL</t>
  </si>
  <si>
    <t>INCREMENT IN GROSS SALARY</t>
  </si>
  <si>
    <t xml:space="preserve">CURRENT NHF </t>
  </si>
  <si>
    <t>NEW NHF</t>
  </si>
  <si>
    <t>CURRENT PAYE</t>
  </si>
  <si>
    <t>INCREMENT IN PAYE</t>
  </si>
  <si>
    <t>NET SALARY INCREMENT</t>
  </si>
  <si>
    <t>SHEU MAGABON DARE</t>
  </si>
  <si>
    <t>ADMIN ASSISTANT</t>
  </si>
  <si>
    <t>8(10)</t>
  </si>
  <si>
    <t>14 (7)</t>
  </si>
  <si>
    <t>5(12)</t>
  </si>
  <si>
    <t>STAFF CHRISTMAS WELFARE DECEMBER 2023</t>
  </si>
  <si>
    <t>13(9)</t>
  </si>
  <si>
    <t>13 (8)</t>
  </si>
  <si>
    <t>15 (7)</t>
  </si>
  <si>
    <t>FAROOQ ONOKIJIPA</t>
  </si>
  <si>
    <t>5(10)</t>
  </si>
  <si>
    <t>5 (9)</t>
  </si>
  <si>
    <t>4(9)</t>
  </si>
  <si>
    <t>STAFF PAYROLL FOR THE MONTH OF DECEMBER 2023</t>
  </si>
  <si>
    <t>CONS. SALARY</t>
  </si>
  <si>
    <t>OCTOBER, 2023</t>
  </si>
  <si>
    <t>NOVEMBER, 2023</t>
  </si>
  <si>
    <t>DEM. &amp; GOVERNANCE</t>
  </si>
  <si>
    <t>ARREARS PAID IN OCTOBER</t>
  </si>
  <si>
    <t>SHORTFALL IN ARREARS</t>
  </si>
  <si>
    <t>ADMIN &amp; HR</t>
  </si>
  <si>
    <t>STAFF PAYROLL FOR THE MONTH OF OCTOBER 2023</t>
  </si>
  <si>
    <t>ASSISTANT STORES OFFICER</t>
  </si>
  <si>
    <t>ASST. MGR  M&amp;E</t>
  </si>
  <si>
    <t>ASSIST. INFO.OFFICER</t>
  </si>
  <si>
    <t>ASST. CHIEF ACCOUNTOFFICER</t>
  </si>
  <si>
    <t>ADMIN OFFICER</t>
  </si>
  <si>
    <t>4(11)</t>
  </si>
  <si>
    <t>NATIONAL INSTITUTE FOR LEGISLATIVE STUDIES</t>
  </si>
  <si>
    <t>TABLE OF MONTHLY CONSOLIDATED SALARY AND ALLOWANCES SCALES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</si>
  <si>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</si>
  <si>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</si>
  <si>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</si>
  <si>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</si>
  <si>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</si>
  <si>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</si>
  <si>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</si>
  <si>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</si>
  <si>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</si>
  <si>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</si>
  <si>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</si>
  <si>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</si>
  <si>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</si>
  <si>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</si>
  <si>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</si>
  <si>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CONLESS LEVEL</t>
  </si>
  <si>
    <t>,01</t>
  </si>
  <si>
    <t>,02</t>
  </si>
  <si>
    <t>,03</t>
  </si>
  <si>
    <t>,04</t>
  </si>
  <si>
    <t>,05</t>
  </si>
  <si>
    <t>,06</t>
  </si>
  <si>
    <t>,07</t>
  </si>
  <si>
    <t>,08</t>
  </si>
  <si>
    <t>,09</t>
  </si>
  <si>
    <t>,10</t>
  </si>
  <si>
    <t>,12</t>
  </si>
  <si>
    <t>,13</t>
  </si>
  <si>
    <t>,14</t>
  </si>
  <si>
    <t>,15</t>
  </si>
  <si>
    <t>,16</t>
  </si>
  <si>
    <t>,17</t>
  </si>
  <si>
    <t>GRANT OF WAGE AWARD TO FEDERAL GOVERNMENT WORKERS</t>
  </si>
  <si>
    <t>SCHEDULE FOR FOUR (4) MONTHS SEPTEMBER TO DECEMBER 2023</t>
  </si>
  <si>
    <t>SEPTEMBER</t>
  </si>
  <si>
    <t>OCTOBER</t>
  </si>
  <si>
    <t>NOVEMBER</t>
  </si>
  <si>
    <t>DECEMBER</t>
  </si>
  <si>
    <t>SEPT. TO DEC. 2023</t>
  </si>
  <si>
    <t>N/A</t>
  </si>
  <si>
    <t>DR JAKE DABANG DAN AZUMI</t>
  </si>
  <si>
    <t>DEPUTY DIR.  TECHNICAL</t>
  </si>
  <si>
    <t>DEPUTY DIR. INFO/PROTOCOL</t>
  </si>
  <si>
    <t>DONALD E. MKPANAM</t>
  </si>
  <si>
    <t>IJEOMA NKOLIKWA</t>
  </si>
  <si>
    <t>STORES OFFICER</t>
  </si>
  <si>
    <t>ASSIST. PG</t>
  </si>
  <si>
    <t>TOTAL FOR DG'S OFFICE</t>
  </si>
  <si>
    <t>TOTAL FOR AUDIT</t>
  </si>
  <si>
    <t>OFORDEME ADAOBI JULIA</t>
  </si>
  <si>
    <t>TOTAL FOR LEGIS. SUPPORT SERVICES</t>
  </si>
  <si>
    <t>TOTAL FOR LEGAL SERVICES</t>
  </si>
  <si>
    <t>TOTAL DEMOCRACY &amp; GOVERNANCE</t>
  </si>
  <si>
    <t>TOTAL DEPARTMENT OF STUDIES</t>
  </si>
  <si>
    <t>TOTAL ECON DEV &amp; SOCIAL RESEARCH</t>
  </si>
  <si>
    <t>TOTAL FOR TRAINING &amp; INT'L RELATIONS</t>
  </si>
  <si>
    <t>TOTAL FOR LIBRARY &amp; DOCUMENTATION</t>
  </si>
  <si>
    <t>OSOLAFIA MUHAMMAD EGYE</t>
  </si>
  <si>
    <t>TOTAL FOR LEG. CENTER FOR SECURITY ANALYSIS</t>
  </si>
  <si>
    <t>TOTAL FINANCE &amp; ACCOUNTS</t>
  </si>
  <si>
    <t>TOTAL FOR ADMIN &amp; HUMAN RESOURCE</t>
  </si>
  <si>
    <t>GRAND TOTAL FOR 151 NILDS STAFF</t>
  </si>
  <si>
    <t>SEPTEMBER, 2023</t>
  </si>
  <si>
    <t>DECEMBER, 2023</t>
  </si>
  <si>
    <t>Mohammed Etudaiye</t>
  </si>
  <si>
    <t>Office Assistant</t>
  </si>
  <si>
    <t>Saratu Adamu Attajiri</t>
  </si>
  <si>
    <t>Elizabeth Ogechukwu Onyeaku</t>
  </si>
  <si>
    <t>Consultant</t>
  </si>
  <si>
    <t>Aboaman Innocent</t>
  </si>
  <si>
    <t>Casual</t>
  </si>
  <si>
    <t>Kusai E. Richard</t>
  </si>
  <si>
    <t>Plumber</t>
  </si>
  <si>
    <t>Bulus Ishaya</t>
  </si>
  <si>
    <t>Gardener</t>
  </si>
  <si>
    <t>Alhamdu Iliya</t>
  </si>
  <si>
    <t>Casual-Gardner</t>
  </si>
  <si>
    <t>Salihu Hassan</t>
  </si>
  <si>
    <t>Ishaya Moro James</t>
  </si>
  <si>
    <t>Dr. John Niyi Olanrewaju</t>
  </si>
  <si>
    <t>Consultancy</t>
  </si>
  <si>
    <t>Dr. Shehu Wahab L</t>
  </si>
  <si>
    <t>Enobong Sambo</t>
  </si>
  <si>
    <t>Retainership</t>
  </si>
  <si>
    <t>Masarr Sarr</t>
  </si>
  <si>
    <t>Said Idris Abduljalil</t>
  </si>
  <si>
    <t>Secondment</t>
  </si>
  <si>
    <t>Giwa Sidika Ajoke</t>
  </si>
  <si>
    <t>Casual (DGs GH)</t>
  </si>
  <si>
    <t>Rasheed Mariam Folashade</t>
  </si>
  <si>
    <t>Idris Ibrahim</t>
  </si>
  <si>
    <t>Magaji Bala</t>
  </si>
  <si>
    <t>Ganiyat Titilola Araoye</t>
  </si>
  <si>
    <t>Prof. Zubairu Kwambo Dagona</t>
  </si>
  <si>
    <t>Muhammad Kudu Abubakar</t>
  </si>
  <si>
    <t>Ag. Gen Manager</t>
  </si>
  <si>
    <t>Nwanganga Chidozie</t>
  </si>
  <si>
    <t>House Keeper</t>
  </si>
  <si>
    <t>Mary Shadrach</t>
  </si>
  <si>
    <t>Cleaner</t>
  </si>
  <si>
    <t>Moshood Tsoho Amuda</t>
  </si>
  <si>
    <t>Inya Joephine Ode</t>
  </si>
  <si>
    <t>Prof Charles U. Ilebune</t>
  </si>
  <si>
    <t>Musa Mustapha Adekola</t>
  </si>
  <si>
    <t xml:space="preserve">Casual Staff </t>
  </si>
  <si>
    <t xml:space="preserve">Contract Staff </t>
  </si>
  <si>
    <t>Ladan Abdulmushin Tawfiq</t>
  </si>
  <si>
    <t>Victoria Stephanie David</t>
  </si>
  <si>
    <t>Sofiat Adepeju Adenekan</t>
  </si>
  <si>
    <t>Kindness Oluwakemi M</t>
  </si>
  <si>
    <t>Benjamin Ubiri</t>
  </si>
  <si>
    <t>Danladi Idris Daniel</t>
  </si>
  <si>
    <t>Ufomba Patricia Osinachi</t>
  </si>
  <si>
    <t>Mugisat Abdulganiyyu</t>
  </si>
  <si>
    <t>Anayo Akwitti</t>
  </si>
  <si>
    <t>Echianu Chinedu Chikadibia</t>
  </si>
  <si>
    <t>Zainab Bakare</t>
  </si>
  <si>
    <t>Otene Oche Jonah</t>
  </si>
  <si>
    <t>Julian Chinyere Osamoto</t>
  </si>
  <si>
    <t>Desmond Cibueze Domendu</t>
  </si>
  <si>
    <t>Blessing Ojone Jibrin</t>
  </si>
  <si>
    <t>Chicha Ebweyi Joshua</t>
  </si>
  <si>
    <t>Rukaiyat Larai Ahmed</t>
  </si>
  <si>
    <t>Ngalabak Shugge</t>
  </si>
  <si>
    <t>Olufemi Emmanuel Oyegoke</t>
  </si>
  <si>
    <r>
      <rPr>
        <b/>
        <sz val="14"/>
        <rFont val="Times New Roman"/>
        <charset val="134"/>
      </rPr>
      <t xml:space="preserve">AMOUNT </t>
    </r>
    <r>
      <rPr>
        <b/>
        <sz val="10"/>
        <rFont val="Times New Roman"/>
        <charset val="134"/>
      </rPr>
      <t>(N20,000 X 28 DAYS)</t>
    </r>
  </si>
  <si>
    <t>NET AMOUNT</t>
  </si>
  <si>
    <t>ELIZABETHOGECHUKWU ONYEAKU</t>
  </si>
  <si>
    <t>ASST. ICT OFFICER</t>
  </si>
  <si>
    <t>STAFF WELFARE APRIL, 2023</t>
  </si>
  <si>
    <t>DEPUTY DIR.  TTECHNICAL</t>
  </si>
  <si>
    <t>DR ABDULSALAM NASIRU NAEEM</t>
  </si>
  <si>
    <t>SA ACADEMICS</t>
  </si>
  <si>
    <t>HUSSEIN EGYE MUSA</t>
  </si>
  <si>
    <t>CHIEF PROTOCOL OFFICER</t>
  </si>
  <si>
    <t>JOY HARUNA MAKERI</t>
  </si>
  <si>
    <t>RESEARCH FELLOW 1 TRAINING</t>
  </si>
  <si>
    <t>YAKUB OLUWATOYIN USMAN</t>
  </si>
  <si>
    <t>HARUNA JIBRIL A.</t>
  </si>
  <si>
    <t>ABAYOMI KAYODE QUADRI</t>
  </si>
  <si>
    <t>MOSHOOD TOSHO AMUDA</t>
  </si>
  <si>
    <t>MANAGER, EXAMS &amp; RECORDS</t>
  </si>
  <si>
    <t>TASNEEM IBRAHIM</t>
  </si>
  <si>
    <t>ASST. INFORMATION OFFICER</t>
  </si>
  <si>
    <t xml:space="preserve">MURTALA LAWAL </t>
  </si>
  <si>
    <t>55</t>
  </si>
  <si>
    <t>LEG, CTRE FOR SECURITY ANALYSIS</t>
  </si>
  <si>
    <t>54</t>
  </si>
  <si>
    <t>LEG, CENTRE FOR SECURITY ANALYSIS</t>
  </si>
  <si>
    <t>STAFF PAYROLL FOR THE MONTH OF JANUARY 2023</t>
  </si>
  <si>
    <t>DIFFRENCE</t>
  </si>
  <si>
    <t>ADMIN. OFFICER, LIASION OFFICE</t>
  </si>
  <si>
    <t>8 (10)</t>
  </si>
  <si>
    <t>ASSIST. INFORMATION</t>
  </si>
  <si>
    <t>RESEARCH ASSITANT PG</t>
  </si>
  <si>
    <t>10(14)</t>
  </si>
  <si>
    <t>ASEMOTA OMOROGBE JOSEPH</t>
  </si>
  <si>
    <t>Ag. DEPUTY DIRECTOR, ECO &amp; SOC DEV DEPT</t>
  </si>
  <si>
    <t>ABUBAKAR MOHAMMED BASHIR</t>
  </si>
  <si>
    <t>ASST. CHIEF TRAINING OFFICER</t>
  </si>
  <si>
    <t>j</t>
  </si>
  <si>
    <t>KABIR MUHAMMAD SULAIMAN</t>
  </si>
  <si>
    <t>DD FINANCE &amp; ACCOUNTS</t>
  </si>
  <si>
    <t>SALMAN RABBIAT BOLATITO</t>
  </si>
  <si>
    <t>ASST. CHIEF ACCOUNT OFFICER</t>
  </si>
  <si>
    <t>11</t>
  </si>
  <si>
    <t>OLOLADE ABRU IDOWU</t>
  </si>
  <si>
    <t>NEW NHF DED.</t>
  </si>
  <si>
    <t>OLD NHF DED.</t>
  </si>
  <si>
    <t>TAX COMPUTATION FOR 2023</t>
  </si>
  <si>
    <t>OLD Tax</t>
  </si>
  <si>
    <t>STAFF PAYROLL FOR THE MONTH OF AUGUST 2022</t>
  </si>
  <si>
    <t xml:space="preserve">SALARY </t>
  </si>
  <si>
    <t>LEVEL</t>
  </si>
  <si>
    <t>JULY 2022  PAYE</t>
  </si>
  <si>
    <t>AUGUST 2022  PAYE</t>
  </si>
  <si>
    <t>DR ADEYEMI AKEEB FAJINGBESI</t>
  </si>
  <si>
    <t>DIR. SPECIAL DUTIES, DG OFFICE</t>
  </si>
  <si>
    <t>DEPUTY DIRECTOR  TRAINING</t>
  </si>
  <si>
    <t>16 (8)</t>
  </si>
  <si>
    <t>HEAD INFORMATION/PROTOCOL</t>
  </si>
  <si>
    <t>MANAGER ADMIN DG's OFFICE</t>
  </si>
  <si>
    <t xml:space="preserve">ASST. DIRECTOR, STORE </t>
  </si>
  <si>
    <t>ASST. CHIEF ICT OFFICER</t>
  </si>
  <si>
    <t>13(8)</t>
  </si>
  <si>
    <t>13 (7)</t>
  </si>
  <si>
    <t>INFORMATION OFFICER</t>
  </si>
  <si>
    <t>OFFICER M&amp;E</t>
  </si>
  <si>
    <t>8 (9)</t>
  </si>
  <si>
    <t>HABEEBA K MUHAMMAD SALIHU</t>
  </si>
  <si>
    <t>17(8)</t>
  </si>
  <si>
    <t>DEMOCRACY AND GOVERNANCE</t>
  </si>
  <si>
    <t>10(13)</t>
  </si>
  <si>
    <t>STUDIES</t>
  </si>
  <si>
    <t>ECONOMIC DEV. AND SOCIAL RESEARCH</t>
  </si>
  <si>
    <t>DR ASEMOTA OMOROGBE JOSEPH</t>
  </si>
  <si>
    <t>FESTUS OSAGU NDIDI</t>
  </si>
  <si>
    <t>TRAINING AND INTERNATIONAL COOP</t>
  </si>
  <si>
    <t xml:space="preserve">TRAINING OFFICER </t>
  </si>
  <si>
    <t>10(11)</t>
  </si>
  <si>
    <t>LIBRARY AND DOCUMENTATION</t>
  </si>
  <si>
    <t>FINANCE &amp; ACCOUNT</t>
  </si>
  <si>
    <t>ADMINISTRATION &amp; HUMAN RESOURCE</t>
  </si>
  <si>
    <t>DR KABIR AHMED</t>
  </si>
  <si>
    <t>DIR.ADMIN &amp; HR</t>
  </si>
  <si>
    <t>ASST. DIRECTOR, ASSETS/MAINT.</t>
  </si>
  <si>
    <t>PRISCILLA NKECHI CHUWKU</t>
  </si>
  <si>
    <t>ASST. DIRECTOR, HUMAN RESOURCES</t>
  </si>
  <si>
    <t>YUSIF SADIQ SANI</t>
  </si>
  <si>
    <t>STELLA NGOZI PAUL</t>
  </si>
  <si>
    <t>ASST OFFICER ASSETS &amp; MAINT</t>
  </si>
  <si>
    <t>5(13)</t>
  </si>
  <si>
    <t>5 (8)</t>
  </si>
  <si>
    <t>58</t>
  </si>
  <si>
    <t>PREPARED BY:</t>
  </si>
  <si>
    <t>STAFF PAYROLL FOR THE MONTH OF DECEMBER, 2021</t>
  </si>
  <si>
    <t>BASIC</t>
  </si>
  <si>
    <t>MOTOR/</t>
  </si>
  <si>
    <t>RESEARCH</t>
  </si>
  <si>
    <t>HARDSHIP</t>
  </si>
  <si>
    <t>LEAVE</t>
  </si>
  <si>
    <t>OUT FIT</t>
  </si>
  <si>
    <t>LEGISLATIVE</t>
  </si>
  <si>
    <t>NEW GROSS</t>
  </si>
  <si>
    <t>OLD GROSS</t>
  </si>
  <si>
    <t>SALARY/ALLOWCE AREARS</t>
  </si>
  <si>
    <t>DG OFFICE</t>
  </si>
  <si>
    <t>SARAFADEEN ALABELEWE</t>
  </si>
  <si>
    <t>SA- ADMIN</t>
  </si>
  <si>
    <t>PA- SPECIAL DUTIES</t>
  </si>
  <si>
    <t>IKPEAZU CHINEDU ANITA</t>
  </si>
  <si>
    <t>EMILY EDOISA IKHIDE</t>
  </si>
  <si>
    <t>LONA POLIT BONKAT</t>
  </si>
  <si>
    <t>UZODINMA EMMANUEL EZENWA</t>
  </si>
  <si>
    <t>JUMARE FADILA</t>
  </si>
  <si>
    <t>RIFKATU NGHARGBU</t>
  </si>
  <si>
    <t>`12333</t>
  </si>
  <si>
    <t>ABBAS ZAINAB</t>
  </si>
  <si>
    <t>SIGNATURE</t>
  </si>
  <si>
    <t>DATE</t>
  </si>
  <si>
    <t>STAFF ENHANCED WELFARE SCHEDULE 2023</t>
  </si>
  <si>
    <t>HABEEBA K MUH'D SALIHU</t>
  </si>
  <si>
    <t>AG DIR ADMIN &amp; HR</t>
  </si>
  <si>
    <t>56</t>
  </si>
  <si>
    <t>SALARY DETAILS OF NILS DIRECTOR RESEARCH AND TRAINING</t>
  </si>
  <si>
    <t>GRADE LEVEL 17 STEP 7</t>
  </si>
  <si>
    <t>ANNUALLY</t>
  </si>
  <si>
    <t>MONTHLY</t>
  </si>
  <si>
    <t>Basic Salary</t>
  </si>
  <si>
    <t>Rent Subsidy</t>
  </si>
  <si>
    <t>Utility</t>
  </si>
  <si>
    <t>Domestic Staff Allowance</t>
  </si>
  <si>
    <t>Entertainment Allowance</t>
  </si>
  <si>
    <t>Furniture Allowance</t>
  </si>
  <si>
    <t>Research Allowance</t>
  </si>
  <si>
    <t>Motor Fuel Allowance</t>
  </si>
  <si>
    <t>Leave Allowance</t>
  </si>
  <si>
    <t>Outfit Allowance</t>
  </si>
  <si>
    <t>SALARY DETAILS OF NILS INSTITUTE LIBRARIAN</t>
  </si>
  <si>
    <t>GRADE LEVEL 16 STEP 7</t>
  </si>
  <si>
    <t>Reasearch Allowance</t>
  </si>
  <si>
    <t>SALARY DETAILS OF NILS SENIOR RESEARCH FELLOW</t>
  </si>
  <si>
    <t>GRADE LEVEL 15 STEP 7</t>
  </si>
  <si>
    <t>SALARY DETAILS OF NILS ASSISTANT MANAGER</t>
  </si>
  <si>
    <t>GRADE LEVEL 13 STEP 7</t>
  </si>
  <si>
    <t>SALARY DETAILS OF NILS  RESEARCH OFFICERS</t>
  </si>
  <si>
    <t>GRADE LEVEL 10 STEP 7</t>
  </si>
  <si>
    <t>SALARY DETAILS OF NILS  RESEARCH ASSISTANTS</t>
  </si>
  <si>
    <t>GRADE LEVEL 9 STEP 7</t>
  </si>
  <si>
    <t xml:space="preserve">Research Assistants </t>
  </si>
  <si>
    <t>SALARY OF SECRTARY ON SCALE 8 STEP 7</t>
  </si>
  <si>
    <t>28 DAYS ALCE</t>
  </si>
  <si>
    <t>PERSONAL</t>
  </si>
  <si>
    <t>GROSS</t>
  </si>
  <si>
    <t>MAR.2012</t>
  </si>
  <si>
    <t>FEB. 2012</t>
  </si>
  <si>
    <t>IN LIEU</t>
  </si>
  <si>
    <t>ASSISTANT</t>
  </si>
  <si>
    <t>DIRECTOR</t>
  </si>
  <si>
    <t>17/8</t>
  </si>
  <si>
    <t>16/8</t>
  </si>
  <si>
    <t>13/7</t>
  </si>
  <si>
    <t xml:space="preserve">RESEARCH FELLOW </t>
  </si>
  <si>
    <t>12/7</t>
  </si>
  <si>
    <t>10/7</t>
  </si>
  <si>
    <t>RESEARCH ASSISTANTS</t>
  </si>
  <si>
    <t>9/7</t>
  </si>
  <si>
    <t>8/7</t>
  </si>
  <si>
    <t>SALARY DETAILS OF NILS  CHIEF LIBRARIAN</t>
  </si>
  <si>
    <t>GRADE LEVEL 14 STEP 7</t>
  </si>
  <si>
    <t>SALARY DETAILS OF NILS  LIBRARIAN</t>
  </si>
  <si>
    <t>STEPS</t>
  </si>
  <si>
    <t>STAFF PAYROLL FOR THE MONTH OF JUNE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</si>
</sst>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5" formatCode="_-* #,##0.00_-;\-* #,##0.00_-;_-* &quot;-&quot;??_-;_-@_-"/>
  </numFmts>
  <fonts count="89">
    <font>
      <sz val="10"/>
      <name val="Arial"/>
      <charset val="134"/>
    </font>
    <font>
      <sz val="14"/>
      <name val="Times New Roman"/>
      <charset val="134"/>
    </font>
    <font>
      <b/>
      <u/>
      <sz val="14"/>
      <name val="Times New Roman"/>
      <charset val="134"/>
    </font>
    <font>
      <b/>
      <sz val="14"/>
      <name val="Times New Roman"/>
      <charset val="134"/>
    </font>
    <font>
      <b/>
      <sz val="14"/>
      <color indexed="8"/>
      <name val="Times New Roman"/>
      <charset val="134"/>
    </font>
    <font>
      <sz val="14"/>
      <color theme="1"/>
      <name val="Times New Roman"/>
      <charset val="134"/>
    </font>
    <font>
      <sz val="14"/>
      <color indexed="8"/>
      <name val="Times New Roman"/>
      <charset val="134"/>
    </font>
    <font>
      <b/>
      <u val="double"/>
      <sz val="14"/>
      <name val="Times New Roman"/>
      <charset val="134"/>
    </font>
    <font>
      <b/>
      <sz val="12"/>
      <name val="Tahoma"/>
      <charset val="134"/>
    </font>
    <font>
      <sz val="12"/>
      <name val="Tahoma"/>
      <charset val="134"/>
    </font>
    <font>
      <sz val="12"/>
      <name val="Tahn"/>
      <charset val="1"/>
    </font>
    <font>
      <b/>
      <u/>
      <sz val="14"/>
      <color indexed="8"/>
      <name val="Times New Roman"/>
      <charset val="134"/>
    </font>
    <font>
      <b/>
      <u/>
      <sz val="16"/>
      <name val="Times New Roman"/>
      <charset val="134"/>
    </font>
    <font>
      <b/>
      <u/>
      <sz val="20"/>
      <name val="Times New Roman"/>
      <charset val="134"/>
    </font>
    <font>
      <sz val="20"/>
      <name val="Times New Roman"/>
      <charset val="134"/>
    </font>
    <font>
      <sz val="14"/>
      <color indexed="9"/>
      <name val="Times New Roman"/>
      <charset val="134"/>
    </font>
    <font>
      <b/>
      <sz val="12"/>
      <name val="Times New Roman"/>
      <charset val="134"/>
    </font>
    <font>
      <b/>
      <sz val="12"/>
      <color indexed="8"/>
      <name val="Times New Roman"/>
      <charset val="134"/>
    </font>
    <font>
      <b/>
      <strike/>
      <sz val="14"/>
      <name val="Times New Roman"/>
      <charset val="134"/>
    </font>
    <font>
      <sz val="12"/>
      <name val="Times New Roman"/>
      <charset val="134"/>
    </font>
    <font>
      <b/>
      <u/>
      <sz val="12"/>
      <name val="Times New Roman"/>
      <charset val="134"/>
    </font>
    <font>
      <b/>
      <u val="singleAccounting"/>
      <sz val="14"/>
      <name val="Times New Roman"/>
      <charset val="134"/>
    </font>
    <font>
      <b/>
      <u val="double"/>
      <sz val="11"/>
      <name val="Times New Roman"/>
      <charset val="134"/>
    </font>
    <font>
      <sz val="14"/>
      <color rgb="FFFF0000"/>
      <name val="Times New Roman"/>
      <charset val="134"/>
    </font>
    <font>
      <b/>
      <sz val="10"/>
      <name val="Arial"/>
      <charset val="134"/>
    </font>
    <font>
      <b/>
      <u/>
      <sz val="18"/>
      <name val="Times New Roman"/>
      <charset val="134"/>
    </font>
    <font>
      <sz val="16"/>
      <name val="Times New Roman"/>
      <charset val="134"/>
    </font>
    <font>
      <b/>
      <sz val="16"/>
      <name val="Times New Roman"/>
      <charset val="134"/>
    </font>
    <font>
      <b/>
      <u val="singleAccounting"/>
      <sz val="16"/>
      <name val="Times New Roman"/>
      <charset val="134"/>
    </font>
    <font>
      <b/>
      <u val="double"/>
      <sz val="16"/>
      <name val="Times New Roman"/>
      <charset val="134"/>
    </font>
    <font>
      <sz val="18"/>
      <name val="Times New Roman"/>
      <charset val="134"/>
    </font>
    <font>
      <sz val="10"/>
      <name val="Times New Roman"/>
      <charset val="134"/>
    </font>
    <font>
      <b/>
      <sz val="10"/>
      <name val="Times New Roman"/>
      <charset val="134"/>
    </font>
    <font>
      <b/>
      <u val="double"/>
      <sz val="10"/>
      <name val="Times New Roman"/>
      <charset val="134"/>
    </font>
    <font>
      <b/>
      <u/>
      <sz val="10"/>
      <name val="Times New Roman"/>
      <charset val="134"/>
    </font>
    <font>
      <b/>
      <u/>
      <sz val="11"/>
      <name val="Times New Roman"/>
      <charset val="134"/>
    </font>
    <font>
      <b/>
      <sz val="11"/>
      <name val="Times New Roman"/>
      <charset val="134"/>
    </font>
    <font>
      <u/>
      <sz val="10"/>
      <name val="Times New Roman"/>
      <charset val="134"/>
    </font>
    <font>
      <b/>
      <sz val="18"/>
      <color theme="1"/>
      <name val="Tahoma"/>
      <charset val="134"/>
    </font>
    <font>
      <sz val="12"/>
      <color theme="1"/>
      <name val="Tahoma"/>
      <charset val="134"/>
    </font>
    <font>
      <b/>
      <sz val="12"/>
      <color theme="1"/>
      <name val="Tahoma"/>
      <charset val="134"/>
    </font>
    <font>
      <b/>
      <u val="singleAccounting"/>
      <sz val="12"/>
      <color theme="1"/>
      <name val="Times New Roman"/>
      <charset val="134"/>
    </font>
    <font>
      <sz val="13"/>
      <color theme="1"/>
      <name val="Tahoma"/>
      <charset val="134"/>
    </font>
    <font>
      <sz val="11"/>
      <color theme="1"/>
      <name val="Tahoma"/>
      <charset val="134"/>
    </font>
    <font>
      <sz val="14"/>
      <name val="Tahoma"/>
      <charset val="134"/>
    </font>
    <font>
      <sz val="13"/>
      <name val="Tahoma"/>
      <charset val="134"/>
    </font>
    <font>
      <sz val="11"/>
      <color theme="1"/>
      <name val="Calibri"/>
      <charset val="134"/>
      <scheme val="minor"/>
    </font>
    <font>
      <sz val="14"/>
      <color theme="1"/>
      <name val="Tahoma"/>
      <charset val="134"/>
    </font>
    <font>
      <sz val="14"/>
      <color rgb="FFFF0000"/>
      <name val="Tahoma"/>
      <charset val="134"/>
    </font>
    <font>
      <b/>
      <sz val="13"/>
      <color theme="1"/>
      <name val="Tahoma"/>
      <charset val="134"/>
    </font>
    <font>
      <sz val="12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6"/>
      <color theme="1"/>
      <name val="Tahoma"/>
      <charset val="134"/>
    </font>
    <font>
      <sz val="18"/>
      <color theme="1"/>
      <name val="Tahoma"/>
      <charset val="134"/>
    </font>
    <font>
      <b/>
      <sz val="11"/>
      <color theme="1"/>
      <name val="Calibri"/>
      <charset val="134"/>
      <scheme val="minor"/>
    </font>
    <font>
      <b/>
      <sz val="14"/>
      <color theme="1"/>
      <name val="Tahoma"/>
      <charset val="134"/>
    </font>
    <font>
      <b/>
      <sz val="14"/>
      <color theme="1"/>
      <name val="Calibri"/>
      <charset val="134"/>
      <scheme val="minor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9"/>
      <color theme="1"/>
      <name val="Times New Roman"/>
      <charset val="134"/>
    </font>
    <font>
      <b/>
      <u/>
      <sz val="22"/>
      <name val="Times New Roman"/>
      <charset val="134"/>
    </font>
    <font>
      <sz val="22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name val="Arial"/>
      <charset val="134"/>
    </font>
    <font>
      <b/>
      <u val="double"/>
      <sz val="10"/>
      <name val="Arial"/>
      <charset val="134"/>
    </font>
    <font>
      <sz val="12"/>
      <color indexed="8"/>
      <name val="Times New Roman"/>
      <charset val="134"/>
    </font>
    <font>
      <sz val="12"/>
      <name val="Arial"/>
      <charset val="134"/>
    </font>
    <font>
      <strike/>
      <sz val="14"/>
      <name val="Times New Roman"/>
      <charset val="134"/>
    </font>
    <font>
      <b/>
      <sz val="14"/>
      <name val="Tahoma"/>
      <charset val="134"/>
    </font>
    <font>
      <b/>
      <sz val="10"/>
      <color theme="1"/>
      <name val="Tahoma"/>
      <charset val="134"/>
    </font>
    <font>
      <b/>
      <sz val="10"/>
      <color indexed="8"/>
      <name val="Times New Roman"/>
      <charset val="134"/>
    </font>
    <font>
      <b/>
      <strike/>
      <sz val="10"/>
      <name val="Times New Roman"/>
      <charset val="134"/>
    </font>
    <font>
      <sz val="9"/>
      <name val="Times New Roman"/>
      <charset val="134"/>
    </font>
    <font>
      <b/>
      <sz val="9"/>
      <name val="Times New Roman"/>
      <charset val="134"/>
    </font>
    <font>
      <sz val="11"/>
      <name val="Times New Roman"/>
      <charset val="134"/>
    </font>
    <font>
      <b/>
      <u val="double"/>
      <sz val="18"/>
      <name val="Times New Roman"/>
      <charset val="134"/>
    </font>
    <font>
      <u/>
      <sz val="18"/>
      <name val="Times New Roman"/>
      <charset val="134"/>
    </font>
    <font>
      <b/>
      <u/>
      <sz val="10"/>
      <color theme="1"/>
      <name val="Times New Roman"/>
      <charset val="134"/>
    </font>
    <font>
      <b/>
      <sz val="18"/>
      <name val="Times New Roman"/>
      <charset val="134"/>
    </font>
    <font>
      <sz val="14"/>
      <name val="Arial"/>
      <charset val="134"/>
    </font>
    <font>
      <b/>
      <sz val="14"/>
      <name val="Arial"/>
      <charset val="134"/>
    </font>
    <font>
      <u/>
      <sz val="14"/>
      <name val="Times New Roman"/>
      <charset val="134"/>
    </font>
    <font>
      <b/>
      <strike/>
      <sz val="16"/>
      <name val="Times New Roman"/>
      <charset val="134"/>
    </font>
    <font>
      <sz val="10"/>
      <name val="Arial"/>
      <charset val="134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43" fontId="88" fillId="0" borderId="0" applyFont="0" applyFill="0" applyBorder="0" applyAlignment="0" applyProtection="0"/>
    <xf numFmtId="165" fontId="46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88" fillId="0" borderId="0" applyFont="0" applyFill="0" applyBorder="0" applyAlignment="0" applyProtection="0"/>
    <xf numFmtId="0" fontId="88" fillId="0" borderId="0"/>
  </cellStyleXfs>
  <cellXfs count="925">
    <xf numFmtId="0" fontId="0" fillId="0" borderId="0" xfId="0"/>
    <xf numFmtId="0" fontId="1" fillId="2" borderId="0" xfId="0" applyFont="1" applyFill="1"/>
    <xf numFmtId="0" fontId="1" fillId="2" borderId="0" xfId="0" applyFont="1" applyFill="1" applyBorder="1"/>
    <xf numFmtId="0" fontId="1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wrapText="1"/>
    </xf>
    <xf numFmtId="49" fontId="4" fillId="2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left"/>
    </xf>
    <xf numFmtId="43" fontId="1" fillId="2" borderId="0" xfId="0" applyNumberFormat="1" applyFont="1" applyFill="1"/>
    <xf numFmtId="0" fontId="1" fillId="2" borderId="1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center"/>
    </xf>
    <xf numFmtId="20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 wrapText="1"/>
    </xf>
    <xf numFmtId="0" fontId="5" fillId="2" borderId="1" xfId="0" applyFont="1" applyFill="1" applyBorder="1" applyAlignment="1">
      <alignment wrapText="1"/>
    </xf>
    <xf numFmtId="49" fontId="3" fillId="2" borderId="1" xfId="0" applyNumberFormat="1" applyFont="1" applyFill="1" applyBorder="1" applyAlignment="1">
      <alignment wrapText="1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/>
    <xf numFmtId="49" fontId="3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center"/>
    </xf>
    <xf numFmtId="4" fontId="7" fillId="2" borderId="1" xfId="0" applyNumberFormat="1" applyFont="1" applyFill="1" applyBorder="1" applyAlignment="1">
      <alignment horizontal="left"/>
    </xf>
    <xf numFmtId="3" fontId="3" fillId="2" borderId="1" xfId="0" applyNumberFormat="1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4" fontId="7" fillId="2" borderId="0" xfId="0" applyNumberFormat="1" applyFont="1" applyFill="1" applyBorder="1" applyAlignment="1">
      <alignment horizontal="center"/>
    </xf>
    <xf numFmtId="4" fontId="3" fillId="2" borderId="0" xfId="0" applyNumberFormat="1" applyFont="1" applyFill="1" applyBorder="1" applyAlignment="1">
      <alignment horizontal="left"/>
    </xf>
    <xf numFmtId="165" fontId="1" fillId="2" borderId="0" xfId="0" applyNumberFormat="1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43" fontId="9" fillId="0" borderId="0" xfId="1" applyFont="1"/>
    <xf numFmtId="43" fontId="10" fillId="0" borderId="0" xfId="1" applyFont="1"/>
    <xf numFmtId="0" fontId="3" fillId="0" borderId="0" xfId="0" applyFont="1" applyBorder="1" applyAlignment="1">
      <alignment horizontal="center"/>
    </xf>
    <xf numFmtId="0" fontId="3" fillId="0" borderId="1" xfId="0" applyFont="1" applyBorder="1"/>
    <xf numFmtId="0" fontId="1" fillId="0" borderId="1" xfId="0" applyFont="1" applyBorder="1"/>
    <xf numFmtId="43" fontId="1" fillId="0" borderId="1" xfId="1" applyFont="1" applyBorder="1"/>
    <xf numFmtId="43" fontId="3" fillId="0" borderId="1" xfId="1" applyFont="1" applyBorder="1"/>
    <xf numFmtId="0" fontId="1" fillId="0" borderId="0" xfId="0" applyFont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43" fontId="1" fillId="0" borderId="1" xfId="0" applyNumberFormat="1" applyFont="1" applyBorder="1"/>
    <xf numFmtId="0" fontId="3" fillId="0" borderId="1" xfId="0" applyFont="1" applyBorder="1" applyAlignment="1">
      <alignment horizontal="left"/>
    </xf>
    <xf numFmtId="43" fontId="3" fillId="0" borderId="1" xfId="0" applyNumberFormat="1" applyFont="1" applyBorder="1"/>
    <xf numFmtId="0" fontId="2" fillId="0" borderId="1" xfId="0" applyFont="1" applyBorder="1" applyAlignment="1">
      <alignment horizontal="center"/>
    </xf>
    <xf numFmtId="49" fontId="6" fillId="3" borderId="1" xfId="0" applyNumberFormat="1" applyFont="1" applyFill="1" applyBorder="1" applyAlignment="1">
      <alignment horizontal="left"/>
    </xf>
    <xf numFmtId="43" fontId="1" fillId="3" borderId="1" xfId="1" applyFont="1" applyFill="1" applyBorder="1" applyAlignment="1">
      <alignment horizontal="right"/>
    </xf>
    <xf numFmtId="0" fontId="1" fillId="3" borderId="1" xfId="0" applyFont="1" applyFill="1" applyBorder="1"/>
    <xf numFmtId="16" fontId="1" fillId="3" borderId="1" xfId="0" applyNumberFormat="1" applyFont="1" applyFill="1" applyBorder="1"/>
    <xf numFmtId="0" fontId="3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17" fontId="2" fillId="0" borderId="1" xfId="0" applyNumberFormat="1" applyFont="1" applyFill="1" applyBorder="1" applyAlignment="1">
      <alignment horizontal="center"/>
    </xf>
    <xf numFmtId="43" fontId="6" fillId="4" borderId="1" xfId="1" applyFont="1" applyFill="1" applyBorder="1" applyAlignment="1">
      <alignment horizontal="right"/>
    </xf>
    <xf numFmtId="43" fontId="1" fillId="0" borderId="1" xfId="1" applyFont="1" applyBorder="1" applyAlignment="1"/>
    <xf numFmtId="43" fontId="6" fillId="3" borderId="1" xfId="1" applyFont="1" applyFill="1" applyBorder="1" applyAlignment="1">
      <alignment horizontal="right"/>
    </xf>
    <xf numFmtId="0" fontId="13" fillId="2" borderId="0" xfId="0" applyFont="1" applyFill="1" applyBorder="1" applyAlignment="1"/>
    <xf numFmtId="0" fontId="14" fillId="2" borderId="0" xfId="0" applyFont="1" applyFill="1"/>
    <xf numFmtId="4" fontId="15" fillId="2" borderId="0" xfId="0" applyNumberFormat="1" applyFont="1" applyFill="1"/>
    <xf numFmtId="0" fontId="16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 wrapText="1"/>
    </xf>
    <xf numFmtId="49" fontId="17" fillId="2" borderId="1" xfId="0" applyNumberFormat="1" applyFont="1" applyFill="1" applyBorder="1" applyAlignment="1">
      <alignment horizontal="left"/>
    </xf>
    <xf numFmtId="0" fontId="18" fillId="2" borderId="1" xfId="0" applyFont="1" applyFill="1" applyBorder="1" applyAlignment="1">
      <alignment horizontal="center"/>
    </xf>
    <xf numFmtId="49" fontId="19" fillId="2" borderId="1" xfId="0" applyNumberFormat="1" applyFont="1" applyFill="1" applyBorder="1" applyAlignment="1">
      <alignment horizontal="left"/>
    </xf>
    <xf numFmtId="3" fontId="1" fillId="2" borderId="1" xfId="1" applyNumberFormat="1" applyFont="1" applyFill="1" applyBorder="1" applyAlignment="1">
      <alignment horizontal="right"/>
    </xf>
    <xf numFmtId="43" fontId="1" fillId="2" borderId="1" xfId="1" applyFont="1" applyFill="1" applyBorder="1" applyAlignment="1">
      <alignment horizontal="right"/>
    </xf>
    <xf numFmtId="0" fontId="19" fillId="2" borderId="1" xfId="0" applyFont="1" applyFill="1" applyBorder="1"/>
    <xf numFmtId="0" fontId="19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center"/>
    </xf>
    <xf numFmtId="3" fontId="2" fillId="2" borderId="1" xfId="1" applyNumberFormat="1" applyFont="1" applyFill="1" applyBorder="1" applyAlignment="1">
      <alignment horizontal="right"/>
    </xf>
    <xf numFmtId="0" fontId="20" fillId="2" borderId="1" xfId="0" applyFont="1" applyFill="1" applyBorder="1" applyAlignment="1">
      <alignment horizontal="left"/>
    </xf>
    <xf numFmtId="3" fontId="21" fillId="2" borderId="1" xfId="1" applyNumberFormat="1" applyFont="1" applyFill="1" applyBorder="1" applyAlignment="1">
      <alignment horizontal="right"/>
    </xf>
    <xf numFmtId="3" fontId="3" fillId="2" borderId="1" xfId="1" applyNumberFormat="1" applyFont="1" applyFill="1" applyBorder="1" applyAlignment="1">
      <alignment horizontal="right"/>
    </xf>
    <xf numFmtId="43" fontId="21" fillId="2" borderId="1" xfId="1" applyFont="1" applyFill="1" applyBorder="1" applyAlignment="1">
      <alignment horizontal="right"/>
    </xf>
    <xf numFmtId="49" fontId="16" fillId="2" borderId="1" xfId="0" applyNumberFormat="1" applyFont="1" applyFill="1" applyBorder="1" applyAlignment="1"/>
    <xf numFmtId="0" fontId="19" fillId="2" borderId="1" xfId="0" applyFont="1" applyFill="1" applyBorder="1" applyAlignment="1">
      <alignment horizontal="center"/>
    </xf>
    <xf numFmtId="3" fontId="1" fillId="2" borderId="1" xfId="0" applyNumberFormat="1" applyFont="1" applyFill="1" applyBorder="1"/>
    <xf numFmtId="3" fontId="21" fillId="2" borderId="1" xfId="0" applyNumberFormat="1" applyFont="1" applyFill="1" applyBorder="1"/>
    <xf numFmtId="3" fontId="3" fillId="2" borderId="1" xfId="0" applyNumberFormat="1" applyFont="1" applyFill="1" applyBorder="1"/>
    <xf numFmtId="49" fontId="16" fillId="2" borderId="1" xfId="0" applyNumberFormat="1" applyFont="1" applyFill="1" applyBorder="1" applyAlignment="1">
      <alignment horizontal="center"/>
    </xf>
    <xf numFmtId="49" fontId="17" fillId="2" borderId="1" xfId="0" applyNumberFormat="1" applyFont="1" applyFill="1" applyBorder="1" applyAlignment="1">
      <alignment horizontal="center"/>
    </xf>
    <xf numFmtId="3" fontId="16" fillId="2" borderId="1" xfId="0" applyNumberFormat="1" applyFont="1" applyFill="1" applyBorder="1" applyAlignment="1">
      <alignment horizontal="center"/>
    </xf>
    <xf numFmtId="3" fontId="7" fillId="2" borderId="1" xfId="1" applyNumberFormat="1" applyFont="1" applyFill="1" applyBorder="1" applyAlignment="1">
      <alignment horizontal="right"/>
    </xf>
    <xf numFmtId="3" fontId="7" fillId="2" borderId="0" xfId="0" applyNumberFormat="1" applyFont="1" applyFill="1" applyBorder="1" applyAlignment="1">
      <alignment horizontal="right"/>
    </xf>
    <xf numFmtId="3" fontId="1" fillId="2" borderId="0" xfId="0" applyNumberFormat="1" applyFont="1" applyFill="1"/>
    <xf numFmtId="4" fontId="22" fillId="2" borderId="0" xfId="0" applyNumberFormat="1" applyFont="1" applyFill="1" applyBorder="1" applyAlignment="1">
      <alignment horizontal="right"/>
    </xf>
    <xf numFmtId="0" fontId="7" fillId="0" borderId="0" xfId="0" applyFont="1" applyAlignment="1">
      <alignment horizontal="left"/>
    </xf>
    <xf numFmtId="0" fontId="1" fillId="0" borderId="0" xfId="0" applyFont="1" applyBorder="1"/>
    <xf numFmtId="0" fontId="2" fillId="0" borderId="0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5" fillId="0" borderId="0" xfId="0" applyFont="1" applyFill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/>
    <xf numFmtId="0" fontId="1" fillId="0" borderId="1" xfId="0" applyFont="1" applyFill="1" applyBorder="1"/>
    <xf numFmtId="0" fontId="3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wrapText="1"/>
    </xf>
    <xf numFmtId="0" fontId="3" fillId="0" borderId="1" xfId="0" applyFont="1" applyFill="1" applyBorder="1"/>
    <xf numFmtId="49" fontId="4" fillId="0" borderId="1" xfId="0" applyNumberFormat="1" applyFont="1" applyFill="1" applyBorder="1" applyAlignment="1">
      <alignment horizontal="left"/>
    </xf>
    <xf numFmtId="0" fontId="18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49" fontId="1" fillId="0" borderId="2" xfId="0" applyNumberFormat="1" applyFont="1" applyFill="1" applyBorder="1" applyAlignment="1">
      <alignment horizontal="left"/>
    </xf>
    <xf numFmtId="49" fontId="1" fillId="0" borderId="4" xfId="0" applyNumberFormat="1" applyFont="1" applyFill="1" applyBorder="1" applyAlignment="1">
      <alignment horizontal="left"/>
    </xf>
    <xf numFmtId="49" fontId="1" fillId="0" borderId="1" xfId="0" applyNumberFormat="1" applyFont="1" applyFill="1" applyBorder="1" applyAlignment="1">
      <alignment horizontal="left"/>
    </xf>
    <xf numFmtId="43" fontId="1" fillId="0" borderId="1" xfId="1" applyFont="1" applyFill="1" applyBorder="1" applyAlignment="1">
      <alignment horizontal="right"/>
    </xf>
    <xf numFmtId="49" fontId="1" fillId="0" borderId="1" xfId="0" applyNumberFormat="1" applyFont="1" applyFill="1" applyBorder="1" applyAlignment="1">
      <alignment horizontal="center"/>
    </xf>
    <xf numFmtId="0" fontId="1" fillId="0" borderId="5" xfId="0" applyFont="1" applyFill="1" applyBorder="1"/>
    <xf numFmtId="0" fontId="1" fillId="0" borderId="5" xfId="0" applyFont="1" applyFill="1" applyBorder="1" applyAlignment="1">
      <alignment horizontal="center"/>
    </xf>
    <xf numFmtId="43" fontId="1" fillId="0" borderId="5" xfId="1" applyFont="1" applyFill="1" applyBorder="1" applyAlignment="1">
      <alignment horizontal="right"/>
    </xf>
    <xf numFmtId="43" fontId="6" fillId="0" borderId="5" xfId="1" applyFont="1" applyFill="1" applyBorder="1" applyAlignment="1">
      <alignment horizontal="right"/>
    </xf>
    <xf numFmtId="20" fontId="1" fillId="0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left"/>
    </xf>
    <xf numFmtId="49" fontId="1" fillId="2" borderId="4" xfId="0" applyNumberFormat="1" applyFont="1" applyFill="1" applyBorder="1" applyAlignment="1">
      <alignment horizontal="left"/>
    </xf>
    <xf numFmtId="20" fontId="1" fillId="0" borderId="5" xfId="0" applyNumberFormat="1" applyFont="1" applyFill="1" applyBorder="1" applyAlignment="1">
      <alignment horizontal="center"/>
    </xf>
    <xf numFmtId="43" fontId="1" fillId="0" borderId="1" xfId="1" applyFont="1" applyFill="1" applyBorder="1"/>
    <xf numFmtId="49" fontId="3" fillId="0" borderId="1" xfId="0" applyNumberFormat="1" applyFont="1" applyFill="1" applyBorder="1" applyAlignment="1">
      <alignment horizontal="left"/>
    </xf>
    <xf numFmtId="43" fontId="2" fillId="0" borderId="1" xfId="1" applyFont="1" applyFill="1" applyBorder="1" applyAlignment="1">
      <alignment horizontal="right"/>
    </xf>
    <xf numFmtId="0" fontId="1" fillId="0" borderId="1" xfId="0" applyFont="1" applyFill="1" applyBorder="1" applyAlignment="1"/>
    <xf numFmtId="0" fontId="3" fillId="0" borderId="1" xfId="0" applyFont="1" applyFill="1" applyBorder="1" applyAlignment="1"/>
    <xf numFmtId="0" fontId="2" fillId="0" borderId="1" xfId="0" applyFont="1" applyFill="1" applyBorder="1" applyAlignment="1">
      <alignment horizontal="left"/>
    </xf>
    <xf numFmtId="0" fontId="23" fillId="0" borderId="1" xfId="0" applyFont="1" applyFill="1" applyBorder="1"/>
    <xf numFmtId="0" fontId="23" fillId="0" borderId="1" xfId="0" applyFont="1" applyFill="1" applyBorder="1" applyAlignment="1">
      <alignment horizontal="center"/>
    </xf>
    <xf numFmtId="43" fontId="23" fillId="0" borderId="1" xfId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43" fontId="3" fillId="2" borderId="1" xfId="1" applyFont="1" applyFill="1" applyBorder="1" applyAlignment="1">
      <alignment horizontal="right"/>
    </xf>
    <xf numFmtId="17" fontId="2" fillId="0" borderId="0" xfId="0" applyNumberFormat="1" applyFont="1" applyAlignment="1">
      <alignment horizontal="left"/>
    </xf>
    <xf numFmtId="43" fontId="21" fillId="0" borderId="1" xfId="1" applyFont="1" applyBorder="1"/>
    <xf numFmtId="43" fontId="23" fillId="0" borderId="1" xfId="1" applyFont="1" applyBorder="1"/>
    <xf numFmtId="4" fontId="1" fillId="0" borderId="0" xfId="0" applyNumberFormat="1" applyFont="1"/>
    <xf numFmtId="4" fontId="15" fillId="0" borderId="0" xfId="0" applyNumberFormat="1" applyFont="1"/>
    <xf numFmtId="0" fontId="1" fillId="0" borderId="0" xfId="0" applyFont="1" applyFill="1"/>
    <xf numFmtId="43" fontId="3" fillId="0" borderId="5" xfId="1" applyFont="1" applyFill="1" applyBorder="1" applyAlignment="1">
      <alignment horizontal="right"/>
    </xf>
    <xf numFmtId="43" fontId="3" fillId="0" borderId="1" xfId="1" applyFont="1" applyFill="1" applyBorder="1" applyAlignment="1">
      <alignment horizontal="right"/>
    </xf>
    <xf numFmtId="43" fontId="21" fillId="0" borderId="1" xfId="1" applyFont="1" applyFill="1" applyBorder="1" applyAlignment="1">
      <alignment horizontal="right"/>
    </xf>
    <xf numFmtId="0" fontId="3" fillId="0" borderId="1" xfId="0" applyFont="1" applyFill="1" applyBorder="1" applyAlignment="1">
      <alignment horizontal="center" wrapText="1"/>
    </xf>
    <xf numFmtId="43" fontId="1" fillId="0" borderId="0" xfId="0" applyNumberFormat="1" applyFont="1"/>
    <xf numFmtId="49" fontId="3" fillId="0" borderId="1" xfId="0" applyNumberFormat="1" applyFont="1" applyFill="1" applyBorder="1" applyAlignment="1"/>
    <xf numFmtId="49" fontId="3" fillId="0" borderId="1" xfId="0" applyNumberFormat="1" applyFont="1" applyFill="1" applyBorder="1" applyAlignment="1">
      <alignment horizontal="center"/>
    </xf>
    <xf numFmtId="43" fontId="21" fillId="0" borderId="1" xfId="0" applyNumberFormat="1" applyFont="1" applyFill="1" applyBorder="1"/>
    <xf numFmtId="43" fontId="3" fillId="0" borderId="1" xfId="0" applyNumberFormat="1" applyFont="1" applyFill="1" applyBorder="1"/>
    <xf numFmtId="49" fontId="1" fillId="0" borderId="8" xfId="0" applyNumberFormat="1" applyFont="1" applyFill="1" applyBorder="1" applyAlignment="1">
      <alignment horizontal="left"/>
    </xf>
    <xf numFmtId="49" fontId="1" fillId="0" borderId="0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center"/>
    </xf>
    <xf numFmtId="49" fontId="6" fillId="0" borderId="1" xfId="0" applyNumberFormat="1" applyFont="1" applyFill="1" applyBorder="1" applyAlignment="1">
      <alignment horizontal="center"/>
    </xf>
    <xf numFmtId="4" fontId="7" fillId="0" borderId="1" xfId="0" applyNumberFormat="1" applyFont="1" applyFill="1" applyBorder="1" applyAlignment="1">
      <alignment horizontal="left"/>
    </xf>
    <xf numFmtId="3" fontId="3" fillId="0" borderId="1" xfId="0" applyNumberFormat="1" applyFont="1" applyFill="1" applyBorder="1" applyAlignment="1">
      <alignment horizontal="center"/>
    </xf>
    <xf numFmtId="4" fontId="3" fillId="0" borderId="1" xfId="0" applyNumberFormat="1" applyFont="1" applyFill="1" applyBorder="1" applyAlignment="1">
      <alignment horizontal="center"/>
    </xf>
    <xf numFmtId="43" fontId="7" fillId="0" borderId="1" xfId="1" applyFont="1" applyFill="1" applyBorder="1" applyAlignment="1">
      <alignment horizontal="right"/>
    </xf>
    <xf numFmtId="4" fontId="7" fillId="0" borderId="1" xfId="0" applyNumberFormat="1" applyFont="1" applyFill="1" applyBorder="1" applyAlignment="1">
      <alignment horizontal="center"/>
    </xf>
    <xf numFmtId="4" fontId="7" fillId="0" borderId="1" xfId="0" applyNumberFormat="1" applyFont="1" applyFill="1" applyBorder="1" applyAlignment="1">
      <alignment horizontal="right"/>
    </xf>
    <xf numFmtId="4" fontId="3" fillId="0" borderId="1" xfId="0" applyNumberFormat="1" applyFont="1" applyFill="1" applyBorder="1" applyAlignment="1">
      <alignment horizontal="left"/>
    </xf>
    <xf numFmtId="0" fontId="19" fillId="0" borderId="0" xfId="0" applyFont="1"/>
    <xf numFmtId="49" fontId="6" fillId="0" borderId="1" xfId="0" applyNumberFormat="1" applyFont="1" applyFill="1" applyBorder="1" applyAlignment="1">
      <alignment horizontal="left"/>
    </xf>
    <xf numFmtId="49" fontId="1" fillId="0" borderId="2" xfId="0" applyNumberFormat="1" applyFont="1" applyFill="1" applyBorder="1" applyAlignment="1">
      <alignment wrapText="1"/>
    </xf>
    <xf numFmtId="43" fontId="1" fillId="0" borderId="1" xfId="1" applyFont="1" applyFill="1" applyBorder="1" applyAlignment="1">
      <alignment horizontal="left"/>
    </xf>
    <xf numFmtId="43" fontId="1" fillId="0" borderId="1" xfId="1" applyFont="1" applyFill="1" applyBorder="1" applyAlignment="1">
      <alignment horizontal="center"/>
    </xf>
    <xf numFmtId="0" fontId="1" fillId="0" borderId="2" xfId="0" applyFont="1" applyFill="1" applyBorder="1" applyAlignment="1">
      <alignment wrapText="1"/>
    </xf>
    <xf numFmtId="43" fontId="1" fillId="0" borderId="5" xfId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wrapText="1"/>
    </xf>
    <xf numFmtId="43" fontId="1" fillId="2" borderId="1" xfId="1" applyFont="1" applyFill="1" applyBorder="1" applyAlignment="1">
      <alignment horizontal="center"/>
    </xf>
    <xf numFmtId="49" fontId="1" fillId="0" borderId="1" xfId="0" applyNumberFormat="1" applyFont="1" applyFill="1" applyBorder="1" applyAlignment="1">
      <alignment wrapText="1"/>
    </xf>
    <xf numFmtId="49" fontId="1" fillId="0" borderId="2" xfId="0" applyNumberFormat="1" applyFont="1" applyFill="1" applyBorder="1" applyAlignment="1">
      <alignment horizontal="left" wrapText="1"/>
    </xf>
    <xf numFmtId="43" fontId="1" fillId="0" borderId="0" xfId="1" applyFont="1" applyAlignment="1">
      <alignment horizontal="center"/>
    </xf>
    <xf numFmtId="0" fontId="5" fillId="0" borderId="2" xfId="0" applyFont="1" applyFill="1" applyBorder="1" applyAlignment="1">
      <alignment wrapText="1"/>
    </xf>
    <xf numFmtId="49" fontId="1" fillId="2" borderId="2" xfId="0" applyNumberFormat="1" applyFont="1" applyFill="1" applyBorder="1" applyAlignment="1">
      <alignment horizontal="left" wrapText="1"/>
    </xf>
    <xf numFmtId="49" fontId="3" fillId="0" borderId="1" xfId="0" applyNumberFormat="1" applyFont="1" applyFill="1" applyBorder="1" applyAlignment="1">
      <alignment wrapText="1"/>
    </xf>
    <xf numFmtId="43" fontId="3" fillId="0" borderId="1" xfId="1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left" wrapText="1"/>
    </xf>
    <xf numFmtId="0" fontId="1" fillId="0" borderId="1" xfId="0" applyFont="1" applyFill="1" applyBorder="1" applyAlignment="1">
      <alignment wrapText="1"/>
    </xf>
    <xf numFmtId="165" fontId="1" fillId="0" borderId="0" xfId="0" applyNumberFormat="1" applyFont="1"/>
    <xf numFmtId="0" fontId="2" fillId="0" borderId="2" xfId="0" applyFont="1" applyFill="1" applyBorder="1" applyAlignment="1">
      <alignment wrapText="1"/>
    </xf>
    <xf numFmtId="43" fontId="2" fillId="0" borderId="1" xfId="1" applyFont="1" applyFill="1" applyBorder="1" applyAlignment="1">
      <alignment horizontal="center"/>
    </xf>
    <xf numFmtId="0" fontId="1" fillId="2" borderId="2" xfId="0" applyFont="1" applyFill="1" applyBorder="1" applyAlignment="1">
      <alignment wrapText="1"/>
    </xf>
    <xf numFmtId="49" fontId="3" fillId="2" borderId="2" xfId="0" applyNumberFormat="1" applyFont="1" applyFill="1" applyBorder="1" applyAlignment="1">
      <alignment wrapText="1"/>
    </xf>
    <xf numFmtId="43" fontId="3" fillId="2" borderId="1" xfId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left" wrapText="1"/>
    </xf>
    <xf numFmtId="0" fontId="1" fillId="0" borderId="0" xfId="0" applyFont="1" applyAlignment="1">
      <alignment wrapText="1"/>
    </xf>
    <xf numFmtId="49" fontId="3" fillId="0" borderId="2" xfId="0" applyNumberFormat="1" applyFont="1" applyFill="1" applyBorder="1" applyAlignment="1">
      <alignment wrapText="1"/>
    </xf>
    <xf numFmtId="43" fontId="21" fillId="0" borderId="1" xfId="1" applyFont="1" applyFill="1" applyBorder="1"/>
    <xf numFmtId="43" fontId="21" fillId="0" borderId="1" xfId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left" wrapText="1"/>
    </xf>
    <xf numFmtId="43" fontId="4" fillId="0" borderId="1" xfId="1" applyFont="1" applyFill="1" applyBorder="1" applyAlignment="1">
      <alignment horizontal="center"/>
    </xf>
    <xf numFmtId="4" fontId="0" fillId="0" borderId="0" xfId="0" applyNumberFormat="1"/>
    <xf numFmtId="4" fontId="24" fillId="0" borderId="0" xfId="0" applyNumberFormat="1" applyFont="1"/>
    <xf numFmtId="4" fontId="24" fillId="0" borderId="0" xfId="0" applyNumberFormat="1" applyFont="1" applyAlignment="1">
      <alignment wrapText="1"/>
    </xf>
    <xf numFmtId="0" fontId="0" fillId="0" borderId="0" xfId="0" applyNumberFormat="1"/>
    <xf numFmtId="0" fontId="13" fillId="2" borderId="0" xfId="0" applyFont="1" applyFill="1" applyBorder="1"/>
    <xf numFmtId="0" fontId="13" fillId="2" borderId="0" xfId="0" applyFont="1" applyFill="1" applyAlignment="1">
      <alignment horizontal="left"/>
    </xf>
    <xf numFmtId="0" fontId="15" fillId="2" borderId="0" xfId="0" applyFont="1" applyFill="1"/>
    <xf numFmtId="0" fontId="2" fillId="2" borderId="1" xfId="0" applyFont="1" applyFill="1" applyBorder="1" applyAlignment="1">
      <alignment horizontal="center" wrapText="1"/>
    </xf>
    <xf numFmtId="43" fontId="1" fillId="5" borderId="1" xfId="1" applyFont="1" applyFill="1" applyBorder="1" applyAlignment="1">
      <alignment horizontal="right"/>
    </xf>
    <xf numFmtId="43" fontId="1" fillId="2" borderId="1" xfId="1" applyFont="1" applyFill="1" applyBorder="1"/>
    <xf numFmtId="43" fontId="2" fillId="2" borderId="1" xfId="1" applyFont="1" applyFill="1" applyBorder="1" applyAlignment="1">
      <alignment horizontal="right"/>
    </xf>
    <xf numFmtId="43" fontId="1" fillId="6" borderId="1" xfId="1" applyFont="1" applyFill="1" applyBorder="1" applyAlignment="1">
      <alignment horizontal="right"/>
    </xf>
    <xf numFmtId="43" fontId="21" fillId="2" borderId="1" xfId="0" applyNumberFormat="1" applyFont="1" applyFill="1" applyBorder="1"/>
    <xf numFmtId="43" fontId="3" fillId="2" borderId="1" xfId="0" applyNumberFormat="1" applyFont="1" applyFill="1" applyBorder="1"/>
    <xf numFmtId="43" fontId="1" fillId="6" borderId="1" xfId="1" applyFont="1" applyFill="1" applyBorder="1"/>
    <xf numFmtId="43" fontId="5" fillId="2" borderId="1" xfId="1" applyFont="1" applyFill="1" applyBorder="1"/>
    <xf numFmtId="43" fontId="7" fillId="2" borderId="1" xfId="1" applyFont="1" applyFill="1" applyBorder="1" applyAlignment="1">
      <alignment horizontal="right"/>
    </xf>
    <xf numFmtId="4" fontId="3" fillId="2" borderId="0" xfId="0" applyNumberFormat="1" applyFont="1" applyFill="1" applyBorder="1" applyAlignment="1">
      <alignment horizontal="center"/>
    </xf>
    <xf numFmtId="4" fontId="7" fillId="2" borderId="0" xfId="0" applyNumberFormat="1" applyFont="1" applyFill="1" applyBorder="1" applyAlignment="1">
      <alignment horizontal="right"/>
    </xf>
    <xf numFmtId="0" fontId="18" fillId="7" borderId="1" xfId="0" applyFont="1" applyFill="1" applyBorder="1" applyAlignment="1">
      <alignment horizontal="center"/>
    </xf>
    <xf numFmtId="43" fontId="1" fillId="7" borderId="1" xfId="1" applyFont="1" applyFill="1" applyBorder="1" applyAlignment="1">
      <alignment horizontal="right"/>
    </xf>
    <xf numFmtId="43" fontId="2" fillId="7" borderId="1" xfId="1" applyFont="1" applyFill="1" applyBorder="1" applyAlignment="1">
      <alignment horizontal="right"/>
    </xf>
    <xf numFmtId="43" fontId="3" fillId="7" borderId="1" xfId="1" applyFont="1" applyFill="1" applyBorder="1" applyAlignment="1">
      <alignment horizontal="right"/>
    </xf>
    <xf numFmtId="0" fontId="1" fillId="7" borderId="1" xfId="0" applyFont="1" applyFill="1" applyBorder="1"/>
    <xf numFmtId="43" fontId="3" fillId="7" borderId="1" xfId="0" applyNumberFormat="1" applyFont="1" applyFill="1" applyBorder="1"/>
    <xf numFmtId="0" fontId="25" fillId="2" borderId="0" xfId="0" applyFont="1" applyFill="1" applyBorder="1" applyAlignment="1"/>
    <xf numFmtId="0" fontId="26" fillId="2" borderId="1" xfId="0" applyFont="1" applyFill="1" applyBorder="1"/>
    <xf numFmtId="0" fontId="12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 wrapText="1"/>
    </xf>
    <xf numFmtId="0" fontId="27" fillId="7" borderId="1" xfId="0" applyFont="1" applyFill="1" applyBorder="1" applyAlignment="1">
      <alignment horizontal="center" wrapText="1"/>
    </xf>
    <xf numFmtId="3" fontId="26" fillId="7" borderId="1" xfId="1" applyNumberFormat="1" applyFont="1" applyFill="1" applyBorder="1" applyAlignment="1">
      <alignment horizontal="right"/>
    </xf>
    <xf numFmtId="3" fontId="12" fillId="2" borderId="1" xfId="1" applyNumberFormat="1" applyFont="1" applyFill="1" applyBorder="1" applyAlignment="1">
      <alignment horizontal="right"/>
    </xf>
    <xf numFmtId="3" fontId="12" fillId="7" borderId="1" xfId="1" applyNumberFormat="1" applyFont="1" applyFill="1" applyBorder="1" applyAlignment="1">
      <alignment horizontal="right"/>
    </xf>
    <xf numFmtId="3" fontId="28" fillId="2" borderId="1" xfId="1" applyNumberFormat="1" applyFont="1" applyFill="1" applyBorder="1" applyAlignment="1">
      <alignment horizontal="right"/>
    </xf>
    <xf numFmtId="3" fontId="27" fillId="7" borderId="1" xfId="1" applyNumberFormat="1" applyFont="1" applyFill="1" applyBorder="1" applyAlignment="1">
      <alignment horizontal="right"/>
    </xf>
    <xf numFmtId="3" fontId="26" fillId="7" borderId="1" xfId="0" applyNumberFormat="1" applyFont="1" applyFill="1" applyBorder="1"/>
    <xf numFmtId="3" fontId="28" fillId="2" borderId="1" xfId="0" applyNumberFormat="1" applyFont="1" applyFill="1" applyBorder="1"/>
    <xf numFmtId="3" fontId="27" fillId="7" borderId="1" xfId="0" applyNumberFormat="1" applyFont="1" applyFill="1" applyBorder="1"/>
    <xf numFmtId="3" fontId="28" fillId="7" borderId="1" xfId="1" applyNumberFormat="1" applyFont="1" applyFill="1" applyBorder="1" applyAlignment="1">
      <alignment horizontal="right"/>
    </xf>
    <xf numFmtId="3" fontId="27" fillId="2" borderId="1" xfId="1" applyNumberFormat="1" applyFont="1" applyFill="1" applyBorder="1" applyAlignment="1">
      <alignment horizontal="right"/>
    </xf>
    <xf numFmtId="4" fontId="29" fillId="8" borderId="1" xfId="0" applyNumberFormat="1" applyFont="1" applyFill="1" applyBorder="1" applyAlignment="1">
      <alignment horizontal="left"/>
    </xf>
    <xf numFmtId="3" fontId="27" fillId="8" borderId="1" xfId="0" applyNumberFormat="1" applyFont="1" applyFill="1" applyBorder="1" applyAlignment="1">
      <alignment horizontal="center"/>
    </xf>
    <xf numFmtId="4" fontId="27" fillId="8" borderId="1" xfId="0" applyNumberFormat="1" applyFont="1" applyFill="1" applyBorder="1" applyAlignment="1">
      <alignment horizontal="center"/>
    </xf>
    <xf numFmtId="3" fontId="29" fillId="8" borderId="1" xfId="1" applyNumberFormat="1" applyFont="1" applyFill="1" applyBorder="1" applyAlignment="1">
      <alignment horizontal="right"/>
    </xf>
    <xf numFmtId="43" fontId="1" fillId="2" borderId="0" xfId="1" applyFont="1" applyFill="1"/>
    <xf numFmtId="0" fontId="30" fillId="2" borderId="0" xfId="0" applyFont="1" applyFill="1"/>
    <xf numFmtId="0" fontId="3" fillId="0" borderId="0" xfId="0" applyFont="1"/>
    <xf numFmtId="0" fontId="3" fillId="0" borderId="1" xfId="0" applyFont="1" applyBorder="1" applyAlignment="1">
      <alignment horizontal="right" wrapText="1"/>
    </xf>
    <xf numFmtId="3" fontId="1" fillId="0" borderId="1" xfId="0" applyNumberFormat="1" applyFont="1" applyBorder="1"/>
    <xf numFmtId="4" fontId="1" fillId="0" borderId="1" xfId="0" applyNumberFormat="1" applyFont="1" applyBorder="1"/>
    <xf numFmtId="0" fontId="1" fillId="0" borderId="1" xfId="0" applyFont="1" applyBorder="1" applyAlignment="1">
      <alignment wrapText="1"/>
    </xf>
    <xf numFmtId="3" fontId="3" fillId="0" borderId="1" xfId="0" applyNumberFormat="1" applyFont="1" applyBorder="1"/>
    <xf numFmtId="0" fontId="31" fillId="0" borderId="0" xfId="0" applyFont="1"/>
    <xf numFmtId="0" fontId="27" fillId="0" borderId="0" xfId="0" applyFont="1" applyAlignment="1">
      <alignment horizontal="center"/>
    </xf>
    <xf numFmtId="0" fontId="16" fillId="0" borderId="1" xfId="0" applyFont="1" applyBorder="1"/>
    <xf numFmtId="0" fontId="16" fillId="0" borderId="1" xfId="0" applyNumberFormat="1" applyFont="1" applyBorder="1" applyAlignment="1">
      <alignment horizontal="center" wrapText="1"/>
    </xf>
    <xf numFmtId="0" fontId="16" fillId="0" borderId="1" xfId="0" applyFont="1" applyBorder="1" applyAlignment="1">
      <alignment horizontal="right" wrapText="1"/>
    </xf>
    <xf numFmtId="3" fontId="2" fillId="0" borderId="1" xfId="0" applyNumberFormat="1" applyFont="1" applyBorder="1"/>
    <xf numFmtId="3" fontId="31" fillId="0" borderId="0" xfId="0" applyNumberFormat="1" applyFont="1"/>
    <xf numFmtId="3" fontId="32" fillId="0" borderId="0" xfId="0" applyNumberFormat="1" applyFont="1"/>
    <xf numFmtId="0" fontId="32" fillId="0" borderId="0" xfId="0" applyFont="1"/>
    <xf numFmtId="3" fontId="33" fillId="0" borderId="0" xfId="0" applyNumberFormat="1" applyFont="1"/>
    <xf numFmtId="0" fontId="34" fillId="2" borderId="0" xfId="0" applyFont="1" applyFill="1" applyBorder="1"/>
    <xf numFmtId="0" fontId="34" fillId="2" borderId="0" xfId="0" applyFont="1" applyFill="1" applyAlignment="1">
      <alignment horizontal="left"/>
    </xf>
    <xf numFmtId="0" fontId="32" fillId="0" borderId="0" xfId="0" applyFont="1" applyAlignment="1">
      <alignment horizontal="left"/>
    </xf>
    <xf numFmtId="0" fontId="32" fillId="0" borderId="0" xfId="0" applyFont="1" applyAlignment="1">
      <alignment horizontal="left" wrapText="1"/>
    </xf>
    <xf numFmtId="0" fontId="31" fillId="0" borderId="1" xfId="0" applyFont="1" applyBorder="1"/>
    <xf numFmtId="3" fontId="31" fillId="0" borderId="1" xfId="0" applyNumberFormat="1" applyFont="1" applyBorder="1"/>
    <xf numFmtId="0" fontId="31" fillId="2" borderId="1" xfId="0" applyFont="1" applyFill="1" applyBorder="1"/>
    <xf numFmtId="3" fontId="37" fillId="0" borderId="1" xfId="0" applyNumberFormat="1" applyFont="1" applyBorder="1"/>
    <xf numFmtId="0" fontId="32" fillId="0" borderId="1" xfId="0" applyFont="1" applyBorder="1"/>
    <xf numFmtId="3" fontId="34" fillId="0" borderId="1" xfId="0" applyNumberFormat="1" applyFont="1" applyBorder="1"/>
    <xf numFmtId="0" fontId="32" fillId="0" borderId="0" xfId="0" applyFont="1" applyAlignment="1">
      <alignment horizontal="right" wrapText="1"/>
    </xf>
    <xf numFmtId="3" fontId="37" fillId="0" borderId="0" xfId="0" applyNumberFormat="1" applyFont="1"/>
    <xf numFmtId="3" fontId="22" fillId="0" borderId="1" xfId="0" applyNumberFormat="1" applyFont="1" applyBorder="1"/>
    <xf numFmtId="0" fontId="0" fillId="9" borderId="0" xfId="0" applyFill="1"/>
    <xf numFmtId="0" fontId="32" fillId="9" borderId="0" xfId="0" applyFont="1" applyFill="1"/>
    <xf numFmtId="0" fontId="32" fillId="2" borderId="0" xfId="0" applyFont="1" applyFill="1"/>
    <xf numFmtId="4" fontId="36" fillId="0" borderId="0" xfId="0" applyNumberFormat="1" applyFont="1"/>
    <xf numFmtId="4" fontId="36" fillId="2" borderId="0" xfId="0" applyNumberFormat="1" applyFont="1" applyFill="1"/>
    <xf numFmtId="0" fontId="24" fillId="0" borderId="0" xfId="0" applyFont="1"/>
    <xf numFmtId="0" fontId="24" fillId="2" borderId="0" xfId="0" applyFont="1" applyFill="1"/>
    <xf numFmtId="0" fontId="0" fillId="2" borderId="0" xfId="0" applyFill="1"/>
    <xf numFmtId="0" fontId="1" fillId="3" borderId="0" xfId="0" applyFont="1" applyFill="1"/>
    <xf numFmtId="0" fontId="1" fillId="2" borderId="0" xfId="0" applyFont="1" applyFill="1" applyAlignment="1">
      <alignment wrapText="1"/>
    </xf>
    <xf numFmtId="17" fontId="2" fillId="2" borderId="0" xfId="0" applyNumberFormat="1" applyFont="1" applyFill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wrapText="1"/>
    </xf>
    <xf numFmtId="49" fontId="1" fillId="3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center"/>
    </xf>
    <xf numFmtId="43" fontId="1" fillId="3" borderId="1" xfId="1" applyFont="1" applyFill="1" applyBorder="1"/>
    <xf numFmtId="4" fontId="15" fillId="2" borderId="0" xfId="0" applyNumberFormat="1" applyFont="1" applyFill="1" applyAlignment="1">
      <alignment wrapText="1"/>
    </xf>
    <xf numFmtId="0" fontId="3" fillId="5" borderId="1" xfId="0" applyFont="1" applyFill="1" applyBorder="1" applyAlignment="1">
      <alignment horizontal="center" wrapText="1"/>
    </xf>
    <xf numFmtId="0" fontId="18" fillId="5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wrapText="1"/>
    </xf>
    <xf numFmtId="43" fontId="1" fillId="2" borderId="1" xfId="1" applyFont="1" applyFill="1" applyBorder="1" applyAlignment="1">
      <alignment horizontal="right" wrapText="1"/>
    </xf>
    <xf numFmtId="43" fontId="2" fillId="5" borderId="1" xfId="1" applyFont="1" applyFill="1" applyBorder="1" applyAlignment="1">
      <alignment horizontal="right"/>
    </xf>
    <xf numFmtId="43" fontId="2" fillId="2" borderId="1" xfId="1" applyFont="1" applyFill="1" applyBorder="1" applyAlignment="1">
      <alignment horizontal="right" wrapText="1"/>
    </xf>
    <xf numFmtId="43" fontId="3" fillId="5" borderId="1" xfId="1" applyFont="1" applyFill="1" applyBorder="1" applyAlignment="1">
      <alignment horizontal="right"/>
    </xf>
    <xf numFmtId="43" fontId="3" fillId="2" borderId="1" xfId="1" applyFont="1" applyFill="1" applyBorder="1" applyAlignment="1">
      <alignment horizontal="right" wrapText="1"/>
    </xf>
    <xf numFmtId="43" fontId="21" fillId="2" borderId="1" xfId="1" applyFont="1" applyFill="1" applyBorder="1" applyAlignment="1">
      <alignment horizontal="right" wrapText="1"/>
    </xf>
    <xf numFmtId="43" fontId="3" fillId="5" borderId="1" xfId="0" applyNumberFormat="1" applyFont="1" applyFill="1" applyBorder="1"/>
    <xf numFmtId="43" fontId="3" fillId="2" borderId="1" xfId="0" applyNumberFormat="1" applyFont="1" applyFill="1" applyBorder="1" applyAlignment="1">
      <alignment wrapText="1"/>
    </xf>
    <xf numFmtId="43" fontId="1" fillId="3" borderId="1" xfId="1" applyFont="1" applyFill="1" applyBorder="1" applyAlignment="1">
      <alignment horizontal="right" wrapText="1"/>
    </xf>
    <xf numFmtId="4" fontId="7" fillId="2" borderId="0" xfId="0" applyNumberFormat="1" applyFont="1" applyFill="1" applyBorder="1" applyAlignment="1">
      <alignment horizontal="right" wrapText="1"/>
    </xf>
    <xf numFmtId="0" fontId="16" fillId="2" borderId="1" xfId="0" applyFont="1" applyFill="1" applyBorder="1" applyAlignment="1">
      <alignment horizontal="center" wrapText="1"/>
    </xf>
    <xf numFmtId="0" fontId="16" fillId="7" borderId="1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wrapText="1"/>
    </xf>
    <xf numFmtId="43" fontId="21" fillId="7" borderId="1" xfId="1" applyFont="1" applyFill="1" applyBorder="1" applyAlignment="1">
      <alignment horizontal="right"/>
    </xf>
    <xf numFmtId="43" fontId="21" fillId="7" borderId="1" xfId="1" applyFont="1" applyFill="1" applyBorder="1" applyAlignment="1">
      <alignment horizontal="right" wrapText="1"/>
    </xf>
    <xf numFmtId="43" fontId="1" fillId="3" borderId="0" xfId="0" applyNumberFormat="1" applyFont="1" applyFill="1"/>
    <xf numFmtId="43" fontId="7" fillId="7" borderId="1" xfId="1" applyFont="1" applyFill="1" applyBorder="1" applyAlignment="1">
      <alignment horizontal="right"/>
    </xf>
    <xf numFmtId="0" fontId="1" fillId="8" borderId="0" xfId="0" applyFont="1" applyFill="1"/>
    <xf numFmtId="0" fontId="1" fillId="8" borderId="1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wrapText="1"/>
    </xf>
    <xf numFmtId="49" fontId="1" fillId="8" borderId="1" xfId="0" applyNumberFormat="1" applyFont="1" applyFill="1" applyBorder="1" applyAlignment="1">
      <alignment horizontal="left"/>
    </xf>
    <xf numFmtId="49" fontId="1" fillId="8" borderId="1" xfId="0" applyNumberFormat="1" applyFont="1" applyFill="1" applyBorder="1" applyAlignment="1">
      <alignment horizontal="center"/>
    </xf>
    <xf numFmtId="43" fontId="1" fillId="8" borderId="1" xfId="1" applyFont="1" applyFill="1" applyBorder="1" applyAlignment="1">
      <alignment horizontal="right"/>
    </xf>
    <xf numFmtId="43" fontId="1" fillId="8" borderId="1" xfId="1" applyFont="1" applyFill="1" applyBorder="1"/>
    <xf numFmtId="49" fontId="1" fillId="8" borderId="1" xfId="0" applyNumberFormat="1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center" wrapText="1"/>
    </xf>
    <xf numFmtId="4" fontId="1" fillId="2" borderId="0" xfId="0" applyNumberFormat="1" applyFont="1" applyFill="1"/>
    <xf numFmtId="43" fontId="1" fillId="8" borderId="1" xfId="1" applyFont="1" applyFill="1" applyBorder="1" applyAlignment="1">
      <alignment horizontal="center"/>
    </xf>
    <xf numFmtId="43" fontId="1" fillId="8" borderId="0" xfId="1" applyFont="1" applyFill="1" applyBorder="1" applyAlignment="1">
      <alignment horizontal="right"/>
    </xf>
    <xf numFmtId="43" fontId="1" fillId="10" borderId="0" xfId="1" applyFont="1" applyFill="1" applyBorder="1" applyAlignment="1">
      <alignment horizontal="right"/>
    </xf>
    <xf numFmtId="43" fontId="1" fillId="10" borderId="1" xfId="1" applyFont="1" applyFill="1" applyBorder="1" applyAlignment="1">
      <alignment horizontal="right"/>
    </xf>
    <xf numFmtId="43" fontId="1" fillId="8" borderId="1" xfId="0" applyNumberFormat="1" applyFont="1" applyFill="1" applyBorder="1"/>
    <xf numFmtId="4" fontId="1" fillId="8" borderId="1" xfId="0" applyNumberFormat="1" applyFont="1" applyFill="1" applyBorder="1"/>
    <xf numFmtId="165" fontId="1" fillId="8" borderId="1" xfId="0" applyNumberFormat="1" applyFont="1" applyFill="1" applyBorder="1"/>
    <xf numFmtId="165" fontId="1" fillId="8" borderId="0" xfId="0" applyNumberFormat="1" applyFont="1" applyFill="1"/>
    <xf numFmtId="43" fontId="1" fillId="7" borderId="0" xfId="1" applyFont="1" applyFill="1" applyBorder="1" applyAlignment="1">
      <alignment horizontal="right"/>
    </xf>
    <xf numFmtId="43" fontId="1" fillId="8" borderId="0" xfId="0" applyNumberFormat="1" applyFont="1" applyFill="1"/>
    <xf numFmtId="165" fontId="3" fillId="8" borderId="0" xfId="0" applyNumberFormat="1" applyFont="1" applyFill="1"/>
    <xf numFmtId="0" fontId="2" fillId="10" borderId="1" xfId="0" applyFont="1" applyFill="1" applyBorder="1" applyAlignment="1">
      <alignment horizontal="center" wrapText="1"/>
    </xf>
    <xf numFmtId="43" fontId="21" fillId="5" borderId="1" xfId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9" fontId="19" fillId="2" borderId="1" xfId="0" applyNumberFormat="1" applyFont="1" applyFill="1" applyBorder="1" applyAlignment="1">
      <alignment horizontal="left" wrapText="1"/>
    </xf>
    <xf numFmtId="0" fontId="1" fillId="5" borderId="1" xfId="0" applyFont="1" applyFill="1" applyBorder="1"/>
    <xf numFmtId="43" fontId="21" fillId="5" borderId="1" xfId="0" applyNumberFormat="1" applyFont="1" applyFill="1" applyBorder="1"/>
    <xf numFmtId="43" fontId="21" fillId="7" borderId="1" xfId="0" applyNumberFormat="1" applyFont="1" applyFill="1" applyBorder="1"/>
    <xf numFmtId="165" fontId="1" fillId="7" borderId="1" xfId="3" applyFont="1" applyFill="1" applyBorder="1" applyAlignment="1">
      <alignment horizontal="right"/>
    </xf>
    <xf numFmtId="43" fontId="1" fillId="11" borderId="1" xfId="1" applyFont="1" applyFill="1" applyBorder="1" applyAlignment="1">
      <alignment horizontal="right"/>
    </xf>
    <xf numFmtId="0" fontId="30" fillId="2" borderId="0" xfId="0" applyFont="1" applyFill="1" applyAlignment="1"/>
    <xf numFmtId="0" fontId="25" fillId="2" borderId="0" xfId="0" applyFont="1" applyFill="1" applyAlignment="1"/>
    <xf numFmtId="0" fontId="2" fillId="11" borderId="1" xfId="0" applyFont="1" applyFill="1" applyBorder="1" applyAlignment="1">
      <alignment horizontal="center" wrapText="1"/>
    </xf>
    <xf numFmtId="0" fontId="18" fillId="11" borderId="1" xfId="0" applyFont="1" applyFill="1" applyBorder="1" applyAlignment="1">
      <alignment horizontal="center"/>
    </xf>
    <xf numFmtId="43" fontId="2" fillId="11" borderId="1" xfId="1" applyFont="1" applyFill="1" applyBorder="1" applyAlignment="1">
      <alignment horizontal="right"/>
    </xf>
    <xf numFmtId="43" fontId="21" fillId="11" borderId="1" xfId="1" applyFont="1" applyFill="1" applyBorder="1" applyAlignment="1">
      <alignment horizontal="right"/>
    </xf>
    <xf numFmtId="43" fontId="3" fillId="11" borderId="1" xfId="1" applyFont="1" applyFill="1" applyBorder="1" applyAlignment="1">
      <alignment horizontal="right"/>
    </xf>
    <xf numFmtId="0" fontId="1" fillId="11" borderId="1" xfId="0" applyFont="1" applyFill="1" applyBorder="1"/>
    <xf numFmtId="43" fontId="1" fillId="11" borderId="1" xfId="1" applyFont="1" applyFill="1" applyBorder="1"/>
    <xf numFmtId="43" fontId="21" fillId="11" borderId="1" xfId="0" applyNumberFormat="1" applyFont="1" applyFill="1" applyBorder="1"/>
    <xf numFmtId="43" fontId="3" fillId="11" borderId="1" xfId="0" applyNumberFormat="1" applyFont="1" applyFill="1" applyBorder="1"/>
    <xf numFmtId="43" fontId="5" fillId="11" borderId="1" xfId="1" applyFont="1" applyFill="1" applyBorder="1"/>
    <xf numFmtId="43" fontId="29" fillId="11" borderId="1" xfId="1" applyFont="1" applyFill="1" applyBorder="1" applyAlignment="1">
      <alignment horizontal="right"/>
    </xf>
    <xf numFmtId="0" fontId="1" fillId="2" borderId="0" xfId="0" applyFont="1" applyFill="1" applyAlignment="1">
      <alignment horizontal="center"/>
    </xf>
    <xf numFmtId="3" fontId="1" fillId="2" borderId="1" xfId="1" applyNumberFormat="1" applyFont="1" applyFill="1" applyBorder="1"/>
    <xf numFmtId="3" fontId="1" fillId="2" borderId="1" xfId="3" applyNumberFormat="1" applyFont="1" applyFill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3" fontId="5" fillId="2" borderId="1" xfId="1" applyNumberFormat="1" applyFont="1" applyFill="1" applyBorder="1"/>
    <xf numFmtId="3" fontId="1" fillId="0" borderId="1" xfId="1" applyNumberFormat="1" applyFont="1" applyFill="1" applyBorder="1" applyAlignment="1">
      <alignment horizontal="right"/>
    </xf>
    <xf numFmtId="3" fontId="7" fillId="2" borderId="1" xfId="0" applyNumberFormat="1" applyFont="1" applyFill="1" applyBorder="1" applyAlignment="1">
      <alignment horizontal="right"/>
    </xf>
    <xf numFmtId="3" fontId="3" fillId="2" borderId="0" xfId="0" applyNumberFormat="1" applyFont="1" applyFill="1" applyBorder="1" applyAlignment="1">
      <alignment horizontal="left"/>
    </xf>
    <xf numFmtId="0" fontId="1" fillId="2" borderId="2" xfId="0" applyFont="1" applyFill="1" applyBorder="1"/>
    <xf numFmtId="4" fontId="7" fillId="2" borderId="3" xfId="0" applyNumberFormat="1" applyFont="1" applyFill="1" applyBorder="1" applyAlignment="1">
      <alignment horizontal="center"/>
    </xf>
    <xf numFmtId="4" fontId="3" fillId="2" borderId="3" xfId="0" applyNumberFormat="1" applyFont="1" applyFill="1" applyBorder="1" applyAlignment="1">
      <alignment horizontal="left"/>
    </xf>
    <xf numFmtId="3" fontId="3" fillId="2" borderId="3" xfId="0" applyNumberFormat="1" applyFont="1" applyFill="1" applyBorder="1" applyAlignment="1">
      <alignment horizontal="left"/>
    </xf>
    <xf numFmtId="3" fontId="3" fillId="2" borderId="4" xfId="0" applyNumberFormat="1" applyFont="1" applyFill="1" applyBorder="1" applyAlignment="1">
      <alignment horizontal="left"/>
    </xf>
    <xf numFmtId="0" fontId="38" fillId="0" borderId="1" xfId="0" applyFont="1" applyBorder="1"/>
    <xf numFmtId="0" fontId="0" fillId="0" borderId="1" xfId="0" applyFont="1" applyBorder="1"/>
    <xf numFmtId="0" fontId="38" fillId="0" borderId="0" xfId="0" applyFont="1" applyBorder="1"/>
    <xf numFmtId="0" fontId="39" fillId="0" borderId="0" xfId="0" applyFont="1"/>
    <xf numFmtId="0" fontId="40" fillId="0" borderId="1" xfId="0" applyFont="1" applyBorder="1"/>
    <xf numFmtId="0" fontId="41" fillId="0" borderId="1" xfId="0" applyFont="1" applyBorder="1"/>
    <xf numFmtId="0" fontId="40" fillId="0" borderId="1" xfId="0" applyFont="1" applyBorder="1" applyAlignment="1">
      <alignment wrapText="1"/>
    </xf>
    <xf numFmtId="0" fontId="40" fillId="0" borderId="1" xfId="0" applyFont="1" applyBorder="1" applyAlignment="1">
      <alignment horizontal="center" wrapText="1"/>
    </xf>
    <xf numFmtId="0" fontId="40" fillId="0" borderId="1" xfId="0" applyFont="1" applyBorder="1" applyAlignment="1">
      <alignment horizontal="center"/>
    </xf>
    <xf numFmtId="0" fontId="39" fillId="0" borderId="1" xfId="0" applyFont="1" applyBorder="1"/>
    <xf numFmtId="0" fontId="39" fillId="0" borderId="1" xfId="0" applyFont="1" applyFill="1" applyBorder="1"/>
    <xf numFmtId="17" fontId="39" fillId="0" borderId="1" xfId="0" applyNumberFormat="1" applyFont="1" applyFill="1" applyBorder="1" applyAlignment="1">
      <alignment horizontal="center"/>
    </xf>
    <xf numFmtId="43" fontId="42" fillId="0" borderId="1" xfId="1" applyFont="1" applyFill="1" applyBorder="1" applyAlignment="1">
      <alignment horizontal="center" vertical="center"/>
    </xf>
    <xf numFmtId="43" fontId="42" fillId="0" borderId="1" xfId="1" applyFont="1" applyBorder="1"/>
    <xf numFmtId="14" fontId="39" fillId="0" borderId="1" xfId="0" applyNumberFormat="1" applyFont="1" applyBorder="1"/>
    <xf numFmtId="43" fontId="42" fillId="0" borderId="1" xfId="1" applyFont="1" applyBorder="1" applyAlignment="1">
      <alignment horizontal="center" vertical="center"/>
    </xf>
    <xf numFmtId="43" fontId="43" fillId="0" borderId="1" xfId="1" applyFont="1" applyBorder="1"/>
    <xf numFmtId="43" fontId="42" fillId="0" borderId="2" xfId="1" applyFont="1" applyBorder="1" applyAlignment="1">
      <alignment horizontal="center" vertical="center"/>
    </xf>
    <xf numFmtId="43" fontId="44" fillId="2" borderId="1" xfId="1" applyFont="1" applyFill="1" applyBorder="1" applyAlignment="1">
      <alignment horizontal="right"/>
    </xf>
    <xf numFmtId="0" fontId="43" fillId="0" borderId="0" xfId="0" applyFont="1"/>
    <xf numFmtId="43" fontId="39" fillId="0" borderId="1" xfId="1" applyFont="1" applyBorder="1"/>
    <xf numFmtId="43" fontId="42" fillId="0" borderId="0" xfId="1" applyFont="1"/>
    <xf numFmtId="43" fontId="40" fillId="0" borderId="1" xfId="1" applyFont="1" applyBorder="1"/>
    <xf numFmtId="0" fontId="9" fillId="0" borderId="1" xfId="0" applyFont="1" applyFill="1" applyBorder="1"/>
    <xf numFmtId="43" fontId="45" fillId="0" borderId="1" xfId="1" applyFont="1" applyBorder="1"/>
    <xf numFmtId="43" fontId="0" fillId="0" borderId="0" xfId="1" applyFont="1"/>
    <xf numFmtId="43" fontId="46" fillId="0" borderId="0" xfId="1" applyFont="1"/>
    <xf numFmtId="165" fontId="0" fillId="0" borderId="0" xfId="0" applyNumberFormat="1"/>
    <xf numFmtId="43" fontId="42" fillId="0" borderId="8" xfId="1" applyFont="1" applyFill="1" applyBorder="1" applyAlignment="1">
      <alignment horizontal="center" vertical="center"/>
    </xf>
    <xf numFmtId="43" fontId="0" fillId="0" borderId="0" xfId="0" applyNumberFormat="1"/>
    <xf numFmtId="43" fontId="46" fillId="0" borderId="0" xfId="0" applyNumberFormat="1" applyFont="1"/>
    <xf numFmtId="165" fontId="46" fillId="0" borderId="0" xfId="0" applyNumberFormat="1" applyFont="1"/>
    <xf numFmtId="0" fontId="46" fillId="0" borderId="0" xfId="0" applyFont="1"/>
    <xf numFmtId="43" fontId="47" fillId="0" borderId="1" xfId="1" applyFont="1" applyBorder="1"/>
    <xf numFmtId="43" fontId="43" fillId="0" borderId="0" xfId="1" applyFont="1"/>
    <xf numFmtId="0" fontId="39" fillId="0" borderId="0" xfId="0" applyFont="1" applyBorder="1"/>
    <xf numFmtId="43" fontId="47" fillId="0" borderId="1" xfId="1" applyFont="1" applyBorder="1" applyAlignment="1">
      <alignment horizontal="center" vertical="center"/>
    </xf>
    <xf numFmtId="43" fontId="48" fillId="0" borderId="1" xfId="1" applyFont="1" applyBorder="1" applyAlignment="1">
      <alignment horizontal="center" vertical="center"/>
    </xf>
    <xf numFmtId="0" fontId="42" fillId="0" borderId="0" xfId="0" applyFont="1"/>
    <xf numFmtId="165" fontId="47" fillId="0" borderId="0" xfId="0" applyNumberFormat="1" applyFont="1"/>
    <xf numFmtId="43" fontId="47" fillId="0" borderId="0" xfId="1" applyFont="1"/>
    <xf numFmtId="43" fontId="47" fillId="0" borderId="2" xfId="1" applyFont="1" applyBorder="1" applyAlignment="1">
      <alignment horizontal="center" vertical="center"/>
    </xf>
    <xf numFmtId="165" fontId="43" fillId="0" borderId="1" xfId="0" applyNumberFormat="1" applyFont="1" applyBorder="1"/>
    <xf numFmtId="17" fontId="39" fillId="0" borderId="1" xfId="0" applyNumberFormat="1" applyFont="1" applyFill="1" applyBorder="1"/>
    <xf numFmtId="43" fontId="49" fillId="0" borderId="2" xfId="1" applyFont="1" applyBorder="1" applyAlignment="1">
      <alignment horizontal="center" vertical="center"/>
    </xf>
    <xf numFmtId="43" fontId="49" fillId="0" borderId="1" xfId="1" applyFont="1" applyBorder="1"/>
    <xf numFmtId="0" fontId="50" fillId="0" borderId="1" xfId="0" applyFont="1" applyBorder="1"/>
    <xf numFmtId="0" fontId="51" fillId="0" borderId="1" xfId="0" applyFont="1" applyBorder="1"/>
    <xf numFmtId="41" fontId="52" fillId="0" borderId="1" xfId="1" applyNumberFormat="1" applyFont="1" applyBorder="1"/>
    <xf numFmtId="41" fontId="53" fillId="0" borderId="1" xfId="1" applyNumberFormat="1" applyFont="1" applyBorder="1"/>
    <xf numFmtId="0" fontId="0" fillId="0" borderId="1" xfId="0" applyBorder="1"/>
    <xf numFmtId="41" fontId="39" fillId="0" borderId="1" xfId="0" applyNumberFormat="1" applyFont="1" applyBorder="1"/>
    <xf numFmtId="41" fontId="0" fillId="0" borderId="0" xfId="0" applyNumberFormat="1"/>
    <xf numFmtId="43" fontId="54" fillId="0" borderId="0" xfId="1" applyFont="1"/>
    <xf numFmtId="43" fontId="47" fillId="12" borderId="2" xfId="1" applyFont="1" applyFill="1" applyBorder="1"/>
    <xf numFmtId="43" fontId="47" fillId="12" borderId="1" xfId="1" applyFont="1" applyFill="1" applyBorder="1"/>
    <xf numFmtId="0" fontId="0" fillId="0" borderId="0" xfId="0" applyFont="1"/>
    <xf numFmtId="43" fontId="47" fillId="0" borderId="2" xfId="1" applyFont="1" applyBorder="1"/>
    <xf numFmtId="0" fontId="0" fillId="0" borderId="1" xfId="0" applyFill="1" applyBorder="1"/>
    <xf numFmtId="0" fontId="55" fillId="0" borderId="1" xfId="0" applyFont="1" applyBorder="1"/>
    <xf numFmtId="43" fontId="39" fillId="0" borderId="1" xfId="1" applyFont="1" applyBorder="1" applyAlignment="1">
      <alignment horizontal="center" vertical="center"/>
    </xf>
    <xf numFmtId="43" fontId="55" fillId="0" borderId="1" xfId="1" applyFont="1" applyBorder="1"/>
    <xf numFmtId="0" fontId="47" fillId="0" borderId="1" xfId="0" applyFont="1" applyBorder="1"/>
    <xf numFmtId="43" fontId="55" fillId="6" borderId="1" xfId="1" applyFont="1" applyFill="1" applyBorder="1"/>
    <xf numFmtId="41" fontId="56" fillId="0" borderId="0" xfId="0" applyNumberFormat="1" applyFont="1"/>
    <xf numFmtId="0" fontId="42" fillId="0" borderId="1" xfId="0" applyFont="1" applyBorder="1"/>
    <xf numFmtId="43" fontId="40" fillId="0" borderId="0" xfId="1" applyFont="1" applyBorder="1"/>
    <xf numFmtId="165" fontId="40" fillId="0" borderId="0" xfId="0" applyNumberFormat="1" applyFont="1"/>
    <xf numFmtId="0" fontId="42" fillId="0" borderId="0" xfId="0" applyFont="1" applyBorder="1"/>
    <xf numFmtId="0" fontId="3" fillId="2" borderId="1" xfId="0" applyFont="1" applyFill="1" applyBorder="1" applyAlignment="1">
      <alignment wrapText="1"/>
    </xf>
    <xf numFmtId="43" fontId="3" fillId="2" borderId="1" xfId="1" applyFont="1" applyFill="1" applyBorder="1"/>
    <xf numFmtId="0" fontId="18" fillId="10" borderId="1" xfId="0" applyFont="1" applyFill="1" applyBorder="1" applyAlignment="1">
      <alignment horizontal="center"/>
    </xf>
    <xf numFmtId="43" fontId="3" fillId="10" borderId="1" xfId="1" applyFont="1" applyFill="1" applyBorder="1" applyAlignment="1">
      <alignment horizontal="right"/>
    </xf>
    <xf numFmtId="0" fontId="0" fillId="0" borderId="6" xfId="0" applyBorder="1"/>
    <xf numFmtId="43" fontId="3" fillId="2" borderId="10" xfId="1" applyFont="1" applyFill="1" applyBorder="1" applyAlignment="1">
      <alignment horizontal="right"/>
    </xf>
    <xf numFmtId="0" fontId="0" fillId="0" borderId="11" xfId="0" applyBorder="1"/>
    <xf numFmtId="43" fontId="3" fillId="2" borderId="12" xfId="1" applyFont="1" applyFill="1" applyBorder="1" applyAlignment="1">
      <alignment horizontal="right"/>
    </xf>
    <xf numFmtId="43" fontId="3" fillId="2" borderId="7" xfId="1" applyFont="1" applyFill="1" applyBorder="1" applyAlignment="1">
      <alignment horizontal="right"/>
    </xf>
    <xf numFmtId="43" fontId="3" fillId="2" borderId="13" xfId="1" applyFont="1" applyFill="1" applyBorder="1" applyAlignment="1">
      <alignment horizontal="right"/>
    </xf>
    <xf numFmtId="165" fontId="1" fillId="2" borderId="1" xfId="3" applyFont="1" applyFill="1" applyBorder="1" applyAlignment="1">
      <alignment horizontal="right"/>
    </xf>
    <xf numFmtId="0" fontId="57" fillId="2" borderId="14" xfId="0" applyFont="1" applyFill="1" applyBorder="1"/>
    <xf numFmtId="0" fontId="57" fillId="2" borderId="15" xfId="0" applyFont="1" applyFill="1" applyBorder="1" applyAlignment="1">
      <alignment wrapText="1"/>
    </xf>
    <xf numFmtId="0" fontId="57" fillId="2" borderId="15" xfId="0" applyFont="1" applyFill="1" applyBorder="1" applyAlignment="1">
      <alignment horizontal="right" wrapText="1"/>
    </xf>
    <xf numFmtId="0" fontId="58" fillId="2" borderId="1" xfId="0" applyFont="1" applyFill="1" applyBorder="1" applyAlignment="1">
      <alignment horizontal="center"/>
    </xf>
    <xf numFmtId="43" fontId="59" fillId="2" borderId="1" xfId="1" applyFont="1" applyFill="1" applyBorder="1" applyAlignment="1">
      <alignment vertical="center"/>
    </xf>
    <xf numFmtId="0" fontId="58" fillId="2" borderId="1" xfId="0" applyFont="1" applyFill="1" applyBorder="1" applyAlignment="1">
      <alignment horizontal="center" wrapText="1"/>
    </xf>
    <xf numFmtId="43" fontId="58" fillId="2" borderId="1" xfId="1" applyFont="1" applyFill="1" applyBorder="1"/>
    <xf numFmtId="165" fontId="31" fillId="2" borderId="1" xfId="4" applyFont="1" applyFill="1" applyBorder="1" applyAlignment="1">
      <alignment horizontal="right"/>
    </xf>
    <xf numFmtId="43" fontId="57" fillId="2" borderId="1" xfId="1" applyFont="1" applyFill="1" applyBorder="1"/>
    <xf numFmtId="0" fontId="58" fillId="2" borderId="1" xfId="0" applyFont="1" applyFill="1" applyBorder="1"/>
    <xf numFmtId="43" fontId="60" fillId="2" borderId="1" xfId="1" applyFont="1" applyFill="1" applyBorder="1"/>
    <xf numFmtId="43" fontId="31" fillId="2" borderId="1" xfId="1" applyFont="1" applyFill="1" applyBorder="1"/>
    <xf numFmtId="43" fontId="31" fillId="2" borderId="1" xfId="1" applyFont="1" applyFill="1" applyBorder="1" applyAlignment="1">
      <alignment horizontal="right"/>
    </xf>
    <xf numFmtId="3" fontId="58" fillId="2" borderId="1" xfId="1" applyNumberFormat="1" applyFont="1" applyFill="1" applyBorder="1"/>
    <xf numFmtId="0" fontId="58" fillId="2" borderId="0" xfId="0" applyFont="1" applyFill="1"/>
    <xf numFmtId="0" fontId="57" fillId="6" borderId="15" xfId="0" applyFont="1" applyFill="1" applyBorder="1" applyAlignment="1">
      <alignment horizontal="right" wrapText="1"/>
    </xf>
    <xf numFmtId="0" fontId="57" fillId="2" borderId="16" xfId="0" applyFont="1" applyFill="1" applyBorder="1" applyAlignment="1">
      <alignment horizontal="right" wrapText="1"/>
    </xf>
    <xf numFmtId="43" fontId="58" fillId="6" borderId="1" xfId="1" applyFont="1" applyFill="1" applyBorder="1"/>
    <xf numFmtId="4" fontId="0" fillId="2" borderId="0" xfId="0" applyNumberFormat="1" applyFill="1"/>
    <xf numFmtId="43" fontId="58" fillId="2" borderId="0" xfId="1" applyFont="1" applyFill="1" applyBorder="1"/>
    <xf numFmtId="0" fontId="0" fillId="6" borderId="0" xfId="0" applyFill="1"/>
    <xf numFmtId="43" fontId="58" fillId="5" borderId="1" xfId="1" applyFont="1" applyFill="1" applyBorder="1"/>
    <xf numFmtId="4" fontId="58" fillId="2" borderId="0" xfId="0" applyNumberFormat="1" applyFont="1" applyFill="1"/>
    <xf numFmtId="49" fontId="1" fillId="2" borderId="5" xfId="0" applyNumberFormat="1" applyFont="1" applyFill="1" applyBorder="1" applyAlignment="1">
      <alignment horizontal="left" wrapText="1"/>
    </xf>
    <xf numFmtId="0" fontId="58" fillId="2" borderId="5" xfId="0" applyFont="1" applyFill="1" applyBorder="1" applyAlignment="1">
      <alignment horizontal="center" wrapText="1"/>
    </xf>
    <xf numFmtId="43" fontId="58" fillId="2" borderId="5" xfId="1" applyFont="1" applyFill="1" applyBorder="1"/>
    <xf numFmtId="165" fontId="31" fillId="2" borderId="5" xfId="4" applyFont="1" applyFill="1" applyBorder="1" applyAlignment="1">
      <alignment horizontal="right"/>
    </xf>
    <xf numFmtId="4" fontId="0" fillId="2" borderId="5" xfId="0" applyNumberFormat="1" applyFill="1" applyBorder="1"/>
    <xf numFmtId="0" fontId="0" fillId="2" borderId="5" xfId="0" applyFill="1" applyBorder="1"/>
    <xf numFmtId="49" fontId="4" fillId="7" borderId="1" xfId="0" applyNumberFormat="1" applyFont="1" applyFill="1" applyBorder="1" applyAlignment="1">
      <alignment horizontal="left"/>
    </xf>
    <xf numFmtId="4" fontId="24" fillId="7" borderId="1" xfId="0" applyNumberFormat="1" applyFont="1" applyFill="1" applyBorder="1"/>
    <xf numFmtId="0" fontId="24" fillId="7" borderId="1" xfId="0" applyFont="1" applyFill="1" applyBorder="1"/>
    <xf numFmtId="43" fontId="57" fillId="7" borderId="1" xfId="1" applyFont="1" applyFill="1" applyBorder="1"/>
    <xf numFmtId="43" fontId="24" fillId="7" borderId="1" xfId="0" applyNumberFormat="1" applyFont="1" applyFill="1" applyBorder="1"/>
    <xf numFmtId="0" fontId="0" fillId="7" borderId="1" xfId="0" applyFill="1" applyBorder="1"/>
    <xf numFmtId="4" fontId="7" fillId="7" borderId="1" xfId="0" applyNumberFormat="1" applyFont="1" applyFill="1" applyBorder="1" applyAlignment="1">
      <alignment horizontal="left"/>
    </xf>
    <xf numFmtId="165" fontId="24" fillId="7" borderId="1" xfId="0" applyNumberFormat="1" applyFont="1" applyFill="1" applyBorder="1"/>
    <xf numFmtId="43" fontId="0" fillId="2" borderId="0" xfId="1" applyFont="1" applyFill="1"/>
    <xf numFmtId="165" fontId="0" fillId="2" borderId="0" xfId="0" applyNumberFormat="1" applyFill="1"/>
    <xf numFmtId="3" fontId="58" fillId="2" borderId="5" xfId="1" applyNumberFormat="1" applyFont="1" applyFill="1" applyBorder="1"/>
    <xf numFmtId="43" fontId="58" fillId="6" borderId="5" xfId="1" applyFont="1" applyFill="1" applyBorder="1"/>
    <xf numFmtId="0" fontId="61" fillId="2" borderId="0" xfId="0" applyFont="1" applyFill="1" applyBorder="1" applyAlignment="1"/>
    <xf numFmtId="0" fontId="62" fillId="2" borderId="0" xfId="0" applyFont="1" applyFill="1"/>
    <xf numFmtId="0" fontId="61" fillId="2" borderId="0" xfId="0" applyFont="1" applyFill="1" applyAlignment="1">
      <alignment horizontal="left"/>
    </xf>
    <xf numFmtId="0" fontId="2" fillId="13" borderId="1" xfId="0" applyFont="1" applyFill="1" applyBorder="1" applyAlignment="1">
      <alignment horizontal="center" wrapText="1"/>
    </xf>
    <xf numFmtId="0" fontId="2" fillId="14" borderId="1" xfId="0" applyFont="1" applyFill="1" applyBorder="1" applyAlignment="1">
      <alignment horizontal="center" wrapText="1"/>
    </xf>
    <xf numFmtId="0" fontId="18" fillId="13" borderId="1" xfId="0" applyFont="1" applyFill="1" applyBorder="1" applyAlignment="1">
      <alignment horizontal="center"/>
    </xf>
    <xf numFmtId="0" fontId="18" fillId="14" borderId="1" xfId="0" applyFont="1" applyFill="1" applyBorder="1" applyAlignment="1">
      <alignment horizontal="center"/>
    </xf>
    <xf numFmtId="43" fontId="1" fillId="13" borderId="1" xfId="1" applyFont="1" applyFill="1" applyBorder="1" applyAlignment="1">
      <alignment horizontal="right"/>
    </xf>
    <xf numFmtId="43" fontId="1" fillId="14" borderId="1" xfId="1" applyFont="1" applyFill="1" applyBorder="1" applyAlignment="1">
      <alignment horizontal="right"/>
    </xf>
    <xf numFmtId="165" fontId="5" fillId="14" borderId="1" xfId="2" applyFont="1" applyFill="1" applyBorder="1"/>
    <xf numFmtId="43" fontId="5" fillId="14" borderId="1" xfId="1" applyFont="1" applyFill="1" applyBorder="1"/>
    <xf numFmtId="43" fontId="1" fillId="14" borderId="1" xfId="1" applyFont="1" applyFill="1" applyBorder="1"/>
    <xf numFmtId="43" fontId="2" fillId="13" borderId="1" xfId="1" applyFont="1" applyFill="1" applyBorder="1" applyAlignment="1">
      <alignment horizontal="right"/>
    </xf>
    <xf numFmtId="43" fontId="2" fillId="14" borderId="1" xfId="1" applyFont="1" applyFill="1" applyBorder="1" applyAlignment="1">
      <alignment horizontal="right"/>
    </xf>
    <xf numFmtId="43" fontId="3" fillId="13" borderId="1" xfId="1" applyFont="1" applyFill="1" applyBorder="1" applyAlignment="1">
      <alignment horizontal="right"/>
    </xf>
    <xf numFmtId="43" fontId="3" fillId="14" borderId="1" xfId="1" applyFont="1" applyFill="1" applyBorder="1" applyAlignment="1">
      <alignment horizontal="right"/>
    </xf>
    <xf numFmtId="43" fontId="21" fillId="2" borderId="1" xfId="1" applyFont="1" applyFill="1" applyBorder="1"/>
    <xf numFmtId="165" fontId="63" fillId="14" borderId="1" xfId="2" applyFont="1" applyFill="1" applyBorder="1"/>
    <xf numFmtId="0" fontId="1" fillId="13" borderId="1" xfId="0" applyFont="1" applyFill="1" applyBorder="1"/>
    <xf numFmtId="0" fontId="1" fillId="14" borderId="1" xfId="0" applyFont="1" applyFill="1" applyBorder="1"/>
    <xf numFmtId="43" fontId="21" fillId="13" borderId="1" xfId="0" applyNumberFormat="1" applyFont="1" applyFill="1" applyBorder="1"/>
    <xf numFmtId="43" fontId="21" fillId="14" borderId="1" xfId="0" applyNumberFormat="1" applyFont="1" applyFill="1" applyBorder="1"/>
    <xf numFmtId="43" fontId="3" fillId="13" borderId="1" xfId="0" applyNumberFormat="1" applyFont="1" applyFill="1" applyBorder="1"/>
    <xf numFmtId="43" fontId="3" fillId="14" borderId="1" xfId="0" applyNumberFormat="1" applyFont="1" applyFill="1" applyBorder="1"/>
    <xf numFmtId="43" fontId="7" fillId="12" borderId="1" xfId="1" applyFont="1" applyFill="1" applyBorder="1" applyAlignment="1">
      <alignment horizontal="right"/>
    </xf>
    <xf numFmtId="0" fontId="64" fillId="0" borderId="0" xfId="0" applyFont="1"/>
    <xf numFmtId="0" fontId="65" fillId="0" borderId="1" xfId="0" applyFont="1" applyBorder="1" applyAlignment="1">
      <alignment wrapText="1"/>
    </xf>
    <xf numFmtId="0" fontId="65" fillId="0" borderId="1" xfId="0" applyFont="1" applyBorder="1" applyAlignment="1">
      <alignment horizontal="center" wrapText="1"/>
    </xf>
    <xf numFmtId="0" fontId="66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4" fontId="5" fillId="0" borderId="1" xfId="0" applyNumberFormat="1" applyFont="1" applyBorder="1"/>
    <xf numFmtId="4" fontId="5" fillId="2" borderId="1" xfId="0" applyNumberFormat="1" applyFont="1" applyFill="1" applyBorder="1"/>
    <xf numFmtId="4" fontId="65" fillId="0" borderId="1" xfId="0" applyNumberFormat="1" applyFont="1" applyBorder="1"/>
    <xf numFmtId="0" fontId="5" fillId="0" borderId="0" xfId="0" applyFont="1"/>
    <xf numFmtId="0" fontId="0" fillId="8" borderId="0" xfId="0" applyFill="1"/>
    <xf numFmtId="0" fontId="57" fillId="0" borderId="14" xfId="0" applyFont="1" applyBorder="1"/>
    <xf numFmtId="0" fontId="57" fillId="0" borderId="15" xfId="0" applyFont="1" applyBorder="1" applyAlignment="1">
      <alignment wrapText="1"/>
    </xf>
    <xf numFmtId="0" fontId="57" fillId="0" borderId="15" xfId="0" applyFont="1" applyBorder="1" applyAlignment="1">
      <alignment horizontal="right" wrapText="1"/>
    </xf>
    <xf numFmtId="0" fontId="58" fillId="0" borderId="1" xfId="0" applyFont="1" applyBorder="1" applyAlignment="1">
      <alignment horizontal="center"/>
    </xf>
    <xf numFmtId="43" fontId="59" fillId="0" borderId="1" xfId="1" applyFont="1" applyBorder="1" applyAlignment="1">
      <alignment vertical="center"/>
    </xf>
    <xf numFmtId="0" fontId="58" fillId="0" borderId="1" xfId="0" applyFont="1" applyBorder="1" applyAlignment="1">
      <alignment horizontal="center" wrapText="1"/>
    </xf>
    <xf numFmtId="43" fontId="58" fillId="0" borderId="1" xfId="1" applyFont="1" applyBorder="1"/>
    <xf numFmtId="0" fontId="58" fillId="8" borderId="1" xfId="0" applyFont="1" applyFill="1" applyBorder="1" applyAlignment="1">
      <alignment horizontal="center"/>
    </xf>
    <xf numFmtId="3" fontId="58" fillId="0" borderId="1" xfId="1" applyNumberFormat="1" applyFont="1" applyBorder="1"/>
    <xf numFmtId="0" fontId="58" fillId="0" borderId="0" xfId="0" applyFont="1"/>
    <xf numFmtId="0" fontId="57" fillId="0" borderId="16" xfId="0" applyFont="1" applyFill="1" applyBorder="1" applyAlignment="1">
      <alignment horizontal="right" wrapText="1"/>
    </xf>
    <xf numFmtId="43" fontId="58" fillId="15" borderId="1" xfId="1" applyFont="1" applyFill="1" applyBorder="1"/>
    <xf numFmtId="4" fontId="0" fillId="15" borderId="0" xfId="0" applyNumberFormat="1" applyFill="1"/>
    <xf numFmtId="43" fontId="58" fillId="3" borderId="1" xfId="1" applyFont="1" applyFill="1" applyBorder="1"/>
    <xf numFmtId="4" fontId="0" fillId="3" borderId="0" xfId="0" applyNumberFormat="1" applyFill="1"/>
    <xf numFmtId="4" fontId="0" fillId="0" borderId="0" xfId="0" applyNumberFormat="1" applyFont="1"/>
    <xf numFmtId="4" fontId="0" fillId="8" borderId="0" xfId="0" applyNumberFormat="1" applyFill="1"/>
    <xf numFmtId="43" fontId="31" fillId="15" borderId="1" xfId="1" applyFont="1" applyFill="1" applyBorder="1"/>
    <xf numFmtId="4" fontId="0" fillId="15" borderId="0" xfId="0" applyNumberFormat="1" applyFont="1" applyFill="1"/>
    <xf numFmtId="4" fontId="54" fillId="0" borderId="0" xfId="0" applyNumberFormat="1" applyFont="1"/>
    <xf numFmtId="43" fontId="58" fillId="8" borderId="1" xfId="1" applyFont="1" applyFill="1" applyBorder="1"/>
    <xf numFmtId="0" fontId="24" fillId="0" borderId="0" xfId="0" applyFont="1" applyFill="1" applyBorder="1"/>
    <xf numFmtId="43" fontId="24" fillId="0" borderId="0" xfId="0" applyNumberFormat="1" applyFont="1"/>
    <xf numFmtId="4" fontId="0" fillId="6" borderId="0" xfId="0" applyNumberFormat="1" applyFill="1"/>
    <xf numFmtId="4" fontId="67" fillId="11" borderId="0" xfId="0" applyNumberFormat="1" applyFont="1" applyFill="1"/>
    <xf numFmtId="4" fontId="68" fillId="3" borderId="0" xfId="0" applyNumberFormat="1" applyFont="1" applyFill="1"/>
    <xf numFmtId="4" fontId="68" fillId="15" borderId="0" xfId="0" applyNumberFormat="1" applyFont="1" applyFill="1"/>
    <xf numFmtId="4" fontId="68" fillId="2" borderId="0" xfId="0" applyNumberFormat="1" applyFont="1" applyFill="1"/>
    <xf numFmtId="0" fontId="68" fillId="3" borderId="0" xfId="0" applyFont="1" applyFill="1"/>
    <xf numFmtId="4" fontId="69" fillId="0" borderId="0" xfId="0" applyNumberFormat="1" applyFont="1"/>
    <xf numFmtId="0" fontId="2" fillId="14" borderId="2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/>
    </xf>
    <xf numFmtId="43" fontId="1" fillId="14" borderId="2" xfId="1" applyFont="1" applyFill="1" applyBorder="1" applyAlignment="1">
      <alignment horizontal="right"/>
    </xf>
    <xf numFmtId="165" fontId="5" fillId="14" borderId="2" xfId="2" applyFont="1" applyFill="1" applyBorder="1"/>
    <xf numFmtId="165" fontId="5" fillId="2" borderId="17" xfId="2" applyFont="1" applyFill="1" applyBorder="1"/>
    <xf numFmtId="43" fontId="1" fillId="14" borderId="2" xfId="1" applyFont="1" applyFill="1" applyBorder="1"/>
    <xf numFmtId="43" fontId="2" fillId="2" borderId="17" xfId="1" applyFont="1" applyFill="1" applyBorder="1" applyAlignment="1">
      <alignment horizontal="right"/>
    </xf>
    <xf numFmtId="43" fontId="2" fillId="14" borderId="2" xfId="1" applyFont="1" applyFill="1" applyBorder="1" applyAlignment="1">
      <alignment horizontal="right"/>
    </xf>
    <xf numFmtId="43" fontId="1" fillId="2" borderId="17" xfId="1" applyFont="1" applyFill="1" applyBorder="1" applyAlignment="1">
      <alignment horizontal="right"/>
    </xf>
    <xf numFmtId="43" fontId="2" fillId="2" borderId="2" xfId="1" applyFont="1" applyFill="1" applyBorder="1" applyAlignment="1">
      <alignment horizontal="right"/>
    </xf>
    <xf numFmtId="43" fontId="21" fillId="2" borderId="2" xfId="1" applyFont="1" applyFill="1" applyBorder="1" applyAlignment="1">
      <alignment horizontal="right"/>
    </xf>
    <xf numFmtId="43" fontId="21" fillId="2" borderId="17" xfId="1" applyFont="1" applyFill="1" applyBorder="1" applyAlignment="1">
      <alignment horizontal="right"/>
    </xf>
    <xf numFmtId="43" fontId="3" fillId="14" borderId="2" xfId="1" applyFont="1" applyFill="1" applyBorder="1" applyAlignment="1">
      <alignment horizontal="right"/>
    </xf>
    <xf numFmtId="43" fontId="3" fillId="2" borderId="17" xfId="1" applyFont="1" applyFill="1" applyBorder="1" applyAlignment="1">
      <alignment horizontal="right"/>
    </xf>
    <xf numFmtId="43" fontId="5" fillId="14" borderId="2" xfId="1" applyFont="1" applyFill="1" applyBorder="1"/>
    <xf numFmtId="0" fontId="2" fillId="11" borderId="4" xfId="0" applyFont="1" applyFill="1" applyBorder="1" applyAlignment="1">
      <alignment horizontal="center" wrapText="1"/>
    </xf>
    <xf numFmtId="0" fontId="18" fillId="2" borderId="4" xfId="0" applyFont="1" applyFill="1" applyBorder="1" applyAlignment="1">
      <alignment horizontal="center"/>
    </xf>
    <xf numFmtId="165" fontId="5" fillId="11" borderId="4" xfId="2" applyFont="1" applyFill="1" applyBorder="1"/>
    <xf numFmtId="43" fontId="2" fillId="2" borderId="4" xfId="1" applyFont="1" applyFill="1" applyBorder="1" applyAlignment="1">
      <alignment horizontal="right"/>
    </xf>
    <xf numFmtId="43" fontId="2" fillId="11" borderId="4" xfId="1" applyFont="1" applyFill="1" applyBorder="1" applyAlignment="1">
      <alignment horizontal="right"/>
    </xf>
    <xf numFmtId="43" fontId="1" fillId="11" borderId="4" xfId="1" applyFont="1" applyFill="1" applyBorder="1" applyAlignment="1">
      <alignment horizontal="right"/>
    </xf>
    <xf numFmtId="43" fontId="21" fillId="2" borderId="4" xfId="1" applyFont="1" applyFill="1" applyBorder="1" applyAlignment="1">
      <alignment horizontal="right"/>
    </xf>
    <xf numFmtId="43" fontId="3" fillId="11" borderId="4" xfId="1" applyFont="1" applyFill="1" applyBorder="1" applyAlignment="1">
      <alignment horizontal="right"/>
    </xf>
    <xf numFmtId="0" fontId="1" fillId="14" borderId="2" xfId="0" applyFont="1" applyFill="1" applyBorder="1"/>
    <xf numFmtId="0" fontId="1" fillId="2" borderId="17" xfId="0" applyFont="1" applyFill="1" applyBorder="1"/>
    <xf numFmtId="43" fontId="21" fillId="2" borderId="2" xfId="0" applyNumberFormat="1" applyFont="1" applyFill="1" applyBorder="1"/>
    <xf numFmtId="43" fontId="21" fillId="2" borderId="17" xfId="0" applyNumberFormat="1" applyFont="1" applyFill="1" applyBorder="1"/>
    <xf numFmtId="43" fontId="21" fillId="14" borderId="2" xfId="0" applyNumberFormat="1" applyFont="1" applyFill="1" applyBorder="1"/>
    <xf numFmtId="43" fontId="3" fillId="14" borderId="2" xfId="0" applyNumberFormat="1" applyFont="1" applyFill="1" applyBorder="1"/>
    <xf numFmtId="43" fontId="3" fillId="2" borderId="17" xfId="0" applyNumberFormat="1" applyFont="1" applyFill="1" applyBorder="1"/>
    <xf numFmtId="165" fontId="5" fillId="14" borderId="4" xfId="2" applyFont="1" applyFill="1" applyBorder="1"/>
    <xf numFmtId="0" fontId="1" fillId="11" borderId="4" xfId="0" applyFont="1" applyFill="1" applyBorder="1"/>
    <xf numFmtId="43" fontId="21" fillId="2" borderId="4" xfId="0" applyNumberFormat="1" applyFont="1" applyFill="1" applyBorder="1"/>
    <xf numFmtId="43" fontId="21" fillId="11" borderId="4" xfId="0" applyNumberFormat="1" applyFont="1" applyFill="1" applyBorder="1"/>
    <xf numFmtId="43" fontId="3" fillId="11" borderId="4" xfId="0" applyNumberFormat="1" applyFont="1" applyFill="1" applyBorder="1"/>
    <xf numFmtId="43" fontId="3" fillId="2" borderId="2" xfId="1" applyFont="1" applyFill="1" applyBorder="1" applyAlignment="1">
      <alignment horizontal="right"/>
    </xf>
    <xf numFmtId="43" fontId="3" fillId="2" borderId="4" xfId="1" applyFont="1" applyFill="1" applyBorder="1" applyAlignment="1">
      <alignment horizontal="right"/>
    </xf>
    <xf numFmtId="0" fontId="12" fillId="2" borderId="0" xfId="0" applyFont="1" applyFill="1" applyBorder="1" applyAlignment="1"/>
    <xf numFmtId="4" fontId="19" fillId="0" borderId="1" xfId="0" applyNumberFormat="1" applyFont="1" applyBorder="1"/>
    <xf numFmtId="4" fontId="19" fillId="0" borderId="0" xfId="0" applyNumberFormat="1" applyFont="1"/>
    <xf numFmtId="49" fontId="1" fillId="2" borderId="2" xfId="0" applyNumberFormat="1" applyFont="1" applyFill="1" applyBorder="1" applyAlignment="1">
      <alignment horizontal="center"/>
    </xf>
    <xf numFmtId="4" fontId="16" fillId="12" borderId="0" xfId="0" applyNumberFormat="1" applyFont="1" applyFill="1"/>
    <xf numFmtId="43" fontId="1" fillId="12" borderId="0" xfId="0" applyNumberFormat="1" applyFont="1" applyFill="1"/>
    <xf numFmtId="0" fontId="0" fillId="14" borderId="0" xfId="0" applyFill="1"/>
    <xf numFmtId="0" fontId="58" fillId="14" borderId="1" xfId="0" applyFont="1" applyFill="1" applyBorder="1" applyAlignment="1">
      <alignment horizontal="center"/>
    </xf>
    <xf numFmtId="49" fontId="1" fillId="14" borderId="1" xfId="0" applyNumberFormat="1" applyFont="1" applyFill="1" applyBorder="1" applyAlignment="1">
      <alignment wrapText="1"/>
    </xf>
    <xf numFmtId="43" fontId="59" fillId="14" borderId="1" xfId="1" applyFont="1" applyFill="1" applyBorder="1" applyAlignment="1">
      <alignment vertical="center"/>
    </xf>
    <xf numFmtId="0" fontId="58" fillId="14" borderId="1" xfId="0" applyFont="1" applyFill="1" applyBorder="1" applyAlignment="1">
      <alignment horizontal="center" wrapText="1"/>
    </xf>
    <xf numFmtId="43" fontId="58" fillId="14" borderId="1" xfId="1" applyFont="1" applyFill="1" applyBorder="1"/>
    <xf numFmtId="0" fontId="1" fillId="14" borderId="1" xfId="0" applyFont="1" applyFill="1" applyBorder="1" applyAlignment="1">
      <alignment wrapText="1"/>
    </xf>
    <xf numFmtId="49" fontId="1" fillId="14" borderId="1" xfId="0" applyNumberFormat="1" applyFont="1" applyFill="1" applyBorder="1" applyAlignment="1">
      <alignment horizontal="left" wrapText="1"/>
    </xf>
    <xf numFmtId="3" fontId="58" fillId="14" borderId="1" xfId="1" applyNumberFormat="1" applyFont="1" applyFill="1" applyBorder="1"/>
    <xf numFmtId="4" fontId="0" fillId="14" borderId="0" xfId="0" applyNumberFormat="1" applyFill="1"/>
    <xf numFmtId="165" fontId="31" fillId="14" borderId="1" xfId="4" applyFont="1" applyFill="1" applyBorder="1" applyAlignment="1">
      <alignment horizontal="right"/>
    </xf>
    <xf numFmtId="0" fontId="58" fillId="14" borderId="1" xfId="0" applyFont="1" applyFill="1" applyBorder="1"/>
    <xf numFmtId="43" fontId="21" fillId="10" borderId="1" xfId="1" applyFont="1" applyFill="1" applyBorder="1" applyAlignment="1">
      <alignment horizontal="right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26" fillId="0" borderId="0" xfId="0" applyFont="1"/>
    <xf numFmtId="4" fontId="26" fillId="0" borderId="0" xfId="0" applyNumberFormat="1" applyFont="1"/>
    <xf numFmtId="4" fontId="27" fillId="0" borderId="0" xfId="0" applyNumberFormat="1" applyFont="1"/>
    <xf numFmtId="3" fontId="1" fillId="7" borderId="1" xfId="1" applyNumberFormat="1" applyFont="1" applyFill="1" applyBorder="1" applyAlignment="1">
      <alignment horizontal="right"/>
    </xf>
    <xf numFmtId="3" fontId="2" fillId="7" borderId="1" xfId="1" applyNumberFormat="1" applyFont="1" applyFill="1" applyBorder="1" applyAlignment="1">
      <alignment horizontal="right"/>
    </xf>
    <xf numFmtId="3" fontId="21" fillId="7" borderId="1" xfId="1" applyNumberFormat="1" applyFont="1" applyFill="1" applyBorder="1" applyAlignment="1">
      <alignment horizontal="right"/>
    </xf>
    <xf numFmtId="3" fontId="3" fillId="7" borderId="1" xfId="1" applyNumberFormat="1" applyFont="1" applyFill="1" applyBorder="1" applyAlignment="1">
      <alignment horizontal="right"/>
    </xf>
    <xf numFmtId="3" fontId="1" fillId="7" borderId="1" xfId="0" applyNumberFormat="1" applyFont="1" applyFill="1" applyBorder="1"/>
    <xf numFmtId="3" fontId="21" fillId="7" borderId="1" xfId="0" applyNumberFormat="1" applyFont="1" applyFill="1" applyBorder="1"/>
    <xf numFmtId="3" fontId="3" fillId="7" borderId="1" xfId="0" applyNumberFormat="1" applyFont="1" applyFill="1" applyBorder="1"/>
    <xf numFmtId="0" fontId="3" fillId="13" borderId="1" xfId="0" applyFont="1" applyFill="1" applyBorder="1" applyAlignment="1">
      <alignment horizontal="center" wrapText="1"/>
    </xf>
    <xf numFmtId="0" fontId="19" fillId="2" borderId="0" xfId="0" applyFont="1" applyFill="1"/>
    <xf numFmtId="0" fontId="16" fillId="2" borderId="1" xfId="0" applyFont="1" applyFill="1" applyBorder="1" applyAlignment="1">
      <alignment horizontal="left"/>
    </xf>
    <xf numFmtId="0" fontId="20" fillId="2" borderId="1" xfId="0" applyFont="1" applyFill="1" applyBorder="1" applyAlignment="1">
      <alignment horizontal="center" wrapText="1"/>
    </xf>
    <xf numFmtId="0" fontId="19" fillId="2" borderId="1" xfId="0" applyFont="1" applyFill="1" applyBorder="1" applyAlignment="1">
      <alignment wrapText="1"/>
    </xf>
    <xf numFmtId="49" fontId="19" fillId="2" borderId="1" xfId="0" applyNumberFormat="1" applyFont="1" applyFill="1" applyBorder="1" applyAlignment="1">
      <alignment horizontal="center"/>
    </xf>
    <xf numFmtId="43" fontId="19" fillId="2" borderId="1" xfId="1" applyFont="1" applyFill="1" applyBorder="1" applyAlignment="1">
      <alignment horizontal="right"/>
    </xf>
    <xf numFmtId="43" fontId="19" fillId="2" borderId="1" xfId="1" applyFont="1" applyFill="1" applyBorder="1"/>
    <xf numFmtId="49" fontId="19" fillId="2" borderId="1" xfId="0" applyNumberFormat="1" applyFont="1" applyFill="1" applyBorder="1" applyAlignment="1">
      <alignment wrapText="1"/>
    </xf>
    <xf numFmtId="43" fontId="36" fillId="16" borderId="0" xfId="0" applyNumberFormat="1" applyFont="1" applyFill="1"/>
    <xf numFmtId="0" fontId="20" fillId="13" borderId="1" xfId="0" applyFont="1" applyFill="1" applyBorder="1" applyAlignment="1">
      <alignment horizontal="center" wrapText="1"/>
    </xf>
    <xf numFmtId="0" fontId="20" fillId="2" borderId="1" xfId="0" applyFont="1" applyFill="1" applyBorder="1" applyAlignment="1">
      <alignment horizontal="center"/>
    </xf>
    <xf numFmtId="43" fontId="16" fillId="2" borderId="1" xfId="1" applyFont="1" applyFill="1" applyBorder="1" applyAlignment="1">
      <alignment horizontal="right"/>
    </xf>
    <xf numFmtId="43" fontId="19" fillId="13" borderId="1" xfId="1" applyFont="1" applyFill="1" applyBorder="1" applyAlignment="1">
      <alignment horizontal="right"/>
    </xf>
    <xf numFmtId="43" fontId="19" fillId="0" borderId="1" xfId="1" applyFont="1" applyFill="1" applyBorder="1" applyAlignment="1">
      <alignment horizontal="right"/>
    </xf>
    <xf numFmtId="0" fontId="20" fillId="14" borderId="1" xfId="0" applyFont="1" applyFill="1" applyBorder="1" applyAlignment="1">
      <alignment horizontal="center" wrapText="1"/>
    </xf>
    <xf numFmtId="0" fontId="16" fillId="13" borderId="1" xfId="0" applyFont="1" applyFill="1" applyBorder="1" applyAlignment="1">
      <alignment horizontal="center" wrapText="1"/>
    </xf>
    <xf numFmtId="43" fontId="19" fillId="14" borderId="1" xfId="1" applyFont="1" applyFill="1" applyBorder="1" applyAlignment="1">
      <alignment horizontal="right"/>
    </xf>
    <xf numFmtId="43" fontId="19" fillId="2" borderId="0" xfId="0" applyNumberFormat="1" applyFont="1" applyFill="1"/>
    <xf numFmtId="4" fontId="7" fillId="7" borderId="0" xfId="0" applyNumberFormat="1" applyFont="1" applyFill="1" applyBorder="1" applyAlignment="1">
      <alignment horizontal="left"/>
    </xf>
    <xf numFmtId="4" fontId="24" fillId="7" borderId="0" xfId="0" applyNumberFormat="1" applyFont="1" applyFill="1" applyBorder="1"/>
    <xf numFmtId="0" fontId="24" fillId="7" borderId="0" xfId="0" applyFont="1" applyFill="1" applyBorder="1"/>
    <xf numFmtId="165" fontId="24" fillId="7" borderId="0" xfId="0" applyNumberFormat="1" applyFont="1" applyFill="1" applyBorder="1"/>
    <xf numFmtId="0" fontId="0" fillId="7" borderId="0" xfId="0" applyFill="1" applyBorder="1"/>
    <xf numFmtId="0" fontId="0" fillId="2" borderId="0" xfId="0" applyFont="1" applyFill="1"/>
    <xf numFmtId="4" fontId="0" fillId="2" borderId="0" xfId="0" applyNumberFormat="1" applyFont="1" applyFill="1"/>
    <xf numFmtId="0" fontId="0" fillId="2" borderId="1" xfId="0" applyFill="1" applyBorder="1"/>
    <xf numFmtId="4" fontId="70" fillId="2" borderId="1" xfId="0" applyNumberFormat="1" applyFont="1" applyFill="1" applyBorder="1" applyAlignment="1">
      <alignment horizontal="right"/>
    </xf>
    <xf numFmtId="0" fontId="71" fillId="2" borderId="1" xfId="0" applyFont="1" applyFill="1" applyBorder="1"/>
    <xf numFmtId="4" fontId="19" fillId="2" borderId="1" xfId="0" applyNumberFormat="1" applyFont="1" applyFill="1" applyBorder="1"/>
    <xf numFmtId="0" fontId="71" fillId="2" borderId="0" xfId="0" applyFont="1" applyFill="1"/>
    <xf numFmtId="0" fontId="16" fillId="2" borderId="1" xfId="0" applyFont="1" applyFill="1" applyBorder="1"/>
    <xf numFmtId="0" fontId="20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72" fillId="2" borderId="1" xfId="0" applyFont="1" applyFill="1" applyBorder="1" applyAlignment="1">
      <alignment horizontal="center"/>
    </xf>
    <xf numFmtId="43" fontId="5" fillId="0" borderId="1" xfId="1" applyFont="1" applyBorder="1"/>
    <xf numFmtId="43" fontId="5" fillId="0" borderId="1" xfId="1" applyFont="1" applyFill="1" applyBorder="1" applyAlignment="1">
      <alignment horizontal="right"/>
    </xf>
    <xf numFmtId="4" fontId="6" fillId="2" borderId="1" xfId="0" applyNumberFormat="1" applyFont="1" applyFill="1" applyBorder="1" applyAlignment="1">
      <alignment horizontal="right"/>
    </xf>
    <xf numFmtId="4" fontId="6" fillId="2" borderId="18" xfId="0" applyNumberFormat="1" applyFont="1" applyFill="1" applyBorder="1" applyAlignment="1">
      <alignment horizontal="right"/>
    </xf>
    <xf numFmtId="4" fontId="5" fillId="0" borderId="1" xfId="1" applyNumberFormat="1" applyFont="1" applyFill="1" applyBorder="1" applyAlignment="1">
      <alignment horizontal="right"/>
    </xf>
    <xf numFmtId="49" fontId="73" fillId="2" borderId="1" xfId="0" applyNumberFormat="1" applyFont="1" applyFill="1" applyBorder="1" applyAlignment="1">
      <alignment wrapText="1"/>
    </xf>
    <xf numFmtId="43" fontId="74" fillId="0" borderId="1" xfId="1" applyFont="1" applyBorder="1"/>
    <xf numFmtId="0" fontId="35" fillId="2" borderId="1" xfId="0" applyFont="1" applyFill="1" applyBorder="1" applyAlignment="1">
      <alignment horizontal="center" wrapText="1"/>
    </xf>
    <xf numFmtId="0" fontId="2" fillId="14" borderId="1" xfId="0" applyFont="1" applyFill="1" applyBorder="1" applyAlignment="1">
      <alignment horizontal="left" wrapText="1"/>
    </xf>
    <xf numFmtId="0" fontId="72" fillId="14" borderId="1" xfId="0" applyFont="1" applyFill="1" applyBorder="1" applyAlignment="1">
      <alignment horizontal="center"/>
    </xf>
    <xf numFmtId="4" fontId="6" fillId="14" borderId="18" xfId="0" applyNumberFormat="1" applyFont="1" applyFill="1" applyBorder="1" applyAlignment="1">
      <alignment horizontal="right"/>
    </xf>
    <xf numFmtId="43" fontId="74" fillId="5" borderId="1" xfId="1" applyFont="1" applyFill="1" applyBorder="1"/>
    <xf numFmtId="0" fontId="3" fillId="0" borderId="1" xfId="0" applyFont="1" applyBorder="1" applyAlignment="1">
      <alignment wrapText="1"/>
    </xf>
    <xf numFmtId="4" fontId="3" fillId="0" borderId="1" xfId="0" applyNumberFormat="1" applyFont="1" applyBorder="1"/>
    <xf numFmtId="0" fontId="35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 wrapText="1"/>
    </xf>
    <xf numFmtId="0" fontId="35" fillId="13" borderId="1" xfId="0" applyFont="1" applyFill="1" applyBorder="1" applyAlignment="1">
      <alignment horizontal="center" wrapText="1"/>
    </xf>
    <xf numFmtId="0" fontId="35" fillId="14" borderId="1" xfId="0" applyFont="1" applyFill="1" applyBorder="1" applyAlignment="1">
      <alignment horizontal="center" wrapText="1"/>
    </xf>
    <xf numFmtId="0" fontId="36" fillId="13" borderId="1" xfId="0" applyFont="1" applyFill="1" applyBorder="1" applyAlignment="1">
      <alignment horizontal="center" wrapText="1"/>
    </xf>
    <xf numFmtId="0" fontId="34" fillId="2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left" wrapText="1"/>
    </xf>
    <xf numFmtId="0" fontId="34" fillId="2" borderId="1" xfId="0" applyFont="1" applyFill="1" applyBorder="1" applyAlignment="1">
      <alignment horizontal="center" wrapText="1"/>
    </xf>
    <xf numFmtId="0" fontId="31" fillId="2" borderId="0" xfId="0" applyFont="1" applyFill="1"/>
    <xf numFmtId="49" fontId="75" fillId="2" borderId="1" xfId="0" applyNumberFormat="1" applyFont="1" applyFill="1" applyBorder="1" applyAlignment="1">
      <alignment horizontal="left"/>
    </xf>
    <xf numFmtId="0" fontId="76" fillId="2" borderId="1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 vertical="center"/>
    </xf>
    <xf numFmtId="0" fontId="34" fillId="14" borderId="1" xfId="0" applyFont="1" applyFill="1" applyBorder="1" applyAlignment="1">
      <alignment horizontal="center" wrapText="1"/>
    </xf>
    <xf numFmtId="0" fontId="34" fillId="2" borderId="1" xfId="0" applyFont="1" applyFill="1" applyBorder="1" applyAlignment="1">
      <alignment horizontal="center"/>
    </xf>
    <xf numFmtId="0" fontId="76" fillId="14" borderId="1" xfId="0" applyFont="1" applyFill="1" applyBorder="1" applyAlignment="1">
      <alignment horizontal="center"/>
    </xf>
    <xf numFmtId="0" fontId="32" fillId="2" borderId="1" xfId="0" applyFont="1" applyFill="1" applyBorder="1" applyAlignment="1">
      <alignment horizontal="center" wrapText="1"/>
    </xf>
    <xf numFmtId="0" fontId="32" fillId="14" borderId="1" xfId="0" applyFont="1" applyFill="1" applyBorder="1" applyAlignment="1">
      <alignment horizontal="center" wrapText="1"/>
    </xf>
    <xf numFmtId="43" fontId="19" fillId="17" borderId="1" xfId="1" applyFont="1" applyFill="1" applyBorder="1" applyAlignment="1">
      <alignment horizontal="right"/>
    </xf>
    <xf numFmtId="43" fontId="24" fillId="2" borderId="0" xfId="0" applyNumberFormat="1" applyFont="1" applyFill="1"/>
    <xf numFmtId="0" fontId="77" fillId="2" borderId="1" xfId="0" applyFont="1" applyFill="1" applyBorder="1"/>
    <xf numFmtId="0" fontId="78" fillId="2" borderId="1" xfId="0" applyFont="1" applyFill="1" applyBorder="1" applyAlignment="1">
      <alignment horizontal="left"/>
    </xf>
    <xf numFmtId="0" fontId="78" fillId="2" borderId="1" xfId="0" applyFont="1" applyFill="1" applyBorder="1" applyAlignment="1">
      <alignment horizontal="left" wrapText="1"/>
    </xf>
    <xf numFmtId="0" fontId="78" fillId="2" borderId="1" xfId="0" applyFont="1" applyFill="1" applyBorder="1" applyAlignment="1">
      <alignment horizontal="center" wrapText="1"/>
    </xf>
    <xf numFmtId="0" fontId="78" fillId="2" borderId="1" xfId="0" applyFont="1" applyFill="1" applyBorder="1" applyAlignment="1">
      <alignment horizontal="center"/>
    </xf>
    <xf numFmtId="49" fontId="79" fillId="2" borderId="1" xfId="0" applyNumberFormat="1" applyFont="1" applyFill="1" applyBorder="1" applyAlignment="1">
      <alignment horizontal="left" wrapText="1"/>
    </xf>
    <xf numFmtId="0" fontId="79" fillId="2" borderId="1" xfId="0" applyFont="1" applyFill="1" applyBorder="1"/>
    <xf numFmtId="0" fontId="79" fillId="2" borderId="1" xfId="0" applyFont="1" applyFill="1" applyBorder="1" applyAlignment="1">
      <alignment horizontal="center"/>
    </xf>
    <xf numFmtId="49" fontId="36" fillId="2" borderId="1" xfId="0" applyNumberFormat="1" applyFont="1" applyFill="1" applyBorder="1" applyAlignment="1">
      <alignment wrapText="1"/>
    </xf>
    <xf numFmtId="0" fontId="36" fillId="2" borderId="1" xfId="0" applyFont="1" applyFill="1" applyBorder="1" applyAlignment="1">
      <alignment horizontal="center"/>
    </xf>
    <xf numFmtId="49" fontId="79" fillId="2" borderId="1" xfId="0" applyNumberFormat="1" applyFont="1" applyFill="1" applyBorder="1" applyAlignment="1">
      <alignment horizontal="center"/>
    </xf>
    <xf numFmtId="0" fontId="78" fillId="5" borderId="1" xfId="0" applyFont="1" applyFill="1" applyBorder="1" applyAlignment="1">
      <alignment horizontal="center" wrapText="1"/>
    </xf>
    <xf numFmtId="0" fontId="12" fillId="2" borderId="0" xfId="0" applyFont="1" applyFill="1" applyAlignment="1"/>
    <xf numFmtId="0" fontId="26" fillId="2" borderId="0" xfId="0" applyFont="1" applyFill="1" applyAlignment="1"/>
    <xf numFmtId="0" fontId="3" fillId="18" borderId="1" xfId="0" applyFont="1" applyFill="1" applyBorder="1" applyAlignment="1">
      <alignment horizontal="center" wrapText="1"/>
    </xf>
    <xf numFmtId="0" fontId="3" fillId="19" borderId="1" xfId="0" applyFont="1" applyFill="1" applyBorder="1" applyAlignment="1">
      <alignment horizontal="center" wrapText="1"/>
    </xf>
    <xf numFmtId="0" fontId="18" fillId="18" borderId="1" xfId="0" applyFont="1" applyFill="1" applyBorder="1" applyAlignment="1">
      <alignment horizontal="center"/>
    </xf>
    <xf numFmtId="0" fontId="18" fillId="19" borderId="1" xfId="0" applyFont="1" applyFill="1" applyBorder="1" applyAlignment="1">
      <alignment horizontal="center"/>
    </xf>
    <xf numFmtId="0" fontId="3" fillId="19" borderId="1" xfId="0" applyFont="1" applyFill="1" applyBorder="1" applyAlignment="1">
      <alignment horizontal="center"/>
    </xf>
    <xf numFmtId="43" fontId="1" fillId="18" borderId="1" xfId="1" applyFont="1" applyFill="1" applyBorder="1" applyAlignment="1">
      <alignment horizontal="right"/>
    </xf>
    <xf numFmtId="43" fontId="1" fillId="19" borderId="1" xfId="1" applyFont="1" applyFill="1" applyBorder="1" applyAlignment="1">
      <alignment horizontal="right"/>
    </xf>
    <xf numFmtId="43" fontId="2" fillId="18" borderId="1" xfId="1" applyFont="1" applyFill="1" applyBorder="1" applyAlignment="1">
      <alignment horizontal="right"/>
    </xf>
    <xf numFmtId="43" fontId="2" fillId="19" borderId="1" xfId="1" applyFont="1" applyFill="1" applyBorder="1" applyAlignment="1">
      <alignment horizontal="right"/>
    </xf>
    <xf numFmtId="43" fontId="1" fillId="18" borderId="1" xfId="1" applyFont="1" applyFill="1" applyBorder="1"/>
    <xf numFmtId="43" fontId="21" fillId="18" borderId="1" xfId="1" applyFont="1" applyFill="1" applyBorder="1" applyAlignment="1">
      <alignment horizontal="right"/>
    </xf>
    <xf numFmtId="43" fontId="21" fillId="19" borderId="1" xfId="1" applyFont="1" applyFill="1" applyBorder="1" applyAlignment="1">
      <alignment horizontal="right"/>
    </xf>
    <xf numFmtId="43" fontId="3" fillId="18" borderId="1" xfId="1" applyFont="1" applyFill="1" applyBorder="1" applyAlignment="1">
      <alignment horizontal="right"/>
    </xf>
    <xf numFmtId="43" fontId="3" fillId="19" borderId="1" xfId="1" applyFont="1" applyFill="1" applyBorder="1" applyAlignment="1">
      <alignment horizontal="right"/>
    </xf>
    <xf numFmtId="43" fontId="21" fillId="18" borderId="1" xfId="0" applyNumberFormat="1" applyFont="1" applyFill="1" applyBorder="1"/>
    <xf numFmtId="43" fontId="21" fillId="19" borderId="1" xfId="0" applyNumberFormat="1" applyFont="1" applyFill="1" applyBorder="1"/>
    <xf numFmtId="43" fontId="3" fillId="18" borderId="1" xfId="0" applyNumberFormat="1" applyFont="1" applyFill="1" applyBorder="1"/>
    <xf numFmtId="0" fontId="3" fillId="19" borderId="1" xfId="0" applyFont="1" applyFill="1" applyBorder="1"/>
    <xf numFmtId="43" fontId="7" fillId="18" borderId="1" xfId="1" applyFont="1" applyFill="1" applyBorder="1" applyAlignment="1">
      <alignment horizontal="right"/>
    </xf>
    <xf numFmtId="43" fontId="7" fillId="19" borderId="1" xfId="1" applyFont="1" applyFill="1" applyBorder="1" applyAlignment="1">
      <alignment horizontal="right"/>
    </xf>
    <xf numFmtId="0" fontId="1" fillId="2" borderId="0" xfId="0" applyFont="1" applyFill="1" applyAlignment="1"/>
    <xf numFmtId="0" fontId="2" fillId="1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 wrapText="1"/>
    </xf>
    <xf numFmtId="0" fontId="26" fillId="0" borderId="0" xfId="0" applyFont="1" applyAlignment="1">
      <alignment horizontal="center"/>
    </xf>
    <xf numFmtId="0" fontId="30" fillId="0" borderId="0" xfId="0" applyFont="1"/>
    <xf numFmtId="4" fontId="81" fillId="0" borderId="0" xfId="0" applyNumberFormat="1" applyFont="1"/>
    <xf numFmtId="4" fontId="25" fillId="0" borderId="0" xfId="0" applyNumberFormat="1" applyFont="1"/>
    <xf numFmtId="4" fontId="30" fillId="0" borderId="0" xfId="0" applyNumberFormat="1" applyFont="1"/>
    <xf numFmtId="0" fontId="25" fillId="2" borderId="0" xfId="0" applyFont="1" applyFill="1"/>
    <xf numFmtId="0" fontId="13" fillId="2" borderId="0" xfId="0" applyFont="1" applyFill="1"/>
    <xf numFmtId="0" fontId="1" fillId="20" borderId="1" xfId="0" applyFont="1" applyFill="1" applyBorder="1"/>
    <xf numFmtId="0" fontId="2" fillId="20" borderId="1" xfId="0" applyFont="1" applyFill="1" applyBorder="1" applyAlignment="1">
      <alignment horizontal="left"/>
    </xf>
    <xf numFmtId="0" fontId="3" fillId="20" borderId="1" xfId="0" applyFont="1" applyFill="1" applyBorder="1" applyAlignment="1">
      <alignment horizontal="left"/>
    </xf>
    <xf numFmtId="0" fontId="16" fillId="20" borderId="1" xfId="0" applyFont="1" applyFill="1" applyBorder="1" applyAlignment="1">
      <alignment horizontal="left" wrapText="1"/>
    </xf>
    <xf numFmtId="0" fontId="3" fillId="20" borderId="1" xfId="0" applyFont="1" applyFill="1" applyBorder="1" applyAlignment="1">
      <alignment horizontal="center" wrapText="1"/>
    </xf>
    <xf numFmtId="0" fontId="18" fillId="21" borderId="1" xfId="0" applyFont="1" applyFill="1" applyBorder="1" applyAlignment="1">
      <alignment horizontal="center"/>
    </xf>
    <xf numFmtId="0" fontId="18" fillId="22" borderId="1" xfId="0" applyFont="1" applyFill="1" applyBorder="1" applyAlignment="1">
      <alignment horizontal="center"/>
    </xf>
    <xf numFmtId="0" fontId="18" fillId="9" borderId="1" xfId="0" applyFont="1" applyFill="1" applyBorder="1" applyAlignment="1">
      <alignment horizontal="center"/>
    </xf>
    <xf numFmtId="0" fontId="3" fillId="22" borderId="1" xfId="0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left"/>
    </xf>
    <xf numFmtId="49" fontId="1" fillId="23" borderId="1" xfId="0" applyNumberFormat="1" applyFont="1" applyFill="1" applyBorder="1" applyAlignment="1">
      <alignment wrapText="1"/>
    </xf>
    <xf numFmtId="49" fontId="1" fillId="2" borderId="1" xfId="0" applyNumberFormat="1" applyFont="1" applyFill="1" applyBorder="1" applyAlignment="1"/>
    <xf numFmtId="49" fontId="1" fillId="2" borderId="0" xfId="0" applyNumberFormat="1" applyFont="1" applyFill="1" applyBorder="1" applyAlignment="1">
      <alignment horizontal="left" wrapText="1"/>
    </xf>
    <xf numFmtId="4" fontId="1" fillId="2" borderId="1" xfId="1" applyNumberFormat="1" applyFont="1" applyFill="1" applyBorder="1" applyAlignment="1">
      <alignment horizontal="right"/>
    </xf>
    <xf numFmtId="43" fontId="1" fillId="2" borderId="1" xfId="0" applyNumberFormat="1" applyFont="1" applyFill="1" applyBorder="1"/>
    <xf numFmtId="4" fontId="1" fillId="2" borderId="1" xfId="0" applyNumberFormat="1" applyFont="1" applyFill="1" applyBorder="1" applyAlignment="1">
      <alignment horizontal="right"/>
    </xf>
    <xf numFmtId="49" fontId="6" fillId="23" borderId="1" xfId="0" applyNumberFormat="1" applyFont="1" applyFill="1" applyBorder="1" applyAlignment="1">
      <alignment horizontal="left"/>
    </xf>
    <xf numFmtId="4" fontId="1" fillId="2" borderId="1" xfId="1" applyNumberFormat="1" applyFont="1" applyFill="1" applyBorder="1"/>
    <xf numFmtId="4" fontId="7" fillId="2" borderId="0" xfId="0" applyNumberFormat="1" applyFont="1" applyFill="1" applyBorder="1" applyAlignment="1">
      <alignment horizontal="left"/>
    </xf>
    <xf numFmtId="3" fontId="3" fillId="2" borderId="0" xfId="0" applyNumberFormat="1" applyFont="1" applyFill="1" applyBorder="1" applyAlignment="1">
      <alignment horizontal="center"/>
    </xf>
    <xf numFmtId="43" fontId="7" fillId="2" borderId="0" xfId="1" applyFont="1" applyFill="1" applyBorder="1" applyAlignment="1">
      <alignment horizontal="right"/>
    </xf>
    <xf numFmtId="49" fontId="1" fillId="9" borderId="1" xfId="0" applyNumberFormat="1" applyFont="1" applyFill="1" applyBorder="1" applyAlignment="1">
      <alignment wrapText="1"/>
    </xf>
    <xf numFmtId="49" fontId="1" fillId="9" borderId="1" xfId="0" applyNumberFormat="1" applyFont="1" applyFill="1" applyBorder="1" applyAlignment="1">
      <alignment horizontal="left" wrapText="1"/>
    </xf>
    <xf numFmtId="49" fontId="1" fillId="9" borderId="0" xfId="0" applyNumberFormat="1" applyFont="1" applyFill="1" applyBorder="1" applyAlignment="1">
      <alignment horizontal="left" wrapText="1"/>
    </xf>
    <xf numFmtId="0" fontId="2" fillId="21" borderId="1" xfId="0" applyFont="1" applyFill="1" applyBorder="1" applyAlignment="1">
      <alignment horizontal="center" wrapText="1"/>
    </xf>
    <xf numFmtId="43" fontId="1" fillId="21" borderId="1" xfId="1" applyFont="1" applyFill="1" applyBorder="1" applyAlignment="1">
      <alignment horizontal="right"/>
    </xf>
    <xf numFmtId="43" fontId="2" fillId="21" borderId="1" xfId="1" applyFont="1" applyFill="1" applyBorder="1" applyAlignment="1">
      <alignment horizontal="right"/>
    </xf>
    <xf numFmtId="4" fontId="1" fillId="2" borderId="1" xfId="0" applyNumberFormat="1" applyFont="1" applyFill="1" applyBorder="1"/>
    <xf numFmtId="43" fontId="3" fillId="21" borderId="1" xfId="1" applyFont="1" applyFill="1" applyBorder="1" applyAlignment="1">
      <alignment horizontal="right"/>
    </xf>
    <xf numFmtId="43" fontId="21" fillId="21" borderId="1" xfId="1" applyFont="1" applyFill="1" applyBorder="1" applyAlignment="1">
      <alignment horizontal="right"/>
    </xf>
    <xf numFmtId="43" fontId="3" fillId="21" borderId="1" xfId="0" applyNumberFormat="1" applyFont="1" applyFill="1" applyBorder="1"/>
    <xf numFmtId="43" fontId="7" fillId="21" borderId="1" xfId="1" applyFont="1" applyFill="1" applyBorder="1" applyAlignment="1">
      <alignment horizontal="right"/>
    </xf>
    <xf numFmtId="0" fontId="3" fillId="14" borderId="1" xfId="0" applyFont="1" applyFill="1" applyBorder="1" applyAlignment="1">
      <alignment horizontal="center" wrapText="1"/>
    </xf>
    <xf numFmtId="4" fontId="1" fillId="14" borderId="1" xfId="0" applyNumberFormat="1" applyFont="1" applyFill="1" applyBorder="1" applyAlignment="1">
      <alignment horizontal="right"/>
    </xf>
    <xf numFmtId="43" fontId="7" fillId="2" borderId="0" xfId="1" applyFont="1" applyFill="1" applyAlignment="1">
      <alignment horizontal="right"/>
    </xf>
    <xf numFmtId="1" fontId="57" fillId="2" borderId="15" xfId="0" applyNumberFormat="1" applyFont="1" applyFill="1" applyBorder="1" applyAlignment="1">
      <alignment wrapText="1"/>
    </xf>
    <xf numFmtId="1" fontId="58" fillId="2" borderId="1" xfId="0" applyNumberFormat="1" applyFont="1" applyFill="1" applyBorder="1" applyAlignment="1">
      <alignment horizontal="center" wrapText="1"/>
    </xf>
    <xf numFmtId="49" fontId="31" fillId="2" borderId="1" xfId="0" applyNumberFormat="1" applyFont="1" applyFill="1" applyBorder="1" applyAlignment="1">
      <alignment wrapText="1"/>
    </xf>
    <xf numFmtId="4" fontId="59" fillId="2" borderId="1" xfId="1" applyNumberFormat="1" applyFont="1" applyFill="1" applyBorder="1" applyAlignment="1">
      <alignment vertical="center"/>
    </xf>
    <xf numFmtId="4" fontId="58" fillId="2" borderId="1" xfId="1" applyNumberFormat="1" applyFont="1" applyFill="1" applyBorder="1"/>
    <xf numFmtId="0" fontId="31" fillId="2" borderId="1" xfId="0" applyFont="1" applyFill="1" applyBorder="1" applyAlignment="1">
      <alignment wrapText="1"/>
    </xf>
    <xf numFmtId="4" fontId="31" fillId="2" borderId="1" xfId="1" applyNumberFormat="1" applyFont="1" applyFill="1" applyBorder="1" applyAlignment="1">
      <alignment horizontal="right"/>
    </xf>
    <xf numFmtId="0" fontId="32" fillId="2" borderId="1" xfId="0" applyFont="1" applyFill="1" applyBorder="1" applyAlignment="1">
      <alignment wrapText="1"/>
    </xf>
    <xf numFmtId="49" fontId="32" fillId="2" borderId="1" xfId="0" applyNumberFormat="1" applyFont="1" applyFill="1" applyBorder="1" applyAlignment="1">
      <alignment wrapText="1"/>
    </xf>
    <xf numFmtId="4" fontId="31" fillId="2" borderId="1" xfId="4" applyNumberFormat="1" applyFont="1" applyFill="1" applyBorder="1" applyAlignment="1">
      <alignment horizontal="right"/>
    </xf>
    <xf numFmtId="49" fontId="31" fillId="2" borderId="1" xfId="0" applyNumberFormat="1" applyFont="1" applyFill="1" applyBorder="1" applyAlignment="1">
      <alignment horizontal="left" wrapText="1"/>
    </xf>
    <xf numFmtId="49" fontId="32" fillId="2" borderId="1" xfId="0" applyNumberFormat="1" applyFont="1" applyFill="1" applyBorder="1" applyAlignment="1">
      <alignment horizontal="left" wrapText="1"/>
    </xf>
    <xf numFmtId="4" fontId="82" fillId="2" borderId="1" xfId="1" applyNumberFormat="1" applyFont="1" applyFill="1" applyBorder="1"/>
    <xf numFmtId="1" fontId="82" fillId="2" borderId="1" xfId="1" applyNumberFormat="1" applyFont="1" applyFill="1" applyBorder="1"/>
    <xf numFmtId="4" fontId="58" fillId="2" borderId="1" xfId="0" applyNumberFormat="1" applyFont="1" applyFill="1" applyBorder="1"/>
    <xf numFmtId="0" fontId="57" fillId="9" borderId="15" xfId="0" applyFont="1" applyFill="1" applyBorder="1" applyAlignment="1">
      <alignment horizontal="right" wrapText="1"/>
    </xf>
    <xf numFmtId="43" fontId="58" fillId="9" borderId="1" xfId="1" applyFont="1" applyFill="1" applyBorder="1"/>
    <xf numFmtId="4" fontId="58" fillId="9" borderId="1" xfId="1" applyNumberFormat="1" applyFont="1" applyFill="1" applyBorder="1"/>
    <xf numFmtId="4" fontId="79" fillId="0" borderId="1" xfId="0" applyNumberFormat="1" applyFont="1" applyBorder="1"/>
    <xf numFmtId="43" fontId="79" fillId="9" borderId="1" xfId="0" applyNumberFormat="1" applyFont="1" applyFill="1" applyBorder="1"/>
    <xf numFmtId="4" fontId="82" fillId="9" borderId="1" xfId="1" applyNumberFormat="1" applyFont="1" applyFill="1" applyBorder="1"/>
    <xf numFmtId="0" fontId="0" fillId="0" borderId="0" xfId="0" applyAlignment="1">
      <alignment horizontal="center"/>
    </xf>
    <xf numFmtId="0" fontId="30" fillId="0" borderId="0" xfId="0" applyFont="1" applyAlignment="1">
      <alignment horizontal="left"/>
    </xf>
    <xf numFmtId="0" fontId="80" fillId="0" borderId="0" xfId="0" applyFont="1"/>
    <xf numFmtId="0" fontId="84" fillId="0" borderId="0" xfId="0" applyFont="1"/>
    <xf numFmtId="0" fontId="85" fillId="0" borderId="0" xfId="0" applyFont="1"/>
    <xf numFmtId="0" fontId="3" fillId="0" borderId="0" xfId="0" applyFont="1" applyAlignment="1">
      <alignment horizontal="left"/>
    </xf>
    <xf numFmtId="43" fontId="3" fillId="0" borderId="0" xfId="0" applyNumberFormat="1" applyFont="1"/>
    <xf numFmtId="0" fontId="7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43" fontId="1" fillId="0" borderId="0" xfId="1" applyFont="1"/>
    <xf numFmtId="43" fontId="1" fillId="0" borderId="0" xfId="0" applyNumberFormat="1" applyFont="1" applyAlignment="1">
      <alignment horizontal="right"/>
    </xf>
    <xf numFmtId="4" fontId="1" fillId="0" borderId="0" xfId="0" applyNumberFormat="1" applyFont="1" applyAlignment="1"/>
    <xf numFmtId="4" fontId="86" fillId="0" borderId="0" xfId="0" applyNumberFormat="1" applyFont="1"/>
    <xf numFmtId="43" fontId="21" fillId="0" borderId="12" xfId="1" applyFont="1" applyBorder="1" applyAlignment="1"/>
    <xf numFmtId="4" fontId="2" fillId="0" borderId="0" xfId="0" applyNumberFormat="1" applyFont="1" applyAlignment="1"/>
    <xf numFmtId="4" fontId="3" fillId="0" borderId="0" xfId="0" applyNumberFormat="1" applyFont="1" applyAlignment="1"/>
    <xf numFmtId="43" fontId="1" fillId="0" borderId="0" xfId="1" applyFont="1" applyFill="1" applyBorder="1" applyAlignment="1"/>
    <xf numFmtId="43" fontId="86" fillId="0" borderId="0" xfId="1" applyFont="1" applyFill="1" applyBorder="1" applyAlignment="1"/>
    <xf numFmtId="43" fontId="2" fillId="0" borderId="0" xfId="1" applyFont="1" applyBorder="1" applyAlignment="1"/>
    <xf numFmtId="43" fontId="3" fillId="0" borderId="0" xfId="1" applyFont="1" applyBorder="1" applyAlignment="1"/>
    <xf numFmtId="0" fontId="18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center"/>
    </xf>
    <xf numFmtId="0" fontId="1" fillId="0" borderId="2" xfId="0" applyFont="1" applyBorder="1"/>
    <xf numFmtId="43" fontId="3" fillId="0" borderId="0" xfId="0" applyNumberFormat="1" applyFont="1" applyBorder="1"/>
    <xf numFmtId="0" fontId="1" fillId="0" borderId="0" xfId="0" applyFont="1" applyAlignment="1"/>
    <xf numFmtId="43" fontId="1" fillId="0" borderId="0" xfId="0" applyNumberFormat="1" applyFont="1" applyAlignment="1"/>
    <xf numFmtId="43" fontId="1" fillId="0" borderId="0" xfId="1" applyFont="1" applyFill="1" applyAlignment="1">
      <alignment horizontal="right"/>
    </xf>
    <xf numFmtId="0" fontId="1" fillId="21" borderId="0" xfId="0" applyFont="1" applyFill="1"/>
    <xf numFmtId="0" fontId="1" fillId="2" borderId="1" xfId="0" applyFont="1" applyFill="1" applyBorder="1" applyAlignment="1"/>
    <xf numFmtId="4" fontId="15" fillId="21" borderId="0" xfId="0" applyNumberFormat="1" applyFont="1" applyFill="1"/>
    <xf numFmtId="43" fontId="1" fillId="21" borderId="1" xfId="0" applyNumberFormat="1" applyFont="1" applyFill="1" applyBorder="1"/>
    <xf numFmtId="4" fontId="18" fillId="2" borderId="1" xfId="1" applyNumberFormat="1" applyFont="1" applyFill="1" applyBorder="1" applyAlignment="1">
      <alignment horizontal="right"/>
    </xf>
    <xf numFmtId="4" fontId="18" fillId="2" borderId="1" xfId="0" applyNumberFormat="1" applyFont="1" applyFill="1" applyBorder="1" applyAlignment="1">
      <alignment horizontal="center"/>
    </xf>
    <xf numFmtId="4" fontId="3" fillId="21" borderId="0" xfId="0" applyNumberFormat="1" applyFont="1" applyFill="1" applyBorder="1" applyAlignment="1">
      <alignment horizontal="center"/>
    </xf>
    <xf numFmtId="165" fontId="1" fillId="21" borderId="0" xfId="0" applyNumberFormat="1" applyFont="1" applyFill="1"/>
    <xf numFmtId="4" fontId="7" fillId="2" borderId="0" xfId="0" applyNumberFormat="1" applyFont="1" applyFill="1" applyAlignment="1">
      <alignment horizontal="right"/>
    </xf>
    <xf numFmtId="0" fontId="1" fillId="0" borderId="1" xfId="0" quotePrefix="1" applyFont="1" applyBorder="1" applyAlignment="1">
      <alignment horizontal="center"/>
    </xf>
    <xf numFmtId="0" fontId="39" fillId="0" borderId="1" xfId="0" quotePrefix="1" applyFont="1" applyBorder="1"/>
    <xf numFmtId="0" fontId="9" fillId="0" borderId="1" xfId="0" quotePrefix="1" applyFont="1" applyBorder="1"/>
    <xf numFmtId="0" fontId="39" fillId="0" borderId="0" xfId="0" quotePrefix="1" applyFont="1" applyFill="1" applyBorder="1"/>
    <xf numFmtId="0" fontId="39" fillId="0" borderId="0" xfId="0" quotePrefix="1" applyFont="1" applyBorder="1"/>
    <xf numFmtId="0" fontId="39" fillId="0" borderId="2" xfId="0" quotePrefix="1" applyFont="1" applyFill="1" applyBorder="1"/>
    <xf numFmtId="0" fontId="39" fillId="0" borderId="2" xfId="0" quotePrefix="1" applyFont="1" applyBorder="1"/>
    <xf numFmtId="43" fontId="1" fillId="0" borderId="1" xfId="1" quotePrefix="1" applyFont="1" applyFill="1" applyBorder="1" applyAlignment="1">
      <alignment horizontal="right"/>
    </xf>
    <xf numFmtId="0" fontId="13" fillId="2" borderId="0" xfId="0" applyFont="1" applyFill="1" applyBorder="1"/>
    <xf numFmtId="0" fontId="80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83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3" fillId="0" borderId="5" xfId="0" applyFont="1" applyBorder="1" applyAlignment="1">
      <alignment horizontal="center"/>
    </xf>
    <xf numFmtId="0" fontId="1" fillId="0" borderId="0" xfId="0" applyFont="1" applyBorder="1" applyAlignment="1">
      <alignment horizontal="left" wrapText="1"/>
    </xf>
    <xf numFmtId="0" fontId="12" fillId="2" borderId="0" xfId="0" applyFont="1" applyFill="1" applyAlignment="1">
      <alignment horizontal="left"/>
    </xf>
    <xf numFmtId="0" fontId="57" fillId="2" borderId="0" xfId="0" applyFont="1" applyFill="1" applyBorder="1" applyAlignment="1">
      <alignment horizontal="center"/>
    </xf>
    <xf numFmtId="0" fontId="57" fillId="2" borderId="0" xfId="0" applyFont="1" applyFill="1" applyBorder="1" applyAlignment="1">
      <alignment horizontal="center" wrapText="1"/>
    </xf>
    <xf numFmtId="0" fontId="57" fillId="2" borderId="8" xfId="0" applyFont="1" applyFill="1" applyBorder="1" applyAlignment="1">
      <alignment horizontal="center"/>
    </xf>
    <xf numFmtId="0" fontId="3" fillId="0" borderId="12" xfId="0" applyFont="1" applyBorder="1"/>
    <xf numFmtId="0" fontId="8" fillId="0" borderId="1" xfId="0" applyFont="1" applyFill="1" applyBorder="1" applyAlignment="1">
      <alignment horizontal="center"/>
    </xf>
    <xf numFmtId="17" fontId="8" fillId="0" borderId="1" xfId="0" applyNumberFormat="1" applyFont="1" applyFill="1" applyBorder="1" applyAlignment="1">
      <alignment horizontal="center" wrapText="1"/>
    </xf>
    <xf numFmtId="0" fontId="25" fillId="2" borderId="0" xfId="0" applyFont="1" applyFill="1" applyBorder="1"/>
    <xf numFmtId="0" fontId="12" fillId="2" borderId="0" xfId="0" applyFont="1" applyFill="1" applyBorder="1" applyAlignment="1">
      <alignment horizontal="center"/>
    </xf>
    <xf numFmtId="0" fontId="61" fillId="2" borderId="0" xfId="0" applyFont="1" applyFill="1" applyBorder="1"/>
    <xf numFmtId="0" fontId="57" fillId="0" borderId="0" xfId="0" applyFont="1" applyBorder="1" applyAlignment="1">
      <alignment horizontal="center"/>
    </xf>
    <xf numFmtId="0" fontId="57" fillId="0" borderId="0" xfId="0" applyFont="1" applyBorder="1" applyAlignment="1">
      <alignment horizontal="center" wrapText="1"/>
    </xf>
    <xf numFmtId="0" fontId="57" fillId="0" borderId="8" xfId="0" applyFont="1" applyBorder="1" applyAlignment="1">
      <alignment horizontal="center"/>
    </xf>
    <xf numFmtId="0" fontId="12" fillId="2" borderId="0" xfId="0" applyFont="1" applyFill="1" applyBorder="1" applyAlignment="1">
      <alignment horizontal="left"/>
    </xf>
    <xf numFmtId="0" fontId="25" fillId="2" borderId="0" xfId="0" applyFont="1" applyFill="1" applyBorder="1" applyAlignment="1"/>
    <xf numFmtId="0" fontId="1" fillId="2" borderId="0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/>
    </xf>
    <xf numFmtId="0" fontId="35" fillId="2" borderId="0" xfId="0" applyFont="1" applyFill="1" applyBorder="1" applyAlignment="1">
      <alignment horizontal="center"/>
    </xf>
    <xf numFmtId="0" fontId="36" fillId="0" borderId="0" xfId="0" applyFont="1" applyAlignment="1">
      <alignment horizontal="center"/>
    </xf>
    <xf numFmtId="0" fontId="36" fillId="0" borderId="1" xfId="0" applyFont="1" applyBorder="1" applyAlignment="1">
      <alignment horizontal="left"/>
    </xf>
    <xf numFmtId="0" fontId="2" fillId="2" borderId="0" xfId="0" applyFont="1" applyFill="1" applyBorder="1" applyAlignment="1">
      <alignment horizontal="center"/>
    </xf>
    <xf numFmtId="0" fontId="27" fillId="0" borderId="0" xfId="0" applyFont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4" fontId="3" fillId="0" borderId="1" xfId="0" applyNumberFormat="1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center"/>
    </xf>
    <xf numFmtId="49" fontId="11" fillId="0" borderId="1" xfId="0" applyNumberFormat="1" applyFont="1" applyFill="1" applyBorder="1" applyAlignment="1">
      <alignment horizontal="left"/>
    </xf>
    <xf numFmtId="49" fontId="1" fillId="0" borderId="2" xfId="0" applyNumberFormat="1" applyFont="1" applyFill="1" applyBorder="1" applyAlignment="1">
      <alignment horizontal="left"/>
    </xf>
    <xf numFmtId="49" fontId="1" fillId="0" borderId="4" xfId="0" applyNumberFormat="1" applyFont="1" applyFill="1" applyBorder="1" applyAlignment="1">
      <alignment horizontal="left"/>
    </xf>
    <xf numFmtId="0" fontId="1" fillId="0" borderId="2" xfId="0" applyFont="1" applyFill="1" applyBorder="1" applyAlignment="1">
      <alignment horizontal="left"/>
    </xf>
    <xf numFmtId="0" fontId="1" fillId="0" borderId="4" xfId="0" applyFont="1" applyFill="1" applyBorder="1" applyAlignment="1">
      <alignment horizontal="left"/>
    </xf>
    <xf numFmtId="49" fontId="1" fillId="2" borderId="2" xfId="0" applyNumberFormat="1" applyFont="1" applyFill="1" applyBorder="1" applyAlignment="1">
      <alignment horizontal="left"/>
    </xf>
    <xf numFmtId="49" fontId="1" fillId="2" borderId="4" xfId="0" applyNumberFormat="1" applyFont="1" applyFill="1" applyBorder="1" applyAlignment="1">
      <alignment horizontal="left"/>
    </xf>
    <xf numFmtId="49" fontId="1" fillId="0" borderId="1" xfId="0" applyNumberFormat="1" applyFont="1" applyFill="1" applyBorder="1" applyAlignment="1">
      <alignment horizontal="left"/>
    </xf>
    <xf numFmtId="49" fontId="3" fillId="0" borderId="1" xfId="0" applyNumberFormat="1" applyFont="1" applyFill="1" applyBorder="1" applyAlignment="1">
      <alignment horizontal="left"/>
    </xf>
    <xf numFmtId="0" fontId="1" fillId="0" borderId="2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left"/>
    </xf>
    <xf numFmtId="0" fontId="2" fillId="0" borderId="4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49" fontId="23" fillId="0" borderId="2" xfId="0" applyNumberFormat="1" applyFont="1" applyFill="1" applyBorder="1" applyAlignment="1">
      <alignment horizontal="left"/>
    </xf>
    <xf numFmtId="49" fontId="23" fillId="0" borderId="4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/>
    </xf>
    <xf numFmtId="49" fontId="3" fillId="0" borderId="2" xfId="0" applyNumberFormat="1" applyFont="1" applyFill="1" applyBorder="1" applyAlignment="1">
      <alignment horizontal="center"/>
    </xf>
    <xf numFmtId="49" fontId="3" fillId="0" borderId="4" xfId="0" applyNumberFormat="1" applyFont="1" applyFill="1" applyBorder="1" applyAlignment="1">
      <alignment horizontal="center"/>
    </xf>
    <xf numFmtId="49" fontId="3" fillId="0" borderId="2" xfId="0" applyNumberFormat="1" applyFont="1" applyFill="1" applyBorder="1" applyAlignment="1">
      <alignment horizontal="left"/>
    </xf>
    <xf numFmtId="49" fontId="3" fillId="0" borderId="4" xfId="0" applyNumberFormat="1" applyFont="1" applyFill="1" applyBorder="1" applyAlignment="1">
      <alignment horizontal="left"/>
    </xf>
    <xf numFmtId="49" fontId="1" fillId="0" borderId="2" xfId="0" applyNumberFormat="1" applyFont="1" applyFill="1" applyBorder="1" applyAlignment="1"/>
    <xf numFmtId="49" fontId="1" fillId="0" borderId="4" xfId="0" applyNumberFormat="1" applyFont="1" applyFill="1" applyBorder="1" applyAlignment="1"/>
    <xf numFmtId="0" fontId="1" fillId="0" borderId="1" xfId="0" applyFont="1" applyFill="1" applyBorder="1" applyAlignment="1">
      <alignment horizontal="left"/>
    </xf>
    <xf numFmtId="49" fontId="1" fillId="0" borderId="1" xfId="0" applyNumberFormat="1" applyFont="1" applyFill="1" applyBorder="1" applyAlignment="1"/>
    <xf numFmtId="49" fontId="1" fillId="0" borderId="6" xfId="0" applyNumberFormat="1" applyFont="1" applyFill="1" applyBorder="1" applyAlignment="1">
      <alignment horizontal="left"/>
    </xf>
    <xf numFmtId="49" fontId="1" fillId="0" borderId="7" xfId="0" applyNumberFormat="1" applyFont="1" applyFill="1" applyBorder="1" applyAlignment="1">
      <alignment horizontal="left"/>
    </xf>
    <xf numFmtId="49" fontId="1" fillId="0" borderId="8" xfId="0" applyNumberFormat="1" applyFont="1" applyFill="1" applyBorder="1" applyAlignment="1">
      <alignment horizontal="left"/>
    </xf>
    <xf numFmtId="49" fontId="1" fillId="0" borderId="9" xfId="0" applyNumberFormat="1" applyFont="1" applyFill="1" applyBorder="1" applyAlignment="1">
      <alignment horizontal="left"/>
    </xf>
    <xf numFmtId="4" fontId="7" fillId="0" borderId="1" xfId="0" applyNumberFormat="1" applyFont="1" applyFill="1" applyBorder="1" applyAlignment="1">
      <alignment horizontal="left"/>
    </xf>
    <xf numFmtId="4" fontId="7" fillId="0" borderId="1" xfId="0" applyNumberFormat="1" applyFont="1" applyFill="1" applyBorder="1" applyAlignment="1">
      <alignment horizontal="center"/>
    </xf>
    <xf numFmtId="4" fontId="3" fillId="0" borderId="1" xfId="0" applyNumberFormat="1" applyFont="1" applyFill="1" applyBorder="1" applyAlignment="1">
      <alignment horizontal="center"/>
    </xf>
    <xf numFmtId="16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6" fontId="3" fillId="0" borderId="0" xfId="0" applyNumberFormat="1" applyFont="1" applyAlignment="1">
      <alignment horizontal="center"/>
    </xf>
    <xf numFmtId="49" fontId="6" fillId="3" borderId="2" xfId="0" applyNumberFormat="1" applyFont="1" applyFill="1" applyBorder="1" applyAlignment="1">
      <alignment horizontal="left"/>
    </xf>
    <xf numFmtId="49" fontId="6" fillId="3" borderId="3" xfId="0" applyNumberFormat="1" applyFont="1" applyFill="1" applyBorder="1" applyAlignment="1">
      <alignment horizontal="left"/>
    </xf>
    <xf numFmtId="49" fontId="6" fillId="3" borderId="4" xfId="0" applyNumberFormat="1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2" fillId="2" borderId="0" xfId="0" applyFont="1" applyFill="1" applyBorder="1"/>
  </cellXfs>
  <cellStyles count="6">
    <cellStyle name="Comma" xfId="1" builtinId="3"/>
    <cellStyle name="Comma 12" xfId="2"/>
    <cellStyle name="Comma 2" xfId="3"/>
    <cellStyle name="Comma 8" xfId="4"/>
    <cellStyle name="Normal" xfId="0" builtinId="0"/>
    <cellStyle name="Normal 2" xfId="5"/>
  </cellStyles>
  <dxfs count="0"/>
  <tableStyles count="0" defaultTableStyle="TableStyleMedium9" defaultPivotStyle="PivotStyleLight16"/>
  <colors>
    <mruColors>
      <color rgb="FFFFFF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externalLink" Target="externalLinks/externalLink8.xml"/><Relationship Id="rId89" Type="http://schemas.openxmlformats.org/officeDocument/2006/relationships/externalLink" Target="externalLinks/externalLink13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14.xml"/><Relationship Id="rId95" Type="http://schemas.openxmlformats.org/officeDocument/2006/relationships/calcChain" Target="calcChain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externalLink" Target="externalLinks/externalLink4.xml"/><Relationship Id="rId85" Type="http://schemas.openxmlformats.org/officeDocument/2006/relationships/externalLink" Target="externalLinks/externalLink9.xml"/><Relationship Id="rId9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externalLink" Target="externalLinks/externalLink7.xml"/><Relationship Id="rId88" Type="http://schemas.openxmlformats.org/officeDocument/2006/relationships/externalLink" Target="externalLinks/externalLink12.xml"/><Relationship Id="rId91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externalLink" Target="externalLinks/externalLink2.xml"/><Relationship Id="rId81" Type="http://schemas.openxmlformats.org/officeDocument/2006/relationships/externalLink" Target="externalLinks/externalLink5.xml"/><Relationship Id="rId86" Type="http://schemas.openxmlformats.org/officeDocument/2006/relationships/externalLink" Target="externalLinks/externalLink10.xml"/><Relationship Id="rId9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theme" Target="theme/theme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externalLink" Target="externalLinks/externalLink11.xml"/><Relationship Id="rId61" Type="http://schemas.openxmlformats.org/officeDocument/2006/relationships/worksheet" Target="worksheets/sheet61.xml"/><Relationship Id="rId82" Type="http://schemas.openxmlformats.org/officeDocument/2006/relationships/externalLink" Target="externalLinks/externalLink6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Documents%20and%20Settings/Eddie/My%20Documents/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wnloads/2024%20C0NLESS%20&amp;%20Peculiar%20Allow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wnloads/January%202026%20Permanent%20Staff%20Salary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wnloads/January%202026%20Contract,%20Sabbatical,NYSC%20&amp;%20Consul.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4/July%202024%20Payroll/NILDS%20New%20Salary%20Structur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4/May%202024%20Payroll/Consultants,%20Deployed%20Staff%20May%202024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October%202023%20Payroll/Deductions%20(18)%20October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4/January%202024%20Payroll/January%202024%20%20Salar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NILDS%20SALARY%20STRUCTURE/NILDS%20New%20Salary%20Structure%20Cummulative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NILDS%20SALARY%20STRUCTURE/NILDS%20New%20Salary%20Structure%20Cummulative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4/January%202024%20Payroll/NILDS%20Tax%20Schedule%20October%202023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October%202023%20Payroll/October%20%202023%20%20Salary%20Revised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July%202023%20Payroll/Consultants,%20Deployed%20Staff%20June%20%202023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4/January%202024%20Payroll/NILDS%20Tax%20Schedule%202022%20new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esktop/TONDO/NHF/NHF%20April%20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FGN 2024 MGT"/>
      <sheetName val=" FGN 2024 MGT Monthly"/>
      <sheetName val="Peculiar Allowance"/>
    </sheetNames>
    <sheetDataSet>
      <sheetData sheetId="0"/>
      <sheetData sheetId="1">
        <row r="33">
          <cell r="H33">
            <v>88881.916666666701</v>
          </cell>
        </row>
        <row r="40">
          <cell r="H40">
            <v>278231.25</v>
          </cell>
        </row>
        <row r="42">
          <cell r="H42">
            <v>329014.41666666698</v>
          </cell>
        </row>
      </sheetData>
      <sheetData sheetId="2">
        <row r="33">
          <cell r="H33">
            <v>35242.166666666701</v>
          </cell>
        </row>
        <row r="40">
          <cell r="H40">
            <v>162927.75</v>
          </cell>
        </row>
        <row r="42">
          <cell r="H42">
            <v>197659.16666666701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 2026"/>
      <sheetName val="MEMO"/>
      <sheetName val="Changes in PAYE (4)"/>
      <sheetName val="New Steps, Pensions &amp; NHF"/>
      <sheetName val="Basic &amp; Pensions (2)"/>
      <sheetName val="Sheet18"/>
      <sheetName val="2025 Promotions (2)"/>
      <sheetName val="Christmas Welfare 2025 (2)"/>
      <sheetName val="Sum of Welfare (3)"/>
      <sheetName val="New NHF Enrolment (3)"/>
      <sheetName val="Sheet17"/>
      <sheetName val="Changes in PAYE (3)"/>
      <sheetName val="New NHF Enrolment (2)"/>
      <sheetName val="Sheet16"/>
      <sheetName val="2025 Promotions"/>
      <sheetName val="Conversion"/>
      <sheetName val="PAYE - Conversion"/>
      <sheetName val="Sheet15"/>
      <sheetName val="Changes in PAYE (2)"/>
      <sheetName val="Sheet14"/>
      <sheetName val="New Contract"/>
      <sheetName val="Changes in Aug."/>
      <sheetName val="Shift duty"/>
      <sheetName val="Changes in July"/>
      <sheetName val="JULY 2025 (2)"/>
      <sheetName val="Sheet13"/>
      <sheetName val="Basic &amp; Pensions"/>
      <sheetName val="Changes in PAYE"/>
      <sheetName val="New NHF Enrolment"/>
      <sheetName val="PAYE of NHF Enrol"/>
      <sheetName val="Arrears Jan-May"/>
      <sheetName val="Sheet12"/>
      <sheetName val="Wage Award"/>
      <sheetName val="N0 on GL"/>
      <sheetName val="Total"/>
      <sheetName val="2025 GL STEPS"/>
      <sheetName val="Welfare June 25"/>
      <sheetName val="Sum of Welfare (2)"/>
      <sheetName val="Sheet11"/>
      <sheetName val="PAYE"/>
      <sheetName val="MAY New PAYE  (3)"/>
      <sheetName val="Sheet7"/>
      <sheetName val="Changes"/>
      <sheetName val="2024 Promotion Arrears"/>
      <sheetName val="APRIL New PAYE  (2)"/>
      <sheetName val="Sheet6"/>
      <sheetName val=" PAYE regul"/>
      <sheetName val="Promotion in Sept"/>
      <sheetName val="Tax on Arrears"/>
      <sheetName val="Stoppage of Salary"/>
      <sheetName val="New PAYE"/>
      <sheetName val="New Pensions Promotion"/>
      <sheetName val="Conversion in Nov"/>
      <sheetName val="Christmas Welfare 2024"/>
      <sheetName val="Sum of Welfare"/>
      <sheetName val="Staff Bonus"/>
      <sheetName val="Sum of Bonus"/>
      <sheetName val="Bonus PAYE"/>
      <sheetName val="Sheet5"/>
      <sheetName val="New Enrolmt"/>
      <sheetName val="1ST 28 DAYS"/>
      <sheetName val="Conversion in Sept"/>
      <sheetName val="Conversion &amp; Enrol Effect"/>
      <sheetName val="Converted Staff PAYE"/>
      <sheetName val="Movt to Contract"/>
      <sheetName val="Sheet10"/>
      <sheetName val="Sheet8"/>
      <sheetName val="Welfare June"/>
      <sheetName val="Welfare Summary"/>
      <sheetName val="Arrears of Res. Allow"/>
      <sheetName val="Additional Leg Duty Allowance"/>
      <sheetName val="March New PAYE "/>
      <sheetName val="Upgrade in March"/>
      <sheetName val="New NHF Deduction"/>
      <sheetName val="Regularisation"/>
      <sheetName val="Sallah Welfare, April 2024"/>
      <sheetName val="Sheet4"/>
      <sheetName val="January Arrears"/>
      <sheetName val="Tax Reg Sch. "/>
      <sheetName val=" Excess Ded Paid"/>
      <sheetName val="Changes in Gross &amp; PAYE "/>
      <sheetName val="May New PAYE "/>
      <sheetName val="Employee Pensions"/>
      <sheetName val="Upgrade in Feb."/>
      <sheetName val="Coop. Ded for Feb.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  <sheetName val="Sheet9"/>
    </sheetNames>
    <sheetDataSet>
      <sheetData sheetId="0">
        <row r="249">
          <cell r="J249">
            <v>165495.66666666701</v>
          </cell>
          <cell r="Q249">
            <v>11479.653333333301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 Contract"/>
      <sheetName val="Jan New Contract "/>
      <sheetName val="Jan CASUAL, SABB &amp; NYSC "/>
      <sheetName val="Jan CONSULTANTS "/>
      <sheetName val="OLD Contr PAYE "/>
      <sheetName val="Casual &amp; Sab PAYE"/>
      <sheetName val="New Contr PAYE Jan"/>
      <sheetName val="Jan New Contract Dec"/>
      <sheetName val="New Contr PAYE Dec"/>
      <sheetName val="Sheet4"/>
      <sheetName val="Chr. Welfare Contract"/>
      <sheetName val="CASUAL, SABB &amp; NYSC Chr Welfare"/>
      <sheetName val="CONSULTANTS Chr. Welfare"/>
      <sheetName val="Sheet2"/>
      <sheetName val="No on GL"/>
      <sheetName val="Sheet1"/>
      <sheetName val="WA Cont"/>
      <sheetName val="WA Cont (New)"/>
      <sheetName val="Sheet3"/>
      <sheetName val="Contract Welfare"/>
      <sheetName val="New Contr Welfare"/>
      <sheetName val="CASUAL, SABB &amp; NYSC Welfare"/>
      <sheetName val="CONSULTANTS Welfare"/>
    </sheetNames>
    <sheetDataSet>
      <sheetData sheetId="0">
        <row r="32">
          <cell r="H32">
            <v>11633710.853333335</v>
          </cell>
        </row>
      </sheetData>
      <sheetData sheetId="1">
        <row r="23">
          <cell r="H23">
            <v>9924247.049569888</v>
          </cell>
        </row>
      </sheetData>
      <sheetData sheetId="2"/>
      <sheetData sheetId="3">
        <row r="21">
          <cell r="D21">
            <v>4600000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/>
      <sheetData sheetId="1"/>
      <sheetData sheetId="2">
        <row r="36">
          <cell r="H36">
            <v>218287.58333333299</v>
          </cell>
        </row>
        <row r="37">
          <cell r="H37">
            <v>255849</v>
          </cell>
        </row>
        <row r="38">
          <cell r="H38">
            <v>293029.66666666698</v>
          </cell>
        </row>
        <row r="40">
          <cell r="H40">
            <v>390248.91666666698</v>
          </cell>
        </row>
        <row r="44">
          <cell r="H44">
            <v>1352042.66666667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 CONTRACT"/>
      <sheetName val="MAY CAS. SABB. NYSC"/>
      <sheetName val="MAY CONSULTANC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>
        <row r="26">
          <cell r="E26">
            <v>1688000</v>
          </cell>
        </row>
      </sheetData>
      <sheetData sheetId="4">
        <row r="58">
          <cell r="D58">
            <v>1791000</v>
          </cell>
        </row>
      </sheetData>
      <sheetData sheetId="5">
        <row r="31">
          <cell r="D31">
            <v>1746000</v>
          </cell>
        </row>
      </sheetData>
      <sheetData sheetId="6">
        <row r="92">
          <cell r="C92">
            <v>1225000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NOV 2022"/>
      <sheetName val="DEC 2022 "/>
      <sheetName val="JAN 2023"/>
      <sheetName val="FEB 2023"/>
      <sheetName val="MAR 2023 "/>
      <sheetName val="APR 2023 "/>
      <sheetName val="MAY 2023  "/>
      <sheetName val="JUNE 2023  "/>
      <sheetName val="JULY 2023   "/>
      <sheetName val="AUGUST 2023  "/>
      <sheetName val="SEPTEMBER 2023  "/>
      <sheetName val="OCTOBER 2023 "/>
      <sheetName val="Sheet3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>
        <row r="193">
          <cell r="D193">
            <v>230499.8</v>
          </cell>
        </row>
      </sheetData>
      <sheetData sheetId="89"/>
      <sheetData sheetId="9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 2024"/>
      <sheetName val="Sheet4"/>
      <sheetName val="MEMO 1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>
        <row r="10">
          <cell r="V10">
            <v>1066.32925</v>
          </cell>
        </row>
        <row r="13">
          <cell r="V13">
            <v>837.6875</v>
          </cell>
        </row>
        <row r="14">
          <cell r="V14">
            <v>775.49599999999998</v>
          </cell>
        </row>
        <row r="33">
          <cell r="R33">
            <v>173329.04949999999</v>
          </cell>
          <cell r="W33">
            <v>16512.682190666699</v>
          </cell>
        </row>
        <row r="38">
          <cell r="R38">
            <v>176816.1</v>
          </cell>
          <cell r="W38">
            <v>17042.713866666702</v>
          </cell>
        </row>
        <row r="47">
          <cell r="V47">
            <v>837.6875</v>
          </cell>
        </row>
        <row r="78">
          <cell r="V78">
            <v>668.31624999999997</v>
          </cell>
        </row>
        <row r="86">
          <cell r="V86">
            <v>837.6875</v>
          </cell>
        </row>
        <row r="92">
          <cell r="V92">
            <v>576.87474999999995</v>
          </cell>
        </row>
        <row r="98">
          <cell r="V98">
            <v>1066.32925</v>
          </cell>
        </row>
        <row r="106">
          <cell r="V106">
            <v>1066.32925</v>
          </cell>
        </row>
        <row r="107">
          <cell r="V107">
            <v>658.48249999999996</v>
          </cell>
        </row>
        <row r="115">
          <cell r="V115">
            <v>806.58</v>
          </cell>
        </row>
        <row r="117">
          <cell r="V117">
            <v>576.62125000000003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>
        <row r="12">
          <cell r="G12">
            <v>1110516</v>
          </cell>
        </row>
        <row r="15">
          <cell r="J15">
            <v>1979242</v>
          </cell>
          <cell r="K15">
            <v>2030090</v>
          </cell>
        </row>
        <row r="16">
          <cell r="I16">
            <v>2365888</v>
          </cell>
          <cell r="K16">
            <v>2523630</v>
          </cell>
        </row>
        <row r="17">
          <cell r="H17">
            <v>2524677</v>
          </cell>
          <cell r="J17">
            <v>2691445</v>
          </cell>
          <cell r="L17">
            <v>2858213</v>
          </cell>
        </row>
        <row r="18">
          <cell r="I18">
            <v>2864307</v>
          </cell>
          <cell r="J18">
            <v>2954075</v>
          </cell>
          <cell r="L18">
            <v>3133611</v>
          </cell>
        </row>
        <row r="19">
          <cell r="H19">
            <v>3772623</v>
          </cell>
          <cell r="I19">
            <v>3897566</v>
          </cell>
          <cell r="J19">
            <v>4022509</v>
          </cell>
        </row>
        <row r="20">
          <cell r="I20">
            <v>4790672</v>
          </cell>
          <cell r="J20">
            <v>4940831</v>
          </cell>
        </row>
        <row r="21">
          <cell r="H21">
            <v>8762388</v>
          </cell>
          <cell r="J21">
            <v>9304688</v>
          </cell>
        </row>
      </sheetData>
      <sheetData sheetId="1"/>
      <sheetData sheetId="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S New Structure"/>
      <sheetName val="NASS Annual Consolidated"/>
      <sheetName val="Annual &amp; Monthly"/>
      <sheetName val="Res&amp;Hardship"/>
    </sheetNames>
    <sheetDataSet>
      <sheetData sheetId="0">
        <row r="14">
          <cell r="J14">
            <v>1753681</v>
          </cell>
        </row>
      </sheetData>
      <sheetData sheetId="1"/>
      <sheetData sheetId="2"/>
      <sheetData sheetId="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October 2023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24">
          <cell r="Z24">
            <v>31749.120666666699</v>
          </cell>
        </row>
        <row r="29">
          <cell r="Z29">
            <v>21640.882666666701</v>
          </cell>
        </row>
        <row r="30">
          <cell r="Z30">
            <v>25571.7326666667</v>
          </cell>
        </row>
        <row r="50">
          <cell r="Z50">
            <v>54812.468586666699</v>
          </cell>
        </row>
        <row r="62">
          <cell r="Z62">
            <v>54931.226666666698</v>
          </cell>
        </row>
        <row r="78">
          <cell r="Z78">
            <v>54931.226666666698</v>
          </cell>
        </row>
        <row r="85">
          <cell r="Z85">
            <v>75440.404746666696</v>
          </cell>
        </row>
        <row r="86">
          <cell r="Z86">
            <v>75572.938666666698</v>
          </cell>
        </row>
        <row r="89">
          <cell r="Z89">
            <v>53384.122666666699</v>
          </cell>
        </row>
        <row r="97">
          <cell r="Z97">
            <v>94644.621866666697</v>
          </cell>
        </row>
        <row r="118">
          <cell r="Z118">
            <v>42034.243346666699</v>
          </cell>
        </row>
        <row r="129">
          <cell r="Z129">
            <v>42047.769026666698</v>
          </cell>
        </row>
        <row r="134">
          <cell r="Z134">
            <v>31653.201066666701</v>
          </cell>
        </row>
        <row r="145">
          <cell r="Z145">
            <v>21640.882666666701</v>
          </cell>
        </row>
        <row r="164">
          <cell r="Z164">
            <v>8312.59</v>
          </cell>
        </row>
        <row r="177">
          <cell r="Z177">
            <v>3951.8553333333298</v>
          </cell>
        </row>
      </sheetData>
      <sheetData sheetId="6"/>
      <sheetData sheetId="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TOBER 2023"/>
      <sheetName val="MEMO 1"/>
      <sheetName val="PROMOTIONS"/>
      <sheetName val="SALARY STRUCTURE"/>
      <sheetName val="Wage Grant"/>
      <sheetName val="Wage Grant (2)"/>
      <sheetName val="1st 28 days to Drivers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42">
          <cell r="X42">
            <v>8312.59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NE 2023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/>
      <sheetData sheetId="4"/>
      <sheetData sheetId="5">
        <row r="73">
          <cell r="D73">
            <v>2842500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August 2022  (2)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56">
          <cell r="AA56">
            <v>180306.806858667</v>
          </cell>
        </row>
        <row r="69">
          <cell r="Z69">
            <v>41338.951098666701</v>
          </cell>
        </row>
      </sheetData>
      <sheetData sheetId="6"/>
      <sheetData sheetId="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837.6875</v>
          </cell>
        </row>
        <row r="24">
          <cell r="H24">
            <v>618.53150000000005</v>
          </cell>
        </row>
        <row r="26">
          <cell r="H26">
            <v>1028.9422500000001</v>
          </cell>
        </row>
        <row r="27">
          <cell r="H27">
            <v>668.31624999999997</v>
          </cell>
        </row>
        <row r="28">
          <cell r="H28">
            <v>837.6875</v>
          </cell>
        </row>
        <row r="35">
          <cell r="H35">
            <v>658.48249999999996</v>
          </cell>
        </row>
        <row r="36">
          <cell r="H36">
            <v>444.60250000000002</v>
          </cell>
        </row>
        <row r="37">
          <cell r="H37">
            <v>837.6875</v>
          </cell>
        </row>
        <row r="38">
          <cell r="H38">
            <v>618.53150000000005</v>
          </cell>
        </row>
        <row r="39">
          <cell r="H39">
            <v>226.2535</v>
          </cell>
        </row>
        <row r="40">
          <cell r="H40">
            <v>538.02200000000005</v>
          </cell>
        </row>
        <row r="41">
          <cell r="H41">
            <v>538.02200000000005</v>
          </cell>
        </row>
        <row r="43">
          <cell r="H43">
            <v>457.041</v>
          </cell>
        </row>
        <row r="44">
          <cell r="H44">
            <v>690.28075000000001</v>
          </cell>
        </row>
        <row r="45">
          <cell r="H45">
            <v>538.02200000000005</v>
          </cell>
        </row>
        <row r="46">
          <cell r="H46">
            <v>618.53150000000005</v>
          </cell>
        </row>
        <row r="47">
          <cell r="H47">
            <v>668.31624999999997</v>
          </cell>
        </row>
        <row r="48">
          <cell r="H48">
            <v>618.53150000000005</v>
          </cell>
        </row>
        <row r="50">
          <cell r="H50">
            <v>668.31624999999997</v>
          </cell>
        </row>
        <row r="51">
          <cell r="H51">
            <v>226.2535</v>
          </cell>
        </row>
        <row r="52">
          <cell r="H52">
            <v>576.87474999999995</v>
          </cell>
        </row>
        <row r="54">
          <cell r="H54">
            <v>668.31624999999997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2"/>
  <sheetViews>
    <sheetView tabSelected="1" view="pageBreakPreview" zoomScaleNormal="100" workbookViewId="0">
      <pane xSplit="3" ySplit="6" topLeftCell="L84" activePane="bottomRight" state="frozen"/>
      <selection pane="topRight"/>
      <selection pane="bottomLeft"/>
      <selection pane="bottomRight" activeCell="P68" sqref="P68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9.28515625" style="1" customWidth="1"/>
    <col min="6" max="6" width="17.42578125" style="1" customWidth="1"/>
    <col min="7" max="7" width="15.42578125" style="1" customWidth="1"/>
    <col min="8" max="8" width="16.42578125" style="1" customWidth="1"/>
    <col min="9" max="9" width="12.42578125" style="1" customWidth="1"/>
    <col min="10" max="10" width="18.28515625" style="821" customWidth="1"/>
    <col min="11" max="11" width="9.140625" style="1" customWidth="1"/>
    <col min="12" max="12" width="18.42578125" style="1" customWidth="1"/>
    <col min="13" max="14" width="17.7109375" style="1" customWidth="1"/>
    <col min="15" max="15" width="16" style="1" customWidth="1"/>
    <col min="16" max="16" width="19.85546875" style="1" customWidth="1"/>
    <col min="17" max="17" width="18.140625" style="1" customWidth="1"/>
    <col min="18" max="19" width="19.28515625" style="1" customWidth="1"/>
    <col min="20" max="20" width="18.7109375" style="1" customWidth="1"/>
    <col min="21" max="21" width="17.140625" style="1"/>
    <col min="22" max="22" width="15.140625" style="1"/>
    <col min="23" max="23" width="17.140625" style="1"/>
    <col min="24" max="16384" width="9.140625" style="1"/>
  </cols>
  <sheetData>
    <row r="1" spans="1:23" ht="27" customHeight="1">
      <c r="A1" s="838" t="s">
        <v>0</v>
      </c>
      <c r="B1" s="838"/>
      <c r="C1" s="838"/>
      <c r="D1" s="838"/>
      <c r="E1" s="838"/>
      <c r="F1" s="838"/>
      <c r="G1" s="199"/>
      <c r="H1" s="199"/>
      <c r="I1" s="199"/>
    </row>
    <row r="2" spans="1:23" ht="33.75" customHeight="1">
      <c r="A2" s="63" t="s">
        <v>1</v>
      </c>
      <c r="B2" s="64"/>
      <c r="C2" s="63"/>
      <c r="D2" s="63"/>
      <c r="E2" s="198"/>
      <c r="F2" s="198"/>
      <c r="G2" s="279"/>
      <c r="H2" s="279"/>
      <c r="I2" s="279"/>
      <c r="J2" s="823"/>
      <c r="K2" s="65"/>
      <c r="L2" s="65"/>
      <c r="M2" s="65"/>
      <c r="N2" s="65"/>
      <c r="O2" s="65"/>
      <c r="P2" s="65"/>
      <c r="Q2" s="65"/>
      <c r="R2" s="65"/>
      <c r="S2" s="65"/>
      <c r="T2" s="65"/>
    </row>
    <row r="3" spans="1:23" ht="9.75" customHeight="1">
      <c r="A3" s="2"/>
      <c r="B3" s="2"/>
      <c r="C3" s="2"/>
      <c r="D3" s="2"/>
      <c r="E3" s="199" t="e">
        <f>'[1]FEB 08'!E11/'[1]FEB 08'!M11</f>
        <v>#REF!</v>
      </c>
      <c r="F3" s="199"/>
      <c r="G3" s="199"/>
      <c r="H3" s="199"/>
      <c r="I3" s="199"/>
    </row>
    <row r="4" spans="1:23" ht="49.5" customHeight="1">
      <c r="A4" s="3"/>
      <c r="B4" s="4" t="s">
        <v>2</v>
      </c>
      <c r="C4" s="5" t="s">
        <v>3</v>
      </c>
      <c r="D4" s="6" t="s">
        <v>4</v>
      </c>
      <c r="E4" s="200" t="s">
        <v>5</v>
      </c>
      <c r="F4" s="200" t="s">
        <v>6</v>
      </c>
      <c r="G4" s="200" t="s">
        <v>7</v>
      </c>
      <c r="H4" s="200" t="s">
        <v>7</v>
      </c>
      <c r="I4" s="200" t="s">
        <v>8</v>
      </c>
      <c r="J4" s="760" t="s">
        <v>9</v>
      </c>
      <c r="K4" s="200" t="s">
        <v>10</v>
      </c>
      <c r="L4" s="200" t="s">
        <v>11</v>
      </c>
      <c r="M4" s="200" t="s">
        <v>12</v>
      </c>
      <c r="N4" s="200" t="s">
        <v>13</v>
      </c>
      <c r="O4" s="200" t="s">
        <v>14</v>
      </c>
      <c r="P4" s="23" t="s">
        <v>15</v>
      </c>
      <c r="Q4" s="200" t="s">
        <v>16</v>
      </c>
      <c r="R4" s="760" t="s">
        <v>17</v>
      </c>
      <c r="S4" s="200" t="s">
        <v>18</v>
      </c>
      <c r="T4" s="768" t="s">
        <v>19</v>
      </c>
    </row>
    <row r="5" spans="1:23" ht="17.25" customHeight="1">
      <c r="C5" s="7"/>
      <c r="D5" s="7"/>
      <c r="E5" s="69" t="s">
        <v>20</v>
      </c>
      <c r="F5" s="69" t="s">
        <v>20</v>
      </c>
      <c r="G5" s="69" t="s">
        <v>20</v>
      </c>
      <c r="H5" s="69" t="s">
        <v>20</v>
      </c>
      <c r="I5" s="69" t="s">
        <v>20</v>
      </c>
      <c r="J5" s="741" t="s">
        <v>20</v>
      </c>
      <c r="K5" s="69" t="s">
        <v>20</v>
      </c>
      <c r="L5" s="69" t="s">
        <v>20</v>
      </c>
      <c r="M5" s="69" t="s">
        <v>20</v>
      </c>
      <c r="N5" s="69" t="s">
        <v>20</v>
      </c>
      <c r="O5" s="69" t="s">
        <v>20</v>
      </c>
      <c r="P5" s="69" t="s">
        <v>20</v>
      </c>
      <c r="Q5" s="69" t="s">
        <v>20</v>
      </c>
      <c r="R5" s="741" t="s">
        <v>20</v>
      </c>
      <c r="S5" s="69" t="s">
        <v>20</v>
      </c>
      <c r="T5" s="489" t="s">
        <v>20</v>
      </c>
    </row>
    <row r="6" spans="1:23" ht="20.100000000000001" customHeight="1">
      <c r="A6" s="8" t="s">
        <v>21</v>
      </c>
      <c r="B6" s="7" t="s">
        <v>22</v>
      </c>
      <c r="C6" s="7"/>
      <c r="D6" s="7"/>
      <c r="E6" s="69"/>
      <c r="F6" s="20"/>
      <c r="G6" s="69"/>
      <c r="H6" s="69"/>
      <c r="I6" s="69"/>
      <c r="J6" s="741"/>
      <c r="K6" s="69"/>
      <c r="L6" s="69"/>
      <c r="M6" s="69"/>
      <c r="N6" s="69"/>
      <c r="O6" s="69"/>
      <c r="P6" s="69"/>
      <c r="Q6" s="69" t="s">
        <v>23</v>
      </c>
      <c r="R6" s="741"/>
      <c r="S6" s="69"/>
      <c r="T6" s="489"/>
    </row>
    <row r="7" spans="1:23" ht="20.100000000000001" customHeight="1">
      <c r="A7" s="9">
        <v>1</v>
      </c>
      <c r="B7" s="745" t="s">
        <v>24</v>
      </c>
      <c r="C7" s="745" t="s">
        <v>25</v>
      </c>
      <c r="D7" s="745" t="s">
        <v>26</v>
      </c>
      <c r="E7" s="72">
        <v>700713.91666666605</v>
      </c>
      <c r="F7" s="72"/>
      <c r="G7" s="202"/>
      <c r="H7" s="202">
        <f>80000</f>
        <v>80000</v>
      </c>
      <c r="I7" s="72"/>
      <c r="J7" s="761">
        <f>E7+F7+G7+H7+I7</f>
        <v>780713.91666666605</v>
      </c>
      <c r="K7" s="72"/>
      <c r="L7" s="72">
        <v>152000</v>
      </c>
      <c r="M7" s="72"/>
      <c r="N7" s="72"/>
      <c r="O7" s="72"/>
      <c r="P7" s="72">
        <v>112938.2246</v>
      </c>
      <c r="Q7" s="72">
        <f t="shared" ref="Q7:Q13" si="0">0.08*E7</f>
        <v>56057.113333333298</v>
      </c>
      <c r="R7" s="824">
        <f t="shared" ref="R7:R13" si="1">Q7+P7+O7+M7+N7+L7+K7</f>
        <v>320995.33793333301</v>
      </c>
      <c r="S7" s="750">
        <v>1279494.2708000001</v>
      </c>
      <c r="T7" s="769">
        <f t="shared" ref="T7:T13" si="2">J7-R7</f>
        <v>459718.57873333298</v>
      </c>
      <c r="U7" s="12"/>
      <c r="V7" s="12"/>
      <c r="W7" s="12"/>
    </row>
    <row r="8" spans="1:23" ht="18.75" customHeight="1">
      <c r="A8" s="9">
        <v>2</v>
      </c>
      <c r="B8" s="17" t="s">
        <v>27</v>
      </c>
      <c r="C8" s="3" t="s">
        <v>28</v>
      </c>
      <c r="D8" s="9" t="s">
        <v>29</v>
      </c>
      <c r="E8" s="72">
        <f>'[2] FGN 2024 MGT Monthly'!$H$42+'[2]Peculiar Allowance'!$H$42</f>
        <v>526673.58333333302</v>
      </c>
      <c r="F8" s="72"/>
      <c r="G8" s="202"/>
      <c r="H8" s="202">
        <v>70000</v>
      </c>
      <c r="I8" s="72"/>
      <c r="J8" s="761">
        <f t="shared" ref="J8:J13" si="3">E8+F8+G8+H8+I8</f>
        <v>596673.58333333302</v>
      </c>
      <c r="K8" s="72"/>
      <c r="L8" s="72"/>
      <c r="M8" s="72"/>
      <c r="N8" s="72"/>
      <c r="O8" s="72"/>
      <c r="P8" s="72">
        <v>82317.145399999994</v>
      </c>
      <c r="Q8" s="72">
        <f t="shared" si="0"/>
        <v>42133.886666666702</v>
      </c>
      <c r="R8" s="824">
        <f t="shared" si="1"/>
        <v>124451.032066667</v>
      </c>
      <c r="S8" s="750">
        <v>986578.98919999995</v>
      </c>
      <c r="T8" s="769">
        <f t="shared" si="2"/>
        <v>472222.55126666598</v>
      </c>
    </row>
    <row r="9" spans="1:23" ht="20.100000000000001" customHeight="1">
      <c r="A9" s="9">
        <v>3</v>
      </c>
      <c r="B9" s="17" t="s">
        <v>30</v>
      </c>
      <c r="C9" s="11" t="s">
        <v>31</v>
      </c>
      <c r="D9" s="9" t="s">
        <v>32</v>
      </c>
      <c r="E9" s="72">
        <f>'[2]Peculiar Allowance'!$H$40+'[2] FGN 2024 MGT Monthly'!$H$40</f>
        <v>441159</v>
      </c>
      <c r="F9" s="72"/>
      <c r="G9" s="202"/>
      <c r="H9" s="202">
        <v>60000</v>
      </c>
      <c r="I9" s="72"/>
      <c r="J9" s="761">
        <f t="shared" si="3"/>
        <v>501159</v>
      </c>
      <c r="K9" s="72"/>
      <c r="L9" s="658"/>
      <c r="M9" s="658"/>
      <c r="N9" s="658"/>
      <c r="O9" s="3"/>
      <c r="P9" s="658">
        <v>66355.930399999997</v>
      </c>
      <c r="Q9" s="72">
        <f t="shared" si="0"/>
        <v>35292.720000000001</v>
      </c>
      <c r="R9" s="824">
        <f t="shared" si="1"/>
        <v>101648.6504</v>
      </c>
      <c r="S9" s="750">
        <v>834313.4192</v>
      </c>
      <c r="T9" s="769">
        <f t="shared" si="2"/>
        <v>399510.34960000002</v>
      </c>
    </row>
    <row r="10" spans="1:23" ht="20.100000000000001" customHeight="1">
      <c r="A10" s="9">
        <v>4</v>
      </c>
      <c r="B10" s="17" t="s">
        <v>33</v>
      </c>
      <c r="C10" s="11" t="s">
        <v>34</v>
      </c>
      <c r="D10" s="9" t="s">
        <v>32</v>
      </c>
      <c r="E10" s="72">
        <f>'[2]Peculiar Allowance'!$H$40+'[2] FGN 2024 MGT Monthly'!$H$40</f>
        <v>441159</v>
      </c>
      <c r="F10" s="72"/>
      <c r="G10" s="202">
        <v>110000</v>
      </c>
      <c r="H10" s="202"/>
      <c r="I10" s="72"/>
      <c r="J10" s="761">
        <f t="shared" si="3"/>
        <v>551159</v>
      </c>
      <c r="K10" s="72"/>
      <c r="L10" s="658"/>
      <c r="M10" s="658"/>
      <c r="N10" s="658"/>
      <c r="O10" s="3"/>
      <c r="P10" s="658">
        <v>73555.930399999997</v>
      </c>
      <c r="Q10" s="72">
        <f t="shared" si="0"/>
        <v>35292.720000000001</v>
      </c>
      <c r="R10" s="824">
        <f t="shared" si="1"/>
        <v>108848.6504</v>
      </c>
      <c r="S10" s="750">
        <v>909913.4192</v>
      </c>
      <c r="T10" s="769">
        <f t="shared" si="2"/>
        <v>442310.34960000002</v>
      </c>
    </row>
    <row r="11" spans="1:23" ht="18.75" customHeight="1">
      <c r="A11" s="9">
        <v>5</v>
      </c>
      <c r="B11" s="17" t="s">
        <v>35</v>
      </c>
      <c r="C11" s="3" t="s">
        <v>36</v>
      </c>
      <c r="D11" s="9" t="s">
        <v>37</v>
      </c>
      <c r="E11" s="72">
        <v>372145.33333333302</v>
      </c>
      <c r="F11" s="72"/>
      <c r="G11" s="202"/>
      <c r="H11" s="202">
        <f t="shared" ref="H11:H13" si="4">60000</f>
        <v>60000</v>
      </c>
      <c r="I11" s="72"/>
      <c r="J11" s="761">
        <f t="shared" si="3"/>
        <v>432145.33333333302</v>
      </c>
      <c r="K11" s="72"/>
      <c r="L11" s="72"/>
      <c r="M11" s="72"/>
      <c r="N11" s="72"/>
      <c r="O11" s="72"/>
      <c r="P11" s="72">
        <v>54927.267200000002</v>
      </c>
      <c r="Q11" s="72">
        <f t="shared" si="0"/>
        <v>29771.626666666602</v>
      </c>
      <c r="R11" s="824">
        <f t="shared" si="1"/>
        <v>84698.893866666607</v>
      </c>
      <c r="S11" s="750">
        <v>724664.50560000003</v>
      </c>
      <c r="T11" s="769">
        <f t="shared" si="2"/>
        <v>347446.43946666602</v>
      </c>
    </row>
    <row r="12" spans="1:23" ht="18.75" customHeight="1">
      <c r="A12" s="9">
        <v>6</v>
      </c>
      <c r="B12" s="17" t="s">
        <v>38</v>
      </c>
      <c r="C12" s="3" t="s">
        <v>39</v>
      </c>
      <c r="D12" s="9" t="s">
        <v>37</v>
      </c>
      <c r="E12" s="72">
        <v>372145.33333333302</v>
      </c>
      <c r="F12" s="72"/>
      <c r="G12" s="202"/>
      <c r="H12" s="202">
        <f t="shared" si="4"/>
        <v>60000</v>
      </c>
      <c r="I12" s="72"/>
      <c r="J12" s="761">
        <f t="shared" si="3"/>
        <v>432145.33333333302</v>
      </c>
      <c r="K12" s="72"/>
      <c r="L12" s="72"/>
      <c r="M12" s="72"/>
      <c r="N12" s="72"/>
      <c r="O12" s="72"/>
      <c r="P12" s="72">
        <v>54927.267200000002</v>
      </c>
      <c r="Q12" s="72">
        <f t="shared" si="0"/>
        <v>29771.626666666602</v>
      </c>
      <c r="R12" s="824">
        <f t="shared" si="1"/>
        <v>84698.893866666607</v>
      </c>
      <c r="S12" s="750">
        <v>724664.50560000003</v>
      </c>
      <c r="T12" s="769">
        <f t="shared" si="2"/>
        <v>347446.43946666602</v>
      </c>
    </row>
    <row r="13" spans="1:23" ht="18.75" customHeight="1">
      <c r="A13" s="9">
        <v>7</v>
      </c>
      <c r="B13" s="17" t="s">
        <v>40</v>
      </c>
      <c r="C13" s="3" t="s">
        <v>41</v>
      </c>
      <c r="D13" s="9" t="s">
        <v>37</v>
      </c>
      <c r="E13" s="72">
        <v>372145.33333333302</v>
      </c>
      <c r="F13" s="72"/>
      <c r="G13" s="202"/>
      <c r="H13" s="202">
        <f t="shared" si="4"/>
        <v>60000</v>
      </c>
      <c r="I13" s="72"/>
      <c r="J13" s="761">
        <f t="shared" si="3"/>
        <v>432145.33333333302</v>
      </c>
      <c r="K13" s="72"/>
      <c r="L13" s="72"/>
      <c r="M13" s="72"/>
      <c r="N13" s="72"/>
      <c r="O13" s="72"/>
      <c r="P13" s="72">
        <v>54927.267200000002</v>
      </c>
      <c r="Q13" s="72">
        <f t="shared" si="0"/>
        <v>29771.626666666602</v>
      </c>
      <c r="R13" s="824">
        <f t="shared" si="1"/>
        <v>84698.893866666607</v>
      </c>
      <c r="S13" s="750">
        <v>724664.50560000003</v>
      </c>
      <c r="T13" s="769">
        <f t="shared" si="2"/>
        <v>347446.43946666602</v>
      </c>
    </row>
    <row r="14" spans="1:23" ht="26.25" customHeight="1">
      <c r="A14" s="9"/>
      <c r="B14" s="19" t="s">
        <v>42</v>
      </c>
      <c r="C14" s="20">
        <v>7</v>
      </c>
      <c r="D14" s="14"/>
      <c r="E14" s="203">
        <f>SUM(E7:E13)</f>
        <v>3226141.5</v>
      </c>
      <c r="F14" s="203">
        <f t="shared" ref="F14:R14" si="5">SUM(F7:F13)</f>
        <v>0</v>
      </c>
      <c r="G14" s="203">
        <f t="shared" si="5"/>
        <v>110000</v>
      </c>
      <c r="H14" s="203">
        <f t="shared" si="5"/>
        <v>390000</v>
      </c>
      <c r="I14" s="203">
        <f t="shared" si="5"/>
        <v>0</v>
      </c>
      <c r="J14" s="203">
        <f t="shared" si="5"/>
        <v>3726141.5</v>
      </c>
      <c r="K14" s="203">
        <f t="shared" si="5"/>
        <v>0</v>
      </c>
      <c r="L14" s="203">
        <f t="shared" si="5"/>
        <v>152000</v>
      </c>
      <c r="M14" s="203">
        <f t="shared" si="5"/>
        <v>0</v>
      </c>
      <c r="N14" s="203">
        <f t="shared" si="5"/>
        <v>0</v>
      </c>
      <c r="O14" s="203">
        <f t="shared" si="5"/>
        <v>0</v>
      </c>
      <c r="P14" s="203">
        <f t="shared" si="5"/>
        <v>499949.03240000003</v>
      </c>
      <c r="Q14" s="203">
        <f t="shared" si="5"/>
        <v>258091.32</v>
      </c>
      <c r="R14" s="762">
        <f t="shared" si="5"/>
        <v>910040.35239999997</v>
      </c>
      <c r="S14" s="203">
        <v>6184293.6151999999</v>
      </c>
      <c r="T14" s="203">
        <f>SUM(T7:T13)</f>
        <v>2816101.1475999998</v>
      </c>
    </row>
    <row r="15" spans="1:23" ht="18.75" customHeight="1">
      <c r="A15" s="9"/>
      <c r="B15" s="21"/>
      <c r="C15" s="3"/>
      <c r="D15" s="14"/>
      <c r="E15" s="203"/>
      <c r="F15" s="203"/>
      <c r="G15" s="202"/>
      <c r="H15" s="202"/>
      <c r="I15" s="203"/>
      <c r="J15" s="762"/>
      <c r="K15" s="203"/>
      <c r="L15" s="203"/>
      <c r="M15" s="203"/>
      <c r="N15" s="203"/>
      <c r="O15" s="203"/>
      <c r="P15" s="203"/>
      <c r="Q15" s="203"/>
      <c r="R15" s="762"/>
      <c r="S15" s="203"/>
      <c r="T15" s="769"/>
    </row>
    <row r="16" spans="1:23" ht="20.100000000000001" customHeight="1">
      <c r="A16" s="9"/>
      <c r="B16" s="22" t="s">
        <v>43</v>
      </c>
      <c r="C16" s="4"/>
      <c r="D16" s="23"/>
      <c r="E16" s="203"/>
      <c r="F16" s="203"/>
      <c r="G16" s="202"/>
      <c r="H16" s="202"/>
      <c r="I16" s="72"/>
      <c r="J16" s="761"/>
      <c r="K16" s="72"/>
      <c r="L16" s="72"/>
      <c r="M16" s="72"/>
      <c r="N16" s="72"/>
      <c r="O16" s="72"/>
      <c r="P16" s="72"/>
      <c r="Q16" s="72"/>
      <c r="R16" s="761"/>
      <c r="S16" s="72"/>
      <c r="T16" s="769"/>
    </row>
    <row r="17" spans="1:20" ht="20.100000000000001" customHeight="1">
      <c r="A17" s="26">
        <v>1</v>
      </c>
      <c r="B17" s="17" t="s">
        <v>44</v>
      </c>
      <c r="C17" s="3" t="s">
        <v>45</v>
      </c>
      <c r="D17" s="14" t="s">
        <v>32</v>
      </c>
      <c r="E17" s="72">
        <f>'[2]Peculiar Allowance'!$H$40+'[2] FGN 2024 MGT Monthly'!$H$40</f>
        <v>441159</v>
      </c>
      <c r="F17" s="72"/>
      <c r="G17" s="202">
        <f t="shared" ref="G17:G19" si="6">110000</f>
        <v>110000</v>
      </c>
      <c r="H17" s="202"/>
      <c r="I17" s="72"/>
      <c r="J17" s="761">
        <f>E17+F17+G17+H17+I17</f>
        <v>551159</v>
      </c>
      <c r="K17" s="72"/>
      <c r="L17" s="72"/>
      <c r="M17" s="72"/>
      <c r="N17" s="72"/>
      <c r="O17" s="72"/>
      <c r="P17" s="72">
        <v>75355.930399999997</v>
      </c>
      <c r="Q17" s="72">
        <f t="shared" ref="Q17:Q27" si="7">0.08*E17</f>
        <v>35292.720000000001</v>
      </c>
      <c r="R17" s="824">
        <f t="shared" ref="R17:R27" si="8">Q17+P17+O17+M17+N17+L17+K17</f>
        <v>110648.6504</v>
      </c>
      <c r="S17" s="750">
        <v>916313.4192</v>
      </c>
      <c r="T17" s="769">
        <f t="shared" ref="T17:T27" si="9">J17-R17</f>
        <v>440510.34960000002</v>
      </c>
    </row>
    <row r="18" spans="1:20" ht="20.100000000000001" customHeight="1">
      <c r="A18" s="26">
        <v>2</v>
      </c>
      <c r="B18" s="17" t="s">
        <v>46</v>
      </c>
      <c r="C18" s="3" t="s">
        <v>45</v>
      </c>
      <c r="D18" s="14" t="s">
        <v>32</v>
      </c>
      <c r="E18" s="72">
        <f>'[2]Peculiar Allowance'!$H$40+'[2] FGN 2024 MGT Monthly'!$H$40</f>
        <v>441159</v>
      </c>
      <c r="F18" s="72"/>
      <c r="G18" s="202">
        <f t="shared" si="6"/>
        <v>110000</v>
      </c>
      <c r="H18" s="202"/>
      <c r="I18" s="72"/>
      <c r="J18" s="761">
        <f t="shared" ref="J18:J27" si="10">E18+F18+G18+H18+I18</f>
        <v>551159</v>
      </c>
      <c r="K18" s="72"/>
      <c r="L18" s="72">
        <v>32000</v>
      </c>
      <c r="M18" s="72"/>
      <c r="N18" s="72"/>
      <c r="O18" s="72"/>
      <c r="P18" s="72">
        <v>75355.930399999997</v>
      </c>
      <c r="Q18" s="72">
        <f t="shared" si="7"/>
        <v>35292.720000000001</v>
      </c>
      <c r="R18" s="824">
        <f t="shared" si="8"/>
        <v>142648.65040000001</v>
      </c>
      <c r="S18" s="750">
        <v>916313.4192</v>
      </c>
      <c r="T18" s="769">
        <f t="shared" si="9"/>
        <v>408510.34960000002</v>
      </c>
    </row>
    <row r="19" spans="1:20" ht="20.100000000000001" customHeight="1">
      <c r="A19" s="26">
        <v>3</v>
      </c>
      <c r="B19" s="17" t="s">
        <v>47</v>
      </c>
      <c r="C19" s="3" t="s">
        <v>45</v>
      </c>
      <c r="D19" s="14" t="s">
        <v>32</v>
      </c>
      <c r="E19" s="72">
        <f>'[2]Peculiar Allowance'!$H$40+'[2] FGN 2024 MGT Monthly'!$H$40</f>
        <v>441159</v>
      </c>
      <c r="F19" s="72"/>
      <c r="G19" s="202">
        <f t="shared" si="6"/>
        <v>110000</v>
      </c>
      <c r="H19" s="202"/>
      <c r="I19" s="72"/>
      <c r="J19" s="761">
        <f t="shared" si="10"/>
        <v>551159</v>
      </c>
      <c r="K19" s="72"/>
      <c r="L19" s="72">
        <v>52000</v>
      </c>
      <c r="M19" s="72"/>
      <c r="N19" s="72"/>
      <c r="O19" s="72"/>
      <c r="P19" s="72">
        <v>75355.930399999997</v>
      </c>
      <c r="Q19" s="72">
        <f t="shared" si="7"/>
        <v>35292.720000000001</v>
      </c>
      <c r="R19" s="824">
        <f t="shared" si="8"/>
        <v>162648.65040000001</v>
      </c>
      <c r="S19" s="750">
        <v>916313.4192</v>
      </c>
      <c r="T19" s="769">
        <f t="shared" si="9"/>
        <v>388510.34960000002</v>
      </c>
    </row>
    <row r="20" spans="1:20" ht="20.100000000000001" customHeight="1">
      <c r="A20" s="26">
        <v>4</v>
      </c>
      <c r="B20" s="10" t="s">
        <v>48</v>
      </c>
      <c r="C20" s="3" t="s">
        <v>49</v>
      </c>
      <c r="D20" s="9" t="s">
        <v>37</v>
      </c>
      <c r="E20" s="72">
        <v>372145.33333333302</v>
      </c>
      <c r="F20" s="72">
        <v>1650</v>
      </c>
      <c r="G20" s="202">
        <f t="shared" ref="G20:G27" si="11">100000</f>
        <v>100000</v>
      </c>
      <c r="H20" s="9"/>
      <c r="I20" s="26"/>
      <c r="J20" s="761">
        <f t="shared" si="10"/>
        <v>473795.33333333302</v>
      </c>
      <c r="K20" s="3"/>
      <c r="L20" s="72"/>
      <c r="M20" s="72"/>
      <c r="N20" s="72"/>
      <c r="O20" s="72"/>
      <c r="P20" s="72">
        <v>60477.267200000002</v>
      </c>
      <c r="Q20" s="72">
        <f t="shared" si="7"/>
        <v>29771.626666666602</v>
      </c>
      <c r="R20" s="824">
        <f t="shared" si="8"/>
        <v>90248.893866666607</v>
      </c>
      <c r="S20" s="750">
        <v>790264.50560000003</v>
      </c>
      <c r="T20" s="769">
        <f t="shared" si="9"/>
        <v>383546.43946666602</v>
      </c>
    </row>
    <row r="21" spans="1:20" ht="22.5" customHeight="1">
      <c r="A21" s="26">
        <v>5</v>
      </c>
      <c r="B21" s="10" t="s">
        <v>50</v>
      </c>
      <c r="C21" s="3" t="s">
        <v>49</v>
      </c>
      <c r="D21" s="9" t="s">
        <v>37</v>
      </c>
      <c r="E21" s="72">
        <v>372145.33333333302</v>
      </c>
      <c r="F21" s="72"/>
      <c r="G21" s="202">
        <f t="shared" si="11"/>
        <v>100000</v>
      </c>
      <c r="H21" s="9"/>
      <c r="I21" s="26"/>
      <c r="J21" s="761">
        <f t="shared" si="10"/>
        <v>472145.33333333302</v>
      </c>
      <c r="K21" s="3"/>
      <c r="L21" s="72"/>
      <c r="M21" s="72"/>
      <c r="N21" s="72"/>
      <c r="O21" s="72"/>
      <c r="P21" s="72">
        <v>62127.267200000002</v>
      </c>
      <c r="Q21" s="72">
        <f t="shared" si="7"/>
        <v>29771.626666666602</v>
      </c>
      <c r="R21" s="824">
        <f t="shared" si="8"/>
        <v>91898.893866666607</v>
      </c>
      <c r="S21" s="750">
        <v>790264.50560000003</v>
      </c>
      <c r="T21" s="769">
        <f t="shared" si="9"/>
        <v>380246.43946666602</v>
      </c>
    </row>
    <row r="22" spans="1:20" ht="22.5" customHeight="1">
      <c r="A22" s="26">
        <v>6</v>
      </c>
      <c r="B22" s="17" t="s">
        <v>51</v>
      </c>
      <c r="C22" s="3" t="s">
        <v>52</v>
      </c>
      <c r="D22" s="14" t="s">
        <v>37</v>
      </c>
      <c r="E22" s="72">
        <v>372145.33333333302</v>
      </c>
      <c r="F22" s="72"/>
      <c r="G22" s="202">
        <f t="shared" si="11"/>
        <v>100000</v>
      </c>
      <c r="H22" s="9"/>
      <c r="I22" s="26"/>
      <c r="J22" s="761">
        <f t="shared" si="10"/>
        <v>472145.33333333302</v>
      </c>
      <c r="K22" s="3"/>
      <c r="L22" s="9"/>
      <c r="M22" s="26"/>
      <c r="N22" s="9"/>
      <c r="O22" s="72"/>
      <c r="P22" s="763">
        <v>62127.267200000002</v>
      </c>
      <c r="Q22" s="72">
        <f t="shared" si="7"/>
        <v>29771.626666666602</v>
      </c>
      <c r="R22" s="824">
        <f t="shared" si="8"/>
        <v>91898.893866666607</v>
      </c>
      <c r="S22" s="750">
        <v>790264.50560000003</v>
      </c>
      <c r="T22" s="769">
        <f t="shared" si="9"/>
        <v>380246.43946666602</v>
      </c>
    </row>
    <row r="23" spans="1:20" ht="20.100000000000001" customHeight="1">
      <c r="A23" s="26">
        <v>7</v>
      </c>
      <c r="B23" s="10" t="s">
        <v>53</v>
      </c>
      <c r="C23" s="3" t="s">
        <v>54</v>
      </c>
      <c r="D23" s="9" t="s">
        <v>55</v>
      </c>
      <c r="E23" s="72">
        <v>330408.08333333302</v>
      </c>
      <c r="F23" s="72">
        <v>3000</v>
      </c>
      <c r="G23" s="202">
        <f t="shared" si="11"/>
        <v>100000</v>
      </c>
      <c r="H23" s="202"/>
      <c r="I23" s="72"/>
      <c r="J23" s="761">
        <f t="shared" si="10"/>
        <v>433408.08333333302</v>
      </c>
      <c r="K23" s="72"/>
      <c r="L23" s="72"/>
      <c r="M23" s="72"/>
      <c r="N23" s="72"/>
      <c r="O23" s="72"/>
      <c r="P23" s="72">
        <v>52215.578600000001</v>
      </c>
      <c r="Q23" s="72">
        <f t="shared" si="7"/>
        <v>26432.646666666598</v>
      </c>
      <c r="R23" s="824">
        <f t="shared" si="8"/>
        <v>78648.225266666603</v>
      </c>
      <c r="S23" s="750">
        <v>723952.36279999895</v>
      </c>
      <c r="T23" s="769">
        <f t="shared" si="9"/>
        <v>354759.858066666</v>
      </c>
    </row>
    <row r="24" spans="1:20" ht="20.100000000000001" customHeight="1">
      <c r="A24" s="26">
        <v>8</v>
      </c>
      <c r="B24" s="10" t="s">
        <v>56</v>
      </c>
      <c r="C24" s="3" t="s">
        <v>54</v>
      </c>
      <c r="D24" s="9" t="s">
        <v>55</v>
      </c>
      <c r="E24" s="72">
        <v>330408.08333333302</v>
      </c>
      <c r="F24" s="72"/>
      <c r="G24" s="202">
        <f t="shared" si="11"/>
        <v>100000</v>
      </c>
      <c r="H24" s="202"/>
      <c r="I24" s="72"/>
      <c r="J24" s="761">
        <f t="shared" si="10"/>
        <v>430408.08333333302</v>
      </c>
      <c r="K24" s="72"/>
      <c r="L24" s="72"/>
      <c r="M24" s="72"/>
      <c r="N24" s="72"/>
      <c r="O24" s="72"/>
      <c r="P24" s="72">
        <v>55215.578600000001</v>
      </c>
      <c r="Q24" s="72">
        <f t="shared" si="7"/>
        <v>26432.646666666598</v>
      </c>
      <c r="R24" s="824">
        <f t="shared" si="8"/>
        <v>81648.225266666603</v>
      </c>
      <c r="S24" s="750">
        <v>723952.36279999895</v>
      </c>
      <c r="T24" s="769">
        <f t="shared" si="9"/>
        <v>348759.858066666</v>
      </c>
    </row>
    <row r="25" spans="1:20" ht="20.100000000000001" customHeight="1">
      <c r="A25" s="26">
        <v>9</v>
      </c>
      <c r="B25" s="10" t="s">
        <v>57</v>
      </c>
      <c r="C25" s="3" t="s">
        <v>54</v>
      </c>
      <c r="D25" s="9" t="s">
        <v>55</v>
      </c>
      <c r="E25" s="72">
        <v>330408.08333333302</v>
      </c>
      <c r="F25" s="72"/>
      <c r="G25" s="202">
        <f t="shared" si="11"/>
        <v>100000</v>
      </c>
      <c r="H25" s="202"/>
      <c r="I25" s="72"/>
      <c r="J25" s="761">
        <f t="shared" si="10"/>
        <v>430408.08333333302</v>
      </c>
      <c r="K25" s="72"/>
      <c r="L25" s="72"/>
      <c r="M25" s="72"/>
      <c r="N25" s="72"/>
      <c r="O25" s="72"/>
      <c r="P25" s="72">
        <v>55215.578600000001</v>
      </c>
      <c r="Q25" s="72">
        <f t="shared" si="7"/>
        <v>26432.646666666598</v>
      </c>
      <c r="R25" s="824">
        <f t="shared" si="8"/>
        <v>81648.225266666603</v>
      </c>
      <c r="S25" s="750">
        <v>644257.44672472996</v>
      </c>
      <c r="T25" s="769">
        <f t="shared" si="9"/>
        <v>348759.858066666</v>
      </c>
    </row>
    <row r="26" spans="1:20" ht="20.100000000000001" customHeight="1">
      <c r="A26" s="26">
        <v>10</v>
      </c>
      <c r="B26" s="746" t="s">
        <v>58</v>
      </c>
      <c r="C26" s="3" t="s">
        <v>54</v>
      </c>
      <c r="D26" s="9" t="s">
        <v>55</v>
      </c>
      <c r="E26" s="72">
        <f>330408.083333333</f>
        <v>330408.08333333302</v>
      </c>
      <c r="F26" s="315"/>
      <c r="G26" s="202">
        <f t="shared" si="11"/>
        <v>100000</v>
      </c>
      <c r="H26" s="202"/>
      <c r="I26" s="72"/>
      <c r="J26" s="761">
        <f t="shared" si="10"/>
        <v>430408.08333333302</v>
      </c>
      <c r="K26" s="72"/>
      <c r="L26" s="72"/>
      <c r="M26" s="72"/>
      <c r="N26" s="72"/>
      <c r="O26" s="72"/>
      <c r="P26" s="72">
        <v>55215.578600000001</v>
      </c>
      <c r="Q26" s="72">
        <f t="shared" si="7"/>
        <v>26432.646666666598</v>
      </c>
      <c r="R26" s="824">
        <f t="shared" si="8"/>
        <v>81648.225266666603</v>
      </c>
      <c r="S26" s="750">
        <v>156299.89423118299</v>
      </c>
      <c r="T26" s="769">
        <f t="shared" si="9"/>
        <v>348759.858066666</v>
      </c>
    </row>
    <row r="27" spans="1:20" ht="20.100000000000001" customHeight="1">
      <c r="A27" s="26">
        <v>11</v>
      </c>
      <c r="B27" s="10" t="s">
        <v>59</v>
      </c>
      <c r="C27" s="3" t="s">
        <v>54</v>
      </c>
      <c r="D27" s="9" t="s">
        <v>55</v>
      </c>
      <c r="E27" s="72">
        <v>330408.08333333302</v>
      </c>
      <c r="F27" s="72"/>
      <c r="G27" s="202">
        <f t="shared" si="11"/>
        <v>100000</v>
      </c>
      <c r="H27" s="202"/>
      <c r="I27" s="72"/>
      <c r="J27" s="761">
        <f t="shared" si="10"/>
        <v>430408.08333333302</v>
      </c>
      <c r="K27" s="72"/>
      <c r="L27" s="72"/>
      <c r="M27" s="72"/>
      <c r="N27" s="72"/>
      <c r="O27" s="72"/>
      <c r="P27" s="72">
        <v>55215.578600000001</v>
      </c>
      <c r="Q27" s="72">
        <f t="shared" si="7"/>
        <v>26432.646666666598</v>
      </c>
      <c r="R27" s="824">
        <f t="shared" si="8"/>
        <v>81648.225266666603</v>
      </c>
      <c r="S27" s="750">
        <v>723952.36279999895</v>
      </c>
      <c r="T27" s="769">
        <f t="shared" si="9"/>
        <v>348759.858066666</v>
      </c>
    </row>
    <row r="28" spans="1:20" ht="25.5" customHeight="1">
      <c r="A28" s="9"/>
      <c r="B28" s="19" t="s">
        <v>42</v>
      </c>
      <c r="C28" s="20">
        <v>11</v>
      </c>
      <c r="D28" s="20"/>
      <c r="E28" s="80">
        <f>SUM(E17:E27)</f>
        <v>4091953.41666666</v>
      </c>
      <c r="F28" s="80">
        <f t="shared" ref="F28:R28" si="12">SUM(F17:F27)</f>
        <v>4650</v>
      </c>
      <c r="G28" s="80">
        <f t="shared" si="12"/>
        <v>1130000</v>
      </c>
      <c r="H28" s="80">
        <f t="shared" si="12"/>
        <v>0</v>
      </c>
      <c r="I28" s="80">
        <f t="shared" si="12"/>
        <v>0</v>
      </c>
      <c r="J28" s="80">
        <f t="shared" si="12"/>
        <v>5226603.4166666605</v>
      </c>
      <c r="K28" s="80">
        <f t="shared" si="12"/>
        <v>0</v>
      </c>
      <c r="L28" s="80">
        <f t="shared" si="12"/>
        <v>84000</v>
      </c>
      <c r="M28" s="80">
        <f t="shared" si="12"/>
        <v>0</v>
      </c>
      <c r="N28" s="80">
        <f t="shared" si="12"/>
        <v>0</v>
      </c>
      <c r="O28" s="80">
        <f t="shared" si="12"/>
        <v>0</v>
      </c>
      <c r="P28" s="80">
        <f t="shared" si="12"/>
        <v>683877.48580000002</v>
      </c>
      <c r="Q28" s="80">
        <f t="shared" si="12"/>
        <v>327356.27333333303</v>
      </c>
      <c r="R28" s="765">
        <f t="shared" si="12"/>
        <v>1095233.7591333301</v>
      </c>
      <c r="S28" s="80">
        <v>8092148.2037559096</v>
      </c>
      <c r="T28" s="80">
        <f>SUM(T17:T27)</f>
        <v>4131369.6575333299</v>
      </c>
    </row>
    <row r="29" spans="1:20" ht="20.100000000000001" customHeight="1">
      <c r="A29" s="9"/>
      <c r="B29" s="21"/>
      <c r="C29" s="20"/>
      <c r="D29" s="20"/>
      <c r="E29" s="134"/>
      <c r="F29" s="134"/>
      <c r="G29" s="202"/>
      <c r="H29" s="202"/>
      <c r="I29" s="134"/>
      <c r="J29" s="764"/>
      <c r="K29" s="134"/>
      <c r="L29" s="134"/>
      <c r="M29" s="134"/>
      <c r="N29" s="134"/>
      <c r="O29" s="134"/>
      <c r="P29" s="134"/>
      <c r="Q29" s="134"/>
      <c r="R29" s="764"/>
      <c r="S29" s="134"/>
      <c r="T29" s="769"/>
    </row>
    <row r="30" spans="1:20" ht="20.100000000000001" customHeight="1">
      <c r="A30" s="9"/>
      <c r="B30" s="19" t="s">
        <v>60</v>
      </c>
      <c r="C30" s="20"/>
      <c r="D30" s="20"/>
      <c r="E30" s="134"/>
      <c r="F30" s="134"/>
      <c r="G30" s="202"/>
      <c r="H30" s="202"/>
      <c r="I30" s="134"/>
      <c r="J30" s="764"/>
      <c r="K30" s="134"/>
      <c r="L30" s="134"/>
      <c r="M30" s="134"/>
      <c r="N30" s="134"/>
      <c r="O30" s="134"/>
      <c r="P30" s="134"/>
      <c r="Q30" s="134"/>
      <c r="R30" s="764"/>
      <c r="S30" s="134"/>
      <c r="T30" s="769"/>
    </row>
    <row r="31" spans="1:20" ht="20.100000000000001" customHeight="1">
      <c r="A31" s="9">
        <v>1</v>
      </c>
      <c r="B31" s="17" t="s">
        <v>61</v>
      </c>
      <c r="C31" s="16" t="s">
        <v>62</v>
      </c>
      <c r="D31" s="14" t="s">
        <v>37</v>
      </c>
      <c r="E31" s="72">
        <v>372145.33333333302</v>
      </c>
      <c r="F31" s="72">
        <v>1950</v>
      </c>
      <c r="G31" s="202">
        <v>100000</v>
      </c>
      <c r="H31" s="202"/>
      <c r="I31" s="72">
        <v>0</v>
      </c>
      <c r="J31" s="761">
        <f>E31+F31+G31+H31+I31</f>
        <v>474095.33333333302</v>
      </c>
      <c r="K31" s="72"/>
      <c r="L31" s="72">
        <v>0</v>
      </c>
      <c r="M31" s="72"/>
      <c r="N31" s="72">
        <v>0</v>
      </c>
      <c r="O31" s="72"/>
      <c r="P31" s="72">
        <v>63777.267200000002</v>
      </c>
      <c r="Q31" s="72">
        <v>29771.626666666602</v>
      </c>
      <c r="R31" s="824">
        <f t="shared" ref="R31:R39" si="13">Q31+P31+O31+M31+N31+L31+K31</f>
        <v>93548.893866666607</v>
      </c>
      <c r="S31" s="750">
        <v>790264.50559999899</v>
      </c>
      <c r="T31" s="769">
        <f t="shared" ref="T31:T39" si="14">J31-R31</f>
        <v>380546.43946666602</v>
      </c>
    </row>
    <row r="32" spans="1:20" ht="20.100000000000001" customHeight="1">
      <c r="A32" s="9">
        <v>2</v>
      </c>
      <c r="B32" s="17" t="s">
        <v>63</v>
      </c>
      <c r="C32" s="16" t="s">
        <v>64</v>
      </c>
      <c r="D32" s="14" t="s">
        <v>55</v>
      </c>
      <c r="E32" s="72">
        <v>330408.08333333302</v>
      </c>
      <c r="F32" s="72"/>
      <c r="G32" s="202">
        <v>100000</v>
      </c>
      <c r="H32" s="202"/>
      <c r="I32" s="72">
        <v>0</v>
      </c>
      <c r="J32" s="761">
        <f>E32+F32+G32+H32+I32</f>
        <v>430408.08333333302</v>
      </c>
      <c r="K32" s="72"/>
      <c r="L32" s="72">
        <v>0</v>
      </c>
      <c r="M32" s="72"/>
      <c r="N32" s="72">
        <v>0</v>
      </c>
      <c r="O32" s="72"/>
      <c r="P32" s="72">
        <v>51151.062470967801</v>
      </c>
      <c r="Q32" s="72">
        <f t="shared" ref="Q32:Q39" si="15">0.08*E32</f>
        <v>26432.646666666598</v>
      </c>
      <c r="R32" s="824">
        <f t="shared" si="13"/>
        <v>77583.709137634403</v>
      </c>
      <c r="S32" s="750">
        <v>732081.39505806298</v>
      </c>
      <c r="T32" s="769">
        <f t="shared" si="14"/>
        <v>352824.374195699</v>
      </c>
    </row>
    <row r="33" spans="1:20" ht="27" customHeight="1">
      <c r="A33" s="9"/>
      <c r="B33" s="19" t="s">
        <v>42</v>
      </c>
      <c r="C33" s="20">
        <v>2</v>
      </c>
      <c r="D33" s="20"/>
      <c r="E33" s="80">
        <f>SUM(E31:E32)</f>
        <v>702553.41666666605</v>
      </c>
      <c r="F33" s="80">
        <f t="shared" ref="F33:R33" si="16">SUM(F31:F32)</f>
        <v>1950</v>
      </c>
      <c r="G33" s="80">
        <f t="shared" si="16"/>
        <v>200000</v>
      </c>
      <c r="H33" s="80">
        <f t="shared" si="16"/>
        <v>0</v>
      </c>
      <c r="I33" s="80">
        <f t="shared" si="16"/>
        <v>0</v>
      </c>
      <c r="J33" s="80">
        <f t="shared" si="16"/>
        <v>904503.41666666605</v>
      </c>
      <c r="K33" s="80">
        <f t="shared" si="16"/>
        <v>0</v>
      </c>
      <c r="L33" s="80">
        <f t="shared" si="16"/>
        <v>0</v>
      </c>
      <c r="M33" s="80">
        <f t="shared" si="16"/>
        <v>0</v>
      </c>
      <c r="N33" s="80">
        <f t="shared" si="16"/>
        <v>0</v>
      </c>
      <c r="O33" s="80">
        <f t="shared" si="16"/>
        <v>0</v>
      </c>
      <c r="P33" s="80">
        <f t="shared" si="16"/>
        <v>114928.329670968</v>
      </c>
      <c r="Q33" s="80">
        <f t="shared" si="16"/>
        <v>56204.2733333332</v>
      </c>
      <c r="R33" s="765">
        <f t="shared" si="16"/>
        <v>171132.603004301</v>
      </c>
      <c r="S33" s="80">
        <v>1522345.9006580601</v>
      </c>
      <c r="T33" s="80">
        <f>SUM(T31:T32)</f>
        <v>733370.81366236496</v>
      </c>
    </row>
    <row r="34" spans="1:20" ht="20.100000000000001" customHeight="1">
      <c r="A34" s="9"/>
      <c r="B34" s="21"/>
      <c r="C34" s="20"/>
      <c r="D34" s="20"/>
      <c r="E34" s="134"/>
      <c r="F34" s="134"/>
      <c r="G34" s="202"/>
      <c r="H34" s="202"/>
      <c r="I34" s="134"/>
      <c r="J34" s="764"/>
      <c r="K34" s="134"/>
      <c r="L34" s="134"/>
      <c r="M34" s="134"/>
      <c r="N34" s="134"/>
      <c r="O34" s="134"/>
      <c r="P34" s="134"/>
      <c r="Q34" s="134"/>
      <c r="R34" s="764"/>
      <c r="S34" s="134"/>
      <c r="T34" s="769"/>
    </row>
    <row r="35" spans="1:20" ht="20.100000000000001" customHeight="1">
      <c r="A35" s="9"/>
      <c r="B35" s="19" t="s">
        <v>65</v>
      </c>
      <c r="C35" s="20"/>
      <c r="D35" s="20"/>
      <c r="E35" s="134"/>
      <c r="F35" s="134"/>
      <c r="G35" s="202"/>
      <c r="H35" s="202"/>
      <c r="I35" s="134"/>
      <c r="J35" s="764"/>
      <c r="K35" s="134"/>
      <c r="L35" s="134"/>
      <c r="M35" s="134"/>
      <c r="N35" s="134"/>
      <c r="O35" s="134"/>
      <c r="P35" s="134"/>
      <c r="Q35" s="134"/>
      <c r="R35" s="764"/>
      <c r="S35" s="134"/>
      <c r="T35" s="769"/>
    </row>
    <row r="36" spans="1:20" ht="20.100000000000001" customHeight="1">
      <c r="A36" s="9">
        <v>1</v>
      </c>
      <c r="B36" s="17" t="s">
        <v>66</v>
      </c>
      <c r="C36" s="3" t="s">
        <v>67</v>
      </c>
      <c r="D36" s="14" t="s">
        <v>29</v>
      </c>
      <c r="E36" s="72">
        <f>526673.583333333</f>
        <v>526673.58333333302</v>
      </c>
      <c r="F36" s="72"/>
      <c r="G36" s="202">
        <v>140000</v>
      </c>
      <c r="H36" s="202"/>
      <c r="I36" s="72">
        <v>0</v>
      </c>
      <c r="J36" s="761">
        <f>E36+F36+G36+H36+I36</f>
        <v>666673.58333333302</v>
      </c>
      <c r="K36" s="72"/>
      <c r="L36" s="72">
        <v>0</v>
      </c>
      <c r="M36" s="72"/>
      <c r="N36" s="72">
        <v>0</v>
      </c>
      <c r="O36" s="72"/>
      <c r="P36" s="72">
        <v>96881.660600000003</v>
      </c>
      <c r="Q36" s="72">
        <f t="shared" si="15"/>
        <v>42133.8866666666</v>
      </c>
      <c r="R36" s="824">
        <f t="shared" si="13"/>
        <v>139015.54726666701</v>
      </c>
      <c r="S36" s="750">
        <v>1097449.9587999999</v>
      </c>
      <c r="T36" s="769">
        <f t="shared" si="14"/>
        <v>527658.03606666601</v>
      </c>
    </row>
    <row r="37" spans="1:20" ht="20.100000000000001" customHeight="1">
      <c r="A37" s="9">
        <v>2</v>
      </c>
      <c r="B37" s="10" t="s">
        <v>68</v>
      </c>
      <c r="C37" s="3" t="s">
        <v>69</v>
      </c>
      <c r="D37" s="14" t="s">
        <v>55</v>
      </c>
      <c r="E37" s="72">
        <v>330408.08333333302</v>
      </c>
      <c r="F37" s="72"/>
      <c r="G37" s="202">
        <f t="shared" ref="G37:G39" si="17">100000</f>
        <v>100000</v>
      </c>
      <c r="H37" s="202"/>
      <c r="I37" s="72"/>
      <c r="J37" s="761">
        <f>E37+F37+G37+H37+I37</f>
        <v>430408.08333333302</v>
      </c>
      <c r="K37" s="72"/>
      <c r="L37" s="658"/>
      <c r="M37" s="658"/>
      <c r="N37" s="658"/>
      <c r="O37" s="3"/>
      <c r="P37" s="658">
        <v>55215.578600000001</v>
      </c>
      <c r="Q37" s="72">
        <v>26432.646666666598</v>
      </c>
      <c r="R37" s="824">
        <f t="shared" si="13"/>
        <v>81648.225266666603</v>
      </c>
      <c r="S37" s="750">
        <v>732081.39505806298</v>
      </c>
      <c r="T37" s="769">
        <f t="shared" si="14"/>
        <v>348759.858066666</v>
      </c>
    </row>
    <row r="38" spans="1:20" ht="20.100000000000001" customHeight="1">
      <c r="A38" s="9">
        <v>3</v>
      </c>
      <c r="B38" s="17" t="s">
        <v>70</v>
      </c>
      <c r="C38" s="11" t="s">
        <v>71</v>
      </c>
      <c r="D38" s="14" t="s">
        <v>72</v>
      </c>
      <c r="E38" s="72">
        <v>287890.91666666698</v>
      </c>
      <c r="F38" s="72"/>
      <c r="G38" s="202">
        <f t="shared" si="17"/>
        <v>100000</v>
      </c>
      <c r="H38" s="202"/>
      <c r="I38" s="72"/>
      <c r="J38" s="761">
        <f t="shared" ref="J38:J47" si="18">E38+F38+G38+H38+I38</f>
        <v>387890.91666666698</v>
      </c>
      <c r="K38" s="72"/>
      <c r="L38" s="658"/>
      <c r="M38" s="658"/>
      <c r="N38" s="658"/>
      <c r="O38" s="3"/>
      <c r="P38" s="658">
        <v>48174.735800000002</v>
      </c>
      <c r="Q38" s="72">
        <f t="shared" si="15"/>
        <v>23031.2733333334</v>
      </c>
      <c r="R38" s="824">
        <f t="shared" si="13"/>
        <v>71206.009133333398</v>
      </c>
      <c r="S38" s="750">
        <v>564058.02501290396</v>
      </c>
      <c r="T38" s="769">
        <f t="shared" si="14"/>
        <v>316684.90753333399</v>
      </c>
    </row>
    <row r="39" spans="1:20" ht="20.100000000000001" customHeight="1">
      <c r="A39" s="9">
        <v>4</v>
      </c>
      <c r="B39" s="17" t="s">
        <v>73</v>
      </c>
      <c r="C39" s="11" t="s">
        <v>71</v>
      </c>
      <c r="D39" s="14" t="s">
        <v>72</v>
      </c>
      <c r="E39" s="72">
        <v>287890.91666666698</v>
      </c>
      <c r="F39" s="72"/>
      <c r="G39" s="202">
        <f t="shared" si="17"/>
        <v>100000</v>
      </c>
      <c r="H39" s="202"/>
      <c r="I39" s="72"/>
      <c r="J39" s="761">
        <f t="shared" si="18"/>
        <v>387890.91666666698</v>
      </c>
      <c r="K39" s="72"/>
      <c r="L39" s="658"/>
      <c r="M39" s="658"/>
      <c r="N39" s="658"/>
      <c r="O39" s="3"/>
      <c r="P39" s="658">
        <v>48174.735800000002</v>
      </c>
      <c r="Q39" s="72">
        <f t="shared" si="15"/>
        <v>23031.2733333334</v>
      </c>
      <c r="R39" s="824">
        <f t="shared" si="13"/>
        <v>71206.009133333398</v>
      </c>
      <c r="S39" s="750">
        <v>656401.08840000106</v>
      </c>
      <c r="T39" s="769">
        <f t="shared" si="14"/>
        <v>316684.90753333399</v>
      </c>
    </row>
    <row r="40" spans="1:20" ht="23.1" customHeight="1">
      <c r="A40" s="9"/>
      <c r="B40" s="19" t="s">
        <v>42</v>
      </c>
      <c r="C40" s="20">
        <v>4</v>
      </c>
      <c r="D40" s="20"/>
      <c r="E40" s="80">
        <f>SUM(E36:E39)</f>
        <v>1432863.5</v>
      </c>
      <c r="F40" s="80">
        <f>SUM(F36:F39)</f>
        <v>0</v>
      </c>
      <c r="G40" s="80">
        <f t="shared" ref="G40:R40" si="19">SUM(G36:G39)</f>
        <v>440000</v>
      </c>
      <c r="H40" s="80">
        <f t="shared" si="19"/>
        <v>0</v>
      </c>
      <c r="I40" s="80">
        <f t="shared" si="19"/>
        <v>0</v>
      </c>
      <c r="J40" s="80">
        <f t="shared" si="19"/>
        <v>1872863.5</v>
      </c>
      <c r="K40" s="80">
        <f t="shared" si="19"/>
        <v>0</v>
      </c>
      <c r="L40" s="80">
        <f t="shared" si="19"/>
        <v>0</v>
      </c>
      <c r="M40" s="80">
        <f t="shared" si="19"/>
        <v>0</v>
      </c>
      <c r="N40" s="80">
        <f t="shared" si="19"/>
        <v>0</v>
      </c>
      <c r="O40" s="80">
        <f t="shared" si="19"/>
        <v>0</v>
      </c>
      <c r="P40" s="80">
        <f t="shared" si="19"/>
        <v>248446.7108</v>
      </c>
      <c r="Q40" s="80">
        <f t="shared" si="19"/>
        <v>114629.08</v>
      </c>
      <c r="R40" s="765">
        <f t="shared" si="19"/>
        <v>363075.79080000002</v>
      </c>
      <c r="S40" s="80">
        <v>3049990.4672709699</v>
      </c>
      <c r="T40" s="80">
        <f>SUM(T36:T39)</f>
        <v>1509787.7091999999</v>
      </c>
    </row>
    <row r="41" spans="1:20" ht="20.100000000000001" customHeight="1">
      <c r="A41" s="9"/>
      <c r="B41" s="19"/>
      <c r="C41" s="20"/>
      <c r="D41" s="20"/>
      <c r="E41" s="134"/>
      <c r="F41" s="134"/>
      <c r="G41" s="202"/>
      <c r="H41" s="202"/>
      <c r="I41" s="134"/>
      <c r="J41" s="764"/>
      <c r="K41" s="134"/>
      <c r="L41" s="134"/>
      <c r="M41" s="134"/>
      <c r="N41" s="134"/>
      <c r="O41" s="134"/>
      <c r="P41" s="134"/>
      <c r="Q41" s="134"/>
      <c r="R41" s="761"/>
      <c r="S41" s="72"/>
      <c r="T41" s="769"/>
    </row>
    <row r="42" spans="1:20" ht="20.100000000000001" customHeight="1">
      <c r="A42" s="9"/>
      <c r="B42" s="19" t="s">
        <v>74</v>
      </c>
      <c r="C42" s="24"/>
      <c r="D42" s="20"/>
      <c r="E42" s="134"/>
      <c r="F42" s="134"/>
      <c r="G42" s="202"/>
      <c r="H42" s="202"/>
      <c r="I42" s="134"/>
      <c r="J42" s="764"/>
      <c r="K42" s="134"/>
      <c r="L42" s="134"/>
      <c r="M42" s="134"/>
      <c r="N42" s="134"/>
      <c r="O42" s="134"/>
      <c r="P42" s="134"/>
      <c r="Q42" s="134"/>
      <c r="R42" s="761"/>
      <c r="S42" s="72"/>
      <c r="T42" s="769"/>
    </row>
    <row r="43" spans="1:20" customFormat="1" ht="20.100000000000001" customHeight="1">
      <c r="A43" s="9">
        <v>1</v>
      </c>
      <c r="B43" s="10" t="s">
        <v>75</v>
      </c>
      <c r="C43" s="747" t="s">
        <v>76</v>
      </c>
      <c r="D43" s="822" t="s">
        <v>26</v>
      </c>
      <c r="E43" s="72">
        <v>700713.91666666605</v>
      </c>
      <c r="F43" s="134"/>
      <c r="G43" s="202">
        <v>160000</v>
      </c>
      <c r="H43" s="202"/>
      <c r="I43" s="134"/>
      <c r="J43" s="761">
        <f t="shared" si="18"/>
        <v>860713.91666666605</v>
      </c>
      <c r="K43" s="134"/>
      <c r="L43" s="134"/>
      <c r="M43" s="134"/>
      <c r="N43" s="134"/>
      <c r="O43" s="134"/>
      <c r="P43" s="72">
        <v>129844.4054</v>
      </c>
      <c r="Q43" s="72">
        <v>56057.113333333298</v>
      </c>
      <c r="R43" s="824">
        <f>Q43+P43+O43+M43+N43+L43+K43</f>
        <v>185901.51873333301</v>
      </c>
      <c r="S43" s="72"/>
      <c r="T43" s="769">
        <f>J43-R43</f>
        <v>674812.39793333295</v>
      </c>
    </row>
    <row r="44" spans="1:20" ht="20.100000000000001" customHeight="1">
      <c r="A44" s="9">
        <v>2</v>
      </c>
      <c r="B44" s="746" t="s">
        <v>77</v>
      </c>
      <c r="C44" s="747" t="s">
        <v>78</v>
      </c>
      <c r="D44" s="9" t="s">
        <v>29</v>
      </c>
      <c r="E44" s="72">
        <f>526673.583333333</f>
        <v>526673.58333333302</v>
      </c>
      <c r="F44" s="134"/>
      <c r="G44" s="202">
        <f>140000</f>
        <v>140000</v>
      </c>
      <c r="H44" s="202"/>
      <c r="I44" s="134"/>
      <c r="J44" s="761">
        <f t="shared" si="18"/>
        <v>666673.58333333302</v>
      </c>
      <c r="K44" s="134"/>
      <c r="L44" s="134"/>
      <c r="M44" s="134"/>
      <c r="N44" s="72">
        <v>22000</v>
      </c>
      <c r="O44" s="134"/>
      <c r="P44" s="72">
        <v>96881.660600000003</v>
      </c>
      <c r="Q44" s="72">
        <v>42133.886666666702</v>
      </c>
      <c r="R44" s="824">
        <f t="shared" ref="R44:R47" si="20">Q44+P44+O44+M44+N44+L44+K44</f>
        <v>161015.54726666701</v>
      </c>
      <c r="S44" s="750">
        <v>265103.677879569</v>
      </c>
      <c r="T44" s="769">
        <f t="shared" ref="T44:T47" si="21">J44-R44</f>
        <v>505658.03606666601</v>
      </c>
    </row>
    <row r="45" spans="1:20" ht="20.100000000000001" customHeight="1">
      <c r="A45" s="9">
        <v>3</v>
      </c>
      <c r="B45" s="746" t="s">
        <v>79</v>
      </c>
      <c r="C45" s="747" t="s">
        <v>80</v>
      </c>
      <c r="D45" s="9" t="s">
        <v>81</v>
      </c>
      <c r="E45" s="72">
        <f>482846.583333333</f>
        <v>482846.58333333302</v>
      </c>
      <c r="F45" s="134"/>
      <c r="G45" s="202">
        <f>120000</f>
        <v>120000</v>
      </c>
      <c r="H45" s="202"/>
      <c r="I45" s="134"/>
      <c r="J45" s="761">
        <f t="shared" si="18"/>
        <v>602846.58333333302</v>
      </c>
      <c r="K45" s="134"/>
      <c r="L45" s="134"/>
      <c r="M45" s="134"/>
      <c r="N45" s="134"/>
      <c r="O45" s="134"/>
      <c r="P45" s="72">
        <v>84059.394199999893</v>
      </c>
      <c r="Q45" s="72">
        <f t="shared" ref="Q45:Q47" si="22">0.08*E45</f>
        <v>38627.726666666596</v>
      </c>
      <c r="R45" s="824">
        <f t="shared" si="20"/>
        <v>122687.12086666599</v>
      </c>
      <c r="S45" s="750">
        <v>214481.07187634401</v>
      </c>
      <c r="T45" s="769">
        <f t="shared" si="21"/>
        <v>480159.462466667</v>
      </c>
    </row>
    <row r="46" spans="1:20" ht="20.100000000000001" customHeight="1">
      <c r="A46" s="9">
        <v>4</v>
      </c>
      <c r="B46" s="17" t="s">
        <v>82</v>
      </c>
      <c r="C46" s="3" t="s">
        <v>45</v>
      </c>
      <c r="D46" s="14" t="s">
        <v>32</v>
      </c>
      <c r="E46" s="72">
        <f>'[2]Peculiar Allowance'!$H$40+'[2] FGN 2024 MGT Monthly'!$H$40</f>
        <v>441159</v>
      </c>
      <c r="F46" s="72">
        <v>2400</v>
      </c>
      <c r="G46" s="202">
        <v>110000</v>
      </c>
      <c r="H46" s="202"/>
      <c r="I46" s="72"/>
      <c r="J46" s="761">
        <f t="shared" si="18"/>
        <v>553559</v>
      </c>
      <c r="K46" s="72"/>
      <c r="L46" s="72"/>
      <c r="M46" s="72"/>
      <c r="N46" s="72"/>
      <c r="O46" s="72"/>
      <c r="P46" s="72">
        <v>72955.930399999997</v>
      </c>
      <c r="Q46" s="72">
        <v>35292.720000000001</v>
      </c>
      <c r="R46" s="824">
        <f t="shared" si="20"/>
        <v>108248.6504</v>
      </c>
      <c r="S46" s="750">
        <v>916313.4192</v>
      </c>
      <c r="T46" s="769">
        <f t="shared" si="21"/>
        <v>445310.34960000002</v>
      </c>
    </row>
    <row r="47" spans="1:20" ht="20.100000000000001" customHeight="1">
      <c r="A47" s="9">
        <v>5</v>
      </c>
      <c r="B47" s="17" t="s">
        <v>83</v>
      </c>
      <c r="C47" s="3" t="s">
        <v>64</v>
      </c>
      <c r="D47" s="14" t="s">
        <v>37</v>
      </c>
      <c r="E47" s="72">
        <v>372145.33333333302</v>
      </c>
      <c r="F47" s="72"/>
      <c r="G47" s="202">
        <v>100000</v>
      </c>
      <c r="H47" s="202"/>
      <c r="I47" s="72"/>
      <c r="J47" s="761">
        <f t="shared" si="18"/>
        <v>472145.33333333302</v>
      </c>
      <c r="K47" s="72"/>
      <c r="L47" s="72"/>
      <c r="M47" s="72"/>
      <c r="N47" s="72"/>
      <c r="O47" s="72"/>
      <c r="P47" s="72">
        <v>62127.267200000002</v>
      </c>
      <c r="Q47" s="72">
        <f t="shared" si="22"/>
        <v>29771.626666666602</v>
      </c>
      <c r="R47" s="824">
        <f t="shared" si="20"/>
        <v>91898.893866666607</v>
      </c>
      <c r="S47" s="750">
        <v>664738.33029103896</v>
      </c>
      <c r="T47" s="769">
        <f t="shared" si="21"/>
        <v>380246.43946666602</v>
      </c>
    </row>
    <row r="48" spans="1:20" ht="20.100000000000001" customHeight="1">
      <c r="A48" s="9"/>
      <c r="B48" s="19" t="s">
        <v>42</v>
      </c>
      <c r="C48" s="20">
        <v>5</v>
      </c>
      <c r="D48" s="20"/>
      <c r="E48" s="80">
        <f>SUM(E43:E47)</f>
        <v>2523538.4166666698</v>
      </c>
      <c r="F48" s="80">
        <f t="shared" ref="F48:T48" si="23">SUM(F43:F47)</f>
        <v>2400</v>
      </c>
      <c r="G48" s="80">
        <f t="shared" si="23"/>
        <v>630000</v>
      </c>
      <c r="H48" s="80">
        <f t="shared" si="23"/>
        <v>0</v>
      </c>
      <c r="I48" s="80">
        <f t="shared" si="23"/>
        <v>0</v>
      </c>
      <c r="J48" s="80">
        <f t="shared" si="23"/>
        <v>3155938.4166666698</v>
      </c>
      <c r="K48" s="80">
        <f t="shared" si="23"/>
        <v>0</v>
      </c>
      <c r="L48" s="80">
        <f t="shared" si="23"/>
        <v>0</v>
      </c>
      <c r="M48" s="80">
        <f t="shared" si="23"/>
        <v>0</v>
      </c>
      <c r="N48" s="80">
        <f t="shared" si="23"/>
        <v>22000</v>
      </c>
      <c r="O48" s="80">
        <f t="shared" si="23"/>
        <v>0</v>
      </c>
      <c r="P48" s="80">
        <f t="shared" si="23"/>
        <v>445868.65779999999</v>
      </c>
      <c r="Q48" s="80">
        <f t="shared" si="23"/>
        <v>201883.07333333301</v>
      </c>
      <c r="R48" s="80">
        <f t="shared" si="23"/>
        <v>669751.73113333306</v>
      </c>
      <c r="S48" s="80">
        <f t="shared" si="23"/>
        <v>2060636.49924695</v>
      </c>
      <c r="T48" s="80">
        <f t="shared" si="23"/>
        <v>2486186.6855333298</v>
      </c>
    </row>
    <row r="49" spans="1:20" ht="20.100000000000001" customHeight="1">
      <c r="A49" s="9"/>
      <c r="B49" s="21"/>
      <c r="C49" s="20"/>
      <c r="D49" s="20"/>
      <c r="E49" s="134"/>
      <c r="F49" s="134"/>
      <c r="G49" s="202"/>
      <c r="H49" s="202"/>
      <c r="I49" s="134"/>
      <c r="J49" s="764"/>
      <c r="K49" s="134"/>
      <c r="L49" s="134"/>
      <c r="M49" s="134"/>
      <c r="N49" s="134"/>
      <c r="O49" s="134"/>
      <c r="P49" s="134"/>
      <c r="Q49" s="134"/>
      <c r="R49" s="764"/>
      <c r="S49" s="134"/>
      <c r="T49" s="769"/>
    </row>
    <row r="50" spans="1:20" ht="20.100000000000001" customHeight="1">
      <c r="A50" s="9"/>
      <c r="B50" s="19" t="s">
        <v>84</v>
      </c>
      <c r="C50" s="20"/>
      <c r="D50" s="20"/>
      <c r="E50" s="134"/>
      <c r="F50" s="134"/>
      <c r="G50" s="202"/>
      <c r="H50" s="202"/>
      <c r="I50" s="134"/>
      <c r="J50" s="764"/>
      <c r="K50" s="134"/>
      <c r="L50" s="134"/>
      <c r="M50" s="134"/>
      <c r="N50" s="134"/>
      <c r="O50" s="134"/>
      <c r="P50" s="134"/>
      <c r="Q50" s="134"/>
      <c r="R50" s="764"/>
      <c r="S50" s="134"/>
      <c r="T50" s="769"/>
    </row>
    <row r="51" spans="1:20" ht="20.100000000000001" customHeight="1">
      <c r="A51" s="9">
        <v>1</v>
      </c>
      <c r="B51" s="10" t="s">
        <v>85</v>
      </c>
      <c r="C51" s="3" t="s">
        <v>86</v>
      </c>
      <c r="D51" s="14" t="s">
        <v>72</v>
      </c>
      <c r="E51" s="72">
        <v>287890.91666666698</v>
      </c>
      <c r="F51" s="72"/>
      <c r="G51" s="202"/>
      <c r="H51" s="202">
        <v>50000</v>
      </c>
      <c r="I51" s="72">
        <v>0</v>
      </c>
      <c r="J51" s="761">
        <f>SUM(E51:I51)</f>
        <v>337890.91666666698</v>
      </c>
      <c r="K51" s="72"/>
      <c r="L51" s="72"/>
      <c r="M51" s="72"/>
      <c r="N51" s="72"/>
      <c r="O51" s="72"/>
      <c r="P51" s="658">
        <v>39174.735800000002</v>
      </c>
      <c r="Q51" s="72">
        <f>0.08*E51</f>
        <v>23031.2733333334</v>
      </c>
      <c r="R51" s="824">
        <f t="shared" ref="R51:R58" si="24">Q51+P51+O51+M51+N51+L51+K51</f>
        <v>62206.009133333398</v>
      </c>
      <c r="S51" s="750">
        <v>574401.08840000001</v>
      </c>
      <c r="T51" s="769">
        <f t="shared" ref="T51:T58" si="25">J51-R51</f>
        <v>275684.90753333399</v>
      </c>
    </row>
    <row r="52" spans="1:20" ht="20.100000000000001" customHeight="1">
      <c r="A52" s="3"/>
      <c r="B52" s="19" t="s">
        <v>42</v>
      </c>
      <c r="C52" s="20">
        <v>1</v>
      </c>
      <c r="D52" s="25"/>
      <c r="E52" s="80">
        <f t="shared" ref="E52:R52" si="26">SUM(E51:E51)</f>
        <v>287890.91666666698</v>
      </c>
      <c r="F52" s="80">
        <f t="shared" si="26"/>
        <v>0</v>
      </c>
      <c r="G52" s="80">
        <f t="shared" si="26"/>
        <v>0</v>
      </c>
      <c r="H52" s="80">
        <f t="shared" si="26"/>
        <v>50000</v>
      </c>
      <c r="I52" s="80">
        <f t="shared" si="26"/>
        <v>0</v>
      </c>
      <c r="J52" s="80">
        <f t="shared" si="26"/>
        <v>337890.91666666698</v>
      </c>
      <c r="K52" s="80">
        <f t="shared" si="26"/>
        <v>0</v>
      </c>
      <c r="L52" s="80">
        <f t="shared" si="26"/>
        <v>0</v>
      </c>
      <c r="M52" s="80">
        <f t="shared" si="26"/>
        <v>0</v>
      </c>
      <c r="N52" s="80">
        <f t="shared" si="26"/>
        <v>0</v>
      </c>
      <c r="O52" s="80">
        <f t="shared" si="26"/>
        <v>0</v>
      </c>
      <c r="P52" s="80">
        <f t="shared" si="26"/>
        <v>39174.735800000002</v>
      </c>
      <c r="Q52" s="80">
        <f t="shared" si="26"/>
        <v>23031.2733333334</v>
      </c>
      <c r="R52" s="765">
        <f t="shared" si="26"/>
        <v>62206.009133333398</v>
      </c>
      <c r="S52" s="80">
        <v>574401.08840000001</v>
      </c>
      <c r="T52" s="80">
        <f>SUM(T51:T51)</f>
        <v>275684.90753333399</v>
      </c>
    </row>
    <row r="53" spans="1:20" ht="20.100000000000001" customHeight="1">
      <c r="A53" s="3"/>
      <c r="B53" s="19"/>
      <c r="C53" s="20"/>
      <c r="D53" s="25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765"/>
      <c r="S53" s="80"/>
      <c r="T53" s="80"/>
    </row>
    <row r="54" spans="1:20" ht="20.100000000000001" customHeight="1">
      <c r="A54" s="3"/>
      <c r="B54" s="19" t="s">
        <v>87</v>
      </c>
      <c r="C54" s="20"/>
      <c r="D54" s="20"/>
      <c r="E54" s="134"/>
      <c r="F54" s="134"/>
      <c r="G54" s="202"/>
      <c r="H54" s="202"/>
      <c r="I54" s="134"/>
      <c r="J54" s="764"/>
      <c r="K54" s="134"/>
      <c r="L54" s="134"/>
      <c r="M54" s="134"/>
      <c r="N54" s="134"/>
      <c r="O54" s="134"/>
      <c r="P54" s="134"/>
      <c r="Q54" s="134"/>
      <c r="R54" s="761"/>
      <c r="S54" s="72"/>
      <c r="T54" s="769"/>
    </row>
    <row r="55" spans="1:20" ht="20.100000000000001" customHeight="1">
      <c r="A55" s="3">
        <v>1</v>
      </c>
      <c r="B55" s="17" t="s">
        <v>88</v>
      </c>
      <c r="C55" s="11" t="s">
        <v>89</v>
      </c>
      <c r="D55" s="14" t="s">
        <v>55</v>
      </c>
      <c r="E55" s="72">
        <v>330408.08333333302</v>
      </c>
      <c r="F55" s="72"/>
      <c r="G55" s="202"/>
      <c r="H55" s="202">
        <v>60000</v>
      </c>
      <c r="I55" s="72"/>
      <c r="J55" s="761">
        <f t="shared" ref="J55:J58" si="27">E55+F55+G55+H55+I55</f>
        <v>390408.08333333302</v>
      </c>
      <c r="K55" s="72"/>
      <c r="L55" s="658"/>
      <c r="M55" s="658"/>
      <c r="N55" s="658"/>
      <c r="O55" s="3"/>
      <c r="P55" s="658">
        <v>48015.578600000001</v>
      </c>
      <c r="Q55" s="72">
        <v>26432.646666666598</v>
      </c>
      <c r="R55" s="824">
        <f t="shared" si="24"/>
        <v>74448.225266666603</v>
      </c>
      <c r="S55" s="750"/>
      <c r="T55" s="769">
        <f t="shared" si="25"/>
        <v>315959.858066666</v>
      </c>
    </row>
    <row r="56" spans="1:20" ht="20.100000000000001" customHeight="1">
      <c r="A56" s="3">
        <v>2</v>
      </c>
      <c r="B56" s="17" t="s">
        <v>90</v>
      </c>
      <c r="C56" s="11" t="s">
        <v>91</v>
      </c>
      <c r="D56" s="14" t="s">
        <v>55</v>
      </c>
      <c r="E56" s="72">
        <v>330408.08333333302</v>
      </c>
      <c r="F56" s="72"/>
      <c r="G56" s="202"/>
      <c r="H56" s="202">
        <v>60000</v>
      </c>
      <c r="I56" s="72"/>
      <c r="J56" s="761">
        <f t="shared" si="27"/>
        <v>390408.08333333302</v>
      </c>
      <c r="K56" s="72"/>
      <c r="L56" s="658"/>
      <c r="M56" s="658"/>
      <c r="N56" s="658"/>
      <c r="O56" s="3"/>
      <c r="P56" s="658">
        <v>48015.578600000001</v>
      </c>
      <c r="Q56" s="72">
        <v>26432.646666666598</v>
      </c>
      <c r="R56" s="824">
        <f t="shared" si="24"/>
        <v>74448.225266666603</v>
      </c>
      <c r="S56" s="750"/>
      <c r="T56" s="769">
        <f t="shared" si="25"/>
        <v>315959.858066666</v>
      </c>
    </row>
    <row r="57" spans="1:20" ht="20.100000000000001" customHeight="1">
      <c r="A57" s="3">
        <v>3</v>
      </c>
      <c r="B57" s="748" t="s">
        <v>92</v>
      </c>
      <c r="C57" s="11" t="s">
        <v>93</v>
      </c>
      <c r="D57" s="14" t="s">
        <v>72</v>
      </c>
      <c r="E57" s="72">
        <v>287890.91666666698</v>
      </c>
      <c r="F57" s="72"/>
      <c r="G57" s="202"/>
      <c r="H57" s="202">
        <v>50000</v>
      </c>
      <c r="I57" s="72"/>
      <c r="J57" s="761">
        <f t="shared" si="27"/>
        <v>337890.91666666698</v>
      </c>
      <c r="K57" s="72"/>
      <c r="L57" s="658"/>
      <c r="M57" s="658"/>
      <c r="N57" s="658"/>
      <c r="O57" s="3"/>
      <c r="P57" s="658">
        <v>39174.735800000002</v>
      </c>
      <c r="Q57" s="72">
        <f>0.08*E57</f>
        <v>23031.2733333334</v>
      </c>
      <c r="R57" s="824">
        <f t="shared" si="24"/>
        <v>62206.009133333398</v>
      </c>
      <c r="S57" s="750"/>
      <c r="T57" s="769">
        <f t="shared" si="25"/>
        <v>275684.90753333399</v>
      </c>
    </row>
    <row r="58" spans="1:20" ht="20.100000000000001" customHeight="1">
      <c r="A58" s="3">
        <v>4</v>
      </c>
      <c r="B58" s="748" t="s">
        <v>94</v>
      </c>
      <c r="C58" s="11" t="s">
        <v>95</v>
      </c>
      <c r="D58" s="14" t="s">
        <v>72</v>
      </c>
      <c r="E58" s="72">
        <v>287890.91666666698</v>
      </c>
      <c r="F58" s="72"/>
      <c r="G58" s="202"/>
      <c r="H58" s="202">
        <v>50000</v>
      </c>
      <c r="I58" s="72"/>
      <c r="J58" s="761">
        <f t="shared" si="27"/>
        <v>337890.91666666698</v>
      </c>
      <c r="K58" s="72"/>
      <c r="L58" s="658"/>
      <c r="M58" s="658"/>
      <c r="N58" s="658"/>
      <c r="O58" s="3"/>
      <c r="P58" s="658">
        <v>39174.735800000002</v>
      </c>
      <c r="Q58" s="72">
        <f>0.08*E58</f>
        <v>23031.2733333334</v>
      </c>
      <c r="R58" s="824">
        <f t="shared" si="24"/>
        <v>62206.009133333398</v>
      </c>
      <c r="S58" s="750"/>
      <c r="T58" s="769">
        <f t="shared" si="25"/>
        <v>275684.90753333399</v>
      </c>
    </row>
    <row r="59" spans="1:20" ht="28.5" customHeight="1">
      <c r="A59" s="3"/>
      <c r="B59" s="19" t="s">
        <v>42</v>
      </c>
      <c r="C59" s="25" t="s">
        <v>96</v>
      </c>
      <c r="D59" s="14"/>
      <c r="E59" s="80">
        <f>SUM(E55:E58)</f>
        <v>1236598</v>
      </c>
      <c r="F59" s="80">
        <f t="shared" ref="F59:T59" si="28">SUM(F55:F58)</f>
        <v>0</v>
      </c>
      <c r="G59" s="80">
        <f t="shared" si="28"/>
        <v>0</v>
      </c>
      <c r="H59" s="80">
        <f t="shared" si="28"/>
        <v>220000</v>
      </c>
      <c r="I59" s="80">
        <f t="shared" si="28"/>
        <v>0</v>
      </c>
      <c r="J59" s="80">
        <f t="shared" si="28"/>
        <v>1456598</v>
      </c>
      <c r="K59" s="80">
        <f t="shared" si="28"/>
        <v>0</v>
      </c>
      <c r="L59" s="80">
        <f t="shared" si="28"/>
        <v>0</v>
      </c>
      <c r="M59" s="80">
        <f t="shared" si="28"/>
        <v>0</v>
      </c>
      <c r="N59" s="80">
        <f t="shared" si="28"/>
        <v>0</v>
      </c>
      <c r="O59" s="80">
        <f t="shared" si="28"/>
        <v>0</v>
      </c>
      <c r="P59" s="80">
        <f t="shared" si="28"/>
        <v>174380.62880000001</v>
      </c>
      <c r="Q59" s="80">
        <f t="shared" si="28"/>
        <v>98927.84</v>
      </c>
      <c r="R59" s="80">
        <f t="shared" si="28"/>
        <v>273308.46879999997</v>
      </c>
      <c r="S59" s="80">
        <f t="shared" si="28"/>
        <v>0</v>
      </c>
      <c r="T59" s="80">
        <f t="shared" si="28"/>
        <v>1183289.5312000001</v>
      </c>
    </row>
    <row r="60" spans="1:20" ht="20.100000000000001" customHeight="1">
      <c r="A60" s="3"/>
      <c r="B60" s="21"/>
      <c r="C60" s="9"/>
      <c r="D60" s="3"/>
      <c r="E60" s="206"/>
      <c r="F60" s="8"/>
      <c r="G60" s="202"/>
      <c r="H60" s="202"/>
      <c r="I60" s="206"/>
      <c r="J60" s="766"/>
      <c r="K60" s="206"/>
      <c r="L60" s="206"/>
      <c r="M60" s="206"/>
      <c r="N60" s="206"/>
      <c r="O60" s="206"/>
      <c r="P60" s="206"/>
      <c r="Q60" s="206"/>
      <c r="R60" s="766"/>
      <c r="S60" s="206"/>
      <c r="T60" s="769"/>
    </row>
    <row r="61" spans="1:20" ht="20.100000000000001" customHeight="1">
      <c r="A61" s="3"/>
      <c r="B61" s="19" t="s">
        <v>97</v>
      </c>
      <c r="C61" s="20"/>
      <c r="D61" s="20"/>
      <c r="E61" s="134"/>
      <c r="F61" s="134"/>
      <c r="G61" s="202"/>
      <c r="H61" s="202"/>
      <c r="I61" s="134"/>
      <c r="J61" s="764"/>
      <c r="K61" s="134"/>
      <c r="L61" s="134"/>
      <c r="M61" s="134"/>
      <c r="N61" s="134"/>
      <c r="O61" s="134"/>
      <c r="P61" s="134"/>
      <c r="Q61" s="134"/>
      <c r="R61" s="761"/>
      <c r="S61" s="72"/>
      <c r="T61" s="769"/>
    </row>
    <row r="62" spans="1:20" ht="20.100000000000001" customHeight="1">
      <c r="A62" s="3">
        <v>1</v>
      </c>
      <c r="B62" s="17" t="s">
        <v>98</v>
      </c>
      <c r="C62" s="11" t="s">
        <v>25</v>
      </c>
      <c r="D62" s="14" t="s">
        <v>99</v>
      </c>
      <c r="E62" s="72">
        <v>700713.91666666605</v>
      </c>
      <c r="F62" s="72"/>
      <c r="G62" s="202"/>
      <c r="H62" s="202">
        <v>80000</v>
      </c>
      <c r="I62" s="72"/>
      <c r="J62" s="761">
        <f>E62+F62+G62+H62+I62</f>
        <v>780713.91666666605</v>
      </c>
      <c r="K62" s="72"/>
      <c r="L62" s="658"/>
      <c r="M62" s="658"/>
      <c r="N62" s="658"/>
      <c r="O62" s="3"/>
      <c r="P62" s="658">
        <v>112938.2246</v>
      </c>
      <c r="Q62" s="72">
        <f>0.08*E62</f>
        <v>56057.113333333298</v>
      </c>
      <c r="R62" s="824">
        <f>Q62+P62+O62+M62+N62+L62+K62</f>
        <v>168995.33793333301</v>
      </c>
      <c r="S62" s="750">
        <v>1279494.2708000001</v>
      </c>
      <c r="T62" s="769">
        <f>J62-R62</f>
        <v>611718.57873333304</v>
      </c>
    </row>
    <row r="63" spans="1:20" ht="20.100000000000001" customHeight="1">
      <c r="A63" s="3">
        <v>2</v>
      </c>
      <c r="B63" s="748" t="s">
        <v>100</v>
      </c>
      <c r="C63" s="11" t="s">
        <v>101</v>
      </c>
      <c r="D63" s="14" t="s">
        <v>72</v>
      </c>
      <c r="E63" s="72">
        <v>287890.91666666698</v>
      </c>
      <c r="F63" s="72"/>
      <c r="G63" s="202"/>
      <c r="H63" s="202">
        <v>50000</v>
      </c>
      <c r="I63" s="72"/>
      <c r="J63" s="761">
        <f>E63+F63+G63+H63+I63</f>
        <v>337890.91666666698</v>
      </c>
      <c r="K63" s="72"/>
      <c r="L63" s="658"/>
      <c r="M63" s="658"/>
      <c r="N63" s="658"/>
      <c r="O63" s="3"/>
      <c r="P63" s="658">
        <v>39174.735800000002</v>
      </c>
      <c r="Q63" s="72">
        <f>0.08*E63</f>
        <v>23031.2733333334</v>
      </c>
      <c r="R63" s="824">
        <f>Q63+P63+O63+M63+N63+L63+K63</f>
        <v>62206.009133333398</v>
      </c>
      <c r="S63" s="750">
        <v>418846.111705377</v>
      </c>
      <c r="T63" s="769">
        <f>J63-R63</f>
        <v>275684.90753333399</v>
      </c>
    </row>
    <row r="64" spans="1:20" ht="28.5" customHeight="1">
      <c r="A64" s="3"/>
      <c r="B64" s="19" t="s">
        <v>42</v>
      </c>
      <c r="C64" s="25" t="s">
        <v>102</v>
      </c>
      <c r="D64" s="14"/>
      <c r="E64" s="80">
        <f>SUM(E62:E63)</f>
        <v>988604.83333333302</v>
      </c>
      <c r="F64" s="80">
        <f t="shared" ref="F64:R64" si="29">SUM(F62:F63)</f>
        <v>0</v>
      </c>
      <c r="G64" s="80">
        <f t="shared" si="29"/>
        <v>0</v>
      </c>
      <c r="H64" s="80">
        <f t="shared" si="29"/>
        <v>130000</v>
      </c>
      <c r="I64" s="80">
        <f t="shared" si="29"/>
        <v>0</v>
      </c>
      <c r="J64" s="80">
        <f t="shared" si="29"/>
        <v>1118604.83333333</v>
      </c>
      <c r="K64" s="80">
        <f t="shared" si="29"/>
        <v>0</v>
      </c>
      <c r="L64" s="80">
        <f t="shared" si="29"/>
        <v>0</v>
      </c>
      <c r="M64" s="80">
        <f t="shared" si="29"/>
        <v>0</v>
      </c>
      <c r="N64" s="80">
        <f t="shared" si="29"/>
        <v>0</v>
      </c>
      <c r="O64" s="80">
        <f t="shared" si="29"/>
        <v>0</v>
      </c>
      <c r="P64" s="80">
        <f t="shared" si="29"/>
        <v>152112.96040000001</v>
      </c>
      <c r="Q64" s="80">
        <f t="shared" si="29"/>
        <v>79088.3866666666</v>
      </c>
      <c r="R64" s="765">
        <f t="shared" si="29"/>
        <v>231201.34706666699</v>
      </c>
      <c r="S64" s="80">
        <v>1698340.3825053801</v>
      </c>
      <c r="T64" s="80">
        <f>SUM(T62:T63)</f>
        <v>887403.48626666598</v>
      </c>
    </row>
    <row r="65" spans="1:20" ht="20.100000000000001" customHeight="1">
      <c r="A65" s="3"/>
      <c r="B65" s="21"/>
      <c r="C65" s="25"/>
      <c r="D65" s="14"/>
      <c r="E65" s="134"/>
      <c r="F65" s="134"/>
      <c r="G65" s="202"/>
      <c r="H65" s="202"/>
      <c r="I65" s="134"/>
      <c r="J65" s="764"/>
      <c r="K65" s="134"/>
      <c r="L65" s="134"/>
      <c r="M65" s="134"/>
      <c r="N65" s="134"/>
      <c r="O65" s="134"/>
      <c r="P65" s="134"/>
      <c r="Q65" s="134"/>
      <c r="R65" s="764"/>
      <c r="S65" s="134"/>
      <c r="T65" s="769"/>
    </row>
    <row r="66" spans="1:20" ht="20.100000000000001" customHeight="1">
      <c r="A66" s="3"/>
      <c r="B66" s="19" t="s">
        <v>103</v>
      </c>
      <c r="C66" s="11"/>
      <c r="D66" s="14"/>
      <c r="E66" s="72"/>
      <c r="F66" s="72"/>
      <c r="G66" s="202"/>
      <c r="H66" s="202"/>
      <c r="I66" s="72"/>
      <c r="J66" s="761"/>
      <c r="K66" s="72"/>
      <c r="L66" s="72"/>
      <c r="M66" s="72"/>
      <c r="N66" s="72"/>
      <c r="O66" s="72"/>
      <c r="P66" s="72"/>
      <c r="Q66" s="72"/>
      <c r="R66" s="761"/>
      <c r="S66" s="72"/>
      <c r="T66" s="769"/>
    </row>
    <row r="67" spans="1:20" ht="20.100000000000001" customHeight="1">
      <c r="A67" s="3">
        <v>1</v>
      </c>
      <c r="B67" s="757" t="s">
        <v>104</v>
      </c>
      <c r="C67" s="11" t="s">
        <v>105</v>
      </c>
      <c r="D67" s="28" t="s">
        <v>106</v>
      </c>
      <c r="E67" s="72">
        <f>852711.083333333+(24/31*852711.083333333)</f>
        <v>1512874.5026881699</v>
      </c>
      <c r="F67" s="749">
        <v>4500</v>
      </c>
      <c r="G67" s="3"/>
      <c r="H67" s="753">
        <f>90000+(24/31*90000)</f>
        <v>159677.41935483899</v>
      </c>
      <c r="I67" s="72"/>
      <c r="J67" s="761">
        <f>E67+F67+G67+H67+I67</f>
        <v>1677051.9220430099</v>
      </c>
      <c r="K67" s="72"/>
      <c r="L67" s="825"/>
      <c r="M67" s="72"/>
      <c r="N67" s="72">
        <v>41332.5</v>
      </c>
      <c r="O67" s="72"/>
      <c r="P67" s="72">
        <f>139908.96+105971.36-4500</f>
        <v>241380.32</v>
      </c>
      <c r="Q67" s="72">
        <f t="shared" ref="Q67:Q75" si="30">0.08*E67</f>
        <v>121029.960215054</v>
      </c>
      <c r="R67" s="824">
        <f t="shared" ref="R67:R75" si="31">Q67+P67+O67+M67+N67+L67+K67</f>
        <v>403742.78021505399</v>
      </c>
      <c r="S67" s="750">
        <v>416285.66632043</v>
      </c>
      <c r="T67" s="769">
        <f t="shared" ref="T67:T75" si="32">J67-R67</f>
        <v>1273309.14182796</v>
      </c>
    </row>
    <row r="68" spans="1:20" ht="20.100000000000001" customHeight="1">
      <c r="A68" s="3">
        <v>2</v>
      </c>
      <c r="B68" s="745" t="s">
        <v>107</v>
      </c>
      <c r="C68" s="745" t="s">
        <v>25</v>
      </c>
      <c r="D68" s="28" t="s">
        <v>108</v>
      </c>
      <c r="E68" s="72">
        <v>700713.91666666605</v>
      </c>
      <c r="F68" s="751"/>
      <c r="G68" s="3"/>
      <c r="H68" s="751">
        <v>80000</v>
      </c>
      <c r="I68" s="69"/>
      <c r="J68" s="761">
        <f t="shared" ref="J68:J75" si="33">E68+F68+G68+H68+I68</f>
        <v>780713.91666666605</v>
      </c>
      <c r="K68" s="69"/>
      <c r="L68" s="329">
        <v>102000</v>
      </c>
      <c r="M68" s="69"/>
      <c r="N68" s="826"/>
      <c r="O68" s="69"/>
      <c r="P68" s="72">
        <v>112938.2246</v>
      </c>
      <c r="Q68" s="72">
        <f t="shared" si="30"/>
        <v>56057.113333333298</v>
      </c>
      <c r="R68" s="824">
        <f t="shared" si="31"/>
        <v>270995.33793333301</v>
      </c>
      <c r="S68" s="750">
        <v>1279494.2708000001</v>
      </c>
      <c r="T68" s="769">
        <f t="shared" si="32"/>
        <v>509718.57873333298</v>
      </c>
    </row>
    <row r="69" spans="1:20" ht="20.100000000000001" customHeight="1">
      <c r="A69" s="3">
        <v>3</v>
      </c>
      <c r="B69" s="745" t="s">
        <v>109</v>
      </c>
      <c r="C69" s="745" t="s">
        <v>110</v>
      </c>
      <c r="D69" s="28" t="s">
        <v>37</v>
      </c>
      <c r="E69" s="72">
        <v>372145.33333333302</v>
      </c>
      <c r="F69" s="751"/>
      <c r="G69" s="3"/>
      <c r="H69" s="751">
        <v>60000</v>
      </c>
      <c r="I69" s="69"/>
      <c r="J69" s="761">
        <f t="shared" si="33"/>
        <v>432145.33333333302</v>
      </c>
      <c r="K69" s="69"/>
      <c r="L69" s="329"/>
      <c r="M69" s="69"/>
      <c r="N69" s="826"/>
      <c r="O69" s="69"/>
      <c r="P69" s="72">
        <v>54927.267200000002</v>
      </c>
      <c r="Q69" s="72">
        <f t="shared" si="30"/>
        <v>29771.626666666602</v>
      </c>
      <c r="R69" s="824">
        <f t="shared" si="31"/>
        <v>84698.893866666607</v>
      </c>
      <c r="S69" s="750">
        <v>724664.50560000003</v>
      </c>
      <c r="T69" s="769">
        <f t="shared" si="32"/>
        <v>347446.43946666602</v>
      </c>
    </row>
    <row r="70" spans="1:20" ht="20.100000000000001" customHeight="1">
      <c r="A70" s="3">
        <v>4</v>
      </c>
      <c r="B70" s="745" t="s">
        <v>111</v>
      </c>
      <c r="C70" s="745" t="s">
        <v>112</v>
      </c>
      <c r="D70" s="28" t="s">
        <v>55</v>
      </c>
      <c r="E70" s="72">
        <v>330408.08333333302</v>
      </c>
      <c r="F70" s="751"/>
      <c r="G70" s="3"/>
      <c r="H70" s="751">
        <v>60000</v>
      </c>
      <c r="I70" s="69"/>
      <c r="J70" s="761">
        <f t="shared" si="33"/>
        <v>390408.08333333302</v>
      </c>
      <c r="K70" s="69"/>
      <c r="L70" s="329"/>
      <c r="M70" s="69"/>
      <c r="N70" s="751">
        <v>52000</v>
      </c>
      <c r="O70" s="69"/>
      <c r="P70" s="72">
        <v>48015.578600000001</v>
      </c>
      <c r="Q70" s="72">
        <f t="shared" si="30"/>
        <v>26432.646666666598</v>
      </c>
      <c r="R70" s="824">
        <f t="shared" si="31"/>
        <v>126448.225266667</v>
      </c>
      <c r="S70" s="750">
        <v>658352.36279999895</v>
      </c>
      <c r="T70" s="769">
        <f t="shared" si="32"/>
        <v>263959.858066666</v>
      </c>
    </row>
    <row r="71" spans="1:20" ht="20.100000000000001" customHeight="1">
      <c r="A71" s="3">
        <v>5</v>
      </c>
      <c r="B71" s="752" t="s">
        <v>113</v>
      </c>
      <c r="C71" s="745" t="s">
        <v>112</v>
      </c>
      <c r="D71" s="28" t="s">
        <v>55</v>
      </c>
      <c r="E71" s="72">
        <f>330408.083333333</f>
        <v>330408.08333333302</v>
      </c>
      <c r="F71" s="751"/>
      <c r="G71" s="3"/>
      <c r="H71" s="751">
        <f>60000</f>
        <v>60000</v>
      </c>
      <c r="I71" s="69"/>
      <c r="J71" s="761">
        <f t="shared" si="33"/>
        <v>390408.08333333302</v>
      </c>
      <c r="K71" s="69"/>
      <c r="L71" s="329"/>
      <c r="M71" s="69"/>
      <c r="N71" s="826"/>
      <c r="O71" s="69"/>
      <c r="P71" s="72">
        <v>48015.578600000001</v>
      </c>
      <c r="Q71" s="72">
        <f t="shared" si="30"/>
        <v>26432.646666666598</v>
      </c>
      <c r="R71" s="824">
        <f t="shared" si="31"/>
        <v>74448.225266666603</v>
      </c>
      <c r="S71" s="750">
        <v>142041.82971505399</v>
      </c>
      <c r="T71" s="769">
        <f t="shared" si="32"/>
        <v>315959.858066666</v>
      </c>
    </row>
    <row r="72" spans="1:20" ht="20.100000000000001" customHeight="1">
      <c r="A72" s="3">
        <v>6</v>
      </c>
      <c r="B72" s="745" t="s">
        <v>114</v>
      </c>
      <c r="C72" s="745" t="s">
        <v>115</v>
      </c>
      <c r="D72" s="28" t="s">
        <v>116</v>
      </c>
      <c r="E72" s="72">
        <v>287890.91666666698</v>
      </c>
      <c r="F72" s="751"/>
      <c r="G72" s="3"/>
      <c r="H72" s="751">
        <v>50000</v>
      </c>
      <c r="I72" s="69"/>
      <c r="J72" s="761">
        <f t="shared" si="33"/>
        <v>337890.91666666698</v>
      </c>
      <c r="K72" s="69"/>
      <c r="L72" s="751">
        <v>22000</v>
      </c>
      <c r="M72" s="69"/>
      <c r="N72" s="826"/>
      <c r="O72" s="69"/>
      <c r="P72" s="72">
        <v>39174.735800000002</v>
      </c>
      <c r="Q72" s="72">
        <f t="shared" si="30"/>
        <v>23031.2733333334</v>
      </c>
      <c r="R72" s="824">
        <f t="shared" si="31"/>
        <v>84206.009133333398</v>
      </c>
      <c r="S72" s="750">
        <v>574401.08840000106</v>
      </c>
      <c r="T72" s="769">
        <f t="shared" si="32"/>
        <v>253684.90753333399</v>
      </c>
    </row>
    <row r="73" spans="1:20" ht="20.100000000000001" customHeight="1">
      <c r="A73" s="3">
        <v>7</v>
      </c>
      <c r="B73" s="17" t="s">
        <v>117</v>
      </c>
      <c r="C73" s="11" t="s">
        <v>118</v>
      </c>
      <c r="D73" s="14" t="s">
        <v>119</v>
      </c>
      <c r="E73" s="72">
        <v>134912.66666666701</v>
      </c>
      <c r="F73" s="72"/>
      <c r="G73" s="753"/>
      <c r="H73" s="202">
        <v>15000</v>
      </c>
      <c r="I73" s="72">
        <v>7000</v>
      </c>
      <c r="J73" s="761">
        <f t="shared" si="33"/>
        <v>156912.66666666701</v>
      </c>
      <c r="K73" s="72"/>
      <c r="L73" s="658"/>
      <c r="M73" s="658"/>
      <c r="N73" s="658"/>
      <c r="O73" s="3"/>
      <c r="P73" s="658">
        <v>11917.948</v>
      </c>
      <c r="Q73" s="72">
        <f t="shared" si="30"/>
        <v>10793.0133333334</v>
      </c>
      <c r="R73" s="824">
        <f t="shared" si="31"/>
        <v>22710.961333333398</v>
      </c>
      <c r="S73" s="750">
        <v>279196.42400000099</v>
      </c>
      <c r="T73" s="769">
        <f t="shared" si="32"/>
        <v>134201.70533333399</v>
      </c>
    </row>
    <row r="74" spans="1:20" ht="20.100000000000001" customHeight="1">
      <c r="A74" s="3">
        <v>8</v>
      </c>
      <c r="B74" s="17" t="s">
        <v>120</v>
      </c>
      <c r="C74" s="11" t="s">
        <v>121</v>
      </c>
      <c r="D74" s="14" t="s">
        <v>122</v>
      </c>
      <c r="E74" s="72">
        <f>'[2] FGN 2024 MGT Monthly'!$H$33+'[2]Peculiar Allowance'!$H$33</f>
        <v>124124.08333333299</v>
      </c>
      <c r="F74" s="72"/>
      <c r="G74" s="753"/>
      <c r="H74" s="202">
        <v>15000</v>
      </c>
      <c r="I74" s="72">
        <v>7000</v>
      </c>
      <c r="J74" s="761">
        <f t="shared" si="33"/>
        <v>146124.08333333299</v>
      </c>
      <c r="K74" s="72"/>
      <c r="L74" s="658">
        <v>12000</v>
      </c>
      <c r="M74" s="658"/>
      <c r="N74" s="658"/>
      <c r="O74" s="3"/>
      <c r="P74" s="658">
        <v>10429.1234999999</v>
      </c>
      <c r="Q74" s="72">
        <f t="shared" si="30"/>
        <v>9929.9266666666699</v>
      </c>
      <c r="R74" s="824">
        <f t="shared" si="31"/>
        <v>32359.050166666599</v>
      </c>
      <c r="S74" s="750">
        <v>261459.99299999999</v>
      </c>
      <c r="T74" s="769">
        <f t="shared" si="32"/>
        <v>113765.03316666601</v>
      </c>
    </row>
    <row r="75" spans="1:20" ht="20.100000000000001" customHeight="1">
      <c r="A75" s="3">
        <v>9</v>
      </c>
      <c r="B75" s="17" t="s">
        <v>123</v>
      </c>
      <c r="C75" s="11" t="s">
        <v>121</v>
      </c>
      <c r="D75" s="14" t="s">
        <v>122</v>
      </c>
      <c r="E75" s="72">
        <f>'[2] FGN 2024 MGT Monthly'!$H$33+'[2]Peculiar Allowance'!$H$33</f>
        <v>124124.08333333299</v>
      </c>
      <c r="F75" s="72"/>
      <c r="G75" s="202"/>
      <c r="H75" s="202">
        <v>15000</v>
      </c>
      <c r="I75" s="72">
        <v>7000</v>
      </c>
      <c r="J75" s="761">
        <f t="shared" si="33"/>
        <v>146124.08333333299</v>
      </c>
      <c r="K75" s="72"/>
      <c r="L75" s="658">
        <v>12000</v>
      </c>
      <c r="M75" s="658"/>
      <c r="N75" s="658"/>
      <c r="O75" s="3"/>
      <c r="P75" s="658">
        <v>10429.1234999999</v>
      </c>
      <c r="Q75" s="72">
        <f t="shared" si="30"/>
        <v>9929.9266666666699</v>
      </c>
      <c r="R75" s="824">
        <f t="shared" si="31"/>
        <v>32359.050166666599</v>
      </c>
      <c r="S75" s="750">
        <v>261459.99299999999</v>
      </c>
      <c r="T75" s="769">
        <f t="shared" si="32"/>
        <v>113765.03316666601</v>
      </c>
    </row>
    <row r="76" spans="1:20" ht="30.75" customHeight="1">
      <c r="A76" s="26"/>
      <c r="B76" s="7" t="s">
        <v>42</v>
      </c>
      <c r="C76" s="27" t="s">
        <v>124</v>
      </c>
      <c r="D76" s="28"/>
      <c r="E76" s="80">
        <f>SUM(E67:E75)</f>
        <v>3917601.6693548402</v>
      </c>
      <c r="F76" s="80">
        <f t="shared" ref="F76:R76" si="34">SUM(F67:F75)</f>
        <v>4500</v>
      </c>
      <c r="G76" s="80">
        <f t="shared" si="34"/>
        <v>0</v>
      </c>
      <c r="H76" s="80">
        <f t="shared" si="34"/>
        <v>514677.41935483902</v>
      </c>
      <c r="I76" s="80">
        <f t="shared" si="34"/>
        <v>21000</v>
      </c>
      <c r="J76" s="80">
        <f t="shared" si="34"/>
        <v>4457779.0887096701</v>
      </c>
      <c r="K76" s="80">
        <f t="shared" si="34"/>
        <v>0</v>
      </c>
      <c r="L76" s="80">
        <f t="shared" si="34"/>
        <v>148000</v>
      </c>
      <c r="M76" s="80">
        <f t="shared" si="34"/>
        <v>0</v>
      </c>
      <c r="N76" s="80">
        <f t="shared" si="34"/>
        <v>93332.5</v>
      </c>
      <c r="O76" s="80">
        <f t="shared" si="34"/>
        <v>0</v>
      </c>
      <c r="P76" s="80">
        <f t="shared" si="34"/>
        <v>577227.89980000001</v>
      </c>
      <c r="Q76" s="80">
        <f t="shared" si="34"/>
        <v>313408.13354838698</v>
      </c>
      <c r="R76" s="765">
        <f t="shared" si="34"/>
        <v>1131968.5333483899</v>
      </c>
      <c r="S76" s="80">
        <v>4597356.13363548</v>
      </c>
      <c r="T76" s="80">
        <f>SUM(T67:T75)</f>
        <v>3325810.55536129</v>
      </c>
    </row>
    <row r="77" spans="1:20" ht="35.25" customHeight="1">
      <c r="A77" s="3"/>
      <c r="B77" s="29" t="s">
        <v>125</v>
      </c>
      <c r="C77" s="30">
        <f>C76+C64+C59+C52+C48+C40+C33+C28+C14</f>
        <v>45</v>
      </c>
      <c r="D77" s="31"/>
      <c r="E77" s="209">
        <f>E76+E64+E59+E52+E48+E40+E33+E28+E14</f>
        <v>18407745.6693548</v>
      </c>
      <c r="F77" s="209">
        <f t="shared" ref="F77:T77" si="35">F76+F64+F59+F52+F48+F40+F33+F28+F14</f>
        <v>13500</v>
      </c>
      <c r="G77" s="209">
        <f t="shared" si="35"/>
        <v>2510000</v>
      </c>
      <c r="H77" s="209">
        <f t="shared" si="35"/>
        <v>1304677.4193548399</v>
      </c>
      <c r="I77" s="209">
        <f t="shared" si="35"/>
        <v>21000</v>
      </c>
      <c r="J77" s="209">
        <f t="shared" si="35"/>
        <v>22256923.088709701</v>
      </c>
      <c r="K77" s="209">
        <f t="shared" si="35"/>
        <v>0</v>
      </c>
      <c r="L77" s="209">
        <f t="shared" si="35"/>
        <v>384000</v>
      </c>
      <c r="M77" s="209">
        <f t="shared" si="35"/>
        <v>0</v>
      </c>
      <c r="N77" s="209">
        <f t="shared" si="35"/>
        <v>115332.5</v>
      </c>
      <c r="O77" s="209">
        <f t="shared" si="35"/>
        <v>0</v>
      </c>
      <c r="P77" s="209">
        <f t="shared" si="35"/>
        <v>2935966.4412709698</v>
      </c>
      <c r="Q77" s="209">
        <f t="shared" si="35"/>
        <v>1472619.6535483899</v>
      </c>
      <c r="R77" s="209">
        <f t="shared" si="35"/>
        <v>4907918.5948193502</v>
      </c>
      <c r="S77" s="209">
        <f t="shared" si="35"/>
        <v>27779512.290672701</v>
      </c>
      <c r="T77" s="209">
        <f t="shared" si="35"/>
        <v>17349004.4938903</v>
      </c>
    </row>
    <row r="78" spans="1:20" ht="35.25" customHeight="1">
      <c r="A78" s="2"/>
      <c r="B78" s="754"/>
      <c r="C78" s="755"/>
      <c r="D78" s="210"/>
      <c r="E78" s="756"/>
      <c r="F78" s="756"/>
      <c r="G78" s="756"/>
      <c r="H78" s="756"/>
      <c r="I78" s="770"/>
      <c r="J78" s="756"/>
      <c r="K78" s="756"/>
      <c r="L78" s="756"/>
      <c r="M78" s="756"/>
      <c r="N78" s="756"/>
      <c r="O78" s="756"/>
      <c r="P78" s="756"/>
      <c r="Q78" s="756"/>
      <c r="R78" s="756"/>
      <c r="S78" s="770"/>
      <c r="T78" s="770"/>
    </row>
    <row r="79" spans="1:20" ht="36.75" customHeight="1">
      <c r="A79" s="2"/>
      <c r="B79" s="32"/>
      <c r="C79" s="33"/>
      <c r="D79" s="33"/>
      <c r="E79" s="33"/>
      <c r="F79" s="33"/>
      <c r="G79" s="210"/>
      <c r="H79" s="210"/>
      <c r="J79" s="827" t="s">
        <v>126</v>
      </c>
      <c r="K79" s="210"/>
      <c r="L79" s="210"/>
      <c r="M79" s="210"/>
      <c r="N79" s="210"/>
      <c r="O79" s="210"/>
      <c r="P79" s="211"/>
      <c r="Q79" s="211"/>
      <c r="R79" s="211"/>
      <c r="S79" s="829"/>
      <c r="T79" s="34"/>
    </row>
    <row r="80" spans="1:20" ht="20.100000000000001" customHeight="1">
      <c r="R80" s="34"/>
      <c r="S80" s="34"/>
      <c r="T80" s="315"/>
    </row>
    <row r="81" spans="10:20" ht="20.100000000000001" customHeight="1">
      <c r="T81" s="34"/>
    </row>
    <row r="82" spans="10:20" ht="20.100000000000001" customHeight="1">
      <c r="J82" s="828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60" orientation="landscape" horizontalDpi="1200" verticalDpi="1200" r:id="rId1"/>
  <headerFooter alignWithMargins="0"/>
  <rowBreaks count="2" manualBreakCount="2">
    <brk id="34" max="19" man="1"/>
    <brk id="52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6"/>
  <sheetViews>
    <sheetView topLeftCell="A41" zoomScale="91" zoomScaleNormal="91" workbookViewId="0">
      <selection activeCell="G58" sqref="G58"/>
    </sheetView>
  </sheetViews>
  <sheetFormatPr defaultColWidth="9" defaultRowHeight="12.75"/>
  <cols>
    <col min="1" max="1" width="10.7109375" customWidth="1"/>
    <col min="2" max="2" width="32.42578125" customWidth="1"/>
    <col min="3" max="3" width="16.5703125" customWidth="1"/>
    <col min="4" max="4" width="24.7109375" customWidth="1"/>
    <col min="5" max="5" width="21.42578125" customWidth="1"/>
    <col min="6" max="6" width="21.7109375" customWidth="1"/>
    <col min="7" max="7" width="27.42578125" customWidth="1"/>
    <col min="8" max="8" width="18.140625" customWidth="1"/>
    <col min="9" max="9" width="17" customWidth="1"/>
    <col min="10" max="10" width="13.85546875" customWidth="1"/>
    <col min="11" max="11" width="11" customWidth="1"/>
    <col min="12" max="12" width="15.28515625" customWidth="1"/>
    <col min="13" max="13" width="16.85546875" customWidth="1"/>
    <col min="14" max="14" width="13.7109375" customWidth="1"/>
    <col min="15" max="15" width="19.28515625" customWidth="1"/>
  </cols>
  <sheetData>
    <row r="1" spans="1:6" ht="39" customHeight="1">
      <c r="B1" s="792"/>
      <c r="C1" s="792"/>
      <c r="D1" s="792"/>
      <c r="E1" s="792"/>
      <c r="F1" s="792"/>
    </row>
    <row r="2" spans="1:6" ht="29.25" customHeight="1">
      <c r="A2" s="839" t="s">
        <v>0</v>
      </c>
      <c r="B2" s="839"/>
      <c r="C2" s="839"/>
      <c r="D2" s="839"/>
      <c r="E2" s="839"/>
      <c r="F2" s="839"/>
    </row>
    <row r="3" spans="1:6" ht="27" customHeight="1">
      <c r="A3" s="839" t="s">
        <v>127</v>
      </c>
      <c r="B3" s="839"/>
      <c r="C3" s="839"/>
      <c r="D3" s="839"/>
      <c r="E3" s="839"/>
      <c r="F3" s="839"/>
    </row>
    <row r="4" spans="1:6" ht="15.6" hidden="1" customHeight="1">
      <c r="A4" s="793" t="s">
        <v>128</v>
      </c>
      <c r="B4" s="793"/>
      <c r="C4" s="793"/>
      <c r="D4" s="793"/>
      <c r="E4" s="730"/>
      <c r="F4" s="730"/>
    </row>
    <row r="5" spans="1:6" ht="9.6" hidden="1" customHeight="1">
      <c r="A5" s="840" t="s">
        <v>129</v>
      </c>
      <c r="B5" s="840"/>
      <c r="C5" s="840"/>
      <c r="D5" s="840"/>
      <c r="E5" s="730"/>
      <c r="F5" s="730"/>
    </row>
    <row r="6" spans="1:6" ht="29.25" hidden="1" customHeight="1">
      <c r="A6" s="840" t="s">
        <v>130</v>
      </c>
      <c r="B6" s="840"/>
      <c r="C6" s="840"/>
      <c r="D6" s="840"/>
      <c r="E6" s="730"/>
      <c r="F6" s="730"/>
    </row>
    <row r="7" spans="1:6" ht="25.15" hidden="1" customHeight="1">
      <c r="A7" s="840" t="s">
        <v>131</v>
      </c>
      <c r="B7" s="840"/>
      <c r="C7" s="840"/>
      <c r="D7" s="840"/>
      <c r="E7" s="730"/>
      <c r="F7" s="730"/>
    </row>
    <row r="8" spans="1:6" ht="24.75" hidden="1" customHeight="1">
      <c r="A8" s="730"/>
      <c r="B8" s="730"/>
      <c r="C8" s="730"/>
      <c r="D8" s="730"/>
      <c r="E8" s="730"/>
      <c r="F8" s="730"/>
    </row>
    <row r="9" spans="1:6" ht="24" hidden="1" customHeight="1">
      <c r="A9" s="841" t="s">
        <v>132</v>
      </c>
      <c r="B9" s="841"/>
      <c r="C9" s="841"/>
      <c r="D9" s="841"/>
      <c r="E9" s="730"/>
      <c r="F9" s="730"/>
    </row>
    <row r="10" spans="1:6" ht="13.15" hidden="1" customHeight="1">
      <c r="A10" s="840" t="s">
        <v>133</v>
      </c>
      <c r="B10" s="840"/>
      <c r="C10" s="840"/>
      <c r="D10" s="840"/>
      <c r="E10" s="840"/>
      <c r="F10" s="840"/>
    </row>
    <row r="11" spans="1:6" ht="18" hidden="1" customHeight="1">
      <c r="A11" s="794"/>
      <c r="B11" s="730"/>
      <c r="C11" s="730"/>
      <c r="D11" s="730"/>
      <c r="E11" s="730"/>
      <c r="F11" s="730"/>
    </row>
    <row r="12" spans="1:6" ht="18.75" hidden="1" customHeight="1">
      <c r="A12" s="794"/>
      <c r="B12" s="730"/>
      <c r="C12" s="730"/>
      <c r="D12" s="730"/>
      <c r="E12" s="730"/>
      <c r="F12" s="730"/>
    </row>
    <row r="13" spans="1:6" ht="19.5" customHeight="1">
      <c r="A13" s="161" t="s">
        <v>134</v>
      </c>
      <c r="B13" s="161" t="s">
        <v>135</v>
      </c>
      <c r="D13" s="161"/>
      <c r="E13" s="795"/>
      <c r="F13" s="730"/>
    </row>
    <row r="14" spans="1:6" ht="20.25" customHeight="1">
      <c r="A14" s="161" t="s">
        <v>136</v>
      </c>
      <c r="B14" s="161" t="s">
        <v>137</v>
      </c>
      <c r="D14" s="161"/>
      <c r="E14" s="45"/>
      <c r="F14" s="730"/>
    </row>
    <row r="15" spans="1:6" ht="21" customHeight="1">
      <c r="A15" s="161" t="s">
        <v>138</v>
      </c>
      <c r="B15" s="161" t="s">
        <v>139</v>
      </c>
      <c r="D15" s="161"/>
      <c r="E15" s="45"/>
      <c r="F15" s="730"/>
    </row>
    <row r="16" spans="1:6" ht="21" customHeight="1">
      <c r="A16" s="161" t="s">
        <v>140</v>
      </c>
      <c r="B16" s="161" t="s">
        <v>141</v>
      </c>
      <c r="D16" s="161"/>
      <c r="E16" s="795"/>
      <c r="F16" s="730"/>
    </row>
    <row r="17" spans="1:8" ht="14.25" customHeight="1">
      <c r="A17" s="45"/>
      <c r="B17" s="45"/>
      <c r="C17" s="45"/>
      <c r="D17" s="45"/>
      <c r="E17" s="795"/>
      <c r="F17" s="730"/>
    </row>
    <row r="18" spans="1:8" ht="24" customHeight="1">
      <c r="A18" s="240" t="s">
        <v>142</v>
      </c>
      <c r="B18" s="240"/>
      <c r="C18" s="796"/>
      <c r="D18" s="796"/>
      <c r="E18" s="795"/>
      <c r="F18" s="730"/>
    </row>
    <row r="19" spans="1:8" ht="30.75" customHeight="1">
      <c r="A19" s="45" t="s">
        <v>143</v>
      </c>
      <c r="B19" s="45"/>
      <c r="C19" s="795"/>
      <c r="D19" s="795"/>
      <c r="E19" s="609" t="s">
        <v>144</v>
      </c>
      <c r="F19" s="609" t="s">
        <v>144</v>
      </c>
    </row>
    <row r="20" spans="1:8" ht="21" customHeight="1">
      <c r="A20" s="842" t="s">
        <v>145</v>
      </c>
      <c r="B20" s="842"/>
      <c r="C20" s="842"/>
      <c r="D20" s="842"/>
      <c r="E20" s="842"/>
      <c r="F20" s="798">
        <f>'FEB NEW PERM'!J77</f>
        <v>22256923.088709701</v>
      </c>
      <c r="H20" s="389"/>
    </row>
    <row r="21" spans="1:8" ht="6.75" customHeight="1">
      <c r="A21" s="797"/>
      <c r="B21" s="797"/>
      <c r="C21" s="797"/>
      <c r="D21" s="797"/>
      <c r="E21" s="797"/>
      <c r="F21" s="798"/>
      <c r="H21" s="389"/>
    </row>
    <row r="22" spans="1:8" ht="21.75" customHeight="1">
      <c r="A22" s="843" t="s">
        <v>146</v>
      </c>
      <c r="B22" s="843"/>
      <c r="C22" s="843"/>
      <c r="D22" s="843"/>
      <c r="E22" s="799"/>
      <c r="F22" s="45"/>
      <c r="G22" s="389"/>
    </row>
    <row r="23" spans="1:8" ht="18.75" customHeight="1">
      <c r="A23" s="844" t="s">
        <v>147</v>
      </c>
      <c r="B23" s="844"/>
      <c r="C23" s="844"/>
      <c r="D23" s="844"/>
      <c r="E23" s="145">
        <f>'FEB NEW PERM'!L77+'FEB NEW PERM'!M77</f>
        <v>384000</v>
      </c>
      <c r="F23" s="45"/>
      <c r="H23" s="389"/>
    </row>
    <row r="24" spans="1:8" ht="19.5" customHeight="1">
      <c r="A24" s="844" t="s">
        <v>148</v>
      </c>
      <c r="B24" s="844"/>
      <c r="C24" s="844"/>
      <c r="D24" s="844"/>
      <c r="E24" s="145">
        <f>'FEB NEW PERM'!N77</f>
        <v>115332.5</v>
      </c>
      <c r="F24" s="45"/>
    </row>
    <row r="25" spans="1:8" ht="20.25" customHeight="1">
      <c r="A25" s="845" t="s">
        <v>149</v>
      </c>
      <c r="B25" s="845"/>
      <c r="C25" s="845"/>
      <c r="D25" s="845"/>
      <c r="E25" s="145">
        <f>'FEB NEW PERM'!O77</f>
        <v>0</v>
      </c>
      <c r="F25" s="45"/>
    </row>
    <row r="26" spans="1:8" ht="20.25" customHeight="1">
      <c r="A26" s="844" t="s">
        <v>150</v>
      </c>
      <c r="B26" s="844"/>
      <c r="C26" s="844"/>
      <c r="D26" s="844"/>
      <c r="E26" s="145">
        <f>'FEB NEW PERM'!P77</f>
        <v>2935966.4412709698</v>
      </c>
      <c r="F26" s="45"/>
    </row>
    <row r="27" spans="1:8" ht="21" customHeight="1">
      <c r="A27" s="844" t="s">
        <v>151</v>
      </c>
      <c r="B27" s="844"/>
      <c r="C27" s="844"/>
      <c r="D27" s="844"/>
      <c r="E27" s="802">
        <f>'FEB NEW PERM'!Q77</f>
        <v>1472619.6535483899</v>
      </c>
      <c r="F27" s="45"/>
    </row>
    <row r="28" spans="1:8" ht="28.5" customHeight="1">
      <c r="A28" s="844" t="s">
        <v>152</v>
      </c>
      <c r="B28" s="844"/>
      <c r="C28" s="844"/>
      <c r="D28" s="844"/>
      <c r="E28" s="145"/>
      <c r="F28" s="803">
        <f>E23+E24+E25+E26+E27</f>
        <v>4907918.5948193502</v>
      </c>
      <c r="G28" s="391"/>
    </row>
    <row r="29" spans="1:8" ht="20.25" customHeight="1">
      <c r="A29" s="844" t="s">
        <v>153</v>
      </c>
      <c r="B29" s="844"/>
      <c r="C29" s="844"/>
      <c r="D29" s="844"/>
      <c r="E29" s="240"/>
      <c r="F29" s="804">
        <f>F20-F28</f>
        <v>17349004.4938903</v>
      </c>
      <c r="G29" s="193"/>
    </row>
    <row r="30" spans="1:8" ht="21" customHeight="1">
      <c r="A30" s="800" t="s">
        <v>154</v>
      </c>
      <c r="B30" s="800"/>
      <c r="C30" s="800"/>
      <c r="D30" s="800"/>
      <c r="E30" s="800"/>
      <c r="F30" s="805">
        <f>'FEB NEW PERM'!S77</f>
        <v>27779512.290672701</v>
      </c>
      <c r="G30" s="240"/>
    </row>
    <row r="31" spans="1:8" ht="21" customHeight="1">
      <c r="A31" s="800" t="s">
        <v>155</v>
      </c>
      <c r="B31" s="800"/>
      <c r="C31" s="800"/>
      <c r="D31" s="800"/>
      <c r="E31" s="800"/>
      <c r="F31" s="806">
        <f>F29-F30</f>
        <v>-10430507.7967824</v>
      </c>
      <c r="G31" s="240"/>
    </row>
    <row r="32" spans="1:8" ht="11.1" customHeight="1">
      <c r="A32" s="800"/>
      <c r="B32" s="800"/>
      <c r="C32" s="800"/>
      <c r="D32" s="800"/>
      <c r="E32" s="240"/>
      <c r="F32" s="807"/>
      <c r="G32" s="193"/>
    </row>
    <row r="33" spans="1:15" ht="20.25" customHeight="1">
      <c r="A33" s="842" t="s">
        <v>156</v>
      </c>
      <c r="B33" s="842"/>
      <c r="C33" s="842"/>
      <c r="D33" s="842"/>
      <c r="E33" s="842"/>
      <c r="F33" s="808"/>
      <c r="G33" s="193"/>
    </row>
    <row r="34" spans="1:15" ht="21.75" customHeight="1">
      <c r="A34" s="800" t="s">
        <v>157</v>
      </c>
      <c r="B34" s="800"/>
      <c r="C34" s="800"/>
      <c r="D34" s="800"/>
      <c r="E34" s="800"/>
      <c r="F34" s="809">
        <f>384000</f>
        <v>384000</v>
      </c>
      <c r="G34" s="800"/>
      <c r="I34" s="387"/>
      <c r="J34" s="391"/>
    </row>
    <row r="35" spans="1:15" ht="21.75" customHeight="1">
      <c r="A35" s="800" t="s">
        <v>158</v>
      </c>
      <c r="B35" s="800"/>
      <c r="C35" s="800"/>
      <c r="D35" s="800"/>
      <c r="E35" s="800"/>
      <c r="F35" s="809">
        <v>115332.5</v>
      </c>
      <c r="G35" s="800"/>
      <c r="I35" s="387"/>
      <c r="J35" s="391"/>
    </row>
    <row r="36" spans="1:15" ht="21.75" customHeight="1">
      <c r="A36" s="800" t="s">
        <v>159</v>
      </c>
      <c r="B36" s="800"/>
      <c r="C36" s="800"/>
      <c r="D36" s="800"/>
      <c r="E36" s="800"/>
      <c r="F36" s="809">
        <v>-27000</v>
      </c>
      <c r="G36" s="800"/>
      <c r="I36" s="387"/>
      <c r="J36" s="391"/>
    </row>
    <row r="37" spans="1:15" ht="21.75" customHeight="1">
      <c r="A37" s="800" t="s">
        <v>160</v>
      </c>
      <c r="B37" s="800"/>
      <c r="C37" s="800"/>
      <c r="D37" s="800"/>
      <c r="E37" s="800"/>
      <c r="F37" s="809">
        <v>-674812.4</v>
      </c>
      <c r="G37" s="800"/>
      <c r="I37" s="387"/>
      <c r="J37" s="391"/>
    </row>
    <row r="38" spans="1:15" ht="21.75" customHeight="1">
      <c r="A38" s="800" t="s">
        <v>161</v>
      </c>
      <c r="B38" s="800"/>
      <c r="C38" s="800"/>
      <c r="D38" s="800"/>
      <c r="E38" s="800"/>
      <c r="F38" s="809">
        <v>13600243.939999999</v>
      </c>
      <c r="G38" s="800"/>
      <c r="I38" s="391"/>
      <c r="J38" s="391"/>
    </row>
    <row r="39" spans="1:15" ht="21.75" customHeight="1">
      <c r="A39" s="800" t="s">
        <v>162</v>
      </c>
      <c r="B39" s="800"/>
      <c r="C39" s="800"/>
      <c r="D39" s="800"/>
      <c r="E39" s="800"/>
      <c r="F39" s="809">
        <v>-894610.74</v>
      </c>
      <c r="G39" s="800"/>
      <c r="I39" s="391"/>
      <c r="J39" s="391"/>
    </row>
    <row r="40" spans="1:15" ht="21.75" customHeight="1">
      <c r="A40" s="800" t="s">
        <v>163</v>
      </c>
      <c r="B40" s="800"/>
      <c r="C40" s="800"/>
      <c r="D40" s="800"/>
      <c r="E40" s="800"/>
      <c r="F40" s="809">
        <v>-1183289.53</v>
      </c>
      <c r="G40" s="800"/>
      <c r="I40" s="391"/>
      <c r="J40" s="391"/>
    </row>
    <row r="41" spans="1:15" ht="21.75" customHeight="1">
      <c r="A41" s="800" t="s">
        <v>164</v>
      </c>
      <c r="B41" s="800"/>
      <c r="C41" s="800"/>
      <c r="D41" s="800"/>
      <c r="E41" s="800"/>
      <c r="F41" s="810">
        <f>-845825.94-43530.03</f>
        <v>-889355.97</v>
      </c>
      <c r="G41" s="800"/>
      <c r="I41" s="391"/>
      <c r="J41" s="391"/>
    </row>
    <row r="42" spans="1:15" ht="18.95" customHeight="1">
      <c r="A42" s="800"/>
      <c r="B42" s="800"/>
      <c r="C42" s="800"/>
      <c r="D42" s="800"/>
      <c r="E42" s="800"/>
      <c r="F42" s="811">
        <f>SUM(F33:F41)</f>
        <v>10430507.800000001</v>
      </c>
      <c r="G42" s="391"/>
      <c r="H42" s="387"/>
      <c r="I42" s="389"/>
      <c r="J42" s="387"/>
      <c r="K42" s="387"/>
      <c r="L42" s="389"/>
      <c r="N42" s="820"/>
      <c r="O42" s="389"/>
    </row>
    <row r="43" spans="1:15" ht="9.6" customHeight="1">
      <c r="A43" s="800"/>
      <c r="B43" s="800"/>
      <c r="C43" s="800"/>
      <c r="D43" s="800"/>
      <c r="E43" s="800"/>
      <c r="F43" s="812"/>
      <c r="G43" s="391"/>
      <c r="H43" s="387"/>
      <c r="I43" s="389"/>
      <c r="J43" s="387"/>
      <c r="K43" s="387"/>
      <c r="L43" s="389"/>
      <c r="N43" s="820"/>
      <c r="O43" s="389"/>
    </row>
    <row r="44" spans="1:15" ht="9.6" customHeight="1">
      <c r="A44" s="800"/>
      <c r="B44" s="800"/>
      <c r="C44" s="800"/>
      <c r="D44" s="800"/>
      <c r="E44" s="800"/>
      <c r="F44" s="812"/>
      <c r="G44" s="391"/>
      <c r="H44" s="387"/>
      <c r="I44" s="389"/>
      <c r="J44" s="387"/>
      <c r="K44" s="387"/>
      <c r="L44" s="389"/>
      <c r="N44" s="820"/>
      <c r="O44" s="389"/>
    </row>
    <row r="45" spans="1:15" ht="28.5" customHeight="1">
      <c r="A45" s="45"/>
      <c r="B45" s="45"/>
      <c r="C45" s="846" t="s">
        <v>165</v>
      </c>
      <c r="D45" s="846"/>
      <c r="E45" s="846" t="s">
        <v>166</v>
      </c>
      <c r="F45" s="846"/>
      <c r="G45" s="391"/>
      <c r="H45" s="391"/>
      <c r="I45" s="389"/>
    </row>
    <row r="46" spans="1:15" ht="18.600000000000001" customHeight="1">
      <c r="A46" s="42"/>
      <c r="B46" s="42"/>
      <c r="C46" s="57" t="s">
        <v>167</v>
      </c>
      <c r="D46" s="813" t="s">
        <v>20</v>
      </c>
      <c r="E46" s="57" t="s">
        <v>167</v>
      </c>
      <c r="F46" s="813" t="s">
        <v>20</v>
      </c>
      <c r="G46" s="391"/>
      <c r="H46" s="391"/>
    </row>
    <row r="47" spans="1:15" ht="28.5" customHeight="1">
      <c r="A47" s="47">
        <v>1</v>
      </c>
      <c r="B47" s="814" t="s">
        <v>168</v>
      </c>
      <c r="C47" s="47">
        <v>7</v>
      </c>
      <c r="D47" s="49">
        <v>6184293.6151999999</v>
      </c>
      <c r="E47" s="47">
        <f>'FEB NEW PERM'!C14</f>
        <v>7</v>
      </c>
      <c r="F47" s="49">
        <f>'FEB NEW PERM'!T14</f>
        <v>2816101.1475999998</v>
      </c>
      <c r="G47" s="391"/>
      <c r="H47" s="391"/>
    </row>
    <row r="48" spans="1:15" ht="24.75" customHeight="1">
      <c r="A48" s="47">
        <v>2</v>
      </c>
      <c r="B48" s="46" t="s">
        <v>169</v>
      </c>
      <c r="C48" s="47">
        <v>11</v>
      </c>
      <c r="D48" s="49">
        <v>8092148.2037559096</v>
      </c>
      <c r="E48" s="47">
        <f>'FEB NEW PERM'!C28</f>
        <v>11</v>
      </c>
      <c r="F48" s="49">
        <f>'FEB NEW PERM'!T28</f>
        <v>4131369.6575333299</v>
      </c>
      <c r="G48" s="391"/>
      <c r="H48" s="391"/>
    </row>
    <row r="49" spans="1:12" ht="24" customHeight="1">
      <c r="A49" s="47">
        <v>3</v>
      </c>
      <c r="B49" s="46" t="s">
        <v>170</v>
      </c>
      <c r="C49" s="47">
        <v>2</v>
      </c>
      <c r="D49" s="49">
        <v>1522345.9006580601</v>
      </c>
      <c r="E49" s="47">
        <f>'FEB NEW PERM'!C33</f>
        <v>2</v>
      </c>
      <c r="F49" s="49">
        <f>'FEB NEW PERM'!T33</f>
        <v>733370.81366236496</v>
      </c>
      <c r="G49" s="391"/>
      <c r="H49" s="391"/>
    </row>
    <row r="50" spans="1:12" ht="21" customHeight="1">
      <c r="A50" s="47">
        <v>4</v>
      </c>
      <c r="B50" s="46" t="s">
        <v>171</v>
      </c>
      <c r="C50" s="47">
        <v>4</v>
      </c>
      <c r="D50" s="49">
        <v>3049990.4672709699</v>
      </c>
      <c r="E50" s="47">
        <f>'FEB NEW PERM'!C40</f>
        <v>4</v>
      </c>
      <c r="F50" s="49">
        <f>'FEB NEW PERM'!T40</f>
        <v>1509787.7091999999</v>
      </c>
      <c r="G50" s="391"/>
      <c r="H50" s="391"/>
    </row>
    <row r="51" spans="1:12" ht="23.25" customHeight="1">
      <c r="A51" s="47">
        <v>5</v>
      </c>
      <c r="B51" s="46" t="s">
        <v>172</v>
      </c>
      <c r="C51" s="47">
        <v>4</v>
      </c>
      <c r="D51" s="49">
        <v>2060636.49924695</v>
      </c>
      <c r="E51" s="47">
        <f>'FEB NEW PERM'!C48</f>
        <v>5</v>
      </c>
      <c r="F51" s="49">
        <f>'FEB NEW PERM'!T48</f>
        <v>2486186.6855333298</v>
      </c>
      <c r="G51" s="391"/>
      <c r="H51" s="391"/>
    </row>
    <row r="52" spans="1:12" ht="25.5" customHeight="1">
      <c r="A52" s="47">
        <v>6</v>
      </c>
      <c r="B52" s="46" t="s">
        <v>173</v>
      </c>
      <c r="C52" s="47">
        <v>1</v>
      </c>
      <c r="D52" s="49">
        <v>574401.08840000001</v>
      </c>
      <c r="E52" s="47">
        <f>'FEB NEW PERM'!C52</f>
        <v>1</v>
      </c>
      <c r="F52" s="49">
        <f>'FEB NEW PERM'!T52</f>
        <v>275684.90753333399</v>
      </c>
      <c r="G52" s="391"/>
      <c r="H52" s="391"/>
    </row>
    <row r="53" spans="1:12" ht="25.5" customHeight="1">
      <c r="A53" s="47">
        <v>7</v>
      </c>
      <c r="B53" s="46" t="s">
        <v>174</v>
      </c>
      <c r="C53" s="47">
        <v>0</v>
      </c>
      <c r="D53" s="49">
        <v>0</v>
      </c>
      <c r="E53" s="47">
        <v>4</v>
      </c>
      <c r="F53" s="49">
        <f>'FEB NEW PERM'!T59</f>
        <v>1183289.5312000001</v>
      </c>
      <c r="G53" s="391"/>
      <c r="H53" s="391"/>
    </row>
    <row r="54" spans="1:12" ht="24.75" customHeight="1">
      <c r="A54" s="47">
        <v>8</v>
      </c>
      <c r="B54" s="46" t="s">
        <v>175</v>
      </c>
      <c r="C54" s="815" t="s">
        <v>102</v>
      </c>
      <c r="D54" s="49">
        <v>1698340.3825053801</v>
      </c>
      <c r="E54" s="815" t="str">
        <f>'FEB NEW PERM'!C64</f>
        <v>2</v>
      </c>
      <c r="F54" s="49">
        <f>'FEB NEW PERM'!T64</f>
        <v>887403.48626666598</v>
      </c>
      <c r="G54" s="391"/>
      <c r="H54" s="391"/>
    </row>
    <row r="55" spans="1:12" ht="24.75" customHeight="1">
      <c r="A55" s="47">
        <v>9</v>
      </c>
      <c r="B55" s="46" t="s">
        <v>176</v>
      </c>
      <c r="C55" s="815" t="s">
        <v>124</v>
      </c>
      <c r="D55" s="49">
        <v>4597356.13363548</v>
      </c>
      <c r="E55" s="815" t="str">
        <f>'FEB NEW PERM'!C76</f>
        <v>9</v>
      </c>
      <c r="F55" s="49">
        <f>'FEB NEW PERM'!T76</f>
        <v>3325810.55536129</v>
      </c>
      <c r="G55" s="391"/>
      <c r="H55" s="391"/>
    </row>
    <row r="56" spans="1:12" ht="24" customHeight="1">
      <c r="A56" s="42"/>
      <c r="B56" s="816"/>
      <c r="C56" s="57">
        <v>40</v>
      </c>
      <c r="D56" s="669">
        <f>SUM(D47:D55)</f>
        <v>27779512.290672801</v>
      </c>
      <c r="E56" s="57">
        <v>45</v>
      </c>
      <c r="F56" s="51">
        <f>SUM(F47:F55)</f>
        <v>17349004.4938903</v>
      </c>
      <c r="G56" s="391"/>
      <c r="H56" s="391"/>
    </row>
    <row r="57" spans="1:12" ht="0.75" customHeight="1">
      <c r="A57" s="45"/>
      <c r="B57" s="45"/>
      <c r="C57" s="45"/>
      <c r="D57" s="45"/>
      <c r="E57" s="40"/>
      <c r="F57" s="817"/>
      <c r="G57" s="391"/>
      <c r="H57" s="391"/>
    </row>
    <row r="58" spans="1:12" ht="69" customHeight="1">
      <c r="A58" s="847" t="s">
        <v>177</v>
      </c>
      <c r="B58" s="847"/>
      <c r="C58" s="847"/>
      <c r="D58" s="847"/>
      <c r="E58" s="847"/>
      <c r="F58" s="847"/>
      <c r="G58" s="818"/>
      <c r="H58" s="819"/>
      <c r="I58" s="819"/>
      <c r="J58" s="818"/>
      <c r="K58" s="818"/>
      <c r="L58" s="818"/>
    </row>
    <row r="59" spans="1:12" ht="4.5" customHeight="1">
      <c r="A59" s="801"/>
      <c r="B59" s="801"/>
      <c r="C59" s="801"/>
      <c r="D59" s="801"/>
      <c r="E59" s="801"/>
      <c r="F59" s="801"/>
      <c r="G59" s="818"/>
      <c r="H59" s="818"/>
      <c r="I59" s="818"/>
      <c r="J59" s="818"/>
      <c r="K59" s="818"/>
      <c r="L59" s="818"/>
    </row>
    <row r="60" spans="1:12" ht="2.25" hidden="1" customHeight="1">
      <c r="A60" s="801"/>
      <c r="B60" s="801"/>
      <c r="C60" s="801"/>
      <c r="D60" s="801"/>
      <c r="E60" s="801"/>
      <c r="F60" s="801"/>
      <c r="G60" s="818"/>
      <c r="H60" s="818"/>
      <c r="I60" s="818"/>
      <c r="J60" s="818"/>
      <c r="K60" s="818"/>
      <c r="L60" s="818"/>
    </row>
    <row r="61" spans="1:12" ht="49.5" customHeight="1">
      <c r="E61" s="45"/>
      <c r="F61" s="45"/>
    </row>
    <row r="62" spans="1:12" ht="17.25" customHeight="1">
      <c r="A62" s="842" t="s">
        <v>178</v>
      </c>
      <c r="B62" s="842"/>
      <c r="C62" s="842"/>
      <c r="D62" s="842"/>
      <c r="E62" s="45"/>
      <c r="F62" s="45"/>
      <c r="G62" s="193"/>
      <c r="I62" s="387"/>
    </row>
    <row r="63" spans="1:12">
      <c r="A63" s="246"/>
      <c r="B63" s="246"/>
      <c r="C63" s="246"/>
      <c r="D63" s="246" t="s">
        <v>179</v>
      </c>
      <c r="E63" s="246"/>
      <c r="F63" s="246"/>
      <c r="G63" s="193"/>
      <c r="I63" s="387"/>
    </row>
    <row r="64" spans="1:12">
      <c r="I64" s="387"/>
    </row>
    <row r="65" spans="3:9">
      <c r="I65" s="387"/>
    </row>
    <row r="68" spans="3:9">
      <c r="C68" t="s">
        <v>180</v>
      </c>
    </row>
    <row r="166" spans="3:3">
      <c r="C166">
        <f>10000</f>
        <v>10000</v>
      </c>
    </row>
  </sheetData>
  <mergeCells count="21">
    <mergeCell ref="A62:D62"/>
    <mergeCell ref="A29:D29"/>
    <mergeCell ref="A33:E33"/>
    <mergeCell ref="C45:D45"/>
    <mergeCell ref="E45:F45"/>
    <mergeCell ref="A58:F58"/>
    <mergeCell ref="A24:D24"/>
    <mergeCell ref="A25:D25"/>
    <mergeCell ref="A26:D26"/>
    <mergeCell ref="A27:D27"/>
    <mergeCell ref="A28:D28"/>
    <mergeCell ref="A9:D9"/>
    <mergeCell ref="A10:F10"/>
    <mergeCell ref="A20:E20"/>
    <mergeCell ref="A22:D22"/>
    <mergeCell ref="A23:D23"/>
    <mergeCell ref="A2:F2"/>
    <mergeCell ref="A3:F3"/>
    <mergeCell ref="A5:D5"/>
    <mergeCell ref="A6:D6"/>
    <mergeCell ref="A7:D7"/>
  </mergeCells>
  <pageMargins left="0.45" right="0" top="0" bottom="0" header="0" footer="0"/>
  <pageSetup paperSize="9" scale="6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9"/>
  <sheetViews>
    <sheetView topLeftCell="A50" workbookViewId="0">
      <selection activeCell="C55" sqref="C55"/>
    </sheetView>
  </sheetViews>
  <sheetFormatPr defaultColWidth="8.7109375" defaultRowHeight="12.75"/>
  <cols>
    <col min="1" max="1" width="5.5703125" customWidth="1"/>
    <col min="2" max="2" width="24.42578125" customWidth="1"/>
    <col min="3" max="3" width="11.5703125" customWidth="1"/>
    <col min="5" max="5" width="11.140625" customWidth="1"/>
    <col min="6" max="6" width="11.28515625"/>
    <col min="7" max="7" width="9.7109375"/>
    <col min="8" max="8" width="12.28515625"/>
    <col min="10" max="10" width="10.42578125" customWidth="1"/>
    <col min="11" max="11" width="13.28515625" customWidth="1"/>
    <col min="12" max="12" width="11.140625" customWidth="1"/>
    <col min="14" max="14" width="12.7109375" customWidth="1"/>
    <col min="15" max="15" width="15.5703125" customWidth="1"/>
    <col min="16" max="16" width="18.140625" customWidth="1"/>
    <col min="17" max="17" width="11.85546875" customWidth="1"/>
  </cols>
  <sheetData>
    <row r="1" spans="1:16" ht="96.95" customHeight="1">
      <c r="A1" s="442" t="s">
        <v>181</v>
      </c>
      <c r="B1" s="443" t="s">
        <v>182</v>
      </c>
      <c r="C1" s="444" t="s">
        <v>20</v>
      </c>
      <c r="D1" s="771" t="s">
        <v>183</v>
      </c>
      <c r="E1" s="444" t="s">
        <v>184</v>
      </c>
      <c r="F1" s="444" t="s">
        <v>185</v>
      </c>
      <c r="G1" s="444" t="s">
        <v>186</v>
      </c>
      <c r="H1" s="444" t="s">
        <v>187</v>
      </c>
      <c r="I1" s="444" t="s">
        <v>188</v>
      </c>
      <c r="J1" s="444" t="s">
        <v>189</v>
      </c>
      <c r="K1" s="444" t="s">
        <v>190</v>
      </c>
      <c r="L1" s="444" t="s">
        <v>191</v>
      </c>
      <c r="M1" s="444"/>
      <c r="N1" s="786" t="s">
        <v>192</v>
      </c>
      <c r="O1" s="786"/>
      <c r="P1" s="786"/>
    </row>
    <row r="2" spans="1:16" ht="15.75">
      <c r="A2" s="445" t="s">
        <v>21</v>
      </c>
      <c r="B2" s="68" t="s">
        <v>22</v>
      </c>
      <c r="C2" s="446"/>
      <c r="D2" s="772"/>
      <c r="E2" s="448"/>
      <c r="F2" s="448"/>
      <c r="G2" s="448"/>
      <c r="H2" s="448"/>
      <c r="I2" s="448"/>
      <c r="J2" s="448"/>
      <c r="K2" s="448"/>
      <c r="L2" s="448"/>
      <c r="M2" s="455"/>
      <c r="N2" s="787"/>
      <c r="P2" s="269"/>
    </row>
    <row r="3" spans="1:16" ht="30" customHeight="1">
      <c r="A3" s="445">
        <v>1</v>
      </c>
      <c r="B3" s="773" t="s">
        <v>24</v>
      </c>
      <c r="C3" s="774">
        <v>780713.91666666605</v>
      </c>
      <c r="D3" s="772">
        <v>12</v>
      </c>
      <c r="E3" s="775">
        <f t="shared" ref="E3:E42" si="0">C3*D3</f>
        <v>9368566.9999999907</v>
      </c>
      <c r="F3" s="775"/>
      <c r="G3" s="775"/>
      <c r="H3" s="775">
        <v>672685.36</v>
      </c>
      <c r="I3" s="775"/>
      <c r="J3" s="775">
        <f t="shared" ref="J3:J42" si="1">F3+G3+H3</f>
        <v>672685.36</v>
      </c>
      <c r="K3" s="775">
        <f t="shared" ref="K3:K42" si="2">E3-J3</f>
        <v>8695881.6399999894</v>
      </c>
      <c r="L3" s="775">
        <f t="shared" ref="L3:L42" si="3">IF(K3&lt;=800000,0,IF(K3&lt;=3000000,(K3-800000)*15%,IF(K3&lt;=12000000,330000+(K3-3000000)*18%,IF(K3&lt;=25000000,1950000+(K3-12000000)*21%,IF(K3&lt;=50000000,4680000+(K3-25000000)*23%,10430000+(K3-50000000)*25%)))))</f>
        <v>1355258.6952</v>
      </c>
      <c r="M3" s="455">
        <v>12</v>
      </c>
      <c r="N3" s="788">
        <f t="shared" ref="N3:N42" si="4">L3/M3</f>
        <v>112938.2246</v>
      </c>
      <c r="O3" s="789"/>
      <c r="P3" s="790"/>
    </row>
    <row r="4" spans="1:16" ht="30" customHeight="1">
      <c r="A4" s="445">
        <v>2</v>
      </c>
      <c r="B4" s="773" t="s">
        <v>27</v>
      </c>
      <c r="C4" s="774">
        <v>596673.58333333302</v>
      </c>
      <c r="D4" s="772">
        <v>12</v>
      </c>
      <c r="E4" s="775">
        <f t="shared" si="0"/>
        <v>7160083</v>
      </c>
      <c r="F4" s="775"/>
      <c r="G4" s="775"/>
      <c r="H4" s="775">
        <v>505606.64</v>
      </c>
      <c r="I4" s="775"/>
      <c r="J4" s="775">
        <f t="shared" si="1"/>
        <v>505606.64</v>
      </c>
      <c r="K4" s="775">
        <f t="shared" si="2"/>
        <v>6654476.3600000003</v>
      </c>
      <c r="L4" s="775">
        <f t="shared" si="3"/>
        <v>987805.74479999999</v>
      </c>
      <c r="M4" s="455">
        <v>12</v>
      </c>
      <c r="N4" s="788">
        <f t="shared" si="4"/>
        <v>82317.145399999994</v>
      </c>
      <c r="O4" s="789"/>
      <c r="P4" s="790"/>
    </row>
    <row r="5" spans="1:16" ht="30" customHeight="1">
      <c r="A5" s="445">
        <v>3</v>
      </c>
      <c r="B5" s="776" t="s">
        <v>30</v>
      </c>
      <c r="C5" s="774">
        <v>501159</v>
      </c>
      <c r="D5" s="772">
        <v>12</v>
      </c>
      <c r="E5" s="775">
        <f t="shared" si="0"/>
        <v>6013908</v>
      </c>
      <c r="F5" s="775"/>
      <c r="G5" s="775"/>
      <c r="H5" s="775">
        <v>423512.64</v>
      </c>
      <c r="I5" s="775"/>
      <c r="J5" s="775">
        <f t="shared" si="1"/>
        <v>423512.64</v>
      </c>
      <c r="K5" s="775">
        <f t="shared" si="2"/>
        <v>5590395.3600000003</v>
      </c>
      <c r="L5" s="775">
        <f t="shared" si="3"/>
        <v>796271.16480000003</v>
      </c>
      <c r="M5" s="455">
        <v>12</v>
      </c>
      <c r="N5" s="788">
        <f t="shared" si="4"/>
        <v>66355.930399999997</v>
      </c>
      <c r="O5" s="789"/>
      <c r="P5" s="790"/>
    </row>
    <row r="6" spans="1:16" ht="30" customHeight="1">
      <c r="A6" s="445">
        <v>4</v>
      </c>
      <c r="B6" s="773" t="s">
        <v>33</v>
      </c>
      <c r="C6" s="774">
        <v>541159</v>
      </c>
      <c r="D6" s="772">
        <v>12</v>
      </c>
      <c r="E6" s="775">
        <f t="shared" si="0"/>
        <v>6493908</v>
      </c>
      <c r="F6" s="775"/>
      <c r="G6" s="775"/>
      <c r="H6" s="775">
        <v>423512.64</v>
      </c>
      <c r="I6" s="775"/>
      <c r="J6" s="775">
        <f t="shared" si="1"/>
        <v>423512.64</v>
      </c>
      <c r="K6" s="775">
        <f t="shared" si="2"/>
        <v>6070395.3600000003</v>
      </c>
      <c r="L6" s="775">
        <f t="shared" si="3"/>
        <v>882671.16480000003</v>
      </c>
      <c r="M6" s="455">
        <v>12</v>
      </c>
      <c r="N6" s="788">
        <f t="shared" si="4"/>
        <v>73555.930399999997</v>
      </c>
      <c r="O6" s="789"/>
      <c r="P6" s="790"/>
    </row>
    <row r="7" spans="1:16" ht="30" customHeight="1">
      <c r="A7" s="445">
        <v>5</v>
      </c>
      <c r="B7" s="773" t="s">
        <v>35</v>
      </c>
      <c r="C7" s="777">
        <v>432145.33333333302</v>
      </c>
      <c r="D7" s="772">
        <v>12</v>
      </c>
      <c r="E7" s="775">
        <f t="shared" si="0"/>
        <v>5185744</v>
      </c>
      <c r="F7" s="775"/>
      <c r="G7" s="775"/>
      <c r="H7" s="775">
        <v>357259.51999999903</v>
      </c>
      <c r="I7" s="775"/>
      <c r="J7" s="775">
        <f t="shared" si="1"/>
        <v>357259.51999999903</v>
      </c>
      <c r="K7" s="775">
        <f t="shared" si="2"/>
        <v>4828484.4800000004</v>
      </c>
      <c r="L7" s="775">
        <f t="shared" si="3"/>
        <v>659127.20640000002</v>
      </c>
      <c r="M7" s="455">
        <v>12</v>
      </c>
      <c r="N7" s="788">
        <f t="shared" si="4"/>
        <v>54927.267200000002</v>
      </c>
      <c r="O7" s="789"/>
      <c r="P7" s="790"/>
    </row>
    <row r="8" spans="1:16" ht="30" customHeight="1">
      <c r="A8" s="445">
        <v>6</v>
      </c>
      <c r="B8" s="773" t="s">
        <v>38</v>
      </c>
      <c r="C8" s="774">
        <v>432145.33333333302</v>
      </c>
      <c r="D8" s="772">
        <v>12</v>
      </c>
      <c r="E8" s="775">
        <f t="shared" si="0"/>
        <v>5185744</v>
      </c>
      <c r="F8" s="775"/>
      <c r="G8" s="775"/>
      <c r="H8" s="775">
        <v>357259.51999999903</v>
      </c>
      <c r="I8" s="775"/>
      <c r="J8" s="775">
        <f t="shared" si="1"/>
        <v>357259.51999999903</v>
      </c>
      <c r="K8" s="775">
        <f t="shared" si="2"/>
        <v>4828484.4800000004</v>
      </c>
      <c r="L8" s="775">
        <f t="shared" si="3"/>
        <v>659127.20640000002</v>
      </c>
      <c r="M8" s="455">
        <v>12</v>
      </c>
      <c r="N8" s="788">
        <f t="shared" si="4"/>
        <v>54927.267200000002</v>
      </c>
      <c r="O8" s="789"/>
      <c r="P8" s="790"/>
    </row>
    <row r="9" spans="1:16" ht="30" customHeight="1">
      <c r="A9" s="445">
        <v>7</v>
      </c>
      <c r="B9" s="773" t="s">
        <v>40</v>
      </c>
      <c r="C9" s="774">
        <v>432145.33333333302</v>
      </c>
      <c r="D9" s="772">
        <v>12</v>
      </c>
      <c r="E9" s="775">
        <f t="shared" si="0"/>
        <v>5185744</v>
      </c>
      <c r="F9" s="775"/>
      <c r="G9" s="775"/>
      <c r="H9" s="775">
        <v>357259.51999999903</v>
      </c>
      <c r="I9" s="775"/>
      <c r="J9" s="775">
        <f t="shared" si="1"/>
        <v>357259.51999999903</v>
      </c>
      <c r="K9" s="775">
        <f t="shared" si="2"/>
        <v>4828484.4800000004</v>
      </c>
      <c r="L9" s="775">
        <f t="shared" si="3"/>
        <v>659127.20640000002</v>
      </c>
      <c r="M9" s="455">
        <v>12</v>
      </c>
      <c r="N9" s="788">
        <f t="shared" si="4"/>
        <v>54927.267200000002</v>
      </c>
      <c r="O9" s="789"/>
      <c r="P9" s="790"/>
    </row>
    <row r="10" spans="1:16" ht="30" customHeight="1">
      <c r="A10" s="445">
        <v>8</v>
      </c>
      <c r="B10" s="778" t="s">
        <v>42</v>
      </c>
      <c r="C10" s="774"/>
      <c r="D10" s="772"/>
      <c r="E10" s="775"/>
      <c r="F10" s="775"/>
      <c r="G10" s="775"/>
      <c r="H10" s="775"/>
      <c r="I10" s="775"/>
      <c r="J10" s="775"/>
      <c r="K10" s="775"/>
      <c r="L10" s="775"/>
      <c r="M10" s="455"/>
      <c r="N10" s="788">
        <f>SUM(N3:N9)</f>
        <v>499949.03240000003</v>
      </c>
      <c r="O10" s="788"/>
      <c r="P10" s="788"/>
    </row>
    <row r="11" spans="1:16" ht="30" customHeight="1">
      <c r="A11" s="445">
        <v>9</v>
      </c>
      <c r="B11" s="779"/>
      <c r="C11" s="774"/>
      <c r="D11" s="772"/>
      <c r="E11" s="775"/>
      <c r="F11" s="775"/>
      <c r="G11" s="775"/>
      <c r="H11" s="775"/>
      <c r="I11" s="775"/>
      <c r="J11" s="775"/>
      <c r="K11" s="775"/>
      <c r="L11" s="775"/>
      <c r="M11" s="455"/>
      <c r="N11" s="788"/>
      <c r="O11" s="789"/>
      <c r="P11" s="790"/>
    </row>
    <row r="12" spans="1:16" ht="30" customHeight="1">
      <c r="A12" s="445">
        <v>10</v>
      </c>
      <c r="B12" s="779" t="s">
        <v>43</v>
      </c>
      <c r="C12" s="774"/>
      <c r="D12" s="772"/>
      <c r="E12" s="775"/>
      <c r="F12" s="775"/>
      <c r="G12" s="775"/>
      <c r="H12" s="780"/>
      <c r="I12" s="775"/>
      <c r="J12" s="775"/>
      <c r="K12" s="775"/>
      <c r="L12" s="775"/>
      <c r="M12" s="455"/>
      <c r="N12" s="788"/>
      <c r="O12" s="789"/>
      <c r="P12" s="790"/>
    </row>
    <row r="13" spans="1:16" ht="30" customHeight="1">
      <c r="A13" s="445">
        <v>11</v>
      </c>
      <c r="B13" s="773" t="s">
        <v>44</v>
      </c>
      <c r="C13" s="774">
        <v>551159</v>
      </c>
      <c r="D13" s="772">
        <v>12</v>
      </c>
      <c r="E13" s="775">
        <f t="shared" si="0"/>
        <v>6613908</v>
      </c>
      <c r="F13" s="775"/>
      <c r="G13" s="775"/>
      <c r="H13" s="775">
        <v>423512.64</v>
      </c>
      <c r="I13" s="775"/>
      <c r="J13" s="775">
        <f t="shared" si="1"/>
        <v>423512.64</v>
      </c>
      <c r="K13" s="775">
        <f t="shared" si="2"/>
        <v>6190395.3600000003</v>
      </c>
      <c r="L13" s="775">
        <f t="shared" si="3"/>
        <v>904271.16480000003</v>
      </c>
      <c r="M13" s="455">
        <v>12</v>
      </c>
      <c r="N13" s="788">
        <f t="shared" si="4"/>
        <v>75355.930399999997</v>
      </c>
      <c r="O13" s="789"/>
      <c r="P13" s="790"/>
    </row>
    <row r="14" spans="1:16" ht="30" customHeight="1">
      <c r="A14" s="445">
        <v>12</v>
      </c>
      <c r="B14" s="781" t="s">
        <v>46</v>
      </c>
      <c r="C14" s="774">
        <v>551159</v>
      </c>
      <c r="D14" s="772">
        <v>12</v>
      </c>
      <c r="E14" s="775">
        <f t="shared" si="0"/>
        <v>6613908</v>
      </c>
      <c r="F14" s="775"/>
      <c r="G14" s="775"/>
      <c r="H14" s="775">
        <v>423512.64</v>
      </c>
      <c r="I14" s="775"/>
      <c r="J14" s="775">
        <f t="shared" si="1"/>
        <v>423512.64</v>
      </c>
      <c r="K14" s="775">
        <f t="shared" si="2"/>
        <v>6190395.3600000003</v>
      </c>
      <c r="L14" s="775">
        <f t="shared" si="3"/>
        <v>904271.16480000003</v>
      </c>
      <c r="M14" s="455">
        <v>12</v>
      </c>
      <c r="N14" s="788">
        <f t="shared" si="4"/>
        <v>75355.930399999997</v>
      </c>
      <c r="O14" s="789"/>
      <c r="P14" s="790"/>
    </row>
    <row r="15" spans="1:16" ht="30" customHeight="1">
      <c r="A15" s="445">
        <v>13</v>
      </c>
      <c r="B15" s="781" t="s">
        <v>47</v>
      </c>
      <c r="C15" s="774">
        <v>551159</v>
      </c>
      <c r="D15" s="772">
        <v>12</v>
      </c>
      <c r="E15" s="775">
        <f t="shared" si="0"/>
        <v>6613908</v>
      </c>
      <c r="F15" s="775"/>
      <c r="G15" s="775"/>
      <c r="H15" s="775">
        <v>423512.64</v>
      </c>
      <c r="I15" s="775"/>
      <c r="J15" s="775">
        <f t="shared" si="1"/>
        <v>423512.64</v>
      </c>
      <c r="K15" s="775">
        <f t="shared" si="2"/>
        <v>6190395.3600000003</v>
      </c>
      <c r="L15" s="775">
        <f t="shared" si="3"/>
        <v>904271.16480000003</v>
      </c>
      <c r="M15" s="455">
        <v>12</v>
      </c>
      <c r="N15" s="788">
        <f t="shared" si="4"/>
        <v>75355.930399999997</v>
      </c>
      <c r="O15" s="789"/>
      <c r="P15" s="790"/>
    </row>
    <row r="16" spans="1:16" ht="30" customHeight="1">
      <c r="A16" s="445">
        <v>14</v>
      </c>
      <c r="B16" s="781" t="s">
        <v>48</v>
      </c>
      <c r="C16" s="774">
        <v>472145.33333333302</v>
      </c>
      <c r="D16" s="772">
        <v>12</v>
      </c>
      <c r="E16" s="775">
        <f t="shared" si="0"/>
        <v>5665744</v>
      </c>
      <c r="F16" s="775">
        <v>110000</v>
      </c>
      <c r="G16" s="775"/>
      <c r="H16" s="775">
        <v>357259.51999999903</v>
      </c>
      <c r="I16" s="775"/>
      <c r="J16" s="775">
        <f t="shared" si="1"/>
        <v>467259.51999999903</v>
      </c>
      <c r="K16" s="775">
        <f t="shared" si="2"/>
        <v>5198484.4800000004</v>
      </c>
      <c r="L16" s="775">
        <f t="shared" si="3"/>
        <v>725727.20640000002</v>
      </c>
      <c r="M16" s="455">
        <v>12</v>
      </c>
      <c r="N16" s="788">
        <f t="shared" si="4"/>
        <v>60477.267200000002</v>
      </c>
      <c r="O16" s="789">
        <v>62127.267200000002</v>
      </c>
      <c r="P16" s="790">
        <f>O16-N16</f>
        <v>1649.99999999998</v>
      </c>
    </row>
    <row r="17" spans="1:16" ht="30" customHeight="1">
      <c r="A17" s="445">
        <v>15</v>
      </c>
      <c r="B17" s="773" t="s">
        <v>50</v>
      </c>
      <c r="C17" s="774">
        <v>472145.33333333302</v>
      </c>
      <c r="D17" s="772">
        <v>12</v>
      </c>
      <c r="E17" s="775">
        <f t="shared" si="0"/>
        <v>5665744</v>
      </c>
      <c r="F17" s="775"/>
      <c r="G17" s="775"/>
      <c r="H17" s="775">
        <v>357259.51999999903</v>
      </c>
      <c r="I17" s="775"/>
      <c r="J17" s="775">
        <f t="shared" si="1"/>
        <v>357259.51999999903</v>
      </c>
      <c r="K17" s="775">
        <f t="shared" si="2"/>
        <v>5308484.4800000004</v>
      </c>
      <c r="L17" s="775">
        <f t="shared" si="3"/>
        <v>745527.20640000002</v>
      </c>
      <c r="M17" s="455">
        <v>12</v>
      </c>
      <c r="N17" s="788">
        <f t="shared" si="4"/>
        <v>62127.267200000002</v>
      </c>
      <c r="O17" s="789"/>
      <c r="P17" s="790"/>
    </row>
    <row r="18" spans="1:16" ht="30" customHeight="1">
      <c r="A18" s="445">
        <v>16</v>
      </c>
      <c r="B18" s="773" t="s">
        <v>51</v>
      </c>
      <c r="C18" s="774">
        <v>472145.33333333302</v>
      </c>
      <c r="D18" s="772">
        <v>12</v>
      </c>
      <c r="E18" s="775">
        <f t="shared" si="0"/>
        <v>5665744</v>
      </c>
      <c r="F18" s="775"/>
      <c r="G18" s="775"/>
      <c r="H18" s="775">
        <v>357259.51999999903</v>
      </c>
      <c r="I18" s="775"/>
      <c r="J18" s="775">
        <f t="shared" si="1"/>
        <v>357259.51999999903</v>
      </c>
      <c r="K18" s="775">
        <f t="shared" si="2"/>
        <v>5308484.4800000004</v>
      </c>
      <c r="L18" s="775">
        <f t="shared" si="3"/>
        <v>745527.20640000002</v>
      </c>
      <c r="M18" s="455">
        <v>12</v>
      </c>
      <c r="N18" s="788">
        <f t="shared" si="4"/>
        <v>62127.267200000002</v>
      </c>
      <c r="O18" s="789"/>
      <c r="P18" s="790"/>
    </row>
    <row r="19" spans="1:16" ht="30" customHeight="1">
      <c r="A19" s="445">
        <v>17</v>
      </c>
      <c r="B19" s="776" t="s">
        <v>53</v>
      </c>
      <c r="C19" s="774">
        <v>430408.08333333302</v>
      </c>
      <c r="D19" s="772">
        <v>12</v>
      </c>
      <c r="E19" s="775">
        <f t="shared" si="0"/>
        <v>5164897</v>
      </c>
      <c r="F19" s="775">
        <v>200000</v>
      </c>
      <c r="G19" s="775"/>
      <c r="H19" s="775">
        <v>317191.75999999902</v>
      </c>
      <c r="I19" s="775"/>
      <c r="J19" s="775">
        <f t="shared" si="1"/>
        <v>517191.75999999902</v>
      </c>
      <c r="K19" s="775">
        <f t="shared" si="2"/>
        <v>4647705.24</v>
      </c>
      <c r="L19" s="775">
        <f t="shared" si="3"/>
        <v>626586.94319999998</v>
      </c>
      <c r="M19" s="455">
        <v>12</v>
      </c>
      <c r="N19" s="788">
        <f t="shared" si="4"/>
        <v>52215.578600000001</v>
      </c>
      <c r="O19" s="789">
        <v>55215.578600000001</v>
      </c>
      <c r="P19" s="790">
        <f>O19-N19</f>
        <v>3000</v>
      </c>
    </row>
    <row r="20" spans="1:16" ht="30" customHeight="1">
      <c r="A20" s="445">
        <v>18</v>
      </c>
      <c r="B20" s="773" t="s">
        <v>56</v>
      </c>
      <c r="C20" s="774">
        <v>430408.08333333302</v>
      </c>
      <c r="D20" s="772">
        <v>12</v>
      </c>
      <c r="E20" s="775">
        <f t="shared" si="0"/>
        <v>5164897</v>
      </c>
      <c r="F20" s="775"/>
      <c r="G20" s="775"/>
      <c r="H20" s="775">
        <v>317191.75999999902</v>
      </c>
      <c r="I20" s="775"/>
      <c r="J20" s="775">
        <f t="shared" si="1"/>
        <v>317191.75999999902</v>
      </c>
      <c r="K20" s="775">
        <f t="shared" si="2"/>
        <v>4847705.24</v>
      </c>
      <c r="L20" s="775">
        <f t="shared" si="3"/>
        <v>662586.94319999998</v>
      </c>
      <c r="M20" s="455">
        <v>12</v>
      </c>
      <c r="N20" s="788">
        <f t="shared" si="4"/>
        <v>55215.578600000001</v>
      </c>
      <c r="O20" s="789"/>
      <c r="P20" s="790"/>
    </row>
    <row r="21" spans="1:16" ht="30" customHeight="1">
      <c r="A21" s="445">
        <v>19</v>
      </c>
      <c r="B21" s="776" t="s">
        <v>57</v>
      </c>
      <c r="C21" s="774">
        <v>430408.08333333302</v>
      </c>
      <c r="D21" s="772">
        <v>12</v>
      </c>
      <c r="E21" s="775">
        <f t="shared" si="0"/>
        <v>5164897</v>
      </c>
      <c r="F21" s="775"/>
      <c r="G21" s="775"/>
      <c r="H21" s="775">
        <v>317191.75999999902</v>
      </c>
      <c r="I21" s="775"/>
      <c r="J21" s="775">
        <f t="shared" si="1"/>
        <v>317191.75999999902</v>
      </c>
      <c r="K21" s="775">
        <f t="shared" si="2"/>
        <v>4847705.24</v>
      </c>
      <c r="L21" s="775">
        <f t="shared" si="3"/>
        <v>662586.94319999998</v>
      </c>
      <c r="M21" s="455">
        <v>12</v>
      </c>
      <c r="N21" s="788">
        <f t="shared" si="4"/>
        <v>55215.578600000001</v>
      </c>
      <c r="O21" s="789"/>
      <c r="P21" s="790"/>
    </row>
    <row r="22" spans="1:16" ht="30" customHeight="1">
      <c r="A22" s="445">
        <v>20</v>
      </c>
      <c r="B22" s="776" t="s">
        <v>58</v>
      </c>
      <c r="C22" s="774">
        <v>180493.712365591</v>
      </c>
      <c r="D22" s="772">
        <v>12</v>
      </c>
      <c r="E22" s="775">
        <f t="shared" si="0"/>
        <v>2165924.5483870902</v>
      </c>
      <c r="F22" s="775"/>
      <c r="G22" s="775"/>
      <c r="H22" s="775">
        <v>317191.75999999902</v>
      </c>
      <c r="I22" s="775"/>
      <c r="J22" s="775">
        <f t="shared" si="1"/>
        <v>317191.75999999902</v>
      </c>
      <c r="K22" s="775">
        <f t="shared" si="2"/>
        <v>1848732.78838709</v>
      </c>
      <c r="L22" s="775">
        <f t="shared" si="3"/>
        <v>157309.91825806399</v>
      </c>
      <c r="M22" s="455">
        <v>12</v>
      </c>
      <c r="N22" s="788">
        <f t="shared" si="4"/>
        <v>13109.159854838599</v>
      </c>
      <c r="O22" s="789"/>
      <c r="P22" s="790"/>
    </row>
    <row r="23" spans="1:16" ht="30" customHeight="1">
      <c r="A23" s="445">
        <v>21</v>
      </c>
      <c r="B23" s="262" t="s">
        <v>59</v>
      </c>
      <c r="C23" s="774">
        <v>430408.08333333302</v>
      </c>
      <c r="D23" s="772">
        <v>12</v>
      </c>
      <c r="E23" s="775">
        <f t="shared" si="0"/>
        <v>5164897</v>
      </c>
      <c r="F23" s="775"/>
      <c r="G23" s="775"/>
      <c r="H23" s="775">
        <v>317191.75999999902</v>
      </c>
      <c r="I23" s="775"/>
      <c r="J23" s="775">
        <f t="shared" si="1"/>
        <v>317191.75999999902</v>
      </c>
      <c r="K23" s="775">
        <f t="shared" si="2"/>
        <v>4847705.24</v>
      </c>
      <c r="L23" s="775">
        <f t="shared" si="3"/>
        <v>662586.94319999998</v>
      </c>
      <c r="M23" s="455">
        <v>12</v>
      </c>
      <c r="N23" s="788">
        <f t="shared" si="4"/>
        <v>55215.578600000001</v>
      </c>
      <c r="O23" s="789"/>
      <c r="P23" s="790"/>
    </row>
    <row r="24" spans="1:16" ht="30" customHeight="1">
      <c r="A24" s="445">
        <v>22</v>
      </c>
      <c r="B24" s="782" t="s">
        <v>42</v>
      </c>
      <c r="C24" s="774"/>
      <c r="D24" s="772"/>
      <c r="E24" s="775"/>
      <c r="F24" s="775"/>
      <c r="G24" s="775"/>
      <c r="H24" s="775"/>
      <c r="I24" s="775"/>
      <c r="J24" s="775"/>
      <c r="K24" s="775"/>
      <c r="L24" s="775"/>
      <c r="M24" s="455"/>
      <c r="N24" s="788">
        <f>SUM(N13:N23)</f>
        <v>641771.06705483899</v>
      </c>
      <c r="O24" s="788"/>
      <c r="P24" s="788"/>
    </row>
    <row r="25" spans="1:16" ht="30" customHeight="1">
      <c r="A25" s="445">
        <v>23</v>
      </c>
      <c r="B25" s="779"/>
      <c r="C25" s="774"/>
      <c r="D25" s="772"/>
      <c r="E25" s="775"/>
      <c r="F25" s="775"/>
      <c r="G25" s="775"/>
      <c r="H25" s="775"/>
      <c r="I25" s="775"/>
      <c r="J25" s="775"/>
      <c r="K25" s="775"/>
      <c r="L25" s="775"/>
      <c r="M25" s="455"/>
      <c r="N25" s="788"/>
      <c r="O25" s="789"/>
      <c r="P25" s="790"/>
    </row>
    <row r="26" spans="1:16" ht="30" customHeight="1">
      <c r="A26" s="445">
        <v>24</v>
      </c>
      <c r="B26" s="782" t="s">
        <v>60</v>
      </c>
      <c r="C26" s="774"/>
      <c r="D26" s="772"/>
      <c r="E26" s="775"/>
      <c r="F26" s="775"/>
      <c r="G26" s="775"/>
      <c r="H26" s="775"/>
      <c r="I26" s="775"/>
      <c r="J26" s="775"/>
      <c r="K26" s="775"/>
      <c r="L26" s="775"/>
      <c r="M26" s="455"/>
      <c r="N26" s="788"/>
      <c r="O26" s="789"/>
      <c r="P26" s="790"/>
    </row>
    <row r="27" spans="1:16" ht="30" customHeight="1">
      <c r="A27" s="445">
        <v>25</v>
      </c>
      <c r="B27" s="781" t="s">
        <v>61</v>
      </c>
      <c r="C27" s="774">
        <v>492145.33333333302</v>
      </c>
      <c r="D27" s="772">
        <v>12</v>
      </c>
      <c r="E27" s="775">
        <f t="shared" si="0"/>
        <v>5905744</v>
      </c>
      <c r="F27" s="775">
        <v>130000</v>
      </c>
      <c r="G27" s="775"/>
      <c r="H27" s="775">
        <v>357259.51999999903</v>
      </c>
      <c r="I27" s="775"/>
      <c r="J27" s="775">
        <f t="shared" si="1"/>
        <v>487259.51999999903</v>
      </c>
      <c r="K27" s="775">
        <f t="shared" si="2"/>
        <v>5418484.4800000004</v>
      </c>
      <c r="L27" s="775">
        <f t="shared" si="3"/>
        <v>765327.20640000002</v>
      </c>
      <c r="M27" s="455">
        <v>12</v>
      </c>
      <c r="N27" s="788">
        <f t="shared" si="4"/>
        <v>63777.267200000002</v>
      </c>
      <c r="O27" s="789">
        <v>65727.267200000002</v>
      </c>
      <c r="P27" s="790">
        <f>O27-N27</f>
        <v>1949.99999999999</v>
      </c>
    </row>
    <row r="28" spans="1:16" ht="30" customHeight="1">
      <c r="A28" s="445">
        <v>26</v>
      </c>
      <c r="B28" s="781" t="s">
        <v>63</v>
      </c>
      <c r="C28" s="774">
        <v>407827.43817204301</v>
      </c>
      <c r="D28" s="772">
        <v>12</v>
      </c>
      <c r="E28" s="775">
        <f t="shared" si="0"/>
        <v>4893929.2580645196</v>
      </c>
      <c r="F28" s="775"/>
      <c r="G28" s="775"/>
      <c r="H28" s="780">
        <v>317191.75999999902</v>
      </c>
      <c r="I28" s="775"/>
      <c r="J28" s="775">
        <f t="shared" si="1"/>
        <v>317191.75999999902</v>
      </c>
      <c r="K28" s="775">
        <f t="shared" si="2"/>
        <v>4576737.4980645198</v>
      </c>
      <c r="L28" s="775">
        <f t="shared" si="3"/>
        <v>613812.74965161399</v>
      </c>
      <c r="M28" s="455">
        <v>12</v>
      </c>
      <c r="N28" s="788">
        <f t="shared" si="4"/>
        <v>51151.062470967801</v>
      </c>
      <c r="O28" s="789"/>
      <c r="P28" s="790"/>
    </row>
    <row r="29" spans="1:16" ht="30" customHeight="1">
      <c r="A29" s="445">
        <v>27</v>
      </c>
      <c r="B29" s="781" t="s">
        <v>42</v>
      </c>
      <c r="C29" s="774"/>
      <c r="D29" s="772"/>
      <c r="E29" s="775"/>
      <c r="F29" s="775"/>
      <c r="G29" s="775"/>
      <c r="H29" s="780"/>
      <c r="I29" s="775"/>
      <c r="J29" s="775"/>
      <c r="K29" s="775"/>
      <c r="L29" s="775"/>
      <c r="M29" s="455"/>
      <c r="N29" s="788">
        <f>SUM(N27:N28)</f>
        <v>114928.329670968</v>
      </c>
      <c r="O29" s="788"/>
      <c r="P29" s="788"/>
    </row>
    <row r="30" spans="1:16" ht="30" customHeight="1">
      <c r="A30" s="445">
        <v>28</v>
      </c>
      <c r="B30" s="781"/>
      <c r="C30" s="775"/>
      <c r="D30" s="772"/>
      <c r="E30" s="775"/>
      <c r="F30" s="775"/>
      <c r="G30" s="775"/>
      <c r="H30" s="780"/>
      <c r="I30" s="775"/>
      <c r="J30" s="775"/>
      <c r="K30" s="775"/>
      <c r="L30" s="775"/>
      <c r="M30" s="455"/>
      <c r="N30" s="788"/>
      <c r="O30" s="789"/>
      <c r="P30" s="790"/>
    </row>
    <row r="31" spans="1:16" ht="30" customHeight="1">
      <c r="A31" s="445">
        <v>29</v>
      </c>
      <c r="B31" s="781" t="s">
        <v>65</v>
      </c>
      <c r="C31" s="775"/>
      <c r="D31" s="772"/>
      <c r="E31" s="775"/>
      <c r="F31" s="775"/>
      <c r="G31" s="775"/>
      <c r="H31" s="780"/>
      <c r="I31" s="775"/>
      <c r="J31" s="775"/>
      <c r="K31" s="775"/>
      <c r="L31" s="775"/>
      <c r="M31" s="455"/>
      <c r="N31" s="788"/>
      <c r="O31" s="789"/>
      <c r="P31" s="790"/>
    </row>
    <row r="32" spans="1:16" ht="30" customHeight="1">
      <c r="A32" s="445">
        <v>30</v>
      </c>
      <c r="B32" s="781" t="s">
        <v>66</v>
      </c>
      <c r="C32" s="775">
        <v>666673.58333333302</v>
      </c>
      <c r="D32" s="772">
        <v>12</v>
      </c>
      <c r="E32" s="775">
        <f t="shared" si="0"/>
        <v>8000083</v>
      </c>
      <c r="F32" s="775"/>
      <c r="G32" s="775"/>
      <c r="H32" s="780">
        <v>374638.96000000101</v>
      </c>
      <c r="I32" s="775"/>
      <c r="J32" s="775">
        <f t="shared" si="1"/>
        <v>374638.96000000101</v>
      </c>
      <c r="K32" s="775">
        <f t="shared" si="2"/>
        <v>7625444.04</v>
      </c>
      <c r="L32" s="775">
        <f t="shared" si="3"/>
        <v>1162579.9272</v>
      </c>
      <c r="M32" s="455">
        <v>12</v>
      </c>
      <c r="N32" s="788">
        <f t="shared" si="4"/>
        <v>96881.660600000003</v>
      </c>
      <c r="O32" s="789"/>
      <c r="P32" s="790"/>
    </row>
    <row r="33" spans="1:16" ht="30" customHeight="1">
      <c r="A33" s="445">
        <v>31</v>
      </c>
      <c r="B33" s="781" t="s">
        <v>68</v>
      </c>
      <c r="C33" s="775">
        <v>430408.08333333302</v>
      </c>
      <c r="D33" s="772">
        <v>12</v>
      </c>
      <c r="E33" s="775">
        <f t="shared" si="0"/>
        <v>5164897</v>
      </c>
      <c r="F33" s="775"/>
      <c r="G33" s="775"/>
      <c r="H33" s="780">
        <v>317191.75999999902</v>
      </c>
      <c r="I33" s="775"/>
      <c r="J33" s="775">
        <f t="shared" si="1"/>
        <v>317191.75999999902</v>
      </c>
      <c r="K33" s="775">
        <f t="shared" si="2"/>
        <v>4847705.24</v>
      </c>
      <c r="L33" s="775">
        <f t="shared" si="3"/>
        <v>662586.94319999998</v>
      </c>
      <c r="M33" s="455">
        <v>12</v>
      </c>
      <c r="N33" s="788">
        <f t="shared" si="4"/>
        <v>55215.578600000001</v>
      </c>
      <c r="O33" s="789"/>
      <c r="P33" s="790"/>
    </row>
    <row r="34" spans="1:16" ht="30" customHeight="1">
      <c r="A34" s="445">
        <v>32</v>
      </c>
      <c r="B34" s="781" t="s">
        <v>70</v>
      </c>
      <c r="C34" s="775">
        <v>387890.91666666698</v>
      </c>
      <c r="D34" s="772">
        <v>12</v>
      </c>
      <c r="E34" s="775">
        <f t="shared" si="0"/>
        <v>4654691</v>
      </c>
      <c r="F34" s="775"/>
      <c r="G34" s="775"/>
      <c r="H34" s="780">
        <v>276375.28000000102</v>
      </c>
      <c r="I34" s="775"/>
      <c r="J34" s="775">
        <f t="shared" si="1"/>
        <v>276375.28000000102</v>
      </c>
      <c r="K34" s="775">
        <f t="shared" si="2"/>
        <v>4378315.72</v>
      </c>
      <c r="L34" s="775">
        <f t="shared" si="3"/>
        <v>578096.82960000006</v>
      </c>
      <c r="M34" s="455">
        <v>12</v>
      </c>
      <c r="N34" s="788">
        <f t="shared" si="4"/>
        <v>48174.735800000002</v>
      </c>
      <c r="O34" s="789"/>
      <c r="P34" s="790"/>
    </row>
    <row r="35" spans="1:16" ht="30" customHeight="1">
      <c r="A35" s="445">
        <v>33</v>
      </c>
      <c r="B35" s="781" t="s">
        <v>73</v>
      </c>
      <c r="C35" s="775">
        <v>387890.91666666698</v>
      </c>
      <c r="D35" s="772">
        <v>12</v>
      </c>
      <c r="E35" s="775">
        <f t="shared" si="0"/>
        <v>4654691</v>
      </c>
      <c r="F35" s="775"/>
      <c r="G35" s="775"/>
      <c r="H35" s="780">
        <v>276375.28000000102</v>
      </c>
      <c r="I35" s="775"/>
      <c r="J35" s="775">
        <f t="shared" si="1"/>
        <v>276375.28000000102</v>
      </c>
      <c r="K35" s="775">
        <f t="shared" si="2"/>
        <v>4378315.72</v>
      </c>
      <c r="L35" s="775">
        <f t="shared" si="3"/>
        <v>578096.82960000006</v>
      </c>
      <c r="M35" s="455">
        <v>12</v>
      </c>
      <c r="N35" s="788">
        <f t="shared" si="4"/>
        <v>48174.735800000002</v>
      </c>
      <c r="O35" s="789"/>
      <c r="P35" s="790"/>
    </row>
    <row r="36" spans="1:16" ht="30" customHeight="1">
      <c r="A36" s="445">
        <v>34</v>
      </c>
      <c r="B36" s="781" t="s">
        <v>42</v>
      </c>
      <c r="C36" s="775"/>
      <c r="D36" s="772"/>
      <c r="E36" s="775"/>
      <c r="F36" s="775"/>
      <c r="G36" s="775"/>
      <c r="H36" s="780"/>
      <c r="I36" s="775"/>
      <c r="J36" s="775"/>
      <c r="K36" s="775"/>
      <c r="L36" s="775"/>
      <c r="M36" s="455"/>
      <c r="N36" s="788">
        <f>SUM(N32:N35)</f>
        <v>248446.7108</v>
      </c>
      <c r="O36" s="788"/>
      <c r="P36" s="788"/>
    </row>
    <row r="37" spans="1:16" ht="30" customHeight="1">
      <c r="A37" s="445">
        <v>35</v>
      </c>
      <c r="B37" s="781"/>
      <c r="C37" s="775"/>
      <c r="D37" s="772"/>
      <c r="E37" s="775"/>
      <c r="F37" s="775"/>
      <c r="G37" s="775"/>
      <c r="H37" s="780"/>
      <c r="I37" s="775"/>
      <c r="J37" s="775"/>
      <c r="K37" s="775"/>
      <c r="L37" s="775"/>
      <c r="M37" s="455"/>
      <c r="N37" s="788"/>
      <c r="O37" s="789"/>
      <c r="P37" s="790"/>
    </row>
    <row r="38" spans="1:16" ht="30" customHeight="1">
      <c r="A38" s="445">
        <v>36</v>
      </c>
      <c r="B38" s="782" t="s">
        <v>74</v>
      </c>
      <c r="C38" s="775"/>
      <c r="D38" s="772"/>
      <c r="E38" s="775"/>
      <c r="F38" s="775"/>
      <c r="G38" s="775"/>
      <c r="H38" s="780"/>
      <c r="I38" s="775"/>
      <c r="J38" s="775"/>
      <c r="K38" s="775"/>
      <c r="L38" s="775"/>
      <c r="M38" s="455"/>
      <c r="N38" s="788"/>
      <c r="O38" s="789"/>
      <c r="P38" s="790"/>
    </row>
    <row r="39" spans="1:16" ht="30" customHeight="1">
      <c r="A39" s="445">
        <v>37</v>
      </c>
      <c r="B39" s="781" t="s">
        <v>77</v>
      </c>
      <c r="C39" s="775">
        <v>860713.91666666605</v>
      </c>
      <c r="D39" s="772">
        <v>12</v>
      </c>
      <c r="E39" s="775">
        <f t="shared" si="0"/>
        <v>10328567</v>
      </c>
      <c r="F39" s="775"/>
      <c r="G39" s="775"/>
      <c r="H39" s="780">
        <v>505606.64</v>
      </c>
      <c r="I39" s="775"/>
      <c r="J39" s="775">
        <f t="shared" si="1"/>
        <v>505606.64</v>
      </c>
      <c r="K39" s="775">
        <f t="shared" si="2"/>
        <v>9822960.3599999994</v>
      </c>
      <c r="L39" s="775">
        <f t="shared" si="3"/>
        <v>1558132.8648000001</v>
      </c>
      <c r="M39" s="455">
        <v>12</v>
      </c>
      <c r="N39" s="788">
        <f t="shared" si="4"/>
        <v>129844.4054</v>
      </c>
      <c r="O39" s="789"/>
      <c r="P39" s="790"/>
    </row>
    <row r="40" spans="1:16" ht="30" customHeight="1">
      <c r="A40" s="445">
        <v>38</v>
      </c>
      <c r="B40" s="781" t="s">
        <v>79</v>
      </c>
      <c r="C40" s="775">
        <v>252806.63172043001</v>
      </c>
      <c r="D40" s="772">
        <v>12</v>
      </c>
      <c r="E40" s="775">
        <f t="shared" si="0"/>
        <v>3033679.5806451598</v>
      </c>
      <c r="F40" s="775"/>
      <c r="G40" s="775"/>
      <c r="H40" s="780">
        <v>463532.72</v>
      </c>
      <c r="I40" s="775"/>
      <c r="J40" s="775">
        <f t="shared" si="1"/>
        <v>463532.72</v>
      </c>
      <c r="K40" s="775">
        <f t="shared" si="2"/>
        <v>2570146.8606451601</v>
      </c>
      <c r="L40" s="775">
        <f t="shared" si="3"/>
        <v>265522.029096774</v>
      </c>
      <c r="M40" s="455">
        <v>12</v>
      </c>
      <c r="N40" s="788">
        <f t="shared" si="4"/>
        <v>22126.835758064499</v>
      </c>
      <c r="O40" s="789"/>
      <c r="P40" s="790"/>
    </row>
    <row r="41" spans="1:16" ht="30" customHeight="1">
      <c r="A41" s="445">
        <v>39</v>
      </c>
      <c r="B41" s="781" t="s">
        <v>82</v>
      </c>
      <c r="C41" s="775">
        <v>551159</v>
      </c>
      <c r="D41" s="772">
        <v>12</v>
      </c>
      <c r="E41" s="775">
        <f t="shared" si="0"/>
        <v>6613908</v>
      </c>
      <c r="F41" s="775">
        <v>160000</v>
      </c>
      <c r="G41" s="775"/>
      <c r="H41" s="780">
        <v>423512.64</v>
      </c>
      <c r="I41" s="775"/>
      <c r="J41" s="775">
        <f t="shared" si="1"/>
        <v>583512.64</v>
      </c>
      <c r="K41" s="775">
        <f t="shared" si="2"/>
        <v>6030395.3600000003</v>
      </c>
      <c r="L41" s="775">
        <f t="shared" si="3"/>
        <v>875471.16480000003</v>
      </c>
      <c r="M41" s="455">
        <v>12</v>
      </c>
      <c r="N41" s="788">
        <f t="shared" si="4"/>
        <v>72955.930399999997</v>
      </c>
      <c r="O41" s="789">
        <v>75355.930399999997</v>
      </c>
      <c r="P41" s="790">
        <f>O41-N41</f>
        <v>2400</v>
      </c>
    </row>
    <row r="42" spans="1:16" ht="30" customHeight="1">
      <c r="A42" s="445">
        <v>40</v>
      </c>
      <c r="B42" s="781" t="s">
        <v>83</v>
      </c>
      <c r="C42" s="775">
        <v>472145.33333333302</v>
      </c>
      <c r="D42" s="772">
        <v>12</v>
      </c>
      <c r="E42" s="775">
        <f t="shared" si="0"/>
        <v>5665744</v>
      </c>
      <c r="F42" s="775"/>
      <c r="G42" s="775"/>
      <c r="H42" s="780">
        <v>357259.51999999903</v>
      </c>
      <c r="I42" s="775"/>
      <c r="J42" s="775">
        <f t="shared" si="1"/>
        <v>357259.51999999903</v>
      </c>
      <c r="K42" s="775">
        <f t="shared" si="2"/>
        <v>5308484.4800000004</v>
      </c>
      <c r="L42" s="775">
        <f t="shared" si="3"/>
        <v>745527.20640000002</v>
      </c>
      <c r="M42" s="455">
        <v>12</v>
      </c>
      <c r="N42" s="788">
        <f t="shared" si="4"/>
        <v>62127.267200000002</v>
      </c>
      <c r="O42" s="789"/>
      <c r="P42" s="790"/>
    </row>
    <row r="43" spans="1:16" ht="30" customHeight="1">
      <c r="A43" s="445">
        <v>41</v>
      </c>
      <c r="B43" s="782" t="s">
        <v>42</v>
      </c>
      <c r="C43" s="775"/>
      <c r="D43" s="772"/>
      <c r="E43" s="775"/>
      <c r="F43" s="775"/>
      <c r="G43" s="775"/>
      <c r="H43" s="780"/>
      <c r="I43" s="775"/>
      <c r="J43" s="775"/>
      <c r="K43" s="775"/>
      <c r="L43" s="775"/>
      <c r="M43" s="455"/>
      <c r="N43" s="788">
        <f>SUM(N39:N42)</f>
        <v>287054.438758064</v>
      </c>
      <c r="O43" s="788"/>
      <c r="P43" s="788"/>
    </row>
    <row r="44" spans="1:16" ht="30" customHeight="1">
      <c r="A44" s="445"/>
      <c r="B44" s="781"/>
      <c r="C44" s="783"/>
      <c r="D44" s="784"/>
      <c r="E44" s="783"/>
      <c r="F44" s="783"/>
      <c r="G44" s="783"/>
      <c r="H44" s="783"/>
      <c r="I44" s="783"/>
      <c r="J44" s="783"/>
      <c r="K44" s="783"/>
      <c r="L44" s="783"/>
      <c r="M44" s="783"/>
      <c r="N44" s="791"/>
      <c r="O44" s="789"/>
      <c r="P44" s="790"/>
    </row>
    <row r="45" spans="1:16" ht="30" customHeight="1">
      <c r="A45" s="445"/>
      <c r="B45" s="779" t="s">
        <v>84</v>
      </c>
      <c r="C45" s="775"/>
      <c r="D45" s="772"/>
      <c r="E45" s="775"/>
      <c r="F45" s="775"/>
      <c r="G45" s="775"/>
      <c r="H45" s="780"/>
      <c r="I45" s="775"/>
      <c r="J45" s="775"/>
      <c r="K45" s="775"/>
      <c r="L45" s="775"/>
      <c r="M45" s="455"/>
      <c r="N45" s="788"/>
      <c r="O45" s="789"/>
      <c r="P45" s="790"/>
    </row>
    <row r="46" spans="1:16" ht="30" customHeight="1">
      <c r="A46" s="445"/>
      <c r="B46" s="781" t="s">
        <v>85</v>
      </c>
      <c r="C46" s="775">
        <v>337890.91666666698</v>
      </c>
      <c r="D46" s="772">
        <v>12</v>
      </c>
      <c r="E46" s="775">
        <f>C46*D46</f>
        <v>4054691</v>
      </c>
      <c r="F46" s="775"/>
      <c r="G46" s="775"/>
      <c r="H46" s="775">
        <v>276375.28000000102</v>
      </c>
      <c r="I46" s="775"/>
      <c r="J46" s="775">
        <f>F46+G46+H46</f>
        <v>276375.28000000102</v>
      </c>
      <c r="K46" s="775">
        <f>E46-J46</f>
        <v>3778315.72</v>
      </c>
      <c r="L46" s="775">
        <f>IF(K46&lt;=800000,0,IF(K46&lt;=3000000,(K46-800000)*15%,IF(K46&lt;=12000000,330000+(K46-3000000)*18%,IF(K46&lt;=25000000,1950000+(K46-12000000)*21%,IF(K46&lt;=50000000,4680000+(K46-25000000)*23%,10430000+(K46-50000000)*25%)))))</f>
        <v>470096.82960000099</v>
      </c>
      <c r="M46" s="455">
        <v>12</v>
      </c>
      <c r="N46" s="788">
        <f>L46/M46</f>
        <v>39174.735800000002</v>
      </c>
      <c r="O46" s="789"/>
      <c r="P46" s="790"/>
    </row>
    <row r="47" spans="1:16" ht="30" customHeight="1">
      <c r="A47" s="445">
        <v>1</v>
      </c>
      <c r="B47" s="782" t="s">
        <v>42</v>
      </c>
      <c r="C47" s="775"/>
      <c r="D47" s="772"/>
      <c r="E47" s="775"/>
      <c r="F47" s="775"/>
      <c r="G47" s="775"/>
      <c r="H47" s="775"/>
      <c r="I47" s="775"/>
      <c r="J47" s="775"/>
      <c r="K47" s="775"/>
      <c r="L47" s="775"/>
      <c r="M47" s="455"/>
      <c r="N47" s="788"/>
      <c r="O47" s="789"/>
      <c r="P47" s="790"/>
    </row>
    <row r="48" spans="1:16" ht="30" customHeight="1">
      <c r="A48" s="445">
        <v>2</v>
      </c>
      <c r="B48" s="773"/>
      <c r="C48" s="775"/>
      <c r="D48" s="772"/>
      <c r="E48" s="775"/>
      <c r="F48" s="775"/>
      <c r="G48" s="775"/>
      <c r="H48" s="775"/>
      <c r="I48" s="775"/>
      <c r="J48" s="775"/>
      <c r="K48" s="775"/>
      <c r="L48" s="775"/>
      <c r="M48" s="455"/>
      <c r="N48" s="788"/>
      <c r="O48" s="789"/>
      <c r="P48" s="790"/>
    </row>
    <row r="49" spans="1:16" ht="30" customHeight="1">
      <c r="A49" s="445">
        <v>4</v>
      </c>
      <c r="B49" s="779" t="s">
        <v>97</v>
      </c>
      <c r="C49" s="775"/>
      <c r="D49" s="772"/>
      <c r="E49" s="775"/>
      <c r="F49" s="775"/>
      <c r="G49" s="775"/>
      <c r="H49" s="780"/>
      <c r="I49" s="775"/>
      <c r="J49" s="775"/>
      <c r="K49" s="775"/>
      <c r="L49" s="775"/>
      <c r="M49" s="455"/>
      <c r="N49" s="788"/>
      <c r="O49" s="789"/>
      <c r="P49" s="790"/>
    </row>
    <row r="50" spans="1:16" ht="30" customHeight="1">
      <c r="A50" s="445">
        <v>5</v>
      </c>
      <c r="B50" s="773" t="s">
        <v>98</v>
      </c>
      <c r="C50" s="775">
        <v>780713.91666666605</v>
      </c>
      <c r="D50" s="772">
        <v>12</v>
      </c>
      <c r="E50" s="775">
        <f>C50*D50</f>
        <v>9368566.9999999907</v>
      </c>
      <c r="F50" s="775"/>
      <c r="G50" s="775"/>
      <c r="H50" s="780">
        <v>672685.36</v>
      </c>
      <c r="I50" s="775"/>
      <c r="J50" s="775">
        <f>F50+G50+H50</f>
        <v>672685.36</v>
      </c>
      <c r="K50" s="775">
        <f>E50-J50</f>
        <v>8695881.6399999894</v>
      </c>
      <c r="L50" s="775">
        <f>IF(K50&lt;=800000,0,IF(K50&lt;=3000000,(K50-800000)*15%,IF(K50&lt;=12000000,330000+(K50-3000000)*18%,IF(K50&lt;=25000000,1950000+(K50-12000000)*21%,IF(K50&lt;=50000000,4680000+(K50-25000000)*23%,10430000+(K50-50000000)*25%)))))</f>
        <v>1355258.6952</v>
      </c>
      <c r="M50" s="455">
        <v>12</v>
      </c>
      <c r="N50" s="788">
        <f>L50/M50</f>
        <v>112938.2246</v>
      </c>
      <c r="O50" s="789"/>
      <c r="P50" s="790"/>
    </row>
    <row r="51" spans="1:16" ht="30" customHeight="1">
      <c r="A51" s="445">
        <v>6</v>
      </c>
      <c r="B51" s="773" t="s">
        <v>100</v>
      </c>
      <c r="C51" s="775">
        <v>337890.91666666698</v>
      </c>
      <c r="D51" s="772">
        <v>12</v>
      </c>
      <c r="E51" s="775">
        <f>C51*D51</f>
        <v>4054691</v>
      </c>
      <c r="F51" s="775"/>
      <c r="G51" s="775"/>
      <c r="H51" s="780">
        <v>276375.28000000102</v>
      </c>
      <c r="I51" s="775"/>
      <c r="J51" s="775">
        <f>F51+G51+H51</f>
        <v>276375.28000000102</v>
      </c>
      <c r="K51" s="775">
        <f>E51-J51</f>
        <v>3778315.72</v>
      </c>
      <c r="L51" s="775">
        <f>IF(K51&lt;=800000,0,IF(K51&lt;=3000000,(K51-800000)*15%,IF(K51&lt;=12000000,330000+(K51-3000000)*18%,IF(K51&lt;=25000000,1950000+(K51-12000000)*21%,IF(K51&lt;=50000000,4680000+(K51-25000000)*23%,10430000+(K51-50000000)*25%)))))</f>
        <v>470096.8296</v>
      </c>
      <c r="M51" s="455">
        <v>12</v>
      </c>
      <c r="N51" s="788">
        <f>L51/M51</f>
        <v>39174.735800000002</v>
      </c>
      <c r="O51" s="789"/>
      <c r="P51" s="790"/>
    </row>
    <row r="52" spans="1:16" ht="30" customHeight="1">
      <c r="A52" s="445">
        <v>7</v>
      </c>
      <c r="B52" s="773" t="s">
        <v>42</v>
      </c>
      <c r="C52" s="775"/>
      <c r="D52" s="772"/>
      <c r="E52" s="775"/>
      <c r="F52" s="775"/>
      <c r="G52" s="775"/>
      <c r="H52" s="780"/>
      <c r="I52" s="775"/>
      <c r="J52" s="775"/>
      <c r="K52" s="775"/>
      <c r="L52" s="775"/>
      <c r="M52" s="455"/>
      <c r="N52" s="788">
        <f>SUM(N50:N51)</f>
        <v>152112.96040000001</v>
      </c>
      <c r="O52" s="788"/>
      <c r="P52" s="788"/>
    </row>
    <row r="53" spans="1:16" ht="30" customHeight="1">
      <c r="A53" s="445"/>
      <c r="C53" s="783"/>
      <c r="D53" s="784"/>
      <c r="E53" s="783"/>
      <c r="F53" s="783"/>
      <c r="G53" s="783"/>
      <c r="H53" s="783"/>
      <c r="I53" s="783"/>
      <c r="J53" s="783"/>
      <c r="K53" s="783"/>
      <c r="L53" s="783"/>
      <c r="M53" s="783"/>
      <c r="N53" s="791"/>
      <c r="O53" s="789"/>
      <c r="P53" s="790"/>
    </row>
    <row r="54" spans="1:16" ht="30" customHeight="1">
      <c r="A54" s="445">
        <v>1</v>
      </c>
      <c r="B54" s="779" t="s">
        <v>103</v>
      </c>
      <c r="C54" s="775"/>
      <c r="D54" s="772"/>
      <c r="E54" s="775"/>
      <c r="F54" s="775"/>
      <c r="G54" s="785"/>
      <c r="H54" s="780"/>
      <c r="I54" s="785"/>
      <c r="J54" s="775"/>
      <c r="K54" s="775"/>
      <c r="L54" s="775"/>
      <c r="M54" s="455"/>
      <c r="N54" s="788"/>
      <c r="O54" s="789"/>
      <c r="P54" s="790"/>
    </row>
    <row r="55" spans="1:16" ht="30" customHeight="1">
      <c r="A55" s="445">
        <v>2</v>
      </c>
      <c r="B55" s="776" t="s">
        <v>104</v>
      </c>
      <c r="C55" s="775">
        <v>942711.08333299996</v>
      </c>
      <c r="D55" s="772">
        <v>12</v>
      </c>
      <c r="E55" s="775">
        <f t="shared" ref="E55:E63" si="5">C55*D55</f>
        <v>11312532.999996001</v>
      </c>
      <c r="F55" s="775"/>
      <c r="G55" s="785"/>
      <c r="H55" s="780">
        <v>818602.64</v>
      </c>
      <c r="I55" s="785"/>
      <c r="J55" s="775">
        <f t="shared" ref="J55:J63" si="6">F55+G55+H55</f>
        <v>818602.64</v>
      </c>
      <c r="K55" s="775">
        <f t="shared" ref="K55:K63" si="7">E55-J55</f>
        <v>10493930.359996</v>
      </c>
      <c r="L55" s="775">
        <f t="shared" ref="L55:L63" si="8">IF(K55&lt;=800000,0,IF(K55&lt;=3000000,(K55-800000)*15%,IF(K55&lt;=12000000,330000+(K55-3000000)*18%,IF(K55&lt;=25000000,1950000+(K55-12000000)*21%,IF(K55&lt;=50000000,4680000+(K55-25000000)*23%,10430000+(K55-50000000)*25%)))))</f>
        <v>1678907.46479928</v>
      </c>
      <c r="M55" s="455">
        <v>12</v>
      </c>
      <c r="N55" s="788">
        <f t="shared" ref="N55:N63" si="9">L55/M55</f>
        <v>139908.95539993999</v>
      </c>
      <c r="O55" s="789"/>
      <c r="P55" s="790"/>
    </row>
    <row r="56" spans="1:16" ht="30" customHeight="1">
      <c r="A56" s="445">
        <v>3</v>
      </c>
      <c r="B56" s="773" t="s">
        <v>107</v>
      </c>
      <c r="C56" s="775">
        <v>780713.91666666605</v>
      </c>
      <c r="D56" s="772">
        <v>12</v>
      </c>
      <c r="E56" s="775">
        <f t="shared" si="5"/>
        <v>9368566.9999999907</v>
      </c>
      <c r="F56" s="775"/>
      <c r="G56" s="785"/>
      <c r="H56" s="780">
        <v>672685.36</v>
      </c>
      <c r="I56" s="785"/>
      <c r="J56" s="775">
        <f t="shared" si="6"/>
        <v>672685.36</v>
      </c>
      <c r="K56" s="775">
        <f t="shared" si="7"/>
        <v>8695881.6399999894</v>
      </c>
      <c r="L56" s="775">
        <f t="shared" si="8"/>
        <v>1355258.6952</v>
      </c>
      <c r="M56" s="455">
        <v>12</v>
      </c>
      <c r="N56" s="788">
        <f t="shared" si="9"/>
        <v>112938.2246</v>
      </c>
      <c r="O56" s="789"/>
      <c r="P56" s="790"/>
    </row>
    <row r="57" spans="1:16" ht="30" customHeight="1">
      <c r="A57" s="445">
        <v>4</v>
      </c>
      <c r="B57" s="773" t="s">
        <v>109</v>
      </c>
      <c r="C57" s="775">
        <v>432145.33333333302</v>
      </c>
      <c r="D57" s="772">
        <v>12</v>
      </c>
      <c r="E57" s="775">
        <f t="shared" si="5"/>
        <v>5185744</v>
      </c>
      <c r="F57" s="775"/>
      <c r="G57" s="775"/>
      <c r="H57" s="780">
        <v>357259.51999999903</v>
      </c>
      <c r="I57" s="785"/>
      <c r="J57" s="775">
        <f t="shared" si="6"/>
        <v>357259.51999999903</v>
      </c>
      <c r="K57" s="775">
        <f t="shared" si="7"/>
        <v>4828484.4800000004</v>
      </c>
      <c r="L57" s="775">
        <f t="shared" si="8"/>
        <v>659127.20640000002</v>
      </c>
      <c r="M57" s="455">
        <v>12</v>
      </c>
      <c r="N57" s="788">
        <f t="shared" si="9"/>
        <v>54927.267200000002</v>
      </c>
      <c r="O57" s="789"/>
      <c r="P57" s="790"/>
    </row>
    <row r="58" spans="1:16" ht="30" customHeight="1">
      <c r="A58" s="445">
        <v>5</v>
      </c>
      <c r="B58" s="773" t="s">
        <v>111</v>
      </c>
      <c r="C58" s="775">
        <v>390408.08333333302</v>
      </c>
      <c r="D58" s="772">
        <v>12</v>
      </c>
      <c r="E58" s="775">
        <f t="shared" si="5"/>
        <v>4684897</v>
      </c>
      <c r="F58" s="775"/>
      <c r="G58" s="775"/>
      <c r="H58" s="780">
        <v>317191.75999999902</v>
      </c>
      <c r="I58" s="785"/>
      <c r="J58" s="775">
        <f t="shared" si="6"/>
        <v>317191.75999999902</v>
      </c>
      <c r="K58" s="775">
        <f t="shared" si="7"/>
        <v>4367705.24</v>
      </c>
      <c r="L58" s="775">
        <f t="shared" si="8"/>
        <v>576186.94319999998</v>
      </c>
      <c r="M58" s="455">
        <v>12</v>
      </c>
      <c r="N58" s="788">
        <f t="shared" si="9"/>
        <v>48015.578600000001</v>
      </c>
      <c r="O58" s="789"/>
      <c r="P58" s="790"/>
    </row>
    <row r="59" spans="1:16" ht="30" customHeight="1">
      <c r="A59" s="445">
        <v>6</v>
      </c>
      <c r="B59" s="773" t="s">
        <v>113</v>
      </c>
      <c r="C59" s="775">
        <v>163719.51881720399</v>
      </c>
      <c r="D59" s="772">
        <v>12</v>
      </c>
      <c r="E59" s="775">
        <f t="shared" si="5"/>
        <v>1964634.22580645</v>
      </c>
      <c r="F59" s="775"/>
      <c r="G59" s="775"/>
      <c r="H59" s="780">
        <v>317191.75999999902</v>
      </c>
      <c r="I59" s="785"/>
      <c r="J59" s="775">
        <f t="shared" si="6"/>
        <v>317191.75999999902</v>
      </c>
      <c r="K59" s="775">
        <f t="shared" si="7"/>
        <v>1647442.46580645</v>
      </c>
      <c r="L59" s="775">
        <f t="shared" si="8"/>
        <v>127116.369870967</v>
      </c>
      <c r="M59" s="455">
        <v>12</v>
      </c>
      <c r="N59" s="788">
        <f t="shared" si="9"/>
        <v>10593.0308225806</v>
      </c>
      <c r="O59" s="789"/>
      <c r="P59" s="790"/>
    </row>
    <row r="60" spans="1:16" ht="30" customHeight="1">
      <c r="A60" s="445">
        <v>7</v>
      </c>
      <c r="B60" s="773" t="s">
        <v>114</v>
      </c>
      <c r="C60" s="775">
        <v>337890.91666666698</v>
      </c>
      <c r="D60" s="772">
        <v>12</v>
      </c>
      <c r="E60" s="775">
        <f t="shared" si="5"/>
        <v>4054691</v>
      </c>
      <c r="F60" s="775"/>
      <c r="G60" s="775"/>
      <c r="H60" s="780">
        <v>276375.28000000102</v>
      </c>
      <c r="I60" s="785"/>
      <c r="J60" s="775">
        <f t="shared" si="6"/>
        <v>276375.28000000102</v>
      </c>
      <c r="K60" s="775">
        <f t="shared" si="7"/>
        <v>3778315.72</v>
      </c>
      <c r="L60" s="775">
        <f t="shared" si="8"/>
        <v>470096.8296</v>
      </c>
      <c r="M60" s="455">
        <v>12</v>
      </c>
      <c r="N60" s="788">
        <f t="shared" si="9"/>
        <v>39174.735800000002</v>
      </c>
      <c r="O60" s="789"/>
      <c r="P60" s="790"/>
    </row>
    <row r="61" spans="1:16" ht="30" customHeight="1">
      <c r="A61" s="445">
        <v>8</v>
      </c>
      <c r="B61" s="773" t="s">
        <v>117</v>
      </c>
      <c r="C61" s="775">
        <v>156912.66666666701</v>
      </c>
      <c r="D61" s="772">
        <v>12</v>
      </c>
      <c r="E61" s="775">
        <f t="shared" si="5"/>
        <v>1882952</v>
      </c>
      <c r="F61" s="775"/>
      <c r="G61" s="775"/>
      <c r="H61" s="780">
        <v>129516.16000000099</v>
      </c>
      <c r="I61" s="785"/>
      <c r="J61" s="775">
        <f t="shared" si="6"/>
        <v>129516.16000000099</v>
      </c>
      <c r="K61" s="775">
        <f t="shared" si="7"/>
        <v>1753435.84</v>
      </c>
      <c r="L61" s="775">
        <f t="shared" si="8"/>
        <v>143015.37599999999</v>
      </c>
      <c r="M61" s="455">
        <v>12</v>
      </c>
      <c r="N61" s="788">
        <f t="shared" si="9"/>
        <v>11917.948</v>
      </c>
      <c r="O61" s="789"/>
      <c r="P61" s="790"/>
    </row>
    <row r="62" spans="1:16" ht="30" customHeight="1">
      <c r="A62" s="445">
        <v>9</v>
      </c>
      <c r="B62" s="776" t="s">
        <v>120</v>
      </c>
      <c r="C62" s="775">
        <v>146124.08333333299</v>
      </c>
      <c r="D62" s="772">
        <v>12</v>
      </c>
      <c r="E62" s="775">
        <f t="shared" si="5"/>
        <v>1753489</v>
      </c>
      <c r="F62" s="775"/>
      <c r="G62" s="775"/>
      <c r="H62" s="780">
        <v>119159.12</v>
      </c>
      <c r="I62" s="785"/>
      <c r="J62" s="775">
        <f t="shared" si="6"/>
        <v>119159.12</v>
      </c>
      <c r="K62" s="775">
        <f t="shared" si="7"/>
        <v>1634329.88</v>
      </c>
      <c r="L62" s="775">
        <f t="shared" si="8"/>
        <v>125149.481999999</v>
      </c>
      <c r="M62" s="455">
        <v>12</v>
      </c>
      <c r="N62" s="788">
        <f t="shared" si="9"/>
        <v>10429.1234999999</v>
      </c>
      <c r="O62" s="789"/>
      <c r="P62" s="790"/>
    </row>
    <row r="63" spans="1:16" ht="30" customHeight="1">
      <c r="A63" s="445">
        <v>10</v>
      </c>
      <c r="B63" s="773" t="s">
        <v>123</v>
      </c>
      <c r="C63" s="775">
        <v>146124.08333333299</v>
      </c>
      <c r="D63" s="772">
        <v>12</v>
      </c>
      <c r="E63" s="775">
        <f t="shared" si="5"/>
        <v>1753489</v>
      </c>
      <c r="F63" s="775"/>
      <c r="G63" s="775"/>
      <c r="H63" s="780">
        <v>119159.12</v>
      </c>
      <c r="I63" s="785"/>
      <c r="J63" s="775">
        <f t="shared" si="6"/>
        <v>119159.12</v>
      </c>
      <c r="K63" s="775">
        <f t="shared" si="7"/>
        <v>1634329.88</v>
      </c>
      <c r="L63" s="775">
        <f t="shared" si="8"/>
        <v>125149.481999999</v>
      </c>
      <c r="M63" s="455">
        <v>12</v>
      </c>
      <c r="N63" s="788">
        <f t="shared" si="9"/>
        <v>10429.1234999999</v>
      </c>
      <c r="O63" s="789"/>
      <c r="P63" s="790"/>
    </row>
    <row r="64" spans="1:16" ht="26.1" customHeight="1">
      <c r="A64" s="445">
        <v>11</v>
      </c>
      <c r="B64" s="773" t="s">
        <v>42</v>
      </c>
      <c r="C64" s="775"/>
      <c r="D64" s="775"/>
      <c r="E64" s="775"/>
      <c r="F64" s="775"/>
      <c r="G64" s="775"/>
      <c r="H64" s="775"/>
      <c r="I64" s="775"/>
      <c r="J64" s="775"/>
      <c r="K64" s="775"/>
      <c r="L64" s="775"/>
      <c r="M64" s="775"/>
      <c r="N64" s="775">
        <f>SUM(N55:N63)</f>
        <v>438333.98742252</v>
      </c>
      <c r="O64" s="775"/>
      <c r="P64" s="775"/>
    </row>
    <row r="65" spans="1:16" ht="26.1" customHeight="1">
      <c r="A65" s="445"/>
      <c r="B65" s="773"/>
      <c r="C65" s="775"/>
      <c r="D65" s="775"/>
      <c r="E65" s="775"/>
      <c r="F65" s="775"/>
      <c r="G65" s="775"/>
      <c r="H65" s="775"/>
      <c r="I65" s="775"/>
      <c r="J65" s="775"/>
      <c r="K65" s="775"/>
      <c r="L65" s="775"/>
      <c r="M65" s="775"/>
      <c r="N65" s="775">
        <f>N64+N52+N46+N43+N36+N29+N24+N10</f>
        <v>2421771.2623063899</v>
      </c>
      <c r="O65" s="775"/>
      <c r="P65" s="775"/>
    </row>
    <row r="67" spans="1:16">
      <c r="N67" s="193"/>
      <c r="P67" s="391"/>
    </row>
    <row r="69" spans="1:16">
      <c r="P69" s="19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9"/>
  <sheetViews>
    <sheetView zoomScaleSheetLayoutView="50" workbookViewId="0">
      <pane xSplit="3" ySplit="6" topLeftCell="D38" activePane="bottomRight" state="frozen"/>
      <selection pane="topRight"/>
      <selection pane="bottomLeft"/>
      <selection pane="bottomRight" activeCell="B42" sqref="B42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9.28515625" style="1" customWidth="1"/>
    <col min="6" max="6" width="17.42578125" style="1" customWidth="1"/>
    <col min="7" max="7" width="15.42578125" style="1" customWidth="1"/>
    <col min="8" max="8" width="16.42578125" style="1" customWidth="1"/>
    <col min="9" max="9" width="12.42578125" style="1" customWidth="1"/>
    <col min="10" max="10" width="18.28515625" style="1" customWidth="1"/>
    <col min="11" max="11" width="9.140625" style="1" customWidth="1"/>
    <col min="12" max="12" width="18.42578125" style="1" customWidth="1"/>
    <col min="13" max="13" width="17.7109375" style="1" customWidth="1"/>
    <col min="14" max="14" width="16" style="1" customWidth="1"/>
    <col min="15" max="15" width="19.85546875" style="1" customWidth="1"/>
    <col min="16" max="16" width="18.140625" style="1" customWidth="1"/>
    <col min="17" max="17" width="19.28515625" style="1" customWidth="1"/>
    <col min="18" max="18" width="18.7109375" style="1" customWidth="1"/>
    <col min="19" max="16384" width="9.140625" style="1"/>
  </cols>
  <sheetData>
    <row r="1" spans="1:18" ht="27" customHeight="1">
      <c r="A1" s="838" t="s">
        <v>0</v>
      </c>
      <c r="B1" s="838"/>
      <c r="C1" s="838"/>
      <c r="D1" s="838"/>
      <c r="E1" s="838"/>
      <c r="F1" s="838"/>
      <c r="G1" s="199"/>
      <c r="H1" s="199"/>
      <c r="I1" s="199"/>
    </row>
    <row r="2" spans="1:18" ht="33.75" customHeight="1">
      <c r="A2" s="63" t="s">
        <v>193</v>
      </c>
      <c r="B2" s="64"/>
      <c r="C2" s="63"/>
      <c r="D2" s="63"/>
      <c r="E2" s="198"/>
      <c r="F2" s="198"/>
      <c r="G2" s="279"/>
      <c r="H2" s="279"/>
      <c r="I2" s="279"/>
      <c r="J2" s="65"/>
      <c r="K2" s="65"/>
      <c r="L2" s="65"/>
      <c r="M2" s="65"/>
      <c r="N2" s="65"/>
      <c r="O2" s="65"/>
      <c r="P2" s="65"/>
      <c r="Q2" s="65"/>
      <c r="R2" s="65"/>
    </row>
    <row r="3" spans="1:18" ht="9.75" customHeight="1">
      <c r="A3" s="2"/>
      <c r="B3" s="2"/>
      <c r="C3" s="2"/>
      <c r="D3" s="2"/>
      <c r="E3" s="199" t="e">
        <f>'[1]FEB 08'!E11/'[1]FEB 08'!M11</f>
        <v>#REF!</v>
      </c>
      <c r="F3" s="199"/>
      <c r="G3" s="199"/>
      <c r="H3" s="199"/>
      <c r="I3" s="199"/>
    </row>
    <row r="4" spans="1:18" ht="49.5" customHeight="1">
      <c r="A4" s="3"/>
      <c r="B4" s="4" t="s">
        <v>2</v>
      </c>
      <c r="C4" s="5" t="s">
        <v>3</v>
      </c>
      <c r="D4" s="6" t="s">
        <v>4</v>
      </c>
      <c r="E4" s="200" t="s">
        <v>5</v>
      </c>
      <c r="F4" s="200" t="s">
        <v>194</v>
      </c>
      <c r="G4" s="200" t="s">
        <v>7</v>
      </c>
      <c r="H4" s="200" t="s">
        <v>7</v>
      </c>
      <c r="I4" s="200" t="s">
        <v>8</v>
      </c>
      <c r="J4" s="760" t="s">
        <v>9</v>
      </c>
      <c r="K4" s="200" t="s">
        <v>10</v>
      </c>
      <c r="L4" s="200" t="s">
        <v>195</v>
      </c>
      <c r="M4" s="200" t="s">
        <v>196</v>
      </c>
      <c r="N4" s="200" t="s">
        <v>14</v>
      </c>
      <c r="O4" s="23" t="s">
        <v>15</v>
      </c>
      <c r="P4" s="200" t="s">
        <v>16</v>
      </c>
      <c r="Q4" s="200" t="s">
        <v>17</v>
      </c>
      <c r="R4" s="768" t="s">
        <v>197</v>
      </c>
    </row>
    <row r="5" spans="1:18" ht="17.25" customHeight="1">
      <c r="C5" s="7"/>
      <c r="D5" s="7"/>
      <c r="E5" s="69" t="s">
        <v>20</v>
      </c>
      <c r="F5" s="69" t="s">
        <v>20</v>
      </c>
      <c r="G5" s="69" t="s">
        <v>20</v>
      </c>
      <c r="H5" s="69" t="s">
        <v>20</v>
      </c>
      <c r="I5" s="69" t="s">
        <v>20</v>
      </c>
      <c r="J5" s="741" t="s">
        <v>20</v>
      </c>
      <c r="K5" s="69" t="s">
        <v>20</v>
      </c>
      <c r="L5" s="69" t="s">
        <v>20</v>
      </c>
      <c r="M5" s="69" t="s">
        <v>20</v>
      </c>
      <c r="N5" s="69" t="s">
        <v>20</v>
      </c>
      <c r="O5" s="69" t="s">
        <v>20</v>
      </c>
      <c r="P5" s="69" t="s">
        <v>20</v>
      </c>
      <c r="Q5" s="69" t="s">
        <v>20</v>
      </c>
      <c r="R5" s="489" t="s">
        <v>20</v>
      </c>
    </row>
    <row r="6" spans="1:18" ht="20.100000000000001" customHeight="1">
      <c r="A6" s="8" t="s">
        <v>21</v>
      </c>
      <c r="B6" s="7" t="s">
        <v>22</v>
      </c>
      <c r="C6" s="7"/>
      <c r="D6" s="7"/>
      <c r="E6" s="69"/>
      <c r="F6" s="20"/>
      <c r="G6" s="69"/>
      <c r="H6" s="69"/>
      <c r="I6" s="69"/>
      <c r="J6" s="741"/>
      <c r="K6" s="69"/>
      <c r="L6" s="69"/>
      <c r="M6" s="69"/>
      <c r="N6" s="69"/>
      <c r="O6" s="69"/>
      <c r="P6" s="69"/>
      <c r="Q6" s="69"/>
      <c r="R6" s="489"/>
    </row>
    <row r="7" spans="1:18" ht="20.100000000000001" customHeight="1">
      <c r="A7" s="9">
        <v>1</v>
      </c>
      <c r="B7" s="745" t="s">
        <v>24</v>
      </c>
      <c r="C7" s="745" t="s">
        <v>25</v>
      </c>
      <c r="D7" s="745" t="s">
        <v>26</v>
      </c>
      <c r="E7" s="72">
        <v>700713.91666666605</v>
      </c>
      <c r="F7" s="72"/>
      <c r="G7" s="202"/>
      <c r="H7" s="202">
        <f>80000</f>
        <v>80000</v>
      </c>
      <c r="I7" s="72"/>
      <c r="J7" s="761">
        <f t="shared" ref="J7:J13" si="0">E7+F7+G7+H7+I7</f>
        <v>780713.91666666605</v>
      </c>
      <c r="K7" s="72"/>
      <c r="L7" s="72"/>
      <c r="M7" s="72"/>
      <c r="N7" s="72"/>
      <c r="O7" s="72">
        <v>112938.2246</v>
      </c>
      <c r="P7" s="72">
        <f t="shared" ref="P7:P13" si="1">0.08*E7</f>
        <v>56057.113333333298</v>
      </c>
      <c r="Q7" s="750">
        <f t="shared" ref="Q7:Q13" si="2">P7+O7+N7+M7+L7+K7</f>
        <v>168995.33793333301</v>
      </c>
      <c r="R7" s="769">
        <f t="shared" ref="R7:R13" si="3">J7-Q7</f>
        <v>611718.57873333304</v>
      </c>
    </row>
    <row r="8" spans="1:18" ht="18.75" customHeight="1">
      <c r="A8" s="9">
        <v>2</v>
      </c>
      <c r="B8" s="17" t="s">
        <v>27</v>
      </c>
      <c r="C8" s="3" t="s">
        <v>28</v>
      </c>
      <c r="D8" s="9" t="s">
        <v>29</v>
      </c>
      <c r="E8" s="72">
        <f>'[2] FGN 2024 MGT Monthly'!$H$42+'[2]Peculiar Allowance'!$H$42</f>
        <v>526673.58333333302</v>
      </c>
      <c r="F8" s="72"/>
      <c r="G8" s="202"/>
      <c r="H8" s="202">
        <v>70000</v>
      </c>
      <c r="I8" s="72"/>
      <c r="J8" s="761">
        <f t="shared" si="0"/>
        <v>596673.58333333302</v>
      </c>
      <c r="K8" s="72"/>
      <c r="L8" s="72"/>
      <c r="M8" s="72"/>
      <c r="N8" s="72"/>
      <c r="O8" s="72">
        <v>82317.145399999907</v>
      </c>
      <c r="P8" s="72">
        <f t="shared" si="1"/>
        <v>42133.886666666702</v>
      </c>
      <c r="Q8" s="750">
        <f t="shared" si="2"/>
        <v>124451.032066667</v>
      </c>
      <c r="R8" s="769">
        <f t="shared" si="3"/>
        <v>472222.55126666703</v>
      </c>
    </row>
    <row r="9" spans="1:18" ht="20.100000000000001" customHeight="1">
      <c r="A9" s="9">
        <v>3</v>
      </c>
      <c r="B9" s="17" t="s">
        <v>30</v>
      </c>
      <c r="C9" s="11" t="s">
        <v>31</v>
      </c>
      <c r="D9" s="9" t="s">
        <v>32</v>
      </c>
      <c r="E9" s="72">
        <f>'[2]Peculiar Allowance'!$H$40+'[2] FGN 2024 MGT Monthly'!$H$40</f>
        <v>441159</v>
      </c>
      <c r="F9" s="72"/>
      <c r="G9" s="202"/>
      <c r="H9" s="202">
        <v>60000</v>
      </c>
      <c r="I9" s="72"/>
      <c r="J9" s="761">
        <f t="shared" si="0"/>
        <v>501159</v>
      </c>
      <c r="K9" s="72"/>
      <c r="L9" s="658"/>
      <c r="M9" s="658"/>
      <c r="N9" s="3"/>
      <c r="O9" s="658">
        <v>66355.930399999997</v>
      </c>
      <c r="P9" s="72">
        <f t="shared" si="1"/>
        <v>35292.720000000001</v>
      </c>
      <c r="Q9" s="750">
        <f t="shared" si="2"/>
        <v>101648.6504</v>
      </c>
      <c r="R9" s="769">
        <f t="shared" si="3"/>
        <v>399510.34960000002</v>
      </c>
    </row>
    <row r="10" spans="1:18" ht="20.100000000000001" customHeight="1">
      <c r="A10" s="9">
        <v>4</v>
      </c>
      <c r="B10" s="17" t="s">
        <v>33</v>
      </c>
      <c r="C10" s="11" t="s">
        <v>34</v>
      </c>
      <c r="D10" s="9" t="s">
        <v>32</v>
      </c>
      <c r="E10" s="72">
        <f>'[2]Peculiar Allowance'!$H$40+'[2] FGN 2024 MGT Monthly'!$H$40</f>
        <v>441159</v>
      </c>
      <c r="F10" s="72"/>
      <c r="G10" s="202">
        <v>110000</v>
      </c>
      <c r="H10" s="202"/>
      <c r="I10" s="72"/>
      <c r="J10" s="761">
        <f t="shared" si="0"/>
        <v>551159</v>
      </c>
      <c r="K10" s="72"/>
      <c r="L10" s="658"/>
      <c r="M10" s="658"/>
      <c r="N10" s="3"/>
      <c r="O10" s="658">
        <v>75355.930399999997</v>
      </c>
      <c r="P10" s="72">
        <v>35292.720000000001</v>
      </c>
      <c r="Q10" s="750">
        <f t="shared" si="2"/>
        <v>110648.6504</v>
      </c>
      <c r="R10" s="769">
        <f t="shared" si="3"/>
        <v>440510.34960000002</v>
      </c>
    </row>
    <row r="11" spans="1:18" ht="18.75" customHeight="1">
      <c r="A11" s="9">
        <v>5</v>
      </c>
      <c r="B11" s="17" t="s">
        <v>35</v>
      </c>
      <c r="C11" s="3" t="s">
        <v>36</v>
      </c>
      <c r="D11" s="9" t="s">
        <v>37</v>
      </c>
      <c r="E11" s="72">
        <v>372145.33333333302</v>
      </c>
      <c r="F11" s="72"/>
      <c r="G11" s="202"/>
      <c r="H11" s="202">
        <f t="shared" ref="H11:H13" si="4">60000</f>
        <v>60000</v>
      </c>
      <c r="I11" s="72"/>
      <c r="J11" s="761">
        <f t="shared" si="0"/>
        <v>432145.33333333302</v>
      </c>
      <c r="K11" s="72"/>
      <c r="L11" s="72"/>
      <c r="M11" s="72"/>
      <c r="N11" s="72"/>
      <c r="O11" s="72">
        <v>54927.2671999999</v>
      </c>
      <c r="P11" s="72">
        <f t="shared" si="1"/>
        <v>29771.626666666602</v>
      </c>
      <c r="Q11" s="750">
        <f t="shared" si="2"/>
        <v>84698.893866666505</v>
      </c>
      <c r="R11" s="769">
        <f t="shared" si="3"/>
        <v>347446.43946666701</v>
      </c>
    </row>
    <row r="12" spans="1:18" ht="18.75" customHeight="1">
      <c r="A12" s="9">
        <v>6</v>
      </c>
      <c r="B12" s="17" t="s">
        <v>38</v>
      </c>
      <c r="C12" s="3" t="s">
        <v>39</v>
      </c>
      <c r="D12" s="9" t="s">
        <v>37</v>
      </c>
      <c r="E12" s="72">
        <v>372145.33333333302</v>
      </c>
      <c r="F12" s="72"/>
      <c r="G12" s="202"/>
      <c r="H12" s="202">
        <f t="shared" si="4"/>
        <v>60000</v>
      </c>
      <c r="I12" s="72"/>
      <c r="J12" s="761">
        <f t="shared" si="0"/>
        <v>432145.33333333302</v>
      </c>
      <c r="K12" s="72"/>
      <c r="L12" s="72"/>
      <c r="M12" s="72"/>
      <c r="N12" s="72"/>
      <c r="O12" s="72">
        <v>54927.2671999999</v>
      </c>
      <c r="P12" s="72">
        <f t="shared" si="1"/>
        <v>29771.626666666602</v>
      </c>
      <c r="Q12" s="750">
        <f t="shared" si="2"/>
        <v>84698.893866666505</v>
      </c>
      <c r="R12" s="769">
        <f t="shared" si="3"/>
        <v>347446.43946666701</v>
      </c>
    </row>
    <row r="13" spans="1:18" ht="18.75" customHeight="1">
      <c r="A13" s="9">
        <v>7</v>
      </c>
      <c r="B13" s="17" t="s">
        <v>40</v>
      </c>
      <c r="C13" s="3" t="s">
        <v>41</v>
      </c>
      <c r="D13" s="9" t="s">
        <v>37</v>
      </c>
      <c r="E13" s="72">
        <v>372145.33333333302</v>
      </c>
      <c r="F13" s="72"/>
      <c r="G13" s="202"/>
      <c r="H13" s="202">
        <f t="shared" si="4"/>
        <v>60000</v>
      </c>
      <c r="I13" s="72"/>
      <c r="J13" s="761">
        <f t="shared" si="0"/>
        <v>432145.33333333302</v>
      </c>
      <c r="K13" s="72"/>
      <c r="L13" s="72"/>
      <c r="M13" s="72"/>
      <c r="N13" s="72"/>
      <c r="O13" s="72">
        <v>54927.2671999999</v>
      </c>
      <c r="P13" s="72">
        <f t="shared" si="1"/>
        <v>29771.626666666602</v>
      </c>
      <c r="Q13" s="750">
        <f t="shared" si="2"/>
        <v>84698.893866666505</v>
      </c>
      <c r="R13" s="769">
        <f t="shared" si="3"/>
        <v>347446.43946666701</v>
      </c>
    </row>
    <row r="14" spans="1:18" ht="26.25" customHeight="1">
      <c r="A14" s="9"/>
      <c r="B14" s="19" t="s">
        <v>42</v>
      </c>
      <c r="C14" s="20">
        <v>7</v>
      </c>
      <c r="D14" s="14"/>
      <c r="E14" s="203">
        <f t="shared" ref="E14:R14" si="5">SUM(E7:E13)</f>
        <v>3226141.5</v>
      </c>
      <c r="F14" s="203">
        <f t="shared" si="5"/>
        <v>0</v>
      </c>
      <c r="G14" s="203">
        <f t="shared" si="5"/>
        <v>110000</v>
      </c>
      <c r="H14" s="203">
        <f t="shared" si="5"/>
        <v>390000</v>
      </c>
      <c r="I14" s="203">
        <f t="shared" si="5"/>
        <v>0</v>
      </c>
      <c r="J14" s="762">
        <f t="shared" si="5"/>
        <v>3726141.5</v>
      </c>
      <c r="K14" s="203">
        <f t="shared" si="5"/>
        <v>0</v>
      </c>
      <c r="L14" s="203">
        <f t="shared" si="5"/>
        <v>0</v>
      </c>
      <c r="M14" s="203">
        <f t="shared" si="5"/>
        <v>0</v>
      </c>
      <c r="N14" s="203">
        <f t="shared" si="5"/>
        <v>0</v>
      </c>
      <c r="O14" s="203">
        <f t="shared" si="5"/>
        <v>501749.03240000003</v>
      </c>
      <c r="P14" s="203">
        <f t="shared" si="5"/>
        <v>258091.32</v>
      </c>
      <c r="Q14" s="203">
        <f t="shared" si="5"/>
        <v>759840.35239999904</v>
      </c>
      <c r="R14" s="203">
        <f t="shared" si="5"/>
        <v>2966301.1475999998</v>
      </c>
    </row>
    <row r="15" spans="1:18" ht="18.75" customHeight="1">
      <c r="A15" s="9"/>
      <c r="B15" s="21"/>
      <c r="C15" s="3"/>
      <c r="D15" s="14"/>
      <c r="E15" s="203"/>
      <c r="F15" s="203"/>
      <c r="G15" s="202"/>
      <c r="H15" s="202"/>
      <c r="I15" s="203"/>
      <c r="J15" s="762"/>
      <c r="K15" s="203"/>
      <c r="L15" s="203"/>
      <c r="M15" s="203"/>
      <c r="N15" s="203"/>
      <c r="O15" s="203"/>
      <c r="P15" s="203"/>
      <c r="Q15" s="203"/>
      <c r="R15" s="769"/>
    </row>
    <row r="16" spans="1:18" ht="20.100000000000001" customHeight="1">
      <c r="A16" s="9"/>
      <c r="B16" s="22" t="s">
        <v>43</v>
      </c>
      <c r="C16" s="4"/>
      <c r="D16" s="23"/>
      <c r="E16" s="203"/>
      <c r="F16" s="203"/>
      <c r="G16" s="202"/>
      <c r="H16" s="202"/>
      <c r="I16" s="72"/>
      <c r="J16" s="761"/>
      <c r="K16" s="72"/>
      <c r="L16" s="72"/>
      <c r="M16" s="72"/>
      <c r="N16" s="72"/>
      <c r="O16" s="72"/>
      <c r="P16" s="72"/>
      <c r="Q16" s="72"/>
      <c r="R16" s="769"/>
    </row>
    <row r="17" spans="1:18" ht="20.100000000000001" customHeight="1">
      <c r="A17" s="26">
        <v>1</v>
      </c>
      <c r="B17" s="17" t="s">
        <v>44</v>
      </c>
      <c r="C17" s="3" t="s">
        <v>45</v>
      </c>
      <c r="D17" s="14" t="s">
        <v>32</v>
      </c>
      <c r="E17" s="72">
        <f>'[2]Peculiar Allowance'!$H$40+'[2] FGN 2024 MGT Monthly'!$H$40</f>
        <v>441159</v>
      </c>
      <c r="F17" s="72"/>
      <c r="G17" s="202">
        <f t="shared" ref="G17:G19" si="6">110000</f>
        <v>110000</v>
      </c>
      <c r="H17" s="202"/>
      <c r="I17" s="72"/>
      <c r="J17" s="761">
        <f t="shared" ref="J17:J26" si="7">E17+F17+G17+H17+I17</f>
        <v>551159</v>
      </c>
      <c r="K17" s="72"/>
      <c r="L17" s="72"/>
      <c r="M17" s="72"/>
      <c r="N17" s="72"/>
      <c r="O17" s="72">
        <v>75355.930399999997</v>
      </c>
      <c r="P17" s="72">
        <f t="shared" ref="P17:P26" si="8">0.08*E17</f>
        <v>35292.720000000001</v>
      </c>
      <c r="Q17" s="12">
        <f t="shared" ref="Q17:Q26" si="9">P17+O17+N17+M17+L17+K17</f>
        <v>110648.6504</v>
      </c>
      <c r="R17" s="769">
        <f t="shared" ref="R17:R26" si="10">J17-Q17</f>
        <v>440510.34960000002</v>
      </c>
    </row>
    <row r="18" spans="1:18" ht="20.100000000000001" customHeight="1">
      <c r="A18" s="26">
        <v>2</v>
      </c>
      <c r="B18" s="17" t="s">
        <v>46</v>
      </c>
      <c r="C18" s="3" t="s">
        <v>45</v>
      </c>
      <c r="D18" s="14" t="s">
        <v>32</v>
      </c>
      <c r="E18" s="72">
        <f>'[2]Peculiar Allowance'!$H$40+'[2] FGN 2024 MGT Monthly'!$H$40</f>
        <v>441159</v>
      </c>
      <c r="F18" s="72"/>
      <c r="G18" s="202">
        <f t="shared" si="6"/>
        <v>110000</v>
      </c>
      <c r="H18" s="202"/>
      <c r="I18" s="72"/>
      <c r="J18" s="761">
        <f t="shared" si="7"/>
        <v>551159</v>
      </c>
      <c r="K18" s="72"/>
      <c r="L18" s="72"/>
      <c r="M18" s="72"/>
      <c r="N18" s="72"/>
      <c r="O18" s="72">
        <v>75355.930399999997</v>
      </c>
      <c r="P18" s="72">
        <f t="shared" si="8"/>
        <v>35292.720000000001</v>
      </c>
      <c r="Q18" s="12">
        <f t="shared" si="9"/>
        <v>110648.6504</v>
      </c>
      <c r="R18" s="769">
        <f t="shared" si="10"/>
        <v>440510.34960000002</v>
      </c>
    </row>
    <row r="19" spans="1:18" ht="20.100000000000001" customHeight="1">
      <c r="A19" s="26">
        <v>3</v>
      </c>
      <c r="B19" s="17" t="s">
        <v>47</v>
      </c>
      <c r="C19" s="3" t="s">
        <v>45</v>
      </c>
      <c r="D19" s="14" t="s">
        <v>32</v>
      </c>
      <c r="E19" s="72">
        <f>'[2]Peculiar Allowance'!$H$40+'[2] FGN 2024 MGT Monthly'!$H$40</f>
        <v>441159</v>
      </c>
      <c r="F19" s="72"/>
      <c r="G19" s="202">
        <f t="shared" si="6"/>
        <v>110000</v>
      </c>
      <c r="H19" s="202"/>
      <c r="I19" s="72"/>
      <c r="J19" s="761">
        <f t="shared" si="7"/>
        <v>551159</v>
      </c>
      <c r="K19" s="72"/>
      <c r="L19" s="72"/>
      <c r="M19" s="72"/>
      <c r="N19" s="72"/>
      <c r="O19" s="72">
        <v>75355.930399999997</v>
      </c>
      <c r="P19" s="72">
        <f t="shared" si="8"/>
        <v>35292.720000000001</v>
      </c>
      <c r="Q19" s="12">
        <f t="shared" si="9"/>
        <v>110648.6504</v>
      </c>
      <c r="R19" s="769">
        <f t="shared" si="10"/>
        <v>440510.34960000002</v>
      </c>
    </row>
    <row r="20" spans="1:18" ht="20.100000000000001" customHeight="1">
      <c r="A20" s="26">
        <v>4</v>
      </c>
      <c r="B20" s="10" t="s">
        <v>48</v>
      </c>
      <c r="C20" s="3" t="s">
        <v>49</v>
      </c>
      <c r="D20" s="9" t="s">
        <v>37</v>
      </c>
      <c r="E20" s="72">
        <v>372145.33333333302</v>
      </c>
      <c r="F20" s="10"/>
      <c r="G20" s="202">
        <f t="shared" ref="G20:G24" si="11">100000</f>
        <v>100000</v>
      </c>
      <c r="H20" s="9"/>
      <c r="I20" s="26"/>
      <c r="J20" s="761">
        <f t="shared" si="7"/>
        <v>472145.33333333302</v>
      </c>
      <c r="K20" s="3"/>
      <c r="L20" s="72"/>
      <c r="M20" s="72"/>
      <c r="N20" s="72"/>
      <c r="O20" s="72">
        <v>62127.2671999999</v>
      </c>
      <c r="P20" s="72">
        <f t="shared" si="8"/>
        <v>29771.626666666602</v>
      </c>
      <c r="Q20" s="12">
        <f t="shared" si="9"/>
        <v>91898.893866666607</v>
      </c>
      <c r="R20" s="769">
        <f t="shared" si="10"/>
        <v>380246.43946666602</v>
      </c>
    </row>
    <row r="21" spans="1:18" ht="22.5" customHeight="1">
      <c r="A21" s="26">
        <v>5</v>
      </c>
      <c r="B21" s="10" t="s">
        <v>50</v>
      </c>
      <c r="C21" s="3" t="s">
        <v>49</v>
      </c>
      <c r="D21" s="9" t="s">
        <v>37</v>
      </c>
      <c r="E21" s="72">
        <v>372145.33333333302</v>
      </c>
      <c r="F21" s="10"/>
      <c r="G21" s="202">
        <f t="shared" si="11"/>
        <v>100000</v>
      </c>
      <c r="H21" s="9"/>
      <c r="I21" s="26"/>
      <c r="J21" s="761">
        <f t="shared" si="7"/>
        <v>472145.33333333302</v>
      </c>
      <c r="K21" s="3"/>
      <c r="L21" s="72"/>
      <c r="M21" s="72"/>
      <c r="N21" s="72"/>
      <c r="O21" s="72">
        <v>62127.2671999999</v>
      </c>
      <c r="P21" s="72">
        <f t="shared" si="8"/>
        <v>29771.626666666602</v>
      </c>
      <c r="Q21" s="12">
        <f t="shared" si="9"/>
        <v>91898.893866666607</v>
      </c>
      <c r="R21" s="769">
        <f t="shared" si="10"/>
        <v>380246.43946666602</v>
      </c>
    </row>
    <row r="22" spans="1:18" ht="22.5" customHeight="1">
      <c r="A22" s="26">
        <v>6</v>
      </c>
      <c r="B22" s="17" t="s">
        <v>51</v>
      </c>
      <c r="C22" s="3" t="s">
        <v>52</v>
      </c>
      <c r="D22" s="14" t="s">
        <v>37</v>
      </c>
      <c r="E22" s="72">
        <v>372145.33333333302</v>
      </c>
      <c r="F22" s="10"/>
      <c r="G22" s="202">
        <f t="shared" si="11"/>
        <v>100000</v>
      </c>
      <c r="H22" s="9"/>
      <c r="I22" s="26"/>
      <c r="J22" s="761">
        <f t="shared" si="7"/>
        <v>472145.33333333302</v>
      </c>
      <c r="K22" s="3"/>
      <c r="L22" s="9"/>
      <c r="M22" s="26"/>
      <c r="N22" s="72"/>
      <c r="O22" s="763">
        <v>62127.2671999999</v>
      </c>
      <c r="P22" s="72">
        <f t="shared" si="8"/>
        <v>29771.626666666602</v>
      </c>
      <c r="Q22" s="12">
        <f t="shared" si="9"/>
        <v>91898.893866666607</v>
      </c>
      <c r="R22" s="769">
        <f t="shared" si="10"/>
        <v>380246.43946666602</v>
      </c>
    </row>
    <row r="23" spans="1:18" ht="20.100000000000001" customHeight="1">
      <c r="A23" s="26">
        <v>7</v>
      </c>
      <c r="B23" s="10" t="s">
        <v>53</v>
      </c>
      <c r="C23" s="3" t="s">
        <v>54</v>
      </c>
      <c r="D23" s="9" t="s">
        <v>55</v>
      </c>
      <c r="E23" s="72">
        <v>330408.08333333302</v>
      </c>
      <c r="F23" s="72"/>
      <c r="G23" s="202">
        <f t="shared" si="11"/>
        <v>100000</v>
      </c>
      <c r="H23" s="202"/>
      <c r="I23" s="72"/>
      <c r="J23" s="761">
        <f t="shared" si="7"/>
        <v>430408.08333333302</v>
      </c>
      <c r="K23" s="72"/>
      <c r="L23" s="72"/>
      <c r="M23" s="72"/>
      <c r="N23" s="72"/>
      <c r="O23" s="72">
        <v>55215.578600000001</v>
      </c>
      <c r="P23" s="72">
        <f t="shared" si="8"/>
        <v>26432.646666666598</v>
      </c>
      <c r="Q23" s="12">
        <f t="shared" si="9"/>
        <v>81648.225266666603</v>
      </c>
      <c r="R23" s="769">
        <f t="shared" si="10"/>
        <v>348759.858066666</v>
      </c>
    </row>
    <row r="24" spans="1:18" ht="20.100000000000001" customHeight="1">
      <c r="A24" s="26">
        <v>8</v>
      </c>
      <c r="B24" s="10" t="s">
        <v>56</v>
      </c>
      <c r="C24" s="3" t="s">
        <v>54</v>
      </c>
      <c r="D24" s="9" t="s">
        <v>55</v>
      </c>
      <c r="E24" s="72">
        <v>330408.08333333302</v>
      </c>
      <c r="F24" s="72"/>
      <c r="G24" s="202">
        <f t="shared" si="11"/>
        <v>100000</v>
      </c>
      <c r="H24" s="202"/>
      <c r="I24" s="72"/>
      <c r="J24" s="761">
        <f t="shared" si="7"/>
        <v>430408.08333333302</v>
      </c>
      <c r="K24" s="72"/>
      <c r="L24" s="72"/>
      <c r="M24" s="72"/>
      <c r="N24" s="72"/>
      <c r="O24" s="72">
        <v>55215.578600000001</v>
      </c>
      <c r="P24" s="72">
        <f t="shared" si="8"/>
        <v>26432.646666666598</v>
      </c>
      <c r="Q24" s="12">
        <f t="shared" si="9"/>
        <v>81648.225266666603</v>
      </c>
      <c r="R24" s="769">
        <f t="shared" si="10"/>
        <v>348759.858066666</v>
      </c>
    </row>
    <row r="25" spans="1:18" ht="20.100000000000001" customHeight="1">
      <c r="A25" s="26">
        <v>9</v>
      </c>
      <c r="B25" s="757" t="s">
        <v>57</v>
      </c>
      <c r="C25" s="3" t="s">
        <v>54</v>
      </c>
      <c r="D25" s="9" t="s">
        <v>55</v>
      </c>
      <c r="E25" s="72">
        <f>330408.083333333*24/31</f>
        <v>255799.806451613</v>
      </c>
      <c r="F25" s="72"/>
      <c r="G25" s="202">
        <f>100000*24/31</f>
        <v>77419.354838709696</v>
      </c>
      <c r="H25" s="202"/>
      <c r="I25" s="72"/>
      <c r="J25" s="761">
        <f t="shared" si="7"/>
        <v>333219.16129032202</v>
      </c>
      <c r="K25" s="72"/>
      <c r="L25" s="72"/>
      <c r="M25" s="72"/>
      <c r="N25" s="72"/>
      <c r="O25" s="72">
        <v>37721.572632258001</v>
      </c>
      <c r="P25" s="72">
        <f t="shared" si="8"/>
        <v>20463.984516129</v>
      </c>
      <c r="Q25" s="12">
        <f t="shared" si="9"/>
        <v>58185.557148387103</v>
      </c>
      <c r="R25" s="769">
        <f t="shared" si="10"/>
        <v>275033.60414193501</v>
      </c>
    </row>
    <row r="26" spans="1:18" ht="20.100000000000001" customHeight="1">
      <c r="A26" s="26">
        <v>10</v>
      </c>
      <c r="B26" s="10" t="s">
        <v>59</v>
      </c>
      <c r="C26" s="3" t="s">
        <v>54</v>
      </c>
      <c r="D26" s="9" t="s">
        <v>55</v>
      </c>
      <c r="E26" s="72">
        <v>330408.08333333302</v>
      </c>
      <c r="F26" s="72"/>
      <c r="G26" s="202">
        <f>100000</f>
        <v>100000</v>
      </c>
      <c r="H26" s="202"/>
      <c r="I26" s="72"/>
      <c r="J26" s="761">
        <f t="shared" si="7"/>
        <v>430408.08333333302</v>
      </c>
      <c r="K26" s="72"/>
      <c r="L26" s="72"/>
      <c r="M26" s="72"/>
      <c r="N26" s="72"/>
      <c r="O26" s="72">
        <v>55215.578600000001</v>
      </c>
      <c r="P26" s="72">
        <f t="shared" si="8"/>
        <v>26432.646666666598</v>
      </c>
      <c r="Q26" s="12">
        <f t="shared" si="9"/>
        <v>81648.225266666603</v>
      </c>
      <c r="R26" s="769">
        <f t="shared" si="10"/>
        <v>348759.858066666</v>
      </c>
    </row>
    <row r="27" spans="1:18" ht="25.5" customHeight="1">
      <c r="A27" s="9"/>
      <c r="B27" s="19" t="s">
        <v>42</v>
      </c>
      <c r="C27" s="20">
        <v>10</v>
      </c>
      <c r="D27" s="20"/>
      <c r="E27" s="80">
        <f>SUM(E17:E26)</f>
        <v>3686937.0564516098</v>
      </c>
      <c r="F27" s="80">
        <f t="shared" ref="F27:R27" si="12">SUM(F17:F26)</f>
        <v>0</v>
      </c>
      <c r="G27" s="80">
        <f t="shared" si="12"/>
        <v>1007419.35483871</v>
      </c>
      <c r="H27" s="80">
        <f t="shared" si="12"/>
        <v>0</v>
      </c>
      <c r="I27" s="80">
        <f t="shared" si="12"/>
        <v>0</v>
      </c>
      <c r="J27" s="80">
        <f t="shared" si="12"/>
        <v>4694356.4112903196</v>
      </c>
      <c r="K27" s="80">
        <f t="shared" si="12"/>
        <v>0</v>
      </c>
      <c r="L27" s="80">
        <f t="shared" si="12"/>
        <v>0</v>
      </c>
      <c r="M27" s="80">
        <f t="shared" si="12"/>
        <v>0</v>
      </c>
      <c r="N27" s="80">
        <f t="shared" si="12"/>
        <v>0</v>
      </c>
      <c r="O27" s="80">
        <f t="shared" si="12"/>
        <v>615817.90123225795</v>
      </c>
      <c r="P27" s="80">
        <f t="shared" si="12"/>
        <v>294954.964516129</v>
      </c>
      <c r="Q27" s="80">
        <f t="shared" si="12"/>
        <v>910772.86574838695</v>
      </c>
      <c r="R27" s="80">
        <f t="shared" si="12"/>
        <v>3783583.54554193</v>
      </c>
    </row>
    <row r="28" spans="1:18" ht="20.100000000000001" customHeight="1">
      <c r="A28" s="9"/>
      <c r="B28" s="21"/>
      <c r="C28" s="20"/>
      <c r="D28" s="20"/>
      <c r="E28" s="134"/>
      <c r="F28" s="134"/>
      <c r="G28" s="202"/>
      <c r="H28" s="202"/>
      <c r="I28" s="134"/>
      <c r="J28" s="764"/>
      <c r="K28" s="134"/>
      <c r="L28" s="134"/>
      <c r="M28" s="134"/>
      <c r="N28" s="134"/>
      <c r="O28" s="134"/>
      <c r="P28" s="134"/>
      <c r="Q28" s="134"/>
      <c r="R28" s="769"/>
    </row>
    <row r="29" spans="1:18" ht="20.100000000000001" customHeight="1">
      <c r="A29" s="9"/>
      <c r="B29" s="19" t="s">
        <v>60</v>
      </c>
      <c r="C29" s="20"/>
      <c r="D29" s="20"/>
      <c r="E29" s="134"/>
      <c r="F29" s="134"/>
      <c r="G29" s="202"/>
      <c r="H29" s="202"/>
      <c r="I29" s="134"/>
      <c r="J29" s="764"/>
      <c r="K29" s="134"/>
      <c r="L29" s="134"/>
      <c r="M29" s="134"/>
      <c r="N29" s="134"/>
      <c r="O29" s="134"/>
      <c r="P29" s="134"/>
      <c r="Q29" s="134"/>
      <c r="R29" s="769"/>
    </row>
    <row r="30" spans="1:18" ht="20.100000000000001" customHeight="1">
      <c r="A30" s="9">
        <v>1</v>
      </c>
      <c r="B30" s="17" t="s">
        <v>61</v>
      </c>
      <c r="C30" s="16" t="s">
        <v>62</v>
      </c>
      <c r="D30" s="14" t="s">
        <v>37</v>
      </c>
      <c r="E30" s="72">
        <v>372145.33333333302</v>
      </c>
      <c r="F30" s="72"/>
      <c r="G30" s="202">
        <v>100000</v>
      </c>
      <c r="H30" s="202"/>
      <c r="I30" s="72">
        <v>0</v>
      </c>
      <c r="J30" s="761">
        <f t="shared" ref="J30:J38" si="13">E30+F30+G30+H30+I30</f>
        <v>472145.33333333302</v>
      </c>
      <c r="K30" s="72"/>
      <c r="L30" s="72">
        <v>0</v>
      </c>
      <c r="M30" s="72"/>
      <c r="N30" s="72"/>
      <c r="O30" s="72">
        <v>65727.2671999999</v>
      </c>
      <c r="P30" s="72">
        <f t="shared" ref="P30:P38" si="14">0.08*E30</f>
        <v>29771.626666666602</v>
      </c>
      <c r="Q30" s="12">
        <f t="shared" ref="Q30:Q38" si="15">P30+O30+N30+M30+L30+K30</f>
        <v>95498.893866666505</v>
      </c>
      <c r="R30" s="769">
        <f t="shared" ref="R30:R38" si="16">J30-Q30</f>
        <v>376646.43946666602</v>
      </c>
    </row>
    <row r="31" spans="1:18" ht="20.100000000000001" customHeight="1">
      <c r="A31" s="9">
        <v>2</v>
      </c>
      <c r="B31" s="17" t="s">
        <v>63</v>
      </c>
      <c r="C31" s="16" t="s">
        <v>64</v>
      </c>
      <c r="D31" s="14" t="s">
        <v>55</v>
      </c>
      <c r="E31" s="72">
        <v>330408.08333333302</v>
      </c>
      <c r="F31" s="72"/>
      <c r="G31" s="202">
        <v>100000</v>
      </c>
      <c r="H31" s="202"/>
      <c r="I31" s="72">
        <v>0</v>
      </c>
      <c r="J31" s="761">
        <f t="shared" si="13"/>
        <v>430408.08333333302</v>
      </c>
      <c r="K31" s="72"/>
      <c r="L31" s="72">
        <v>0</v>
      </c>
      <c r="M31" s="72"/>
      <c r="N31" s="72"/>
      <c r="O31" s="72">
        <v>55215.578600000001</v>
      </c>
      <c r="P31" s="72">
        <v>26432.646666666598</v>
      </c>
      <c r="Q31" s="12">
        <f t="shared" si="15"/>
        <v>81648.225266666603</v>
      </c>
      <c r="R31" s="769">
        <f t="shared" si="16"/>
        <v>348759.858066666</v>
      </c>
    </row>
    <row r="32" spans="1:18" ht="27" customHeight="1">
      <c r="A32" s="9"/>
      <c r="B32" s="19" t="s">
        <v>42</v>
      </c>
      <c r="C32" s="20">
        <v>2</v>
      </c>
      <c r="D32" s="20"/>
      <c r="E32" s="80">
        <f t="shared" ref="E32:R32" si="17">SUM(E30:E31)</f>
        <v>702553.41666666605</v>
      </c>
      <c r="F32" s="80">
        <f t="shared" si="17"/>
        <v>0</v>
      </c>
      <c r="G32" s="80">
        <f t="shared" si="17"/>
        <v>200000</v>
      </c>
      <c r="H32" s="80">
        <f t="shared" si="17"/>
        <v>0</v>
      </c>
      <c r="I32" s="80">
        <f t="shared" si="17"/>
        <v>0</v>
      </c>
      <c r="J32" s="765">
        <f t="shared" si="17"/>
        <v>902553.41666666605</v>
      </c>
      <c r="K32" s="80">
        <f t="shared" si="17"/>
        <v>0</v>
      </c>
      <c r="L32" s="80">
        <f t="shared" si="17"/>
        <v>0</v>
      </c>
      <c r="M32" s="80">
        <f t="shared" si="17"/>
        <v>0</v>
      </c>
      <c r="N32" s="80">
        <f t="shared" si="17"/>
        <v>0</v>
      </c>
      <c r="O32" s="80">
        <f t="shared" si="17"/>
        <v>120942.8458</v>
      </c>
      <c r="P32" s="80">
        <f t="shared" si="17"/>
        <v>56204.2733333332</v>
      </c>
      <c r="Q32" s="80">
        <f t="shared" si="17"/>
        <v>177147.11913333301</v>
      </c>
      <c r="R32" s="80">
        <f t="shared" si="17"/>
        <v>725406.29753333295</v>
      </c>
    </row>
    <row r="33" spans="1:18" ht="20.100000000000001" customHeight="1">
      <c r="A33" s="9"/>
      <c r="B33" s="21"/>
      <c r="C33" s="20"/>
      <c r="D33" s="20"/>
      <c r="E33" s="134"/>
      <c r="F33" s="134"/>
      <c r="G33" s="202"/>
      <c r="H33" s="202"/>
      <c r="I33" s="134"/>
      <c r="J33" s="764"/>
      <c r="K33" s="134"/>
      <c r="L33" s="134"/>
      <c r="M33" s="134"/>
      <c r="N33" s="134"/>
      <c r="O33" s="134"/>
      <c r="P33" s="134"/>
      <c r="Q33" s="134"/>
      <c r="R33" s="769"/>
    </row>
    <row r="34" spans="1:18" ht="20.100000000000001" customHeight="1">
      <c r="A34" s="9"/>
      <c r="B34" s="19" t="s">
        <v>65</v>
      </c>
      <c r="C34" s="20"/>
      <c r="D34" s="20"/>
      <c r="E34" s="134"/>
      <c r="F34" s="134"/>
      <c r="G34" s="202"/>
      <c r="H34" s="202"/>
      <c r="I34" s="134"/>
      <c r="J34" s="764"/>
      <c r="K34" s="134"/>
      <c r="L34" s="134"/>
      <c r="M34" s="134"/>
      <c r="N34" s="134"/>
      <c r="O34" s="134"/>
      <c r="P34" s="134"/>
      <c r="Q34" s="134"/>
      <c r="R34" s="769"/>
    </row>
    <row r="35" spans="1:18" ht="20.100000000000001" customHeight="1">
      <c r="A35" s="9">
        <v>1</v>
      </c>
      <c r="B35" s="17" t="s">
        <v>66</v>
      </c>
      <c r="C35" s="3" t="s">
        <v>67</v>
      </c>
      <c r="D35" s="14" t="s">
        <v>29</v>
      </c>
      <c r="E35" s="72">
        <v>526673.58333333302</v>
      </c>
      <c r="F35" s="72"/>
      <c r="G35" s="202">
        <f>140000</f>
        <v>140000</v>
      </c>
      <c r="H35" s="202"/>
      <c r="I35" s="72">
        <v>0</v>
      </c>
      <c r="J35" s="761">
        <f t="shared" si="13"/>
        <v>666673.58333333302</v>
      </c>
      <c r="K35" s="72"/>
      <c r="L35" s="72">
        <v>0</v>
      </c>
      <c r="M35" s="72"/>
      <c r="N35" s="72"/>
      <c r="O35" s="72">
        <v>96881.660599999901</v>
      </c>
      <c r="P35" s="72">
        <f t="shared" si="14"/>
        <v>42133.8866666666</v>
      </c>
      <c r="Q35" s="12">
        <f t="shared" si="15"/>
        <v>139015.54726666701</v>
      </c>
      <c r="R35" s="769">
        <f t="shared" si="16"/>
        <v>527658.03606666601</v>
      </c>
    </row>
    <row r="36" spans="1:18" ht="20.100000000000001" customHeight="1">
      <c r="A36" s="9">
        <v>2</v>
      </c>
      <c r="B36" s="10" t="s">
        <v>68</v>
      </c>
      <c r="C36" s="3" t="s">
        <v>69</v>
      </c>
      <c r="D36" s="14" t="s">
        <v>55</v>
      </c>
      <c r="E36" s="72">
        <v>330408.08333333302</v>
      </c>
      <c r="F36" s="72"/>
      <c r="G36" s="202">
        <f t="shared" ref="G36:G38" si="18">100000</f>
        <v>100000</v>
      </c>
      <c r="H36" s="202"/>
      <c r="I36" s="72"/>
      <c r="J36" s="761">
        <f t="shared" si="13"/>
        <v>430408.08333333302</v>
      </c>
      <c r="K36" s="72"/>
      <c r="L36" s="658"/>
      <c r="M36" s="658"/>
      <c r="O36" s="658">
        <v>55215.578600000001</v>
      </c>
      <c r="P36" s="72">
        <f t="shared" si="14"/>
        <v>26432.646666666598</v>
      </c>
      <c r="Q36" s="12">
        <f t="shared" si="15"/>
        <v>81648.225266666603</v>
      </c>
      <c r="R36" s="769">
        <f t="shared" si="16"/>
        <v>348759.858066666</v>
      </c>
    </row>
    <row r="37" spans="1:18" ht="20.100000000000001" customHeight="1">
      <c r="A37" s="9">
        <v>3</v>
      </c>
      <c r="B37" s="758" t="s">
        <v>70</v>
      </c>
      <c r="C37" s="11" t="s">
        <v>71</v>
      </c>
      <c r="D37" s="14" t="s">
        <v>72</v>
      </c>
      <c r="E37" s="72">
        <f>287890.916666667*22/31</f>
        <v>204309.68279569899</v>
      </c>
      <c r="F37" s="72"/>
      <c r="G37" s="202">
        <f>100000*22/31</f>
        <v>70967.741935483893</v>
      </c>
      <c r="H37" s="202"/>
      <c r="I37" s="72"/>
      <c r="J37" s="761">
        <f t="shared" si="13"/>
        <v>275277.42473118298</v>
      </c>
      <c r="K37" s="72"/>
      <c r="L37" s="658"/>
      <c r="M37" s="658"/>
      <c r="O37" s="658">
        <v>27904.3072516129</v>
      </c>
      <c r="P37" s="72">
        <f t="shared" si="14"/>
        <v>16344.7746236559</v>
      </c>
      <c r="Q37" s="12">
        <f t="shared" si="15"/>
        <v>44249.081875268799</v>
      </c>
      <c r="R37" s="769">
        <f t="shared" si="16"/>
        <v>231028.342855914</v>
      </c>
    </row>
    <row r="38" spans="1:18" ht="20.100000000000001" customHeight="1">
      <c r="A38" s="9">
        <v>4</v>
      </c>
      <c r="B38" s="17" t="s">
        <v>73</v>
      </c>
      <c r="C38" s="11" t="s">
        <v>71</v>
      </c>
      <c r="D38" s="14" t="s">
        <v>72</v>
      </c>
      <c r="E38" s="72">
        <v>287890.91666666698</v>
      </c>
      <c r="F38" s="72"/>
      <c r="G38" s="202">
        <f t="shared" si="18"/>
        <v>100000</v>
      </c>
      <c r="H38" s="202"/>
      <c r="I38" s="72"/>
      <c r="J38" s="761">
        <f t="shared" si="13"/>
        <v>387890.91666666698</v>
      </c>
      <c r="K38" s="72"/>
      <c r="L38" s="658"/>
      <c r="M38" s="658"/>
      <c r="O38" s="658">
        <v>48174.735800000002</v>
      </c>
      <c r="P38" s="72">
        <f t="shared" si="14"/>
        <v>23031.2733333334</v>
      </c>
      <c r="Q38" s="12">
        <f t="shared" si="15"/>
        <v>71206.009133333398</v>
      </c>
      <c r="R38" s="769">
        <f t="shared" si="16"/>
        <v>316684.90753333399</v>
      </c>
    </row>
    <row r="39" spans="1:18" ht="20.100000000000001" customHeight="1">
      <c r="A39" s="9"/>
      <c r="B39" s="19" t="s">
        <v>42</v>
      </c>
      <c r="C39" s="20">
        <v>4</v>
      </c>
      <c r="D39" s="80">
        <f>SUM(D35:D38)</f>
        <v>0</v>
      </c>
      <c r="E39" s="80">
        <f>SUM(E35:E38)</f>
        <v>1349282.2661290299</v>
      </c>
      <c r="F39" s="80">
        <f>SUM(F35:F38)</f>
        <v>0</v>
      </c>
      <c r="G39" s="80">
        <f>SUM(G35:G38)</f>
        <v>410967.74193548399</v>
      </c>
      <c r="H39" s="80">
        <f t="shared" ref="H39:R39" si="19">SUM(H35:H38)</f>
        <v>0</v>
      </c>
      <c r="I39" s="80">
        <f t="shared" si="19"/>
        <v>0</v>
      </c>
      <c r="J39" s="80">
        <f t="shared" si="19"/>
        <v>1760250.0080645201</v>
      </c>
      <c r="K39" s="80">
        <f t="shared" si="19"/>
        <v>0</v>
      </c>
      <c r="L39" s="80">
        <f t="shared" si="19"/>
        <v>0</v>
      </c>
      <c r="M39" s="80">
        <f t="shared" si="19"/>
        <v>0</v>
      </c>
      <c r="N39" s="80">
        <f t="shared" si="19"/>
        <v>0</v>
      </c>
      <c r="O39" s="80">
        <f t="shared" si="19"/>
        <v>228176.28225161301</v>
      </c>
      <c r="P39" s="80">
        <f t="shared" si="19"/>
        <v>107942.581290323</v>
      </c>
      <c r="Q39" s="80">
        <f t="shared" si="19"/>
        <v>336118.86354193499</v>
      </c>
      <c r="R39" s="80">
        <f t="shared" si="19"/>
        <v>1424131.1445225801</v>
      </c>
    </row>
    <row r="40" spans="1:18" ht="20.100000000000001" customHeight="1">
      <c r="A40" s="9"/>
      <c r="B40" s="19"/>
      <c r="C40" s="20"/>
      <c r="D40" s="20"/>
      <c r="E40" s="134"/>
      <c r="F40" s="134"/>
      <c r="G40" s="202"/>
      <c r="H40" s="202"/>
      <c r="I40" s="134"/>
      <c r="J40" s="764"/>
      <c r="K40" s="134"/>
      <c r="L40" s="134"/>
      <c r="M40" s="134"/>
      <c r="N40" s="134"/>
      <c r="O40" s="134"/>
      <c r="P40" s="134"/>
      <c r="Q40" s="72"/>
      <c r="R40" s="769"/>
    </row>
    <row r="41" spans="1:18" ht="20.100000000000001" customHeight="1">
      <c r="A41" s="9"/>
      <c r="B41" s="19" t="s">
        <v>74</v>
      </c>
      <c r="C41" s="24"/>
      <c r="D41" s="20"/>
      <c r="E41" s="134"/>
      <c r="F41" s="134"/>
      <c r="G41" s="202"/>
      <c r="H41" s="202"/>
      <c r="I41" s="134"/>
      <c r="J41" s="764"/>
      <c r="K41" s="134"/>
      <c r="L41" s="134"/>
      <c r="M41" s="134"/>
      <c r="N41" s="134"/>
      <c r="O41" s="134"/>
      <c r="P41" s="134"/>
      <c r="Q41" s="72"/>
      <c r="R41" s="769"/>
    </row>
    <row r="42" spans="1:18" ht="20.100000000000001" customHeight="1">
      <c r="A42" s="9">
        <v>1</v>
      </c>
      <c r="B42" s="17" t="s">
        <v>82</v>
      </c>
      <c r="C42" s="3" t="s">
        <v>45</v>
      </c>
      <c r="D42" s="14" t="s">
        <v>32</v>
      </c>
      <c r="E42" s="72">
        <f>'[2]Peculiar Allowance'!$H$40+'[2] FGN 2024 MGT Monthly'!$H$40</f>
        <v>441159</v>
      </c>
      <c r="F42" s="72"/>
      <c r="G42" s="202">
        <v>110000</v>
      </c>
      <c r="H42" s="202"/>
      <c r="I42" s="72"/>
      <c r="J42" s="761">
        <f>E42+F42+G42+H42+I42</f>
        <v>551159</v>
      </c>
      <c r="K42" s="72"/>
      <c r="L42" s="72"/>
      <c r="M42" s="72"/>
      <c r="N42" s="72"/>
      <c r="O42" s="72">
        <v>75355.930399999997</v>
      </c>
      <c r="P42" s="72">
        <f>0.08*E42</f>
        <v>35292.720000000001</v>
      </c>
      <c r="Q42" s="12">
        <f>P42+O42+N42+M42+L42+K42</f>
        <v>110648.6504</v>
      </c>
      <c r="R42" s="769">
        <f>J42-Q42</f>
        <v>440510.34960000002</v>
      </c>
    </row>
    <row r="43" spans="1:18" ht="20.100000000000001" customHeight="1">
      <c r="A43" s="9">
        <v>2</v>
      </c>
      <c r="B43" s="17" t="s">
        <v>83</v>
      </c>
      <c r="C43" s="3" t="s">
        <v>64</v>
      </c>
      <c r="D43" s="14" t="s">
        <v>37</v>
      </c>
      <c r="E43" s="72">
        <f>372145.333333333*22/33</f>
        <v>248096.88888888899</v>
      </c>
      <c r="F43" s="72"/>
      <c r="G43" s="202">
        <f>100000*22/31</f>
        <v>70967.741935483893</v>
      </c>
      <c r="H43" s="202"/>
      <c r="I43" s="72"/>
      <c r="J43" s="761">
        <f>E43+F43+G43+H43+I43</f>
        <v>319064.63082437299</v>
      </c>
      <c r="K43" s="72"/>
      <c r="L43" s="72"/>
      <c r="M43" s="72"/>
      <c r="N43" s="72"/>
      <c r="O43" s="72">
        <v>62127.2671999999</v>
      </c>
      <c r="P43" s="72">
        <f>0.08*E43</f>
        <v>19847.751111111102</v>
      </c>
      <c r="Q43" s="12">
        <f>P43+O43+N43+M43+L43+K43</f>
        <v>81975.018311110995</v>
      </c>
      <c r="R43" s="769">
        <f>J43-Q43</f>
        <v>237089.61251326199</v>
      </c>
    </row>
    <row r="44" spans="1:18" ht="20.100000000000001" customHeight="1">
      <c r="A44" s="9"/>
      <c r="B44" s="19" t="s">
        <v>42</v>
      </c>
      <c r="C44" s="20">
        <v>2</v>
      </c>
      <c r="D44" s="20"/>
      <c r="E44" s="80">
        <f t="shared" ref="E44:R44" si="20">SUM(E42:E43)</f>
        <v>689255.88888888899</v>
      </c>
      <c r="F44" s="80">
        <f t="shared" si="20"/>
        <v>0</v>
      </c>
      <c r="G44" s="80">
        <f t="shared" si="20"/>
        <v>180967.74193548399</v>
      </c>
      <c r="H44" s="80">
        <f t="shared" si="20"/>
        <v>0</v>
      </c>
      <c r="I44" s="80">
        <f t="shared" si="20"/>
        <v>0</v>
      </c>
      <c r="J44" s="765">
        <f t="shared" si="20"/>
        <v>870223.63082437299</v>
      </c>
      <c r="K44" s="80">
        <f t="shared" si="20"/>
        <v>0</v>
      </c>
      <c r="L44" s="80">
        <f t="shared" si="20"/>
        <v>0</v>
      </c>
      <c r="M44" s="80">
        <f t="shared" si="20"/>
        <v>0</v>
      </c>
      <c r="N44" s="80">
        <f t="shared" si="20"/>
        <v>0</v>
      </c>
      <c r="O44" s="80">
        <f t="shared" si="20"/>
        <v>137483.19760000001</v>
      </c>
      <c r="P44" s="80">
        <f t="shared" si="20"/>
        <v>55140.471111111103</v>
      </c>
      <c r="Q44" s="80">
        <f t="shared" si="20"/>
        <v>192623.66871111101</v>
      </c>
      <c r="R44" s="80">
        <f t="shared" si="20"/>
        <v>677599.96211326204</v>
      </c>
    </row>
    <row r="45" spans="1:18" ht="20.100000000000001" customHeight="1">
      <c r="A45" s="9"/>
      <c r="B45" s="21"/>
      <c r="C45" s="20"/>
      <c r="D45" s="20"/>
      <c r="E45" s="134"/>
      <c r="F45" s="134"/>
      <c r="G45" s="202"/>
      <c r="H45" s="202"/>
      <c r="I45" s="134"/>
      <c r="J45" s="764"/>
      <c r="K45" s="134"/>
      <c r="L45" s="134"/>
      <c r="M45" s="134"/>
      <c r="N45" s="134"/>
      <c r="O45" s="134"/>
      <c r="P45" s="134"/>
      <c r="Q45" s="134"/>
      <c r="R45" s="769"/>
    </row>
    <row r="46" spans="1:18" ht="20.100000000000001" customHeight="1">
      <c r="A46" s="9"/>
      <c r="B46" s="19" t="s">
        <v>198</v>
      </c>
      <c r="C46" s="20"/>
      <c r="D46" s="20"/>
      <c r="E46" s="134"/>
      <c r="F46" s="134"/>
      <c r="G46" s="202"/>
      <c r="H46" s="202"/>
      <c r="I46" s="134"/>
      <c r="J46" s="764"/>
      <c r="K46" s="134"/>
      <c r="L46" s="134"/>
      <c r="M46" s="134"/>
      <c r="N46" s="134"/>
      <c r="O46" s="134"/>
      <c r="P46" s="134"/>
      <c r="Q46" s="134"/>
      <c r="R46" s="769"/>
    </row>
    <row r="47" spans="1:18" ht="20.100000000000001" customHeight="1">
      <c r="A47" s="9">
        <v>1</v>
      </c>
      <c r="B47" s="10" t="s">
        <v>85</v>
      </c>
      <c r="C47" s="3" t="s">
        <v>86</v>
      </c>
      <c r="D47" s="14" t="s">
        <v>72</v>
      </c>
      <c r="E47" s="72">
        <v>287890.91666666698</v>
      </c>
      <c r="F47" s="72"/>
      <c r="G47" s="202"/>
      <c r="H47" s="202">
        <v>50000</v>
      </c>
      <c r="I47" s="72">
        <v>0</v>
      </c>
      <c r="J47" s="761">
        <f>SUM(E47:I47)</f>
        <v>337890.91666666698</v>
      </c>
      <c r="K47" s="72"/>
      <c r="L47" s="72"/>
      <c r="M47" s="72"/>
      <c r="N47" s="72"/>
      <c r="O47" s="658">
        <v>39174.735800000002</v>
      </c>
      <c r="P47" s="72">
        <f t="shared" ref="P47:P52" si="21">0.08*E47</f>
        <v>23031.2733333334</v>
      </c>
      <c r="Q47" s="12">
        <f t="shared" ref="Q47:Q52" si="22">P47+O47+N47+M47+L47+K47</f>
        <v>62206.009133333398</v>
      </c>
      <c r="R47" s="769">
        <f t="shared" ref="R47:R52" si="23">J47-Q47</f>
        <v>275684.90753333399</v>
      </c>
    </row>
    <row r="48" spans="1:18" ht="20.100000000000001" customHeight="1">
      <c r="A48" s="3"/>
      <c r="B48" s="19" t="s">
        <v>42</v>
      </c>
      <c r="C48" s="20">
        <v>1</v>
      </c>
      <c r="D48" s="25"/>
      <c r="E48" s="80">
        <f t="shared" ref="E48:R48" si="24">SUM(E47:E47)</f>
        <v>287890.91666666698</v>
      </c>
      <c r="F48" s="80">
        <f t="shared" si="24"/>
        <v>0</v>
      </c>
      <c r="G48" s="80">
        <f t="shared" si="24"/>
        <v>0</v>
      </c>
      <c r="H48" s="80">
        <f t="shared" si="24"/>
        <v>50000</v>
      </c>
      <c r="I48" s="80">
        <f t="shared" si="24"/>
        <v>0</v>
      </c>
      <c r="J48" s="765">
        <f t="shared" si="24"/>
        <v>337890.91666666698</v>
      </c>
      <c r="K48" s="80">
        <f t="shared" si="24"/>
        <v>0</v>
      </c>
      <c r="L48" s="80">
        <f t="shared" si="24"/>
        <v>0</v>
      </c>
      <c r="M48" s="80">
        <f t="shared" si="24"/>
        <v>0</v>
      </c>
      <c r="N48" s="80">
        <f t="shared" si="24"/>
        <v>0</v>
      </c>
      <c r="O48" s="80">
        <f t="shared" si="24"/>
        <v>39174.735800000002</v>
      </c>
      <c r="P48" s="80">
        <f t="shared" si="24"/>
        <v>23031.2733333334</v>
      </c>
      <c r="Q48" s="80">
        <f t="shared" si="24"/>
        <v>62206.009133333398</v>
      </c>
      <c r="R48" s="80">
        <f t="shared" si="24"/>
        <v>275684.90753333399</v>
      </c>
    </row>
    <row r="49" spans="1:18" ht="20.100000000000001" customHeight="1">
      <c r="A49" s="3"/>
      <c r="B49" s="21"/>
      <c r="C49" s="9"/>
      <c r="D49" s="3"/>
      <c r="E49" s="206"/>
      <c r="F49" s="8"/>
      <c r="G49" s="202"/>
      <c r="H49" s="202"/>
      <c r="I49" s="206"/>
      <c r="J49" s="766"/>
      <c r="K49" s="206"/>
      <c r="L49" s="206"/>
      <c r="M49" s="206"/>
      <c r="N49" s="206"/>
      <c r="O49" s="206"/>
      <c r="P49" s="206"/>
      <c r="Q49" s="206"/>
      <c r="R49" s="769"/>
    </row>
    <row r="50" spans="1:18" ht="20.100000000000001" customHeight="1">
      <c r="A50" s="3"/>
      <c r="B50" s="19" t="s">
        <v>97</v>
      </c>
      <c r="C50" s="20"/>
      <c r="D50" s="20"/>
      <c r="E50" s="134"/>
      <c r="F50" s="134"/>
      <c r="G50" s="202"/>
      <c r="H50" s="202"/>
      <c r="I50" s="134"/>
      <c r="J50" s="764"/>
      <c r="K50" s="134"/>
      <c r="L50" s="134"/>
      <c r="M50" s="134"/>
      <c r="N50" s="134"/>
      <c r="O50" s="134"/>
      <c r="P50" s="134"/>
      <c r="Q50" s="72"/>
      <c r="R50" s="769"/>
    </row>
    <row r="51" spans="1:18" ht="20.100000000000001" customHeight="1">
      <c r="A51" s="3">
        <v>1</v>
      </c>
      <c r="B51" s="17" t="s">
        <v>98</v>
      </c>
      <c r="C51" s="11" t="s">
        <v>25</v>
      </c>
      <c r="D51" s="14" t="s">
        <v>99</v>
      </c>
      <c r="E51" s="72">
        <v>700713.91666666605</v>
      </c>
      <c r="F51" s="72"/>
      <c r="G51" s="202"/>
      <c r="H51" s="202">
        <v>80000</v>
      </c>
      <c r="I51" s="72"/>
      <c r="J51" s="761">
        <f>E51+F51+G51+H51+I51</f>
        <v>780713.91666666605</v>
      </c>
      <c r="K51" s="72"/>
      <c r="L51" s="658"/>
      <c r="M51" s="658"/>
      <c r="O51" s="658">
        <v>112938.2246</v>
      </c>
      <c r="P51" s="72">
        <f t="shared" si="21"/>
        <v>56057.113333333298</v>
      </c>
      <c r="Q51" s="12">
        <f t="shared" si="22"/>
        <v>168995.33793333301</v>
      </c>
      <c r="R51" s="769">
        <f t="shared" si="23"/>
        <v>611718.57873333304</v>
      </c>
    </row>
    <row r="52" spans="1:18" ht="20.100000000000001" customHeight="1">
      <c r="A52" s="3">
        <v>2</v>
      </c>
      <c r="B52" s="759" t="s">
        <v>100</v>
      </c>
      <c r="C52" s="11" t="s">
        <v>101</v>
      </c>
      <c r="D52" s="14" t="s">
        <v>72</v>
      </c>
      <c r="E52" s="72">
        <f>287890.916666667*14/31</f>
        <v>130015.252688172</v>
      </c>
      <c r="F52" s="72"/>
      <c r="G52" s="202"/>
      <c r="H52" s="202">
        <f>50000*14/31</f>
        <v>22580.6451612903</v>
      </c>
      <c r="I52" s="72"/>
      <c r="J52" s="761">
        <f>E52+F52+G52+H52+I52</f>
        <v>152595.89784946301</v>
      </c>
      <c r="K52" s="72"/>
      <c r="L52" s="658"/>
      <c r="M52" s="658"/>
      <c r="O52" s="658">
        <v>9434.6936774193691</v>
      </c>
      <c r="P52" s="72">
        <f t="shared" si="21"/>
        <v>10401.2202150538</v>
      </c>
      <c r="Q52" s="12">
        <f t="shared" si="22"/>
        <v>19835.913892473101</v>
      </c>
      <c r="R52" s="769">
        <f t="shared" si="23"/>
        <v>132759.98395698899</v>
      </c>
    </row>
    <row r="53" spans="1:18" ht="28.5" customHeight="1">
      <c r="A53" s="3"/>
      <c r="B53" s="19" t="s">
        <v>42</v>
      </c>
      <c r="C53" s="25" t="s">
        <v>102</v>
      </c>
      <c r="D53" s="14"/>
      <c r="E53" s="80">
        <f>SUM(E51:E52)</f>
        <v>830729.16935483797</v>
      </c>
      <c r="F53" s="80">
        <f t="shared" ref="F53:R53" si="25">SUM(F51:F52)</f>
        <v>0</v>
      </c>
      <c r="G53" s="80">
        <f t="shared" si="25"/>
        <v>0</v>
      </c>
      <c r="H53" s="80">
        <f t="shared" si="25"/>
        <v>102580.64516129</v>
      </c>
      <c r="I53" s="80">
        <f t="shared" si="25"/>
        <v>0</v>
      </c>
      <c r="J53" s="80">
        <f t="shared" si="25"/>
        <v>933309.81451612897</v>
      </c>
      <c r="K53" s="80">
        <f t="shared" si="25"/>
        <v>0</v>
      </c>
      <c r="L53" s="80">
        <f t="shared" si="25"/>
        <v>0</v>
      </c>
      <c r="M53" s="80">
        <f t="shared" si="25"/>
        <v>0</v>
      </c>
      <c r="N53" s="80">
        <f t="shared" si="25"/>
        <v>0</v>
      </c>
      <c r="O53" s="80">
        <f t="shared" si="25"/>
        <v>122372.918277419</v>
      </c>
      <c r="P53" s="80">
        <f t="shared" si="25"/>
        <v>66458.333548387105</v>
      </c>
      <c r="Q53" s="80">
        <f t="shared" si="25"/>
        <v>188831.25182580599</v>
      </c>
      <c r="R53" s="80">
        <f t="shared" si="25"/>
        <v>744478.56269032205</v>
      </c>
    </row>
    <row r="54" spans="1:18" ht="20.100000000000001" customHeight="1">
      <c r="A54" s="3"/>
      <c r="B54" s="21"/>
      <c r="C54" s="25"/>
      <c r="D54" s="14"/>
      <c r="E54" s="134"/>
      <c r="F54" s="134"/>
      <c r="G54" s="202"/>
      <c r="H54" s="202"/>
      <c r="I54" s="134"/>
      <c r="J54" s="764"/>
      <c r="K54" s="134"/>
      <c r="L54" s="134"/>
      <c r="M54" s="134"/>
      <c r="N54" s="134"/>
      <c r="O54" s="134"/>
      <c r="P54" s="134"/>
      <c r="Q54" s="134"/>
      <c r="R54" s="769"/>
    </row>
    <row r="55" spans="1:18" ht="20.100000000000001" customHeight="1">
      <c r="A55" s="3"/>
      <c r="B55" s="19" t="s">
        <v>103</v>
      </c>
      <c r="C55" s="11"/>
      <c r="D55" s="14"/>
      <c r="E55" s="72"/>
      <c r="F55" s="72"/>
      <c r="G55" s="202"/>
      <c r="H55" s="202"/>
      <c r="I55" s="72"/>
      <c r="J55" s="761"/>
      <c r="K55" s="72"/>
      <c r="L55" s="72"/>
      <c r="M55" s="72"/>
      <c r="N55" s="72"/>
      <c r="O55" s="72"/>
      <c r="P55" s="72"/>
      <c r="Q55" s="72"/>
      <c r="R55" s="769"/>
    </row>
    <row r="56" spans="1:18" ht="20.100000000000001" customHeight="1">
      <c r="A56" s="3">
        <v>1</v>
      </c>
      <c r="B56" s="745" t="s">
        <v>107</v>
      </c>
      <c r="C56" s="745" t="s">
        <v>25</v>
      </c>
      <c r="D56" s="28" t="s">
        <v>108</v>
      </c>
      <c r="E56" s="72">
        <v>700713.91666666605</v>
      </c>
      <c r="F56" s="20"/>
      <c r="G56" s="3"/>
      <c r="H56" s="751">
        <v>80000</v>
      </c>
      <c r="I56" s="69"/>
      <c r="J56" s="761">
        <f t="shared" ref="J56:J62" si="26">E56+F56+G56+H56+I56</f>
        <v>780713.91666666605</v>
      </c>
      <c r="K56" s="69"/>
      <c r="L56" s="69"/>
      <c r="M56" s="69"/>
      <c r="N56" s="69"/>
      <c r="O56" s="72">
        <v>112938.2246</v>
      </c>
      <c r="P56" s="72">
        <f t="shared" ref="P56:P62" si="27">0.08*E56</f>
        <v>56057.113333333298</v>
      </c>
      <c r="Q56" s="750">
        <f t="shared" ref="Q56:Q62" si="28">P56+O56+N56+M56+L56+K56</f>
        <v>168995.33793333301</v>
      </c>
      <c r="R56" s="769">
        <f t="shared" ref="R56:R62" si="29">J56-Q56</f>
        <v>611718.57873333304</v>
      </c>
    </row>
    <row r="57" spans="1:18" ht="20.100000000000001" customHeight="1">
      <c r="A57" s="3">
        <v>2</v>
      </c>
      <c r="B57" s="745" t="s">
        <v>109</v>
      </c>
      <c r="C57" s="745" t="s">
        <v>110</v>
      </c>
      <c r="D57" s="28" t="s">
        <v>37</v>
      </c>
      <c r="E57" s="72">
        <v>372145.33333333302</v>
      </c>
      <c r="F57" s="20"/>
      <c r="G57" s="3"/>
      <c r="H57" s="751">
        <v>60000</v>
      </c>
      <c r="I57" s="69"/>
      <c r="J57" s="761">
        <f t="shared" si="26"/>
        <v>432145.33333333302</v>
      </c>
      <c r="K57" s="69"/>
      <c r="L57" s="69"/>
      <c r="M57" s="69"/>
      <c r="N57" s="69"/>
      <c r="O57" s="72">
        <v>54927.2671999999</v>
      </c>
      <c r="P57" s="72">
        <f t="shared" si="27"/>
        <v>29771.626666666602</v>
      </c>
      <c r="Q57" s="750">
        <f t="shared" si="28"/>
        <v>84698.893866666607</v>
      </c>
      <c r="R57" s="769">
        <f t="shared" si="29"/>
        <v>347446.43946666602</v>
      </c>
    </row>
    <row r="58" spans="1:18" ht="20.100000000000001" customHeight="1">
      <c r="A58" s="3">
        <v>3</v>
      </c>
      <c r="B58" s="745" t="s">
        <v>111</v>
      </c>
      <c r="C58" s="745" t="s">
        <v>112</v>
      </c>
      <c r="D58" s="28" t="s">
        <v>55</v>
      </c>
      <c r="E58" s="72">
        <v>330408.08333333302</v>
      </c>
      <c r="F58" s="20"/>
      <c r="G58" s="3"/>
      <c r="H58" s="751">
        <v>60000</v>
      </c>
      <c r="I58" s="69"/>
      <c r="J58" s="761">
        <f t="shared" si="26"/>
        <v>390408.08333333302</v>
      </c>
      <c r="K58" s="69"/>
      <c r="L58" s="69"/>
      <c r="M58" s="69"/>
      <c r="N58" s="69"/>
      <c r="O58" s="72">
        <v>48015.578600000001</v>
      </c>
      <c r="P58" s="72">
        <f t="shared" si="27"/>
        <v>26432.646666666598</v>
      </c>
      <c r="Q58" s="750">
        <f t="shared" si="28"/>
        <v>74448.225266666603</v>
      </c>
      <c r="R58" s="769">
        <f t="shared" si="29"/>
        <v>315959.858066666</v>
      </c>
    </row>
    <row r="59" spans="1:18" ht="20.100000000000001" customHeight="1">
      <c r="A59" s="3">
        <v>4</v>
      </c>
      <c r="B59" s="745" t="s">
        <v>114</v>
      </c>
      <c r="C59" s="745" t="s">
        <v>115</v>
      </c>
      <c r="D59" s="28" t="s">
        <v>116</v>
      </c>
      <c r="E59" s="72">
        <v>287890.91666666698</v>
      </c>
      <c r="F59" s="20"/>
      <c r="G59" s="3"/>
      <c r="H59" s="751">
        <v>50000</v>
      </c>
      <c r="I59" s="69"/>
      <c r="J59" s="761">
        <f t="shared" si="26"/>
        <v>337890.91666666698</v>
      </c>
      <c r="K59" s="69"/>
      <c r="L59" s="69"/>
      <c r="M59" s="69"/>
      <c r="N59" s="69"/>
      <c r="O59" s="72">
        <v>39174.735800000002</v>
      </c>
      <c r="P59" s="72">
        <f t="shared" si="27"/>
        <v>23031.2733333334</v>
      </c>
      <c r="Q59" s="750">
        <f t="shared" si="28"/>
        <v>62206.009133333398</v>
      </c>
      <c r="R59" s="769">
        <f t="shared" si="29"/>
        <v>275684.90753333399</v>
      </c>
    </row>
    <row r="60" spans="1:18" ht="20.100000000000001" customHeight="1">
      <c r="A60" s="3">
        <v>5</v>
      </c>
      <c r="B60" s="17" t="s">
        <v>117</v>
      </c>
      <c r="C60" s="11" t="s">
        <v>118</v>
      </c>
      <c r="D60" s="14" t="s">
        <v>119</v>
      </c>
      <c r="E60" s="72">
        <v>134912.66666666701</v>
      </c>
      <c r="F60" s="72"/>
      <c r="G60" s="753"/>
      <c r="H60" s="202">
        <v>15000</v>
      </c>
      <c r="I60" s="72">
        <v>7000</v>
      </c>
      <c r="J60" s="761">
        <f t="shared" si="26"/>
        <v>156912.66666666701</v>
      </c>
      <c r="K60" s="72"/>
      <c r="L60" s="658"/>
      <c r="M60" s="658"/>
      <c r="N60" s="3"/>
      <c r="O60" s="658">
        <v>11917.948</v>
      </c>
      <c r="P60" s="72">
        <f t="shared" si="27"/>
        <v>10793.0133333334</v>
      </c>
      <c r="Q60" s="750">
        <f t="shared" si="28"/>
        <v>22710.961333333398</v>
      </c>
      <c r="R60" s="769">
        <f t="shared" si="29"/>
        <v>134201.70533333399</v>
      </c>
    </row>
    <row r="61" spans="1:18" ht="20.100000000000001" customHeight="1">
      <c r="A61" s="3">
        <v>6</v>
      </c>
      <c r="B61" s="17" t="s">
        <v>120</v>
      </c>
      <c r="C61" s="11" t="s">
        <v>121</v>
      </c>
      <c r="D61" s="14" t="s">
        <v>122</v>
      </c>
      <c r="E61" s="72">
        <f>'[2] FGN 2024 MGT Monthly'!$H$33+'[2]Peculiar Allowance'!$H$33</f>
        <v>124124.08333333299</v>
      </c>
      <c r="F61" s="72"/>
      <c r="G61" s="753"/>
      <c r="H61" s="202">
        <v>15000</v>
      </c>
      <c r="I61" s="72">
        <v>7000</v>
      </c>
      <c r="J61" s="761">
        <f t="shared" si="26"/>
        <v>146124.08333333299</v>
      </c>
      <c r="K61" s="72"/>
      <c r="L61" s="658"/>
      <c r="M61" s="658"/>
      <c r="N61" s="3"/>
      <c r="O61" s="658">
        <v>10429.1234999999</v>
      </c>
      <c r="P61" s="72">
        <f t="shared" si="27"/>
        <v>9929.9266666666699</v>
      </c>
      <c r="Q61" s="750">
        <f t="shared" si="28"/>
        <v>20359.050166666599</v>
      </c>
      <c r="R61" s="769">
        <f t="shared" si="29"/>
        <v>125765.033166667</v>
      </c>
    </row>
    <row r="62" spans="1:18" ht="20.100000000000001" customHeight="1">
      <c r="A62" s="3">
        <v>7</v>
      </c>
      <c r="B62" s="17" t="s">
        <v>123</v>
      </c>
      <c r="C62" s="11" t="s">
        <v>121</v>
      </c>
      <c r="D62" s="14" t="s">
        <v>122</v>
      </c>
      <c r="E62" s="72">
        <f>'[2] FGN 2024 MGT Monthly'!$H$33+'[2]Peculiar Allowance'!$H$33</f>
        <v>124124.08333333299</v>
      </c>
      <c r="F62" s="72"/>
      <c r="G62" s="202"/>
      <c r="H62" s="202">
        <v>15000</v>
      </c>
      <c r="I62" s="72">
        <v>7000</v>
      </c>
      <c r="J62" s="761">
        <f t="shared" si="26"/>
        <v>146124.08333333299</v>
      </c>
      <c r="K62" s="72"/>
      <c r="L62" s="658"/>
      <c r="M62" s="658"/>
      <c r="N62" s="3"/>
      <c r="O62" s="658">
        <v>10429.1234999999</v>
      </c>
      <c r="P62" s="72">
        <f t="shared" si="27"/>
        <v>9929.9266666666699</v>
      </c>
      <c r="Q62" s="750">
        <f t="shared" si="28"/>
        <v>20359.050166666599</v>
      </c>
      <c r="R62" s="769">
        <f t="shared" si="29"/>
        <v>125765.033166667</v>
      </c>
    </row>
    <row r="63" spans="1:18" ht="30.75" customHeight="1">
      <c r="A63" s="26"/>
      <c r="B63" s="7" t="s">
        <v>42</v>
      </c>
      <c r="C63" s="27" t="s">
        <v>199</v>
      </c>
      <c r="D63" s="28"/>
      <c r="E63" s="80">
        <f t="shared" ref="E63:R63" si="30">SUM(E56:E62)</f>
        <v>2074319.08333333</v>
      </c>
      <c r="F63" s="80">
        <f t="shared" si="30"/>
        <v>0</v>
      </c>
      <c r="G63" s="80">
        <f t="shared" si="30"/>
        <v>0</v>
      </c>
      <c r="H63" s="80">
        <f t="shared" si="30"/>
        <v>295000</v>
      </c>
      <c r="I63" s="80">
        <f t="shared" si="30"/>
        <v>21000</v>
      </c>
      <c r="J63" s="765">
        <f t="shared" si="30"/>
        <v>2390319.0833333302</v>
      </c>
      <c r="K63" s="80">
        <f t="shared" si="30"/>
        <v>0</v>
      </c>
      <c r="L63" s="80">
        <f t="shared" si="30"/>
        <v>0</v>
      </c>
      <c r="M63" s="80">
        <f t="shared" si="30"/>
        <v>0</v>
      </c>
      <c r="N63" s="80">
        <f t="shared" si="30"/>
        <v>0</v>
      </c>
      <c r="O63" s="80">
        <f t="shared" si="30"/>
        <v>287832.0012</v>
      </c>
      <c r="P63" s="80">
        <f t="shared" si="30"/>
        <v>165945.52666666699</v>
      </c>
      <c r="Q63" s="80">
        <f t="shared" si="30"/>
        <v>453777.52786666597</v>
      </c>
      <c r="R63" s="80">
        <f t="shared" si="30"/>
        <v>1936541.5554666701</v>
      </c>
    </row>
    <row r="64" spans="1:18" ht="35.25" customHeight="1">
      <c r="A64" s="3"/>
      <c r="B64" s="29" t="s">
        <v>125</v>
      </c>
      <c r="C64" s="30">
        <f t="shared" ref="C64:R64" si="31">C63+C53+C48+C44+C39+C32+C27+C14</f>
        <v>35</v>
      </c>
      <c r="D64" s="31"/>
      <c r="E64" s="209">
        <f t="shared" si="31"/>
        <v>12847109.297490999</v>
      </c>
      <c r="F64" s="209">
        <f t="shared" si="31"/>
        <v>0</v>
      </c>
      <c r="G64" s="209">
        <f t="shared" si="31"/>
        <v>1909354.8387096799</v>
      </c>
      <c r="H64" s="209">
        <f t="shared" si="31"/>
        <v>837580.64516128995</v>
      </c>
      <c r="I64" s="209">
        <f t="shared" si="31"/>
        <v>21000</v>
      </c>
      <c r="J64" s="767">
        <f t="shared" si="31"/>
        <v>15615044.781362001</v>
      </c>
      <c r="K64" s="209">
        <f t="shared" si="31"/>
        <v>0</v>
      </c>
      <c r="L64" s="209">
        <f t="shared" si="31"/>
        <v>0</v>
      </c>
      <c r="M64" s="209">
        <f t="shared" si="31"/>
        <v>0</v>
      </c>
      <c r="N64" s="209">
        <f t="shared" si="31"/>
        <v>0</v>
      </c>
      <c r="O64" s="209">
        <f t="shared" si="31"/>
        <v>2053548.9145612901</v>
      </c>
      <c r="P64" s="209">
        <f t="shared" si="31"/>
        <v>1027768.74379928</v>
      </c>
      <c r="Q64" s="209">
        <f t="shared" si="31"/>
        <v>3081317.6583605702</v>
      </c>
      <c r="R64" s="767">
        <f t="shared" si="31"/>
        <v>12533727.1230014</v>
      </c>
    </row>
    <row r="65" spans="1:18" ht="35.25" customHeight="1">
      <c r="A65" s="2"/>
      <c r="B65" s="754"/>
      <c r="C65" s="755"/>
      <c r="D65" s="210"/>
      <c r="E65" s="756"/>
      <c r="F65" s="756"/>
      <c r="G65" s="756"/>
      <c r="H65" s="756"/>
      <c r="I65" s="770"/>
      <c r="J65" s="756"/>
      <c r="K65" s="756"/>
      <c r="L65" s="756"/>
      <c r="M65" s="756"/>
      <c r="N65" s="756"/>
      <c r="O65" s="756"/>
      <c r="P65" s="756"/>
      <c r="Q65" s="756"/>
      <c r="R65" s="770"/>
    </row>
    <row r="66" spans="1:18" ht="36.75" customHeight="1">
      <c r="A66" s="2"/>
      <c r="B66" s="32"/>
      <c r="C66" s="33"/>
      <c r="D66" s="33"/>
      <c r="E66" s="33"/>
      <c r="F66" s="33"/>
      <c r="G66" s="210"/>
      <c r="H66" s="210"/>
      <c r="J66" s="210" t="s">
        <v>126</v>
      </c>
      <c r="K66" s="210"/>
      <c r="L66" s="210"/>
      <c r="M66" s="210"/>
      <c r="N66" s="210"/>
      <c r="O66" s="211"/>
      <c r="P66" s="211"/>
      <c r="Q66" s="211"/>
      <c r="R66" s="34"/>
    </row>
    <row r="67" spans="1:18" ht="20.100000000000001" customHeight="1">
      <c r="Q67" s="34"/>
      <c r="R67" s="315"/>
    </row>
    <row r="68" spans="1:18" ht="20.100000000000001" customHeight="1">
      <c r="R68" s="34"/>
    </row>
    <row r="69" spans="1:18" ht="20.100000000000001" customHeight="1">
      <c r="J69" s="34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60" orientation="landscape" horizontalDpi="1200" verticalDpi="1200"/>
  <headerFooter alignWithMargins="0"/>
  <rowBreaks count="1" manualBreakCount="1">
    <brk id="40" max="1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1"/>
  <sheetViews>
    <sheetView view="pageBreakPreview" zoomScaleNormal="100" workbookViewId="0">
      <pane xSplit="3" ySplit="6" topLeftCell="D9" activePane="bottomRight" state="frozen"/>
      <selection pane="topRight"/>
      <selection pane="bottomLeft"/>
      <selection pane="bottomRight" sqref="A1:G5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37.140625" style="1" customWidth="1"/>
    <col min="4" max="4" width="11.42578125" style="1" customWidth="1"/>
    <col min="5" max="5" width="19.28515625" style="1" customWidth="1"/>
    <col min="6" max="6" width="17.42578125" style="1" customWidth="1"/>
    <col min="7" max="7" width="15.42578125" style="1" customWidth="1"/>
    <col min="8" max="8" width="17.140625" style="1"/>
    <col min="9" max="9" width="15.140625" style="1"/>
    <col min="10" max="10" width="17.140625" style="1"/>
    <col min="11" max="16384" width="9.140625" style="1"/>
  </cols>
  <sheetData>
    <row r="1" spans="1:10" ht="27" customHeight="1">
      <c r="A1" s="848" t="s">
        <v>0</v>
      </c>
      <c r="B1" s="848"/>
      <c r="C1" s="848"/>
      <c r="D1" s="848"/>
      <c r="E1" s="848"/>
    </row>
    <row r="2" spans="1:10" ht="33.75" customHeight="1">
      <c r="A2" s="734" t="s">
        <v>200</v>
      </c>
      <c r="B2" s="64"/>
      <c r="C2" s="64"/>
      <c r="D2" s="735"/>
      <c r="E2" s="65"/>
    </row>
    <row r="3" spans="1:10" ht="9.75" customHeight="1"/>
    <row r="4" spans="1:10" ht="49.5" customHeight="1">
      <c r="A4" s="736"/>
      <c r="B4" s="737" t="s">
        <v>2</v>
      </c>
      <c r="C4" s="738" t="s">
        <v>3</v>
      </c>
      <c r="D4" s="739" t="s">
        <v>4</v>
      </c>
      <c r="E4" s="740" t="s">
        <v>201</v>
      </c>
      <c r="F4" s="740" t="s">
        <v>202</v>
      </c>
      <c r="G4" s="740" t="s">
        <v>203</v>
      </c>
    </row>
    <row r="5" spans="1:10" ht="17.25" customHeight="1">
      <c r="C5" s="68"/>
      <c r="D5" s="7"/>
      <c r="E5" s="741" t="s">
        <v>20</v>
      </c>
      <c r="F5" s="742" t="s">
        <v>20</v>
      </c>
      <c r="G5" s="743" t="s">
        <v>20</v>
      </c>
    </row>
    <row r="6" spans="1:10" ht="20.100000000000001" customHeight="1">
      <c r="A6" s="8" t="s">
        <v>21</v>
      </c>
      <c r="B6" s="7" t="s">
        <v>22</v>
      </c>
      <c r="C6" s="7"/>
      <c r="D6" s="7"/>
      <c r="E6" s="741"/>
      <c r="F6" s="744"/>
      <c r="G6" s="743"/>
    </row>
    <row r="7" spans="1:10" ht="20.100000000000001" customHeight="1">
      <c r="A7" s="9">
        <v>1</v>
      </c>
      <c r="B7" s="745" t="s">
        <v>24</v>
      </c>
      <c r="C7" s="745" t="s">
        <v>25</v>
      </c>
      <c r="D7" s="745" t="s">
        <v>26</v>
      </c>
      <c r="E7" s="72">
        <v>700000</v>
      </c>
      <c r="F7" s="72"/>
      <c r="G7" s="202">
        <f>E7</f>
        <v>700000</v>
      </c>
      <c r="H7" s="12"/>
      <c r="I7" s="12"/>
      <c r="J7" s="12"/>
    </row>
    <row r="8" spans="1:10" ht="18.75" customHeight="1">
      <c r="A8" s="9">
        <v>2</v>
      </c>
      <c r="B8" s="17" t="s">
        <v>27</v>
      </c>
      <c r="C8" s="3" t="s">
        <v>28</v>
      </c>
      <c r="D8" s="9" t="s">
        <v>29</v>
      </c>
      <c r="E8" s="72">
        <v>500000</v>
      </c>
      <c r="F8" s="72"/>
      <c r="G8" s="202">
        <f>E8</f>
        <v>500000</v>
      </c>
    </row>
    <row r="9" spans="1:10" ht="20.100000000000001" customHeight="1">
      <c r="A9" s="9">
        <v>3</v>
      </c>
      <c r="B9" s="17" t="s">
        <v>30</v>
      </c>
      <c r="C9" s="11" t="s">
        <v>31</v>
      </c>
      <c r="D9" s="9" t="s">
        <v>32</v>
      </c>
      <c r="E9" s="72">
        <v>400000</v>
      </c>
      <c r="F9" s="72">
        <f>E9</f>
        <v>400000</v>
      </c>
      <c r="G9" s="202"/>
    </row>
    <row r="10" spans="1:10" ht="20.100000000000001" customHeight="1">
      <c r="A10" s="9">
        <v>4</v>
      </c>
      <c r="B10" s="17" t="s">
        <v>33</v>
      </c>
      <c r="C10" s="11" t="s">
        <v>34</v>
      </c>
      <c r="D10" s="9" t="s">
        <v>32</v>
      </c>
      <c r="E10" s="72">
        <v>400000</v>
      </c>
      <c r="F10" s="72">
        <f>E10</f>
        <v>400000</v>
      </c>
      <c r="G10" s="202"/>
    </row>
    <row r="11" spans="1:10" ht="18.75" customHeight="1">
      <c r="A11" s="9">
        <v>5</v>
      </c>
      <c r="B11" s="17" t="s">
        <v>35</v>
      </c>
      <c r="C11" s="3" t="s">
        <v>36</v>
      </c>
      <c r="D11" s="9" t="s">
        <v>37</v>
      </c>
      <c r="E11" s="72">
        <v>300000</v>
      </c>
      <c r="F11" s="72">
        <f>E11</f>
        <v>300000</v>
      </c>
      <c r="G11" s="202"/>
    </row>
    <row r="12" spans="1:10" ht="18.75" customHeight="1">
      <c r="A12" s="9">
        <v>6</v>
      </c>
      <c r="B12" s="17" t="s">
        <v>38</v>
      </c>
      <c r="C12" s="3" t="s">
        <v>39</v>
      </c>
      <c r="D12" s="9" t="s">
        <v>37</v>
      </c>
      <c r="E12" s="72">
        <v>300000</v>
      </c>
      <c r="F12" s="72">
        <f>E12</f>
        <v>300000</v>
      </c>
      <c r="G12" s="202"/>
    </row>
    <row r="13" spans="1:10" ht="18.75" customHeight="1">
      <c r="A13" s="9">
        <v>7</v>
      </c>
      <c r="B13" s="17" t="s">
        <v>40</v>
      </c>
      <c r="C13" s="3" t="s">
        <v>41</v>
      </c>
      <c r="D13" s="9" t="s">
        <v>37</v>
      </c>
      <c r="E13" s="72">
        <v>300000</v>
      </c>
      <c r="F13" s="72">
        <f>E13</f>
        <v>300000</v>
      </c>
      <c r="G13" s="202"/>
    </row>
    <row r="14" spans="1:10" ht="26.25" customHeight="1">
      <c r="A14" s="9"/>
      <c r="B14" s="19" t="s">
        <v>42</v>
      </c>
      <c r="C14" s="20">
        <v>7</v>
      </c>
      <c r="D14" s="14"/>
      <c r="E14" s="203">
        <f>SUM(E7:E13)</f>
        <v>2900000</v>
      </c>
      <c r="F14" s="203">
        <f>SUM(F7:F13)</f>
        <v>1700000</v>
      </c>
      <c r="G14" s="203">
        <f>SUM(G7:G13)</f>
        <v>1200000</v>
      </c>
    </row>
    <row r="15" spans="1:10" ht="18.75" customHeight="1">
      <c r="A15" s="9"/>
      <c r="B15" s="21"/>
      <c r="C15" s="3"/>
      <c r="D15" s="14"/>
      <c r="E15" s="203"/>
      <c r="F15" s="203"/>
      <c r="G15" s="202"/>
    </row>
    <row r="16" spans="1:10" ht="20.100000000000001" customHeight="1">
      <c r="A16" s="9"/>
      <c r="B16" s="22" t="s">
        <v>43</v>
      </c>
      <c r="C16" s="4"/>
      <c r="D16" s="23"/>
      <c r="E16" s="203"/>
      <c r="F16" s="203"/>
      <c r="G16" s="202"/>
    </row>
    <row r="17" spans="1:7" ht="20.100000000000001" customHeight="1">
      <c r="A17" s="26">
        <v>1</v>
      </c>
      <c r="B17" s="17" t="s">
        <v>44</v>
      </c>
      <c r="C17" s="3" t="s">
        <v>45</v>
      </c>
      <c r="D17" s="14" t="s">
        <v>32</v>
      </c>
      <c r="E17" s="72">
        <v>400000</v>
      </c>
      <c r="F17" s="72">
        <f>E17</f>
        <v>400000</v>
      </c>
      <c r="G17" s="202"/>
    </row>
    <row r="18" spans="1:7" ht="20.100000000000001" customHeight="1">
      <c r="A18" s="26">
        <v>2</v>
      </c>
      <c r="B18" s="17" t="s">
        <v>46</v>
      </c>
      <c r="C18" s="3" t="s">
        <v>45</v>
      </c>
      <c r="D18" s="14" t="s">
        <v>32</v>
      </c>
      <c r="E18" s="72">
        <v>400000</v>
      </c>
      <c r="F18" s="72">
        <f t="shared" ref="F18:F27" si="0">E18</f>
        <v>400000</v>
      </c>
      <c r="G18" s="202"/>
    </row>
    <row r="19" spans="1:7" ht="20.100000000000001" customHeight="1">
      <c r="A19" s="26">
        <v>3</v>
      </c>
      <c r="B19" s="17" t="s">
        <v>47</v>
      </c>
      <c r="C19" s="3" t="s">
        <v>45</v>
      </c>
      <c r="D19" s="14" t="s">
        <v>32</v>
      </c>
      <c r="E19" s="72">
        <v>400000</v>
      </c>
      <c r="F19" s="72">
        <f t="shared" si="0"/>
        <v>400000</v>
      </c>
      <c r="G19" s="202"/>
    </row>
    <row r="20" spans="1:7" ht="20.100000000000001" customHeight="1">
      <c r="A20" s="26">
        <v>4</v>
      </c>
      <c r="B20" s="10" t="s">
        <v>48</v>
      </c>
      <c r="C20" s="3" t="s">
        <v>49</v>
      </c>
      <c r="D20" s="9" t="s">
        <v>37</v>
      </c>
      <c r="E20" s="72">
        <v>300000</v>
      </c>
      <c r="F20" s="72">
        <f t="shared" si="0"/>
        <v>300000</v>
      </c>
      <c r="G20" s="202"/>
    </row>
    <row r="21" spans="1:7" ht="22.5" customHeight="1">
      <c r="A21" s="26">
        <v>5</v>
      </c>
      <c r="B21" s="10" t="s">
        <v>50</v>
      </c>
      <c r="C21" s="3" t="s">
        <v>49</v>
      </c>
      <c r="D21" s="9" t="s">
        <v>37</v>
      </c>
      <c r="E21" s="72">
        <v>300000</v>
      </c>
      <c r="F21" s="72">
        <f t="shared" si="0"/>
        <v>300000</v>
      </c>
      <c r="G21" s="202"/>
    </row>
    <row r="22" spans="1:7" ht="22.5" customHeight="1">
      <c r="A22" s="26">
        <v>6</v>
      </c>
      <c r="B22" s="17" t="s">
        <v>51</v>
      </c>
      <c r="C22" s="3" t="s">
        <v>52</v>
      </c>
      <c r="D22" s="14" t="s">
        <v>37</v>
      </c>
      <c r="E22" s="72">
        <v>300000</v>
      </c>
      <c r="F22" s="72">
        <f t="shared" si="0"/>
        <v>300000</v>
      </c>
      <c r="G22" s="202"/>
    </row>
    <row r="23" spans="1:7" ht="20.100000000000001" customHeight="1">
      <c r="A23" s="26">
        <v>7</v>
      </c>
      <c r="B23" s="10" t="s">
        <v>53</v>
      </c>
      <c r="C23" s="3" t="s">
        <v>54</v>
      </c>
      <c r="D23" s="9" t="s">
        <v>55</v>
      </c>
      <c r="E23" s="72">
        <v>300000</v>
      </c>
      <c r="F23" s="72">
        <f t="shared" si="0"/>
        <v>300000</v>
      </c>
      <c r="G23" s="202"/>
    </row>
    <row r="24" spans="1:7" ht="20.100000000000001" customHeight="1">
      <c r="A24" s="26">
        <v>8</v>
      </c>
      <c r="B24" s="10" t="s">
        <v>56</v>
      </c>
      <c r="C24" s="3" t="s">
        <v>54</v>
      </c>
      <c r="D24" s="9" t="s">
        <v>55</v>
      </c>
      <c r="E24" s="72">
        <v>300000</v>
      </c>
      <c r="F24" s="72">
        <f t="shared" si="0"/>
        <v>300000</v>
      </c>
      <c r="G24" s="202"/>
    </row>
    <row r="25" spans="1:7" ht="20.100000000000001" customHeight="1">
      <c r="A25" s="26">
        <v>9</v>
      </c>
      <c r="B25" s="10" t="s">
        <v>57</v>
      </c>
      <c r="C25" s="3" t="s">
        <v>54</v>
      </c>
      <c r="D25" s="9" t="s">
        <v>55</v>
      </c>
      <c r="E25" s="72">
        <v>300000</v>
      </c>
      <c r="F25" s="72">
        <f t="shared" si="0"/>
        <v>300000</v>
      </c>
      <c r="G25" s="202"/>
    </row>
    <row r="26" spans="1:7" ht="20.100000000000001" customHeight="1">
      <c r="A26" s="26">
        <v>10</v>
      </c>
      <c r="B26" s="746" t="s">
        <v>58</v>
      </c>
      <c r="C26" s="3" t="s">
        <v>54</v>
      </c>
      <c r="D26" s="9" t="s">
        <v>55</v>
      </c>
      <c r="E26" s="72">
        <v>300000</v>
      </c>
      <c r="F26" s="72">
        <f t="shared" si="0"/>
        <v>300000</v>
      </c>
      <c r="G26" s="202"/>
    </row>
    <row r="27" spans="1:7" ht="20.100000000000001" customHeight="1">
      <c r="A27" s="26">
        <v>11</v>
      </c>
      <c r="B27" s="10" t="s">
        <v>59</v>
      </c>
      <c r="C27" s="3" t="s">
        <v>54</v>
      </c>
      <c r="D27" s="9" t="s">
        <v>55</v>
      </c>
      <c r="E27" s="72">
        <v>300000</v>
      </c>
      <c r="F27" s="72">
        <f t="shared" si="0"/>
        <v>300000</v>
      </c>
      <c r="G27" s="202"/>
    </row>
    <row r="28" spans="1:7" ht="25.5" customHeight="1">
      <c r="A28" s="9"/>
      <c r="B28" s="19" t="s">
        <v>42</v>
      </c>
      <c r="C28" s="20">
        <v>11</v>
      </c>
      <c r="D28" s="20"/>
      <c r="E28" s="80">
        <f>SUM(E17:E27)</f>
        <v>3600000</v>
      </c>
      <c r="F28" s="80">
        <f>SUM(F17:F27)</f>
        <v>3600000</v>
      </c>
      <c r="G28" s="80">
        <f>SUM(G17:G27)</f>
        <v>0</v>
      </c>
    </row>
    <row r="29" spans="1:7" ht="20.100000000000001" customHeight="1">
      <c r="A29" s="9"/>
      <c r="B29" s="21"/>
      <c r="C29" s="20"/>
      <c r="D29" s="20"/>
      <c r="E29" s="134"/>
      <c r="F29" s="134"/>
      <c r="G29" s="202"/>
    </row>
    <row r="30" spans="1:7" ht="20.100000000000001" customHeight="1">
      <c r="A30" s="9"/>
      <c r="B30" s="19" t="s">
        <v>60</v>
      </c>
      <c r="C30" s="20"/>
      <c r="D30" s="20"/>
      <c r="E30" s="134"/>
      <c r="F30" s="134"/>
      <c r="G30" s="202"/>
    </row>
    <row r="31" spans="1:7" ht="20.100000000000001" customHeight="1">
      <c r="A31" s="9">
        <v>1</v>
      </c>
      <c r="B31" s="17" t="s">
        <v>61</v>
      </c>
      <c r="C31" s="16" t="s">
        <v>62</v>
      </c>
      <c r="D31" s="14" t="s">
        <v>37</v>
      </c>
      <c r="E31" s="72">
        <v>300000</v>
      </c>
      <c r="F31" s="72">
        <f>E31</f>
        <v>300000</v>
      </c>
      <c r="G31" s="202"/>
    </row>
    <row r="32" spans="1:7" ht="20.100000000000001" customHeight="1">
      <c r="A32" s="9">
        <v>2</v>
      </c>
      <c r="B32" s="17" t="s">
        <v>63</v>
      </c>
      <c r="C32" s="16" t="s">
        <v>64</v>
      </c>
      <c r="D32" s="14" t="s">
        <v>55</v>
      </c>
      <c r="E32" s="72">
        <v>300000</v>
      </c>
      <c r="F32" s="72">
        <f>E32</f>
        <v>300000</v>
      </c>
      <c r="G32" s="202"/>
    </row>
    <row r="33" spans="1:7" ht="27" customHeight="1">
      <c r="A33" s="9"/>
      <c r="B33" s="19" t="s">
        <v>42</v>
      </c>
      <c r="C33" s="20">
        <v>2</v>
      </c>
      <c r="D33" s="20"/>
      <c r="E33" s="80">
        <f>SUM(E31:E32)</f>
        <v>600000</v>
      </c>
      <c r="F33" s="80">
        <f>SUM(F31:F32)</f>
        <v>600000</v>
      </c>
      <c r="G33" s="80">
        <f>SUM(G31:G32)</f>
        <v>0</v>
      </c>
    </row>
    <row r="34" spans="1:7" ht="20.100000000000001" customHeight="1">
      <c r="A34" s="9"/>
      <c r="B34" s="21"/>
      <c r="C34" s="20"/>
      <c r="D34" s="20"/>
      <c r="E34" s="134"/>
      <c r="F34" s="134"/>
      <c r="G34" s="202"/>
    </row>
    <row r="35" spans="1:7" ht="20.100000000000001" customHeight="1">
      <c r="A35" s="9"/>
      <c r="B35" s="19" t="s">
        <v>65</v>
      </c>
      <c r="C35" s="20"/>
      <c r="D35" s="20"/>
      <c r="E35" s="134"/>
      <c r="F35" s="134"/>
      <c r="G35" s="202"/>
    </row>
    <row r="36" spans="1:7" ht="20.100000000000001" customHeight="1">
      <c r="A36" s="9">
        <v>1</v>
      </c>
      <c r="B36" s="17" t="s">
        <v>66</v>
      </c>
      <c r="C36" s="3" t="s">
        <v>67</v>
      </c>
      <c r="D36" s="14" t="s">
        <v>29</v>
      </c>
      <c r="E36" s="72">
        <v>500000</v>
      </c>
      <c r="F36" s="72"/>
      <c r="G36" s="202">
        <f>E36</f>
        <v>500000</v>
      </c>
    </row>
    <row r="37" spans="1:7" ht="20.100000000000001" customHeight="1">
      <c r="A37" s="9">
        <v>2</v>
      </c>
      <c r="B37" s="10" t="s">
        <v>68</v>
      </c>
      <c r="C37" s="3" t="s">
        <v>69</v>
      </c>
      <c r="D37" s="14" t="s">
        <v>55</v>
      </c>
      <c r="E37" s="72">
        <v>300000</v>
      </c>
      <c r="F37" s="72">
        <f>E37</f>
        <v>300000</v>
      </c>
      <c r="G37" s="202"/>
    </row>
    <row r="38" spans="1:7" ht="20.100000000000001" customHeight="1">
      <c r="A38" s="9">
        <v>3</v>
      </c>
      <c r="B38" s="17" t="s">
        <v>70</v>
      </c>
      <c r="C38" s="11" t="s">
        <v>71</v>
      </c>
      <c r="D38" s="14" t="s">
        <v>72</v>
      </c>
      <c r="E38" s="72">
        <v>300000</v>
      </c>
      <c r="F38" s="72">
        <f>E38</f>
        <v>300000</v>
      </c>
      <c r="G38" s="202"/>
    </row>
    <row r="39" spans="1:7" ht="20.100000000000001" customHeight="1">
      <c r="A39" s="9">
        <v>4</v>
      </c>
      <c r="B39" s="17" t="s">
        <v>73</v>
      </c>
      <c r="C39" s="11" t="s">
        <v>71</v>
      </c>
      <c r="D39" s="14" t="s">
        <v>72</v>
      </c>
      <c r="E39" s="72">
        <v>300000</v>
      </c>
      <c r="F39" s="72">
        <f>E39</f>
        <v>300000</v>
      </c>
      <c r="G39" s="202"/>
    </row>
    <row r="40" spans="1:7" ht="23.1" customHeight="1">
      <c r="A40" s="9"/>
      <c r="B40" s="19" t="s">
        <v>42</v>
      </c>
      <c r="C40" s="20">
        <v>4</v>
      </c>
      <c r="D40" s="20"/>
      <c r="E40" s="80">
        <f>SUM(E36:E39)</f>
        <v>1400000</v>
      </c>
      <c r="F40" s="80">
        <f>SUM(F36:F39)</f>
        <v>900000</v>
      </c>
      <c r="G40" s="80">
        <f>SUM(G36:G39)</f>
        <v>500000</v>
      </c>
    </row>
    <row r="41" spans="1:7" ht="20.100000000000001" customHeight="1">
      <c r="A41" s="9"/>
      <c r="B41" s="19"/>
      <c r="C41" s="20"/>
      <c r="D41" s="20"/>
      <c r="E41" s="134"/>
      <c r="F41" s="134"/>
      <c r="G41" s="202"/>
    </row>
    <row r="42" spans="1:7" ht="20.100000000000001" customHeight="1">
      <c r="A42" s="9"/>
      <c r="B42" s="19" t="s">
        <v>74</v>
      </c>
      <c r="C42" s="24"/>
      <c r="D42" s="20"/>
      <c r="E42" s="134"/>
      <c r="F42" s="134"/>
      <c r="G42" s="202"/>
    </row>
    <row r="43" spans="1:7" ht="20.100000000000001" customHeight="1">
      <c r="A43" s="9">
        <v>1</v>
      </c>
      <c r="B43" s="746" t="s">
        <v>77</v>
      </c>
      <c r="C43" s="747" t="s">
        <v>78</v>
      </c>
      <c r="D43" s="9" t="s">
        <v>29</v>
      </c>
      <c r="E43" s="72">
        <v>500000</v>
      </c>
      <c r="F43" s="134"/>
      <c r="G43" s="202">
        <f>E43</f>
        <v>500000</v>
      </c>
    </row>
    <row r="44" spans="1:7" ht="20.100000000000001" customHeight="1">
      <c r="A44" s="9">
        <v>2</v>
      </c>
      <c r="B44" s="746" t="s">
        <v>79</v>
      </c>
      <c r="C44" s="747" t="s">
        <v>80</v>
      </c>
      <c r="D44" s="9" t="s">
        <v>81</v>
      </c>
      <c r="E44" s="72">
        <v>500000</v>
      </c>
      <c r="F44" s="72">
        <f>E44</f>
        <v>500000</v>
      </c>
      <c r="G44" s="202"/>
    </row>
    <row r="45" spans="1:7" ht="20.100000000000001" customHeight="1">
      <c r="A45" s="9">
        <v>3</v>
      </c>
      <c r="B45" s="17" t="s">
        <v>82</v>
      </c>
      <c r="C45" s="3" t="s">
        <v>45</v>
      </c>
      <c r="D45" s="14" t="s">
        <v>32</v>
      </c>
      <c r="E45" s="72">
        <v>400000</v>
      </c>
      <c r="F45" s="72">
        <f>E45</f>
        <v>400000</v>
      </c>
      <c r="G45" s="202"/>
    </row>
    <row r="46" spans="1:7" ht="20.100000000000001" customHeight="1">
      <c r="A46" s="9">
        <v>4</v>
      </c>
      <c r="B46" s="17" t="s">
        <v>83</v>
      </c>
      <c r="C46" s="3" t="s">
        <v>64</v>
      </c>
      <c r="D46" s="14" t="s">
        <v>37</v>
      </c>
      <c r="E46" s="72">
        <v>300000</v>
      </c>
      <c r="F46" s="72">
        <f>E46</f>
        <v>300000</v>
      </c>
      <c r="G46" s="202"/>
    </row>
    <row r="47" spans="1:7" ht="20.100000000000001" customHeight="1">
      <c r="A47" s="9"/>
      <c r="B47" s="19" t="s">
        <v>42</v>
      </c>
      <c r="C47" s="20">
        <v>4</v>
      </c>
      <c r="D47" s="20"/>
      <c r="E47" s="80">
        <f>SUM(E43:E46)</f>
        <v>1700000</v>
      </c>
      <c r="F47" s="80">
        <f>SUM(F43:F46)</f>
        <v>1200000</v>
      </c>
      <c r="G47" s="80">
        <f>SUM(G43:G46)</f>
        <v>500000</v>
      </c>
    </row>
    <row r="48" spans="1:7" ht="20.100000000000001" customHeight="1">
      <c r="A48" s="9"/>
      <c r="B48" s="21"/>
      <c r="C48" s="20"/>
      <c r="D48" s="20"/>
      <c r="E48" s="134"/>
      <c r="F48" s="134"/>
      <c r="G48" s="202"/>
    </row>
    <row r="49" spans="1:7" ht="20.100000000000001" customHeight="1">
      <c r="A49" s="9"/>
      <c r="B49" s="19" t="s">
        <v>84</v>
      </c>
      <c r="C49" s="20"/>
      <c r="D49" s="20"/>
      <c r="E49" s="134"/>
      <c r="F49" s="134"/>
      <c r="G49" s="202"/>
    </row>
    <row r="50" spans="1:7" ht="20.100000000000001" customHeight="1">
      <c r="A50" s="9">
        <v>1</v>
      </c>
      <c r="B50" s="10" t="s">
        <v>85</v>
      </c>
      <c r="C50" s="3" t="s">
        <v>86</v>
      </c>
      <c r="D50" s="14" t="s">
        <v>72</v>
      </c>
      <c r="E50" s="72">
        <v>300000</v>
      </c>
      <c r="F50" s="72">
        <f>E50</f>
        <v>300000</v>
      </c>
      <c r="G50" s="202"/>
    </row>
    <row r="51" spans="1:7" ht="20.100000000000001" customHeight="1">
      <c r="A51" s="3"/>
      <c r="B51" s="19" t="s">
        <v>42</v>
      </c>
      <c r="C51" s="20">
        <v>1</v>
      </c>
      <c r="D51" s="25"/>
      <c r="E51" s="80">
        <f>SUM(E50:E50)</f>
        <v>300000</v>
      </c>
      <c r="F51" s="80">
        <f>SUM(F50:F50)</f>
        <v>300000</v>
      </c>
      <c r="G51" s="80">
        <f>SUM(G50:G50)</f>
        <v>0</v>
      </c>
    </row>
    <row r="52" spans="1:7" ht="20.100000000000001" customHeight="1">
      <c r="A52" s="3"/>
      <c r="B52" s="21"/>
      <c r="C52" s="9"/>
      <c r="D52" s="3"/>
      <c r="E52" s="206"/>
      <c r="F52" s="8"/>
      <c r="G52" s="202"/>
    </row>
    <row r="53" spans="1:7" ht="20.100000000000001" customHeight="1">
      <c r="A53" s="3"/>
      <c r="B53" s="19" t="s">
        <v>97</v>
      </c>
      <c r="C53" s="20"/>
      <c r="D53" s="20"/>
      <c r="E53" s="134"/>
      <c r="F53" s="134"/>
      <c r="G53" s="202"/>
    </row>
    <row r="54" spans="1:7" ht="20.100000000000001" customHeight="1">
      <c r="A54" s="3">
        <v>1</v>
      </c>
      <c r="B54" s="17" t="s">
        <v>98</v>
      </c>
      <c r="C54" s="11" t="s">
        <v>25</v>
      </c>
      <c r="D54" s="14" t="s">
        <v>99</v>
      </c>
      <c r="E54" s="72">
        <v>700000</v>
      </c>
      <c r="F54" s="72"/>
      <c r="G54" s="202">
        <f>E54</f>
        <v>700000</v>
      </c>
    </row>
    <row r="55" spans="1:7" ht="20.100000000000001" customHeight="1">
      <c r="A55" s="3">
        <v>2</v>
      </c>
      <c r="B55" s="748" t="s">
        <v>100</v>
      </c>
      <c r="C55" s="11" t="s">
        <v>101</v>
      </c>
      <c r="D55" s="14" t="s">
        <v>72</v>
      </c>
      <c r="E55" s="72">
        <v>300000</v>
      </c>
      <c r="F55" s="72">
        <f>E55</f>
        <v>300000</v>
      </c>
      <c r="G55" s="202"/>
    </row>
    <row r="56" spans="1:7" ht="28.5" customHeight="1">
      <c r="A56" s="3"/>
      <c r="B56" s="19" t="s">
        <v>42</v>
      </c>
      <c r="C56" s="25" t="s">
        <v>102</v>
      </c>
      <c r="D56" s="14"/>
      <c r="E56" s="80">
        <f>SUM(E54:E55)</f>
        <v>1000000</v>
      </c>
      <c r="F56" s="80">
        <f>SUM(F54:F55)</f>
        <v>300000</v>
      </c>
      <c r="G56" s="80">
        <f>SUM(G54:G55)</f>
        <v>700000</v>
      </c>
    </row>
    <row r="57" spans="1:7" ht="20.100000000000001" customHeight="1">
      <c r="A57" s="3"/>
      <c r="B57" s="21"/>
      <c r="C57" s="25"/>
      <c r="D57" s="14"/>
      <c r="E57" s="134"/>
      <c r="F57" s="134"/>
      <c r="G57" s="202"/>
    </row>
    <row r="58" spans="1:7" ht="20.100000000000001" customHeight="1">
      <c r="A58" s="3"/>
      <c r="B58" s="19" t="s">
        <v>103</v>
      </c>
      <c r="C58" s="11"/>
      <c r="D58" s="14"/>
      <c r="E58" s="72"/>
      <c r="F58" s="72"/>
      <c r="G58" s="202"/>
    </row>
    <row r="59" spans="1:7" ht="20.100000000000001" customHeight="1">
      <c r="A59" s="3">
        <v>1</v>
      </c>
      <c r="B59" s="746" t="s">
        <v>104</v>
      </c>
      <c r="C59" s="11" t="s">
        <v>105</v>
      </c>
      <c r="D59" s="28" t="s">
        <v>106</v>
      </c>
      <c r="E59" s="72">
        <v>700000</v>
      </c>
      <c r="F59" s="749"/>
      <c r="G59" s="750">
        <f>E59</f>
        <v>700000</v>
      </c>
    </row>
    <row r="60" spans="1:7" ht="20.100000000000001" customHeight="1">
      <c r="A60" s="3">
        <v>2</v>
      </c>
      <c r="B60" s="745" t="s">
        <v>107</v>
      </c>
      <c r="C60" s="745" t="s">
        <v>25</v>
      </c>
      <c r="D60" s="28" t="s">
        <v>108</v>
      </c>
      <c r="E60" s="72">
        <v>700000</v>
      </c>
      <c r="F60" s="751"/>
      <c r="G60" s="750">
        <f>E60</f>
        <v>700000</v>
      </c>
    </row>
    <row r="61" spans="1:7" ht="20.100000000000001" customHeight="1">
      <c r="A61" s="3">
        <v>3</v>
      </c>
      <c r="B61" s="745" t="s">
        <v>109</v>
      </c>
      <c r="C61" s="745" t="s">
        <v>110</v>
      </c>
      <c r="D61" s="28" t="s">
        <v>37</v>
      </c>
      <c r="E61" s="72">
        <v>300000</v>
      </c>
      <c r="F61" s="751">
        <f>E61</f>
        <v>300000</v>
      </c>
      <c r="G61" s="3"/>
    </row>
    <row r="62" spans="1:7" ht="20.100000000000001" customHeight="1">
      <c r="A62" s="3">
        <v>4</v>
      </c>
      <c r="B62" s="745" t="s">
        <v>111</v>
      </c>
      <c r="C62" s="745" t="s">
        <v>112</v>
      </c>
      <c r="D62" s="28" t="s">
        <v>55</v>
      </c>
      <c r="E62" s="72">
        <v>300000</v>
      </c>
      <c r="F62" s="751">
        <f t="shared" ref="F62:F67" si="1">E62</f>
        <v>300000</v>
      </c>
      <c r="G62" s="3"/>
    </row>
    <row r="63" spans="1:7" ht="20.100000000000001" customHeight="1">
      <c r="A63" s="3">
        <v>5</v>
      </c>
      <c r="B63" s="752" t="s">
        <v>113</v>
      </c>
      <c r="C63" s="745" t="s">
        <v>112</v>
      </c>
      <c r="D63" s="28" t="s">
        <v>55</v>
      </c>
      <c r="E63" s="72">
        <v>300000</v>
      </c>
      <c r="F63" s="751">
        <f t="shared" si="1"/>
        <v>300000</v>
      </c>
      <c r="G63" s="3"/>
    </row>
    <row r="64" spans="1:7" ht="20.100000000000001" customHeight="1">
      <c r="A64" s="3">
        <v>6</v>
      </c>
      <c r="B64" s="745" t="s">
        <v>114</v>
      </c>
      <c r="C64" s="745" t="s">
        <v>115</v>
      </c>
      <c r="D64" s="28" t="s">
        <v>116</v>
      </c>
      <c r="E64" s="72">
        <v>300000</v>
      </c>
      <c r="F64" s="751">
        <f t="shared" si="1"/>
        <v>300000</v>
      </c>
      <c r="G64" s="3"/>
    </row>
    <row r="65" spans="1:7" ht="20.100000000000001" customHeight="1">
      <c r="A65" s="3">
        <v>7</v>
      </c>
      <c r="B65" s="17" t="s">
        <v>117</v>
      </c>
      <c r="C65" s="11" t="s">
        <v>118</v>
      </c>
      <c r="D65" s="14" t="s">
        <v>119</v>
      </c>
      <c r="E65" s="72">
        <v>300000</v>
      </c>
      <c r="F65" s="751">
        <f t="shared" si="1"/>
        <v>300000</v>
      </c>
      <c r="G65" s="753"/>
    </row>
    <row r="66" spans="1:7" ht="20.100000000000001" customHeight="1">
      <c r="A66" s="3">
        <v>8</v>
      </c>
      <c r="B66" s="17" t="s">
        <v>120</v>
      </c>
      <c r="C66" s="11" t="s">
        <v>121</v>
      </c>
      <c r="D66" s="14" t="s">
        <v>122</v>
      </c>
      <c r="E66" s="72">
        <v>300000</v>
      </c>
      <c r="F66" s="751">
        <f t="shared" si="1"/>
        <v>300000</v>
      </c>
      <c r="G66" s="753"/>
    </row>
    <row r="67" spans="1:7" ht="20.100000000000001" customHeight="1">
      <c r="A67" s="3">
        <v>9</v>
      </c>
      <c r="B67" s="17" t="s">
        <v>123</v>
      </c>
      <c r="C67" s="11" t="s">
        <v>121</v>
      </c>
      <c r="D67" s="14" t="s">
        <v>122</v>
      </c>
      <c r="E67" s="72">
        <v>300000</v>
      </c>
      <c r="F67" s="751">
        <f t="shared" si="1"/>
        <v>300000</v>
      </c>
      <c r="G67" s="202"/>
    </row>
    <row r="68" spans="1:7" ht="30.75" customHeight="1">
      <c r="A68" s="26"/>
      <c r="B68" s="7" t="s">
        <v>42</v>
      </c>
      <c r="C68" s="27" t="s">
        <v>124</v>
      </c>
      <c r="D68" s="28"/>
      <c r="E68" s="80">
        <f>SUM(E59:E67)</f>
        <v>3500000</v>
      </c>
      <c r="F68" s="80">
        <f>SUM(F59:F67)</f>
        <v>2100000</v>
      </c>
      <c r="G68" s="80">
        <f>SUM(G59:G67)</f>
        <v>1400000</v>
      </c>
    </row>
    <row r="69" spans="1:7" ht="35.25" customHeight="1">
      <c r="A69" s="3"/>
      <c r="B69" s="29" t="s">
        <v>125</v>
      </c>
      <c r="C69" s="30">
        <f>C68+C56+C51+C47+C40+C33+C28+C14</f>
        <v>40</v>
      </c>
      <c r="D69" s="31"/>
      <c r="E69" s="209">
        <f>E68+E56+E51+E47+E40+E33+E28+E14</f>
        <v>15000000</v>
      </c>
      <c r="F69" s="209">
        <f>F68+F56+F51+F47+F40+F33+F28+F14</f>
        <v>10700000</v>
      </c>
      <c r="G69" s="209">
        <f>G68+G56+G51+G47+G40+G33+G28+G14</f>
        <v>4300000</v>
      </c>
    </row>
    <row r="70" spans="1:7" ht="35.25" customHeight="1">
      <c r="A70" s="2"/>
      <c r="B70" s="754"/>
      <c r="C70" s="755"/>
      <c r="D70" s="210"/>
      <c r="E70" s="756"/>
      <c r="F70" s="756"/>
      <c r="G70" s="756"/>
    </row>
    <row r="71" spans="1:7" ht="36.75" customHeight="1">
      <c r="A71" s="2"/>
      <c r="B71" s="32"/>
      <c r="C71" s="33"/>
      <c r="D71" s="33"/>
      <c r="E71" s="33"/>
      <c r="F71" s="33"/>
      <c r="G71" s="210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97" orientation="landscape" horizontalDpi="1200" verticalDpi="1200" r:id="rId1"/>
  <headerFooter alignWithMargins="0"/>
  <rowBreaks count="2" manualBreakCount="2">
    <brk id="21" max="6" man="1"/>
    <brk id="40" max="6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5" sqref="A25"/>
    </sheetView>
  </sheetViews>
  <sheetFormatPr defaultColWidth="8.7109375" defaultRowHeight="12.7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opLeftCell="A4" workbookViewId="0">
      <selection activeCell="D7" sqref="D7"/>
    </sheetView>
  </sheetViews>
  <sheetFormatPr defaultColWidth="8.7109375" defaultRowHeight="12.75"/>
  <cols>
    <col min="1" max="1" width="5.140625" customWidth="1"/>
    <col min="2" max="2" width="46.7109375" customWidth="1"/>
    <col min="3" max="3" width="23.42578125" customWidth="1"/>
    <col min="4" max="4" width="11.85546875" customWidth="1"/>
  </cols>
  <sheetData>
    <row r="1" spans="1:3" ht="27.95" customHeight="1">
      <c r="A1" s="839" t="s">
        <v>204</v>
      </c>
      <c r="B1" s="839"/>
      <c r="C1" s="839"/>
    </row>
    <row r="2" spans="1:3" ht="32.1" customHeight="1">
      <c r="A2" s="729"/>
      <c r="B2" s="247" t="s">
        <v>205</v>
      </c>
      <c r="C2" s="247" t="s">
        <v>206</v>
      </c>
    </row>
    <row r="3" spans="1:3" ht="30" customHeight="1">
      <c r="A3" s="730">
        <v>1</v>
      </c>
      <c r="B3" s="730" t="s">
        <v>207</v>
      </c>
      <c r="C3" s="731">
        <f>'[3]JANUARY 2026'!$J$249-'[3]JANUARY 2026'!$Q$249</f>
        <v>154016.01333333371</v>
      </c>
    </row>
    <row r="4" spans="1:3" ht="30" customHeight="1">
      <c r="A4" s="730"/>
      <c r="B4" s="730" t="s">
        <v>208</v>
      </c>
      <c r="C4" s="732">
        <f>SUM(C3:C3)</f>
        <v>154016.01333333371</v>
      </c>
    </row>
    <row r="5" spans="1:3" ht="30" customHeight="1">
      <c r="A5" s="730"/>
      <c r="B5" s="730"/>
      <c r="C5" s="733"/>
    </row>
    <row r="6" spans="1:3" ht="30" customHeight="1">
      <c r="A6" s="730">
        <v>2</v>
      </c>
      <c r="B6" s="730" t="s">
        <v>209</v>
      </c>
      <c r="C6" s="733">
        <f>'[4]Jan Contract'!$H$32</f>
        <v>11633710.853333335</v>
      </c>
    </row>
    <row r="7" spans="1:3" ht="30" customHeight="1">
      <c r="A7" s="730">
        <v>3</v>
      </c>
      <c r="B7" s="730" t="s">
        <v>210</v>
      </c>
      <c r="C7" s="733">
        <f>18271171.91</f>
        <v>18271171.91</v>
      </c>
    </row>
    <row r="8" spans="1:3" ht="30" customHeight="1">
      <c r="A8" s="730">
        <v>4</v>
      </c>
      <c r="B8" s="730" t="s">
        <v>211</v>
      </c>
      <c r="C8" s="733">
        <f>'[4]Jan CONSULTANTS '!$D$21</f>
        <v>4600000</v>
      </c>
    </row>
    <row r="9" spans="1:3" ht="30" customHeight="1">
      <c r="A9" s="730">
        <v>5</v>
      </c>
      <c r="B9" s="730" t="s">
        <v>212</v>
      </c>
      <c r="C9" s="733">
        <f>'FEB NEW PERM'!J77</f>
        <v>22256923.088709701</v>
      </c>
    </row>
    <row r="10" spans="1:3" ht="30" customHeight="1">
      <c r="A10" s="730">
        <v>6</v>
      </c>
      <c r="B10" s="730" t="s">
        <v>213</v>
      </c>
      <c r="C10" s="731">
        <f>'[4]Jan New Contract '!$H$23</f>
        <v>9924247.049569888</v>
      </c>
    </row>
    <row r="11" spans="1:3" ht="30" customHeight="1">
      <c r="A11" s="730"/>
      <c r="B11" s="730" t="s">
        <v>214</v>
      </c>
      <c r="C11" s="732">
        <f>SUM(C6:C10)</f>
        <v>66686052.901612923</v>
      </c>
    </row>
    <row r="12" spans="1:3" ht="23.25">
      <c r="A12" s="730"/>
      <c r="B12" s="730"/>
      <c r="C12" s="733"/>
    </row>
  </sheetData>
  <mergeCells count="1">
    <mergeCell ref="A1:C1"/>
  </mergeCells>
  <pageMargins left="0.75" right="0.75" top="1" bottom="1" header="0.5" footer="0.5"/>
  <pageSetup paperSize="25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zoomScaleSheetLayoutView="50" workbookViewId="0">
      <pane xSplit="3" ySplit="6" topLeftCell="D7" activePane="bottomRight" state="frozen"/>
      <selection pane="topRight"/>
      <selection pane="bottomLeft"/>
      <selection pane="bottomRight" activeCell="G5" sqref="G5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9.28515625" style="1" customWidth="1"/>
    <col min="6" max="16384" width="9.140625" style="1"/>
  </cols>
  <sheetData>
    <row r="1" spans="1:5" ht="27" customHeight="1">
      <c r="A1" s="218" t="s">
        <v>0</v>
      </c>
      <c r="B1" s="218"/>
      <c r="C1" s="218"/>
      <c r="D1" s="218"/>
      <c r="E1" s="725"/>
    </row>
    <row r="2" spans="1:5" ht="33.75" customHeight="1">
      <c r="A2" s="218" t="s">
        <v>215</v>
      </c>
      <c r="B2" s="239"/>
      <c r="C2" s="218"/>
      <c r="D2" s="218"/>
      <c r="E2" s="65"/>
    </row>
    <row r="3" spans="1:5" ht="9.75" customHeight="1">
      <c r="A3" s="2"/>
      <c r="B3" s="2"/>
      <c r="C3" s="2"/>
      <c r="D3" s="2"/>
    </row>
    <row r="4" spans="1:5" ht="49.5" customHeight="1">
      <c r="A4" s="501"/>
      <c r="B4" s="726" t="s">
        <v>2</v>
      </c>
      <c r="C4" s="727" t="s">
        <v>3</v>
      </c>
      <c r="D4" s="728" t="s">
        <v>4</v>
      </c>
      <c r="E4" s="705" t="s">
        <v>201</v>
      </c>
    </row>
    <row r="5" spans="1:5" ht="17.25" customHeight="1">
      <c r="C5" s="7"/>
      <c r="D5" s="7"/>
      <c r="E5" s="707" t="s">
        <v>20</v>
      </c>
    </row>
    <row r="6" spans="1:5" ht="20.100000000000001" customHeight="1">
      <c r="A6" s="8" t="s">
        <v>21</v>
      </c>
      <c r="B6" s="7" t="s">
        <v>22</v>
      </c>
      <c r="C6" s="7"/>
      <c r="D6" s="7"/>
      <c r="E6" s="707"/>
    </row>
    <row r="7" spans="1:5" ht="18.75" customHeight="1">
      <c r="A7" s="9">
        <v>1</v>
      </c>
      <c r="B7" s="17" t="s">
        <v>216</v>
      </c>
      <c r="C7" s="3" t="s">
        <v>217</v>
      </c>
      <c r="D7" s="9" t="s">
        <v>55</v>
      </c>
      <c r="E7" s="710">
        <v>54000</v>
      </c>
    </row>
    <row r="8" spans="1:5" ht="18.75" customHeight="1">
      <c r="A8" s="9">
        <v>2</v>
      </c>
      <c r="B8" s="17" t="s">
        <v>218</v>
      </c>
      <c r="C8" s="3" t="s">
        <v>217</v>
      </c>
      <c r="D8" s="9" t="s">
        <v>55</v>
      </c>
      <c r="E8" s="710">
        <v>54000</v>
      </c>
    </row>
    <row r="9" spans="1:5" ht="18.75" customHeight="1">
      <c r="A9" s="9">
        <v>3</v>
      </c>
      <c r="B9" s="17" t="s">
        <v>219</v>
      </c>
      <c r="C9" s="3" t="s">
        <v>220</v>
      </c>
      <c r="D9" s="9" t="s">
        <v>55</v>
      </c>
      <c r="E9" s="710">
        <v>54000</v>
      </c>
    </row>
    <row r="10" spans="1:5" ht="20.100000000000001" customHeight="1">
      <c r="A10" s="9">
        <v>4</v>
      </c>
      <c r="B10" s="17" t="s">
        <v>221</v>
      </c>
      <c r="C10" s="11" t="s">
        <v>222</v>
      </c>
      <c r="D10" s="14" t="s">
        <v>72</v>
      </c>
      <c r="E10" s="710">
        <v>54000</v>
      </c>
    </row>
    <row r="11" spans="1:5" ht="20.100000000000001" customHeight="1">
      <c r="A11" s="9">
        <v>5</v>
      </c>
      <c r="B11" s="17" t="s">
        <v>223</v>
      </c>
      <c r="C11" s="11" t="s">
        <v>224</v>
      </c>
      <c r="D11" s="14" t="s">
        <v>72</v>
      </c>
      <c r="E11" s="710">
        <v>54000</v>
      </c>
    </row>
    <row r="12" spans="1:5" ht="26.25" customHeight="1">
      <c r="A12" s="9"/>
      <c r="B12" s="19" t="s">
        <v>42</v>
      </c>
      <c r="C12" s="20">
        <v>5</v>
      </c>
      <c r="D12" s="14"/>
      <c r="E12" s="712">
        <f>SUM(E7:E11)</f>
        <v>270000</v>
      </c>
    </row>
    <row r="13" spans="1:5" ht="18.75" customHeight="1">
      <c r="A13" s="9"/>
      <c r="B13" s="21"/>
      <c r="C13" s="3"/>
      <c r="D13" s="14"/>
      <c r="E13" s="203"/>
    </row>
    <row r="14" spans="1:5" ht="18.75" customHeight="1">
      <c r="A14" s="9"/>
      <c r="B14" s="19" t="s">
        <v>225</v>
      </c>
      <c r="C14" s="3"/>
      <c r="D14" s="14"/>
      <c r="E14" s="72"/>
    </row>
    <row r="15" spans="1:5" ht="20.100000000000001" customHeight="1">
      <c r="A15" s="3">
        <v>1</v>
      </c>
      <c r="B15" s="17" t="s">
        <v>226</v>
      </c>
      <c r="C15" s="11" t="s">
        <v>227</v>
      </c>
      <c r="D15" s="14" t="s">
        <v>37</v>
      </c>
      <c r="E15" s="72">
        <v>68000</v>
      </c>
    </row>
    <row r="16" spans="1:5" ht="19.5" customHeight="1">
      <c r="A16" s="9"/>
      <c r="B16" s="13"/>
      <c r="C16" s="20">
        <v>1</v>
      </c>
      <c r="D16" s="9"/>
      <c r="E16" s="203">
        <f>SUM(E15:E15)</f>
        <v>68000</v>
      </c>
    </row>
    <row r="17" spans="1:5" ht="20.100000000000001" customHeight="1">
      <c r="A17" s="9"/>
      <c r="B17" s="13"/>
      <c r="C17" s="3"/>
      <c r="D17" s="9"/>
      <c r="E17" s="203"/>
    </row>
    <row r="18" spans="1:5" ht="20.100000000000001" customHeight="1">
      <c r="A18" s="9"/>
      <c r="B18" s="22" t="s">
        <v>43</v>
      </c>
      <c r="C18" s="4"/>
      <c r="D18" s="23"/>
      <c r="E18" s="203"/>
    </row>
    <row r="19" spans="1:5" ht="20.100000000000001" customHeight="1">
      <c r="A19" s="26">
        <v>1</v>
      </c>
      <c r="B19" s="17" t="s">
        <v>228</v>
      </c>
      <c r="C19" s="3" t="s">
        <v>45</v>
      </c>
      <c r="D19" s="14" t="s">
        <v>32</v>
      </c>
      <c r="E19" s="202">
        <v>68000</v>
      </c>
    </row>
    <row r="20" spans="1:5" ht="20.100000000000001" customHeight="1">
      <c r="A20" s="26">
        <v>2</v>
      </c>
      <c r="B20" s="10" t="s">
        <v>229</v>
      </c>
      <c r="C20" s="3" t="s">
        <v>62</v>
      </c>
      <c r="D20" s="9" t="s">
        <v>37</v>
      </c>
      <c r="E20" s="202">
        <v>68000</v>
      </c>
    </row>
    <row r="21" spans="1:5" ht="25.5" customHeight="1">
      <c r="A21" s="9"/>
      <c r="B21" s="19" t="s">
        <v>42</v>
      </c>
      <c r="C21" s="20">
        <v>2</v>
      </c>
      <c r="D21" s="20"/>
      <c r="E21" s="80">
        <f>SUM(E19:E20)</f>
        <v>136000</v>
      </c>
    </row>
    <row r="22" spans="1:5" ht="20.100000000000001" customHeight="1">
      <c r="A22" s="9"/>
      <c r="B22" s="21"/>
      <c r="C22" s="20"/>
      <c r="D22" s="20"/>
      <c r="E22" s="134"/>
    </row>
    <row r="23" spans="1:5" ht="20.100000000000001" customHeight="1">
      <c r="A23" s="9"/>
      <c r="B23" s="19" t="s">
        <v>60</v>
      </c>
      <c r="C23" s="20"/>
      <c r="D23" s="20"/>
      <c r="E23" s="134"/>
    </row>
    <row r="24" spans="1:5" ht="20.100000000000001" customHeight="1">
      <c r="A24" s="9">
        <v>1</v>
      </c>
      <c r="B24" s="17" t="s">
        <v>230</v>
      </c>
      <c r="C24" s="16" t="s">
        <v>231</v>
      </c>
      <c r="D24" s="14" t="s">
        <v>81</v>
      </c>
      <c r="E24" s="72">
        <v>90000</v>
      </c>
    </row>
    <row r="25" spans="1:5" ht="20.100000000000001" customHeight="1">
      <c r="A25" s="9">
        <v>2</v>
      </c>
      <c r="B25" s="13" t="s">
        <v>232</v>
      </c>
      <c r="C25" s="16" t="s">
        <v>233</v>
      </c>
      <c r="D25" s="9" t="s">
        <v>32</v>
      </c>
      <c r="E25" s="72">
        <v>68000</v>
      </c>
    </row>
    <row r="26" spans="1:5" ht="20.100000000000001" customHeight="1">
      <c r="A26" s="9">
        <v>3</v>
      </c>
      <c r="B26" s="13" t="s">
        <v>234</v>
      </c>
      <c r="C26" s="16" t="s">
        <v>231</v>
      </c>
      <c r="D26" s="14" t="s">
        <v>81</v>
      </c>
      <c r="E26" s="72">
        <v>90000</v>
      </c>
    </row>
    <row r="27" spans="1:5" ht="27" customHeight="1">
      <c r="A27" s="9"/>
      <c r="B27" s="19" t="s">
        <v>42</v>
      </c>
      <c r="C27" s="20">
        <v>2</v>
      </c>
      <c r="D27" s="20"/>
      <c r="E27" s="80">
        <f>SUM(E24:E26)</f>
        <v>248000</v>
      </c>
    </row>
    <row r="28" spans="1:5" ht="20.100000000000001" customHeight="1">
      <c r="A28" s="9"/>
      <c r="B28" s="21"/>
      <c r="C28" s="20"/>
      <c r="D28" s="20"/>
      <c r="E28" s="134"/>
    </row>
    <row r="29" spans="1:5" ht="20.100000000000001" customHeight="1">
      <c r="A29" s="9"/>
      <c r="B29" s="19" t="s">
        <v>65</v>
      </c>
      <c r="C29" s="20"/>
      <c r="D29" s="20"/>
      <c r="E29" s="134"/>
    </row>
    <row r="30" spans="1:5" ht="20.100000000000001" customHeight="1">
      <c r="A30" s="9">
        <v>1</v>
      </c>
      <c r="B30" s="10" t="s">
        <v>235</v>
      </c>
      <c r="C30" s="3" t="s">
        <v>236</v>
      </c>
      <c r="D30" s="14" t="s">
        <v>81</v>
      </c>
      <c r="E30" s="72">
        <v>90000</v>
      </c>
    </row>
    <row r="31" spans="1:5" ht="20.100000000000001" customHeight="1">
      <c r="A31" s="9">
        <v>2</v>
      </c>
      <c r="B31" s="17" t="s">
        <v>237</v>
      </c>
      <c r="C31" s="11" t="s">
        <v>238</v>
      </c>
      <c r="D31" s="14" t="s">
        <v>72</v>
      </c>
      <c r="E31" s="72">
        <v>54000</v>
      </c>
    </row>
    <row r="32" spans="1:5" ht="20.100000000000001" customHeight="1">
      <c r="A32" s="9"/>
      <c r="B32" s="19" t="s">
        <v>42</v>
      </c>
      <c r="C32" s="20">
        <v>2</v>
      </c>
      <c r="D32" s="20"/>
      <c r="E32" s="80">
        <f>SUM(E30:E31)</f>
        <v>144000</v>
      </c>
    </row>
    <row r="33" spans="1:5" ht="20.100000000000001" customHeight="1">
      <c r="A33" s="9"/>
      <c r="B33" s="19"/>
      <c r="C33" s="20"/>
      <c r="D33" s="20"/>
      <c r="E33" s="134"/>
    </row>
    <row r="34" spans="1:5" ht="20.100000000000001" customHeight="1">
      <c r="A34" s="9"/>
      <c r="B34" s="19" t="s">
        <v>74</v>
      </c>
      <c r="C34" s="24"/>
      <c r="D34" s="20"/>
      <c r="E34" s="134"/>
    </row>
    <row r="35" spans="1:5" ht="20.100000000000001" customHeight="1">
      <c r="A35" s="26">
        <v>1</v>
      </c>
      <c r="B35" s="17" t="s">
        <v>239</v>
      </c>
      <c r="C35" s="3" t="s">
        <v>45</v>
      </c>
      <c r="D35" s="14" t="s">
        <v>32</v>
      </c>
      <c r="E35" s="202">
        <v>68000</v>
      </c>
    </row>
    <row r="36" spans="1:5" ht="20.100000000000001" customHeight="1">
      <c r="A36" s="9"/>
      <c r="B36" s="19" t="s">
        <v>42</v>
      </c>
      <c r="C36" s="20">
        <v>1</v>
      </c>
      <c r="D36" s="20"/>
      <c r="E36" s="80">
        <f>SUM(E35)</f>
        <v>68000</v>
      </c>
    </row>
    <row r="37" spans="1:5" ht="20.100000000000001" customHeight="1">
      <c r="A37" s="9"/>
      <c r="B37" s="21"/>
      <c r="C37" s="20"/>
      <c r="D37" s="20"/>
      <c r="E37" s="134"/>
    </row>
    <row r="38" spans="1:5" ht="20.100000000000001" customHeight="1">
      <c r="A38" s="9"/>
      <c r="B38" s="19" t="s">
        <v>84</v>
      </c>
      <c r="C38" s="20"/>
      <c r="D38" s="20"/>
      <c r="E38" s="134"/>
    </row>
    <row r="39" spans="1:5" ht="20.100000000000001" customHeight="1">
      <c r="A39" s="9">
        <v>1</v>
      </c>
      <c r="B39" s="10" t="s">
        <v>240</v>
      </c>
      <c r="C39" s="3" t="s">
        <v>241</v>
      </c>
      <c r="D39" s="14" t="s">
        <v>81</v>
      </c>
      <c r="E39" s="72">
        <v>90000</v>
      </c>
    </row>
    <row r="40" spans="1:5" ht="20.100000000000001" customHeight="1">
      <c r="A40" s="3"/>
      <c r="B40" s="19" t="s">
        <v>42</v>
      </c>
      <c r="C40" s="20">
        <v>1</v>
      </c>
      <c r="D40" s="25"/>
      <c r="E40" s="80">
        <f>SUM(E39:E39)</f>
        <v>90000</v>
      </c>
    </row>
    <row r="41" spans="1:5" ht="20.100000000000001" customHeight="1">
      <c r="A41" s="3"/>
      <c r="B41" s="19"/>
      <c r="C41" s="20"/>
      <c r="D41" s="3"/>
      <c r="E41" s="205"/>
    </row>
    <row r="42" spans="1:5" ht="20.100000000000001" customHeight="1">
      <c r="A42" s="9"/>
      <c r="B42" s="19" t="s">
        <v>242</v>
      </c>
      <c r="C42" s="20"/>
      <c r="D42" s="20"/>
      <c r="E42" s="134"/>
    </row>
    <row r="43" spans="1:5" ht="18.75" customHeight="1">
      <c r="A43" s="9">
        <v>1</v>
      </c>
      <c r="B43" s="17" t="s">
        <v>243</v>
      </c>
      <c r="C43" s="3" t="s">
        <v>64</v>
      </c>
      <c r="D43" s="9" t="s">
        <v>55</v>
      </c>
      <c r="E43" s="72">
        <v>54000</v>
      </c>
    </row>
    <row r="44" spans="1:5" ht="18.75" customHeight="1">
      <c r="A44" s="9">
        <v>2</v>
      </c>
      <c r="B44" s="17" t="s">
        <v>244</v>
      </c>
      <c r="C44" s="3" t="s">
        <v>64</v>
      </c>
      <c r="D44" s="9" t="s">
        <v>55</v>
      </c>
      <c r="E44" s="72">
        <v>54000</v>
      </c>
    </row>
    <row r="45" spans="1:5" ht="20.100000000000001" customHeight="1">
      <c r="A45" s="9">
        <v>3</v>
      </c>
      <c r="B45" s="17" t="s">
        <v>245</v>
      </c>
      <c r="C45" s="11" t="s">
        <v>246</v>
      </c>
      <c r="D45" s="14" t="s">
        <v>72</v>
      </c>
      <c r="E45" s="72">
        <v>54000</v>
      </c>
    </row>
    <row r="46" spans="1:5" ht="24.75" customHeight="1">
      <c r="A46" s="3"/>
      <c r="B46" s="19" t="s">
        <v>42</v>
      </c>
      <c r="C46" s="20">
        <v>3</v>
      </c>
      <c r="D46" s="25"/>
      <c r="E46" s="80">
        <f>SUM(E43:E45)</f>
        <v>162000</v>
      </c>
    </row>
    <row r="47" spans="1:5" ht="20.100000000000001" customHeight="1">
      <c r="A47" s="3"/>
      <c r="B47" s="21"/>
      <c r="C47" s="9"/>
      <c r="D47" s="3"/>
      <c r="E47" s="206"/>
    </row>
    <row r="48" spans="1:5" ht="20.100000000000001" customHeight="1">
      <c r="A48" s="3"/>
      <c r="B48" s="19" t="s">
        <v>97</v>
      </c>
      <c r="C48" s="20"/>
      <c r="D48" s="20"/>
      <c r="E48" s="134"/>
    </row>
    <row r="49" spans="1:5" ht="20.100000000000001" customHeight="1">
      <c r="A49" s="3">
        <v>1</v>
      </c>
      <c r="B49" s="17" t="s">
        <v>247</v>
      </c>
      <c r="C49" s="11" t="s">
        <v>248</v>
      </c>
      <c r="D49" s="14" t="s">
        <v>37</v>
      </c>
      <c r="E49" s="72">
        <v>68000</v>
      </c>
    </row>
    <row r="50" spans="1:5" ht="28.5" customHeight="1">
      <c r="A50" s="3"/>
      <c r="B50" s="19" t="s">
        <v>42</v>
      </c>
      <c r="C50" s="25" t="s">
        <v>249</v>
      </c>
      <c r="D50" s="14"/>
      <c r="E50" s="80">
        <f>SUM(E49:E49)</f>
        <v>68000</v>
      </c>
    </row>
    <row r="51" spans="1:5" ht="20.100000000000001" customHeight="1">
      <c r="A51" s="3"/>
      <c r="B51" s="21"/>
      <c r="C51" s="25"/>
      <c r="D51" s="14"/>
      <c r="E51" s="134"/>
    </row>
    <row r="52" spans="1:5" ht="20.100000000000001" customHeight="1">
      <c r="A52" s="3"/>
      <c r="B52" s="19" t="s">
        <v>103</v>
      </c>
      <c r="C52" s="11"/>
      <c r="D52" s="14"/>
      <c r="E52" s="72"/>
    </row>
    <row r="53" spans="1:5" ht="18.75" customHeight="1">
      <c r="A53" s="9">
        <v>1</v>
      </c>
      <c r="B53" s="17" t="s">
        <v>250</v>
      </c>
      <c r="C53" s="3" t="s">
        <v>251</v>
      </c>
      <c r="D53" s="9" t="s">
        <v>55</v>
      </c>
      <c r="E53" s="72">
        <v>54000</v>
      </c>
    </row>
    <row r="54" spans="1:5" ht="20.100000000000001" customHeight="1">
      <c r="A54" s="9">
        <v>2</v>
      </c>
      <c r="B54" s="17" t="s">
        <v>252</v>
      </c>
      <c r="C54" s="11" t="s">
        <v>253</v>
      </c>
      <c r="D54" s="14" t="s">
        <v>72</v>
      </c>
      <c r="E54" s="72">
        <v>54000</v>
      </c>
    </row>
    <row r="55" spans="1:5" ht="20.100000000000001" customHeight="1">
      <c r="A55" s="9">
        <v>3</v>
      </c>
      <c r="B55" s="17" t="s">
        <v>254</v>
      </c>
      <c r="C55" s="11" t="s">
        <v>255</v>
      </c>
      <c r="D55" s="14" t="s">
        <v>72</v>
      </c>
      <c r="E55" s="72">
        <v>54000</v>
      </c>
    </row>
    <row r="56" spans="1:5" ht="20.100000000000001" customHeight="1">
      <c r="A56" s="9">
        <v>3</v>
      </c>
      <c r="B56" s="17" t="s">
        <v>256</v>
      </c>
      <c r="C56" s="11" t="s">
        <v>255</v>
      </c>
      <c r="D56" s="14" t="s">
        <v>72</v>
      </c>
      <c r="E56" s="72">
        <v>54000</v>
      </c>
    </row>
    <row r="57" spans="1:5" ht="30.75" customHeight="1">
      <c r="A57" s="26"/>
      <c r="B57" s="7" t="s">
        <v>42</v>
      </c>
      <c r="C57" s="27" t="s">
        <v>257</v>
      </c>
      <c r="D57" s="28"/>
      <c r="E57" s="80">
        <f>SUM(E53:E56)</f>
        <v>216000</v>
      </c>
    </row>
    <row r="58" spans="1:5" ht="35.25" customHeight="1">
      <c r="A58" s="3"/>
      <c r="B58" s="29" t="s">
        <v>125</v>
      </c>
      <c r="C58" s="30">
        <f>C57+C50+C46+C40+C36+C32+C27+C21+C16+C12</f>
        <v>21</v>
      </c>
      <c r="D58" s="31"/>
      <c r="E58" s="209">
        <f>E57+E50+E46+E40+E36+E32+E27+E21+E16+E12</f>
        <v>1470000</v>
      </c>
    </row>
    <row r="59" spans="1:5" ht="38.25" customHeight="1">
      <c r="A59" s="2"/>
      <c r="B59" s="32"/>
      <c r="C59" s="2"/>
      <c r="D59" s="33"/>
      <c r="E59" s="33"/>
    </row>
    <row r="60" spans="1:5" ht="36.75" customHeight="1">
      <c r="A60" s="2"/>
      <c r="B60" s="32"/>
      <c r="C60" s="33"/>
      <c r="D60" s="33"/>
      <c r="E60" s="33"/>
    </row>
  </sheetData>
  <pageMargins left="0.23622047244094499" right="0.23622047244094499" top="0.98425196850393704" bottom="0.98425196850393704" header="0.511811023622047" footer="0.511811023622047"/>
  <pageSetup paperSize="9" scale="60" orientation="landscape" horizontalDpi="1200" verticalDpi="1200"/>
  <headerFooter alignWithMargins="0"/>
  <rowBreaks count="1" manualBreakCount="1">
    <brk id="36" max="4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view="pageBreakPreview" zoomScale="50" zoomScaleNormal="100" workbookViewId="0">
      <pane xSplit="3" ySplit="6" topLeftCell="D7" activePane="bottomRight" state="frozen"/>
      <selection pane="topRight"/>
      <selection pane="bottomLeft"/>
      <selection pane="bottomRight" activeCell="F4" sqref="F4:F57"/>
    </sheetView>
  </sheetViews>
  <sheetFormatPr defaultColWidth="9.140625" defaultRowHeight="20.100000000000001" customHeight="1"/>
  <cols>
    <col min="1" max="1" width="5.42578125" style="1" customWidth="1"/>
    <col min="2" max="2" width="34.42578125" style="1" customWidth="1"/>
    <col min="3" max="3" width="39.42578125" style="1" customWidth="1"/>
    <col min="4" max="4" width="10.5703125" style="1" customWidth="1"/>
    <col min="5" max="5" width="16.42578125" style="1" customWidth="1"/>
    <col min="6" max="6" width="15.5703125" style="1" customWidth="1"/>
    <col min="7" max="16384" width="9.140625" style="1"/>
  </cols>
  <sheetData>
    <row r="1" spans="1:6" ht="27" customHeight="1">
      <c r="A1" s="590" t="s">
        <v>0</v>
      </c>
      <c r="B1" s="590"/>
      <c r="C1" s="590"/>
      <c r="D1" s="703"/>
      <c r="E1" s="704"/>
      <c r="F1" s="197"/>
    </row>
    <row r="2" spans="1:6" ht="33.75" customHeight="1">
      <c r="A2" s="590" t="s">
        <v>258</v>
      </c>
      <c r="B2" s="590"/>
      <c r="C2" s="590"/>
      <c r="D2" s="590"/>
      <c r="E2" s="590"/>
      <c r="F2" s="198"/>
    </row>
    <row r="3" spans="1:6" ht="9.75" customHeight="1">
      <c r="A3" s="2"/>
      <c r="B3" s="2"/>
      <c r="C3" s="2"/>
      <c r="F3" s="199"/>
    </row>
    <row r="4" spans="1:6" ht="49.5" customHeight="1">
      <c r="A4" s="3"/>
      <c r="B4" s="4" t="s">
        <v>2</v>
      </c>
      <c r="C4" s="5" t="s">
        <v>3</v>
      </c>
      <c r="D4" s="67" t="s">
        <v>4</v>
      </c>
      <c r="E4" s="705" t="s">
        <v>9</v>
      </c>
      <c r="F4" s="706" t="s">
        <v>259</v>
      </c>
    </row>
    <row r="5" spans="1:6" ht="17.25" customHeight="1">
      <c r="C5" s="7"/>
      <c r="D5" s="7"/>
      <c r="E5" s="707" t="s">
        <v>20</v>
      </c>
      <c r="F5" s="708" t="s">
        <v>20</v>
      </c>
    </row>
    <row r="6" spans="1:6" ht="20.100000000000001" customHeight="1">
      <c r="A6" s="8" t="s">
        <v>21</v>
      </c>
      <c r="B6" s="7" t="s">
        <v>22</v>
      </c>
      <c r="C6" s="7"/>
      <c r="D6" s="7"/>
      <c r="E6" s="707"/>
      <c r="F6" s="709"/>
    </row>
    <row r="7" spans="1:6" ht="18.75" customHeight="1">
      <c r="A7" s="9">
        <v>1</v>
      </c>
      <c r="B7" s="17" t="s">
        <v>216</v>
      </c>
      <c r="C7" s="3" t="s">
        <v>217</v>
      </c>
      <c r="D7" s="9" t="s">
        <v>55</v>
      </c>
      <c r="E7" s="710">
        <v>315849</v>
      </c>
      <c r="F7" s="711">
        <f>E7/2</f>
        <v>157924.5</v>
      </c>
    </row>
    <row r="8" spans="1:6" ht="18.75" customHeight="1">
      <c r="A8" s="9">
        <v>2</v>
      </c>
      <c r="B8" s="17" t="s">
        <v>218</v>
      </c>
      <c r="C8" s="3" t="s">
        <v>217</v>
      </c>
      <c r="D8" s="9" t="s">
        <v>55</v>
      </c>
      <c r="E8" s="710">
        <v>315849</v>
      </c>
      <c r="F8" s="711">
        <f>E8/2</f>
        <v>157924.5</v>
      </c>
    </row>
    <row r="9" spans="1:6" ht="18.75" customHeight="1">
      <c r="A9" s="9">
        <v>3</v>
      </c>
      <c r="B9" s="17" t="s">
        <v>219</v>
      </c>
      <c r="C9" s="3" t="s">
        <v>220</v>
      </c>
      <c r="D9" s="9" t="s">
        <v>55</v>
      </c>
      <c r="E9" s="710">
        <v>315849</v>
      </c>
      <c r="F9" s="711">
        <f>E9/2</f>
        <v>157924.5</v>
      </c>
    </row>
    <row r="10" spans="1:6" ht="20.100000000000001" customHeight="1">
      <c r="A10" s="9">
        <v>4</v>
      </c>
      <c r="B10" s="17" t="s">
        <v>221</v>
      </c>
      <c r="C10" s="11" t="s">
        <v>222</v>
      </c>
      <c r="D10" s="14" t="s">
        <v>72</v>
      </c>
      <c r="E10" s="710">
        <v>268287.58333333302</v>
      </c>
      <c r="F10" s="711">
        <f>E10/2</f>
        <v>134143.79166666701</v>
      </c>
    </row>
    <row r="11" spans="1:6" ht="20.100000000000001" customHeight="1">
      <c r="A11" s="9">
        <v>5</v>
      </c>
      <c r="B11" s="17" t="s">
        <v>223</v>
      </c>
      <c r="C11" s="11" t="s">
        <v>224</v>
      </c>
      <c r="D11" s="14" t="s">
        <v>72</v>
      </c>
      <c r="E11" s="710">
        <v>268287.58333333302</v>
      </c>
      <c r="F11" s="711">
        <f>E11/2</f>
        <v>134143.79166666701</v>
      </c>
    </row>
    <row r="12" spans="1:6" ht="26.25" customHeight="1">
      <c r="A12" s="9"/>
      <c r="B12" s="19" t="s">
        <v>42</v>
      </c>
      <c r="C12" s="20">
        <v>5</v>
      </c>
      <c r="D12" s="14"/>
      <c r="E12" s="712">
        <v>1484122.16666667</v>
      </c>
      <c r="F12" s="713">
        <f>SUM(F7:F11)</f>
        <v>742061.08333333302</v>
      </c>
    </row>
    <row r="13" spans="1:6" ht="18.75" customHeight="1">
      <c r="A13" s="9"/>
      <c r="B13" s="21"/>
      <c r="C13" s="3"/>
      <c r="D13" s="14"/>
      <c r="E13" s="712"/>
      <c r="F13" s="713"/>
    </row>
    <row r="14" spans="1:6" ht="18.75" customHeight="1">
      <c r="A14" s="9"/>
      <c r="B14" s="19" t="s">
        <v>225</v>
      </c>
      <c r="C14" s="3"/>
      <c r="D14" s="14"/>
      <c r="E14" s="710"/>
      <c r="F14" s="711"/>
    </row>
    <row r="15" spans="1:6" ht="20.100000000000001" customHeight="1">
      <c r="A15" s="3">
        <v>1</v>
      </c>
      <c r="B15" s="17" t="s">
        <v>226</v>
      </c>
      <c r="C15" s="11" t="s">
        <v>227</v>
      </c>
      <c r="D15" s="14" t="s">
        <v>37</v>
      </c>
      <c r="E15" s="710">
        <v>353029.66666666698</v>
      </c>
      <c r="F15" s="711">
        <f>E15/2</f>
        <v>176514.83333333299</v>
      </c>
    </row>
    <row r="16" spans="1:6" ht="19.5" customHeight="1">
      <c r="A16" s="9"/>
      <c r="B16" s="13"/>
      <c r="C16" s="20">
        <v>1</v>
      </c>
      <c r="D16" s="9"/>
      <c r="E16" s="712">
        <v>353029.66666666698</v>
      </c>
      <c r="F16" s="713">
        <f>SUM(F15:F15)</f>
        <v>176514.83333333299</v>
      </c>
    </row>
    <row r="17" spans="1:6" ht="20.100000000000001" customHeight="1">
      <c r="A17" s="9"/>
      <c r="B17" s="13"/>
      <c r="C17" s="3"/>
      <c r="D17" s="9"/>
      <c r="E17" s="712"/>
      <c r="F17" s="713"/>
    </row>
    <row r="18" spans="1:6" ht="20.100000000000001" customHeight="1">
      <c r="A18" s="9"/>
      <c r="B18" s="22" t="s">
        <v>43</v>
      </c>
      <c r="C18" s="4"/>
      <c r="D18" s="23"/>
      <c r="E18" s="712"/>
      <c r="F18" s="713"/>
    </row>
    <row r="19" spans="1:6" ht="20.100000000000001" customHeight="1">
      <c r="A19" s="26">
        <v>1</v>
      </c>
      <c r="B19" s="17" t="s">
        <v>228</v>
      </c>
      <c r="C19" s="3" t="s">
        <v>45</v>
      </c>
      <c r="D19" s="14" t="s">
        <v>32</v>
      </c>
      <c r="E19" s="714">
        <v>463512.5</v>
      </c>
      <c r="F19" s="711">
        <f>E19/2</f>
        <v>231756.25</v>
      </c>
    </row>
    <row r="20" spans="1:6" ht="20.100000000000001" customHeight="1">
      <c r="A20" s="26">
        <v>2</v>
      </c>
      <c r="B20" s="10" t="s">
        <v>229</v>
      </c>
      <c r="C20" s="3" t="s">
        <v>62</v>
      </c>
      <c r="D20" s="9" t="s">
        <v>37</v>
      </c>
      <c r="E20" s="710">
        <v>393029.66666666698</v>
      </c>
      <c r="F20" s="711">
        <f>E20/2</f>
        <v>196514.83333333299</v>
      </c>
    </row>
    <row r="21" spans="1:6" ht="25.5" customHeight="1">
      <c r="A21" s="9"/>
      <c r="B21" s="19" t="s">
        <v>42</v>
      </c>
      <c r="C21" s="20">
        <v>2</v>
      </c>
      <c r="D21" s="20"/>
      <c r="E21" s="715">
        <v>856542.16666666698</v>
      </c>
      <c r="F21" s="716">
        <f>SUM(F19:F20)</f>
        <v>428271.08333333302</v>
      </c>
    </row>
    <row r="22" spans="1:6" ht="20.100000000000001" customHeight="1">
      <c r="A22" s="9"/>
      <c r="B22" s="21"/>
      <c r="C22" s="20"/>
      <c r="D22" s="20"/>
      <c r="E22" s="717"/>
      <c r="F22" s="718"/>
    </row>
    <row r="23" spans="1:6" ht="20.100000000000001" customHeight="1">
      <c r="A23" s="9"/>
      <c r="B23" s="19" t="s">
        <v>60</v>
      </c>
      <c r="C23" s="20"/>
      <c r="D23" s="20"/>
      <c r="E23" s="717"/>
      <c r="F23" s="718"/>
    </row>
    <row r="24" spans="1:6" ht="20.100000000000001" customHeight="1">
      <c r="A24" s="9">
        <v>1</v>
      </c>
      <c r="B24" s="17" t="s">
        <v>230</v>
      </c>
      <c r="C24" s="16" t="s">
        <v>231</v>
      </c>
      <c r="D24" s="14" t="s">
        <v>81</v>
      </c>
      <c r="E24" s="710">
        <v>510248.91666666698</v>
      </c>
      <c r="F24" s="711">
        <f>E24/2</f>
        <v>255124.45833333299</v>
      </c>
    </row>
    <row r="25" spans="1:6" ht="20.100000000000001" customHeight="1">
      <c r="A25" s="9">
        <v>2</v>
      </c>
      <c r="B25" s="13" t="s">
        <v>232</v>
      </c>
      <c r="C25" s="16" t="s">
        <v>233</v>
      </c>
      <c r="D25" s="9" t="s">
        <v>32</v>
      </c>
      <c r="E25" s="710">
        <v>463512.5</v>
      </c>
      <c r="F25" s="711">
        <f>E25/2</f>
        <v>231756.25</v>
      </c>
    </row>
    <row r="26" spans="1:6" ht="27" customHeight="1">
      <c r="A26" s="9"/>
      <c r="B26" s="19" t="s">
        <v>42</v>
      </c>
      <c r="C26" s="20">
        <v>2</v>
      </c>
      <c r="D26" s="20"/>
      <c r="E26" s="715">
        <v>973761.41666666698</v>
      </c>
      <c r="F26" s="716">
        <f>SUM(F24:F25)</f>
        <v>486880.70833333302</v>
      </c>
    </row>
    <row r="27" spans="1:6" ht="20.100000000000001" customHeight="1">
      <c r="A27" s="9"/>
      <c r="B27" s="21"/>
      <c r="C27" s="20"/>
      <c r="D27" s="20"/>
      <c r="E27" s="717"/>
      <c r="F27" s="718"/>
    </row>
    <row r="28" spans="1:6" ht="20.100000000000001" customHeight="1">
      <c r="A28" s="9"/>
      <c r="B28" s="19" t="s">
        <v>65</v>
      </c>
      <c r="C28" s="20"/>
      <c r="D28" s="20"/>
      <c r="E28" s="717"/>
      <c r="F28" s="718"/>
    </row>
    <row r="29" spans="1:6" ht="20.100000000000001" customHeight="1">
      <c r="A29" s="9">
        <v>1</v>
      </c>
      <c r="B29" s="10" t="s">
        <v>235</v>
      </c>
      <c r="C29" s="3" t="s">
        <v>236</v>
      </c>
      <c r="D29" s="14" t="s">
        <v>81</v>
      </c>
      <c r="E29" s="710">
        <v>510248.91666666698</v>
      </c>
      <c r="F29" s="711">
        <f>E29/2</f>
        <v>255124.45833333299</v>
      </c>
    </row>
    <row r="30" spans="1:6" ht="20.100000000000001" customHeight="1">
      <c r="A30" s="9">
        <v>2</v>
      </c>
      <c r="B30" s="17" t="s">
        <v>237</v>
      </c>
      <c r="C30" s="11" t="s">
        <v>238</v>
      </c>
      <c r="D30" s="14" t="s">
        <v>72</v>
      </c>
      <c r="E30" s="710">
        <v>318287.58333333302</v>
      </c>
      <c r="F30" s="711">
        <f>E30/2</f>
        <v>159143.79166666701</v>
      </c>
    </row>
    <row r="31" spans="1:6" ht="26.1" customHeight="1">
      <c r="A31" s="9"/>
      <c r="B31" s="19" t="s">
        <v>42</v>
      </c>
      <c r="C31" s="20">
        <v>2</v>
      </c>
      <c r="D31" s="20"/>
      <c r="E31" s="715">
        <v>828536.5</v>
      </c>
      <c r="F31" s="716">
        <f>SUM(F29:F30)</f>
        <v>414268.25</v>
      </c>
    </row>
    <row r="32" spans="1:6" ht="20.100000000000001" customHeight="1">
      <c r="A32" s="9"/>
      <c r="B32" s="19"/>
      <c r="C32" s="20"/>
      <c r="D32" s="20"/>
      <c r="E32" s="717"/>
      <c r="F32" s="718"/>
    </row>
    <row r="33" spans="1:6" ht="20.100000000000001" customHeight="1">
      <c r="A33" s="9"/>
      <c r="B33" s="19" t="s">
        <v>74</v>
      </c>
      <c r="C33" s="24"/>
      <c r="D33" s="20"/>
      <c r="E33" s="717"/>
      <c r="F33" s="718"/>
    </row>
    <row r="34" spans="1:6" ht="20.100000000000001" customHeight="1">
      <c r="A34" s="26">
        <v>1</v>
      </c>
      <c r="B34" s="17" t="s">
        <v>239</v>
      </c>
      <c r="C34" s="3" t="s">
        <v>45</v>
      </c>
      <c r="D34" s="14" t="s">
        <v>32</v>
      </c>
      <c r="E34" s="714">
        <v>463512.5</v>
      </c>
      <c r="F34" s="711">
        <f>E34/2</f>
        <v>231756.25</v>
      </c>
    </row>
    <row r="35" spans="1:6" ht="27" customHeight="1">
      <c r="A35" s="9"/>
      <c r="B35" s="19" t="s">
        <v>42</v>
      </c>
      <c r="C35" s="20">
        <v>1</v>
      </c>
      <c r="D35" s="20"/>
      <c r="E35" s="715">
        <v>463512.5</v>
      </c>
      <c r="F35" s="716">
        <f>SUM(F34)</f>
        <v>231756.25</v>
      </c>
    </row>
    <row r="36" spans="1:6" ht="20.100000000000001" customHeight="1">
      <c r="A36" s="9"/>
      <c r="B36" s="21"/>
      <c r="C36" s="20"/>
      <c r="D36" s="20"/>
      <c r="E36" s="717"/>
      <c r="F36" s="718"/>
    </row>
    <row r="37" spans="1:6" ht="20.100000000000001" customHeight="1">
      <c r="A37" s="9"/>
      <c r="B37" s="19" t="s">
        <v>84</v>
      </c>
      <c r="C37" s="20"/>
      <c r="D37" s="20"/>
      <c r="E37" s="717"/>
      <c r="F37" s="718"/>
    </row>
    <row r="38" spans="1:6" ht="20.100000000000001" customHeight="1">
      <c r="A38" s="9">
        <v>1</v>
      </c>
      <c r="B38" s="10" t="s">
        <v>240</v>
      </c>
      <c r="C38" s="3" t="s">
        <v>241</v>
      </c>
      <c r="D38" s="14" t="s">
        <v>81</v>
      </c>
      <c r="E38" s="710">
        <v>460248.91666666698</v>
      </c>
      <c r="F38" s="711">
        <f>E38/2</f>
        <v>230124.45833333299</v>
      </c>
    </row>
    <row r="39" spans="1:6" ht="23.1" customHeight="1">
      <c r="A39" s="3"/>
      <c r="B39" s="19" t="s">
        <v>42</v>
      </c>
      <c r="C39" s="20">
        <v>1</v>
      </c>
      <c r="D39" s="25"/>
      <c r="E39" s="715">
        <v>460248.91666666698</v>
      </c>
      <c r="F39" s="716">
        <f>SUM(F38:F38)</f>
        <v>230124.45833333299</v>
      </c>
    </row>
    <row r="40" spans="1:6" ht="20.100000000000001" customHeight="1">
      <c r="A40" s="3"/>
      <c r="B40" s="19"/>
      <c r="C40" s="20"/>
      <c r="D40" s="3"/>
      <c r="E40" s="719"/>
      <c r="F40" s="720"/>
    </row>
    <row r="41" spans="1:6" ht="20.100000000000001" customHeight="1">
      <c r="A41" s="9"/>
      <c r="B41" s="19" t="s">
        <v>242</v>
      </c>
      <c r="C41" s="20"/>
      <c r="D41" s="20"/>
      <c r="E41" s="717"/>
      <c r="F41" s="718"/>
    </row>
    <row r="42" spans="1:6" ht="18.75" customHeight="1">
      <c r="A42" s="9">
        <v>1</v>
      </c>
      <c r="B42" s="17" t="s">
        <v>243</v>
      </c>
      <c r="C42" s="3" t="s">
        <v>64</v>
      </c>
      <c r="D42" s="9" t="s">
        <v>55</v>
      </c>
      <c r="E42" s="710">
        <v>355849</v>
      </c>
      <c r="F42" s="711">
        <f>E42/2</f>
        <v>177924.5</v>
      </c>
    </row>
    <row r="43" spans="1:6" ht="18.75" customHeight="1">
      <c r="A43" s="9">
        <v>2</v>
      </c>
      <c r="B43" s="17" t="s">
        <v>244</v>
      </c>
      <c r="C43" s="3" t="s">
        <v>64</v>
      </c>
      <c r="D43" s="9" t="s">
        <v>55</v>
      </c>
      <c r="E43" s="710">
        <v>358160.16</v>
      </c>
      <c r="F43" s="711">
        <f>E43/2</f>
        <v>179080.08</v>
      </c>
    </row>
    <row r="44" spans="1:6" ht="20.100000000000001" customHeight="1">
      <c r="A44" s="9">
        <v>3</v>
      </c>
      <c r="B44" s="17" t="s">
        <v>245</v>
      </c>
      <c r="C44" s="11" t="s">
        <v>246</v>
      </c>
      <c r="D44" s="14" t="s">
        <v>72</v>
      </c>
      <c r="E44" s="710">
        <v>318287.58333333302</v>
      </c>
      <c r="F44" s="711">
        <f>E44/2</f>
        <v>159143.79166666701</v>
      </c>
    </row>
    <row r="45" spans="1:6" ht="24.75" customHeight="1">
      <c r="A45" s="3"/>
      <c r="B45" s="19" t="s">
        <v>42</v>
      </c>
      <c r="C45" s="20">
        <v>3</v>
      </c>
      <c r="D45" s="25"/>
      <c r="E45" s="715">
        <v>1032296.74333333</v>
      </c>
      <c r="F45" s="716">
        <f>SUM(F42:F44)</f>
        <v>516148.371666666</v>
      </c>
    </row>
    <row r="46" spans="1:6" ht="20.100000000000001" customHeight="1">
      <c r="A46" s="3"/>
      <c r="B46" s="21"/>
      <c r="C46" s="9"/>
      <c r="D46" s="3"/>
      <c r="E46" s="721"/>
      <c r="F46" s="722"/>
    </row>
    <row r="47" spans="1:6" ht="20.100000000000001" customHeight="1">
      <c r="A47" s="3"/>
      <c r="B47" s="19" t="s">
        <v>97</v>
      </c>
      <c r="C47" s="20"/>
      <c r="D47" s="20"/>
      <c r="E47" s="717"/>
      <c r="F47" s="718"/>
    </row>
    <row r="48" spans="1:6" ht="20.100000000000001" customHeight="1">
      <c r="A48" s="3">
        <v>1</v>
      </c>
      <c r="B48" s="17" t="s">
        <v>247</v>
      </c>
      <c r="C48" s="11" t="s">
        <v>248</v>
      </c>
      <c r="D48" s="14" t="s">
        <v>37</v>
      </c>
      <c r="E48" s="710">
        <v>353029.66666666698</v>
      </c>
      <c r="F48" s="711">
        <f>E48/2</f>
        <v>176514.83333333299</v>
      </c>
    </row>
    <row r="49" spans="1:6" ht="28.5" customHeight="1">
      <c r="A49" s="3"/>
      <c r="B49" s="19" t="s">
        <v>42</v>
      </c>
      <c r="C49" s="25" t="s">
        <v>249</v>
      </c>
      <c r="D49" s="14"/>
      <c r="E49" s="715">
        <v>353029.66666666698</v>
      </c>
      <c r="F49" s="716">
        <f>SUM(F48:F48)</f>
        <v>176514.83333333299</v>
      </c>
    </row>
    <row r="50" spans="1:6" ht="20.100000000000001" customHeight="1">
      <c r="A50" s="3"/>
      <c r="B50" s="21"/>
      <c r="C50" s="25"/>
      <c r="D50" s="14"/>
      <c r="E50" s="717"/>
      <c r="F50" s="718"/>
    </row>
    <row r="51" spans="1:6" ht="20.100000000000001" customHeight="1">
      <c r="A51" s="3"/>
      <c r="B51" s="19" t="s">
        <v>103</v>
      </c>
      <c r="C51" s="11"/>
      <c r="D51" s="14"/>
      <c r="E51" s="710"/>
      <c r="F51" s="711"/>
    </row>
    <row r="52" spans="1:6" ht="18.75" customHeight="1">
      <c r="A52" s="9">
        <v>1</v>
      </c>
      <c r="B52" s="17" t="s">
        <v>250</v>
      </c>
      <c r="C52" s="3" t="s">
        <v>251</v>
      </c>
      <c r="D52" s="9" t="s">
        <v>55</v>
      </c>
      <c r="E52" s="710">
        <v>315849</v>
      </c>
      <c r="F52" s="711">
        <f>E52/2</f>
        <v>157924.5</v>
      </c>
    </row>
    <row r="53" spans="1:6" ht="20.100000000000001" customHeight="1">
      <c r="A53" s="9">
        <v>2</v>
      </c>
      <c r="B53" s="17" t="s">
        <v>252</v>
      </c>
      <c r="C53" s="11" t="s">
        <v>253</v>
      </c>
      <c r="D53" s="14" t="s">
        <v>72</v>
      </c>
      <c r="E53" s="710">
        <v>268287.58333333302</v>
      </c>
      <c r="F53" s="711">
        <f>E53/2</f>
        <v>134143.79166666701</v>
      </c>
    </row>
    <row r="54" spans="1:6" ht="20.100000000000001" customHeight="1">
      <c r="A54" s="9">
        <v>3</v>
      </c>
      <c r="B54" s="17" t="s">
        <v>254</v>
      </c>
      <c r="C54" s="11" t="s">
        <v>255</v>
      </c>
      <c r="D54" s="14" t="s">
        <v>72</v>
      </c>
      <c r="E54" s="710">
        <v>268287.58333333302</v>
      </c>
      <c r="F54" s="711">
        <f>E54/2</f>
        <v>134143.79166666701</v>
      </c>
    </row>
    <row r="55" spans="1:6" ht="20.100000000000001" customHeight="1">
      <c r="A55" s="9">
        <v>3</v>
      </c>
      <c r="B55" s="17" t="s">
        <v>256</v>
      </c>
      <c r="C55" s="11" t="s">
        <v>255</v>
      </c>
      <c r="D55" s="14" t="s">
        <v>72</v>
      </c>
      <c r="E55" s="710">
        <v>268287.58333333302</v>
      </c>
      <c r="F55" s="711">
        <f>E55/2</f>
        <v>134143.79166666701</v>
      </c>
    </row>
    <row r="56" spans="1:6" ht="30.75" customHeight="1">
      <c r="A56" s="26"/>
      <c r="B56" s="7" t="s">
        <v>42</v>
      </c>
      <c r="C56" s="27" t="s">
        <v>257</v>
      </c>
      <c r="D56" s="27"/>
      <c r="E56" s="715">
        <f>SUM(E52:E55)</f>
        <v>1120711.75</v>
      </c>
      <c r="F56" s="716">
        <f>SUM(F52:F55)</f>
        <v>560355.875</v>
      </c>
    </row>
    <row r="57" spans="1:6" ht="35.25" customHeight="1">
      <c r="A57" s="3"/>
      <c r="B57" s="29" t="s">
        <v>125</v>
      </c>
      <c r="C57" s="30">
        <f>C56+C49+C45+C39+C35+C31+C26+C21+C16+C12</f>
        <v>21</v>
      </c>
      <c r="D57" s="30"/>
      <c r="E57" s="723">
        <f>E56+E49+E45+E39+E35+E31+E26+E21+E16+E12</f>
        <v>7925791.4933333304</v>
      </c>
      <c r="F57" s="724">
        <f>F56+F49+F45+F39+F35+F31+F26+F21+F16+F12</f>
        <v>3962895.7466666698</v>
      </c>
    </row>
    <row r="58" spans="1:6" ht="38.25" customHeight="1">
      <c r="A58" s="2"/>
      <c r="B58" s="32"/>
      <c r="C58" s="2"/>
      <c r="D58" s="2"/>
      <c r="E58" s="33"/>
      <c r="F58" s="33"/>
    </row>
    <row r="59" spans="1:6" ht="36.75" customHeight="1">
      <c r="A59" s="2"/>
      <c r="B59" s="32"/>
      <c r="C59" s="33"/>
      <c r="D59" s="33"/>
      <c r="E59" s="33"/>
      <c r="F59" s="33"/>
    </row>
  </sheetData>
  <pageMargins left="0.23622047244094499" right="0.23622047244094499" top="0.98425196850393704" bottom="0.98425196850393704" header="0.511811023622047" footer="0.511811023622047"/>
  <pageSetup paperSize="9" scale="75" orientation="portrait" horizontalDpi="1200" verticalDpi="1200" r:id="rId1"/>
  <headerFooter alignWithMargins="0"/>
  <rowBreaks count="1" manualBreakCount="1">
    <brk id="35" max="5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2.7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opLeftCell="B4" workbookViewId="0">
      <selection activeCell="F15" sqref="F15"/>
    </sheetView>
  </sheetViews>
  <sheetFormatPr defaultColWidth="9" defaultRowHeight="12.75"/>
  <cols>
    <col min="1" max="1" width="4.5703125" customWidth="1"/>
    <col min="2" max="2" width="13.5703125" customWidth="1"/>
    <col min="3" max="3" width="22.140625" customWidth="1"/>
    <col min="5" max="5" width="15.42578125" customWidth="1"/>
    <col min="8" max="8" width="13.28515625" customWidth="1"/>
    <col min="9" max="9" width="13" customWidth="1"/>
    <col min="10" max="10" width="14.42578125" customWidth="1"/>
    <col min="11" max="11" width="14.85546875" customWidth="1"/>
    <col min="12" max="12" width="15" customWidth="1"/>
    <col min="13" max="13" width="15.7109375" customWidth="1"/>
  </cols>
  <sheetData>
    <row r="1" spans="1:13" ht="25.5">
      <c r="A1" s="838" t="s">
        <v>0</v>
      </c>
      <c r="B1" s="838"/>
      <c r="C1" s="838"/>
      <c r="D1" s="838"/>
      <c r="E1" s="838"/>
      <c r="F1" s="838"/>
      <c r="G1" s="199">
        <f>'[1]FEB 08'!F8/'[1]FEB 08'!Q8</f>
        <v>0.3</v>
      </c>
      <c r="H1" s="199"/>
      <c r="I1" s="199"/>
      <c r="J1" s="199"/>
      <c r="K1" s="1"/>
    </row>
    <row r="2" spans="1:13" ht="26.25">
      <c r="A2" s="63" t="s">
        <v>260</v>
      </c>
      <c r="B2" s="64"/>
      <c r="C2" s="63"/>
      <c r="D2" s="63"/>
      <c r="E2" s="198"/>
      <c r="F2" s="198"/>
      <c r="G2" s="279"/>
      <c r="H2" s="279"/>
      <c r="I2" s="279"/>
      <c r="J2" s="279"/>
      <c r="K2" s="65"/>
    </row>
    <row r="3" spans="1:13" ht="18.75">
      <c r="A3" s="2"/>
      <c r="B3" s="2"/>
      <c r="C3" s="2"/>
      <c r="D3" s="2"/>
      <c r="E3" s="199" t="e">
        <f>'[1]FEB 08'!E11/'[1]FEB 08'!M11</f>
        <v>#REF!</v>
      </c>
      <c r="F3" s="199"/>
      <c r="G3" s="199" t="e">
        <f>'[1]FEB 08'!F11/'[1]FEB 08'!Q11</f>
        <v>#REF!</v>
      </c>
      <c r="H3" s="199"/>
      <c r="I3" s="199"/>
      <c r="J3" s="199"/>
      <c r="K3" s="1"/>
    </row>
    <row r="4" spans="1:13" ht="24">
      <c r="A4" s="691"/>
      <c r="B4" s="692" t="s">
        <v>2</v>
      </c>
      <c r="C4" s="692" t="s">
        <v>3</v>
      </c>
      <c r="D4" s="693" t="s">
        <v>4</v>
      </c>
      <c r="E4" s="694" t="s">
        <v>261</v>
      </c>
      <c r="F4" s="695" t="s">
        <v>6</v>
      </c>
      <c r="G4" s="695" t="s">
        <v>7</v>
      </c>
      <c r="H4" s="694" t="s">
        <v>262</v>
      </c>
      <c r="I4" s="695" t="s">
        <v>8</v>
      </c>
      <c r="J4" s="702" t="s">
        <v>263</v>
      </c>
      <c r="K4" s="694" t="s">
        <v>15</v>
      </c>
      <c r="L4" s="694" t="s">
        <v>264</v>
      </c>
      <c r="M4" s="694" t="s">
        <v>265</v>
      </c>
    </row>
    <row r="5" spans="1:13" ht="18.75">
      <c r="A5" s="1"/>
      <c r="B5" s="1"/>
      <c r="C5" s="7"/>
      <c r="D5" s="7"/>
      <c r="E5" s="69" t="s">
        <v>20</v>
      </c>
      <c r="F5" s="69" t="s">
        <v>20</v>
      </c>
      <c r="G5" s="69" t="s">
        <v>20</v>
      </c>
      <c r="H5" s="69" t="s">
        <v>20</v>
      </c>
      <c r="I5" s="69" t="s">
        <v>20</v>
      </c>
      <c r="J5" s="287" t="s">
        <v>20</v>
      </c>
      <c r="K5" s="69"/>
      <c r="L5" s="69"/>
      <c r="M5" s="69"/>
    </row>
    <row r="6" spans="1:13" ht="18.75">
      <c r="A6" s="8"/>
      <c r="B6" s="7"/>
      <c r="C6" s="7"/>
      <c r="D6" s="7"/>
      <c r="E6" s="69"/>
      <c r="F6" s="69"/>
      <c r="G6" s="69"/>
      <c r="H6" s="69"/>
      <c r="I6" s="69"/>
      <c r="J6" s="287"/>
      <c r="K6" s="69"/>
      <c r="L6" s="69"/>
      <c r="M6" s="69"/>
    </row>
    <row r="7" spans="1:13" ht="45.75">
      <c r="A7" s="9"/>
      <c r="B7" s="696" t="s">
        <v>226</v>
      </c>
      <c r="C7" s="697" t="s">
        <v>227</v>
      </c>
      <c r="D7" s="698" t="s">
        <v>72</v>
      </c>
      <c r="E7" s="72">
        <f>218287.583333333*(13/31)</f>
        <v>91539.954301075093</v>
      </c>
      <c r="F7" s="72"/>
      <c r="G7" s="202"/>
      <c r="H7" s="202">
        <f>50000*(13/31)</f>
        <v>20967.7419354839</v>
      </c>
      <c r="I7" s="72"/>
      <c r="J7" s="490">
        <f>E7+H7</f>
        <v>112507.696236559</v>
      </c>
      <c r="K7" s="72"/>
      <c r="L7" s="72"/>
      <c r="M7" s="72"/>
    </row>
    <row r="8" spans="1:13" ht="45.75">
      <c r="A8" s="9"/>
      <c r="B8" s="696" t="s">
        <v>226</v>
      </c>
      <c r="C8" s="697" t="s">
        <v>227</v>
      </c>
      <c r="D8" s="698" t="s">
        <v>37</v>
      </c>
      <c r="E8" s="72">
        <f>293029.666666667*(18/31)</f>
        <v>170146.25806451601</v>
      </c>
      <c r="F8" s="72"/>
      <c r="G8" s="202"/>
      <c r="H8" s="202">
        <f>60000*(18/31)</f>
        <v>34838.7096774194</v>
      </c>
      <c r="I8" s="72"/>
      <c r="J8" s="490">
        <f>E8+H8</f>
        <v>204984.96774193601</v>
      </c>
      <c r="K8" s="72"/>
      <c r="L8" s="72"/>
      <c r="M8" s="72"/>
    </row>
    <row r="9" spans="1:13" ht="30" customHeight="1">
      <c r="A9" s="9"/>
      <c r="B9" s="699" t="s">
        <v>42</v>
      </c>
      <c r="C9" s="700"/>
      <c r="D9" s="701"/>
      <c r="E9" s="203">
        <f>SUM(E7:E8)</f>
        <v>261686.212365591</v>
      </c>
      <c r="F9" s="203">
        <f t="shared" ref="F9:J9" si="0">SUM(F7:F8)</f>
        <v>0</v>
      </c>
      <c r="G9" s="203">
        <f t="shared" si="0"/>
        <v>0</v>
      </c>
      <c r="H9" s="203">
        <f t="shared" si="0"/>
        <v>55806.451612903198</v>
      </c>
      <c r="I9" s="203">
        <f t="shared" si="0"/>
        <v>0</v>
      </c>
      <c r="J9" s="203">
        <f t="shared" si="0"/>
        <v>317492.66397849499</v>
      </c>
      <c r="K9" s="203">
        <f>37571.65</f>
        <v>37571.65</v>
      </c>
      <c r="L9" s="659">
        <v>17463.006666666599</v>
      </c>
      <c r="M9" s="495">
        <f>J9-K9-L9</f>
        <v>262458.00731182803</v>
      </c>
    </row>
    <row r="10" spans="1:13" ht="18.75">
      <c r="A10" s="9"/>
      <c r="B10" s="13"/>
      <c r="C10" s="3"/>
      <c r="D10" s="9"/>
      <c r="E10" s="203"/>
      <c r="F10" s="203"/>
      <c r="G10" s="203"/>
      <c r="H10" s="203"/>
      <c r="I10" s="203"/>
      <c r="J10" s="290"/>
      <c r="K10" s="203"/>
      <c r="L10" s="203"/>
      <c r="M10" s="203"/>
    </row>
    <row r="11" spans="1:13" ht="18.75">
      <c r="A11" s="2"/>
      <c r="B11" s="32"/>
      <c r="C11" s="2"/>
      <c r="D11" s="33"/>
      <c r="E11" s="33"/>
      <c r="F11" s="33"/>
      <c r="G11" s="33"/>
      <c r="H11" s="33"/>
      <c r="I11" s="210"/>
      <c r="J11" s="210"/>
      <c r="K11" s="211"/>
    </row>
  </sheetData>
  <mergeCells count="1">
    <mergeCell ref="A1:F1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7"/>
  <sheetViews>
    <sheetView topLeftCell="Q4" workbookViewId="0">
      <selection activeCell="C33" sqref="C33"/>
    </sheetView>
  </sheetViews>
  <sheetFormatPr defaultColWidth="9.140625" defaultRowHeight="12.75"/>
  <cols>
    <col min="1" max="1" width="6.85546875" style="276" customWidth="1"/>
    <col min="2" max="2" width="39.140625" style="276" customWidth="1"/>
    <col min="3" max="3" width="16.85546875" style="276" customWidth="1"/>
    <col min="4" max="4" width="6.7109375" style="276" customWidth="1"/>
    <col min="5" max="5" width="13.140625" style="276" customWidth="1"/>
    <col min="6" max="6" width="11.140625" style="276" customWidth="1"/>
    <col min="7" max="7" width="14.42578125" style="276" customWidth="1"/>
    <col min="8" max="8" width="5.85546875" style="276" customWidth="1"/>
    <col min="9" max="9" width="12.85546875" style="276" customWidth="1"/>
    <col min="10" max="10" width="11.5703125" style="276" customWidth="1"/>
    <col min="11" max="11" width="6.85546875" style="276" customWidth="1"/>
    <col min="12" max="12" width="10.85546875" style="276" customWidth="1"/>
    <col min="13" max="13" width="12.5703125" style="276" customWidth="1"/>
    <col min="14" max="14" width="11" style="276" customWidth="1"/>
    <col min="15" max="15" width="12.140625" style="276" customWidth="1"/>
    <col min="16" max="16" width="15.42578125" style="276" customWidth="1"/>
    <col min="17" max="17" width="16.5703125" style="276" customWidth="1"/>
    <col min="18" max="18" width="9.85546875" style="276" customWidth="1"/>
    <col min="19" max="19" width="10.5703125" style="276" customWidth="1"/>
    <col min="20" max="20" width="11.5703125" style="276" customWidth="1"/>
    <col min="21" max="21" width="12.42578125" style="276" customWidth="1"/>
    <col min="22" max="22" width="14.5703125" style="276" customWidth="1"/>
    <col min="23" max="23" width="9.5703125" style="276" customWidth="1"/>
    <col min="24" max="24" width="15.140625" style="276" customWidth="1"/>
    <col min="25" max="25" width="9" style="276" customWidth="1"/>
    <col min="26" max="26" width="14.140625" style="276" customWidth="1"/>
    <col min="27" max="27" width="27.42578125" style="276" customWidth="1"/>
    <col min="28" max="16384" width="9.140625" style="276"/>
  </cols>
  <sheetData>
    <row r="1" spans="1:29" hidden="1">
      <c r="A1" s="849" t="s">
        <v>0</v>
      </c>
      <c r="B1" s="849"/>
      <c r="C1" s="849"/>
      <c r="D1" s="849"/>
      <c r="E1" s="849"/>
      <c r="F1" s="849"/>
      <c r="G1" s="849"/>
      <c r="H1" s="849"/>
      <c r="I1" s="849"/>
      <c r="J1" s="849"/>
      <c r="K1" s="849"/>
      <c r="L1" s="849"/>
      <c r="M1" s="849"/>
      <c r="N1" s="849"/>
      <c r="O1" s="849"/>
      <c r="P1" s="849"/>
      <c r="Q1" s="849"/>
      <c r="R1" s="849"/>
      <c r="S1" s="849"/>
      <c r="T1" s="849"/>
      <c r="U1" s="849"/>
      <c r="V1" s="849"/>
      <c r="W1" s="849"/>
      <c r="X1" s="849"/>
      <c r="Y1" s="849"/>
      <c r="Z1" s="456"/>
    </row>
    <row r="2" spans="1:29" hidden="1">
      <c r="A2" s="850" t="s">
        <v>266</v>
      </c>
      <c r="B2" s="850"/>
      <c r="C2" s="850"/>
      <c r="D2" s="850"/>
      <c r="E2" s="850"/>
      <c r="F2" s="850"/>
      <c r="G2" s="850"/>
      <c r="H2" s="850"/>
      <c r="I2" s="850"/>
      <c r="J2" s="850"/>
      <c r="K2" s="850"/>
      <c r="L2" s="850"/>
      <c r="M2" s="850"/>
      <c r="N2" s="850"/>
      <c r="O2" s="850"/>
      <c r="P2" s="850"/>
      <c r="Q2" s="850"/>
      <c r="R2" s="850"/>
      <c r="S2" s="850"/>
      <c r="T2" s="850"/>
      <c r="U2" s="850"/>
      <c r="V2" s="850"/>
      <c r="W2" s="850"/>
      <c r="X2" s="850"/>
      <c r="Y2" s="850"/>
      <c r="Z2" s="456"/>
    </row>
    <row r="3" spans="1:29" hidden="1">
      <c r="A3" s="851" t="s">
        <v>267</v>
      </c>
      <c r="B3" s="849"/>
      <c r="C3" s="849"/>
      <c r="D3" s="849"/>
      <c r="E3" s="849"/>
      <c r="F3" s="849"/>
      <c r="G3" s="849"/>
      <c r="H3" s="849"/>
      <c r="I3" s="849"/>
      <c r="J3" s="849"/>
      <c r="K3" s="849"/>
      <c r="L3" s="849"/>
      <c r="M3" s="849"/>
      <c r="N3" s="849"/>
      <c r="O3" s="849"/>
      <c r="P3" s="849"/>
      <c r="Q3" s="849"/>
      <c r="R3" s="849"/>
      <c r="S3" s="849"/>
      <c r="T3" s="849"/>
      <c r="U3" s="849"/>
      <c r="V3" s="849"/>
      <c r="W3" s="849"/>
      <c r="X3" s="849"/>
      <c r="Y3" s="849"/>
      <c r="Z3" s="456"/>
    </row>
    <row r="4" spans="1:29" ht="83.25" customHeight="1">
      <c r="A4" s="442" t="s">
        <v>181</v>
      </c>
      <c r="B4" s="443" t="s">
        <v>182</v>
      </c>
      <c r="C4" s="444" t="s">
        <v>268</v>
      </c>
      <c r="D4" s="443" t="s">
        <v>183</v>
      </c>
      <c r="E4" s="444" t="s">
        <v>184</v>
      </c>
      <c r="F4" s="444" t="s">
        <v>186</v>
      </c>
      <c r="G4" s="444" t="s">
        <v>187</v>
      </c>
      <c r="H4" s="444" t="s">
        <v>188</v>
      </c>
      <c r="I4" s="444" t="s">
        <v>269</v>
      </c>
      <c r="J4" s="444"/>
      <c r="K4" s="444"/>
      <c r="L4" s="444"/>
      <c r="M4" s="444" t="s">
        <v>270</v>
      </c>
      <c r="N4" s="444" t="s">
        <v>189</v>
      </c>
      <c r="O4" s="444" t="s">
        <v>190</v>
      </c>
      <c r="P4" s="444" t="s">
        <v>271</v>
      </c>
      <c r="Q4" s="444" t="s">
        <v>272</v>
      </c>
      <c r="R4" s="444" t="s">
        <v>273</v>
      </c>
      <c r="S4" s="444" t="s">
        <v>274</v>
      </c>
      <c r="T4" s="444" t="s">
        <v>275</v>
      </c>
      <c r="U4" s="444" t="s">
        <v>276</v>
      </c>
      <c r="V4" s="444" t="s">
        <v>191</v>
      </c>
      <c r="W4" s="444"/>
      <c r="X4" s="444" t="s">
        <v>277</v>
      </c>
      <c r="Y4" s="444" t="s">
        <v>278</v>
      </c>
      <c r="Z4" s="457" t="s">
        <v>279</v>
      </c>
    </row>
    <row r="5" spans="1:29" ht="18.75">
      <c r="A5" s="445">
        <v>1</v>
      </c>
      <c r="B5" s="7"/>
      <c r="C5" s="446"/>
      <c r="D5" s="447"/>
      <c r="E5" s="448"/>
      <c r="F5" s="448"/>
      <c r="G5" s="448"/>
      <c r="H5" s="448"/>
      <c r="I5" s="448"/>
      <c r="J5" s="448"/>
      <c r="K5" s="448"/>
      <c r="L5" s="448"/>
      <c r="M5" s="448"/>
      <c r="N5" s="448"/>
      <c r="O5" s="448"/>
      <c r="P5" s="448"/>
      <c r="Q5" s="448"/>
      <c r="R5" s="448"/>
      <c r="S5" s="448"/>
      <c r="T5" s="448"/>
      <c r="U5" s="448"/>
      <c r="V5" s="448"/>
      <c r="W5" s="455"/>
      <c r="X5" s="448"/>
      <c r="Y5" s="448"/>
      <c r="Z5" s="459"/>
      <c r="AA5" s="460"/>
      <c r="AB5" s="460"/>
      <c r="AC5" s="460"/>
    </row>
    <row r="6" spans="1:29" ht="18.75">
      <c r="A6" s="445">
        <v>3</v>
      </c>
      <c r="B6" s="13" t="s">
        <v>232</v>
      </c>
      <c r="C6" s="446">
        <v>261891.25</v>
      </c>
      <c r="D6" s="447">
        <v>12</v>
      </c>
      <c r="E6" s="448">
        <f>C6*D6</f>
        <v>3142695</v>
      </c>
      <c r="F6" s="448"/>
      <c r="G6" s="448">
        <v>209556.08</v>
      </c>
      <c r="H6" s="448"/>
      <c r="I6" s="448">
        <f t="shared" ref="I6:I13" si="0">E6-F6-G6-H6</f>
        <v>2933138.92</v>
      </c>
      <c r="J6" s="448">
        <v>200000</v>
      </c>
      <c r="K6" s="448">
        <v>0.2</v>
      </c>
      <c r="L6" s="448">
        <f t="shared" ref="L6:L13" si="1">I6*K6</f>
        <v>586627.78399999999</v>
      </c>
      <c r="M6" s="448">
        <f t="shared" ref="M6:M13" si="2">J6+L6</f>
        <v>786627.78399999999</v>
      </c>
      <c r="N6" s="448">
        <f t="shared" ref="N6:N13" si="3">F6+G6+H6+M6</f>
        <v>996183.86399999994</v>
      </c>
      <c r="O6" s="448">
        <f t="shared" ref="O6:O13" si="4">E6-N6</f>
        <v>2146511.1359999999</v>
      </c>
      <c r="P6" s="448">
        <f t="shared" ref="P6:P13" si="5">IF(O6&lt;300000,0.07*O6,21000)</f>
        <v>21000</v>
      </c>
      <c r="Q6" s="448">
        <f t="shared" ref="Q6:Q13" si="6">IF((O6-300000)&lt;0,0,IF((O6-300000)&lt;300000,0.11*(O6-300000),33000))</f>
        <v>33000</v>
      </c>
      <c r="R6" s="448">
        <f t="shared" ref="R6:R13" si="7">IF((O6-600000)&lt;0,0,IF((O6-600000)&lt;500000,0.15*(O6-600000),75000))</f>
        <v>75000</v>
      </c>
      <c r="S6" s="448">
        <f t="shared" ref="S6:S13" si="8">IF((O6-1100000)&lt;0,0,IF((O6-1100000)&lt;500000,0.19*(O6-1100000),95000))</f>
        <v>95000</v>
      </c>
      <c r="T6" s="448">
        <f t="shared" ref="T6:T13" si="9">IF((O6-1600000)&lt;0,0,IF((O6-1600000)&lt;1600000,0.21*(O6-1600000),336000))</f>
        <v>114767.33856</v>
      </c>
      <c r="U6" s="448"/>
      <c r="V6" s="448">
        <f t="shared" ref="V6:V13" si="10">P6+Q6+R6+S6+T6+U6</f>
        <v>338767.33856</v>
      </c>
      <c r="W6" s="455">
        <v>12</v>
      </c>
      <c r="X6" s="448">
        <f t="shared" ref="X6:X13" si="11">V6/W6</f>
        <v>28230.6115466667</v>
      </c>
      <c r="Y6" s="448"/>
      <c r="Z6" s="459">
        <f t="shared" ref="Z6:Z13" si="12">X6</f>
        <v>28230.6115466667</v>
      </c>
      <c r="AA6" s="460"/>
      <c r="AB6" s="460"/>
      <c r="AC6" s="460"/>
    </row>
    <row r="7" spans="1:29" s="596" customFormat="1" ht="18.75">
      <c r="A7" s="597">
        <v>4</v>
      </c>
      <c r="B7" s="17" t="s">
        <v>216</v>
      </c>
      <c r="C7" s="599">
        <v>231622.6</v>
      </c>
      <c r="D7" s="600">
        <v>12</v>
      </c>
      <c r="E7" s="601">
        <f t="shared" ref="E7:E13" si="13">C7*D7</f>
        <v>2779471.2</v>
      </c>
      <c r="F7" s="601"/>
      <c r="G7" s="601">
        <v>374638.96</v>
      </c>
      <c r="H7" s="601"/>
      <c r="I7" s="601">
        <f t="shared" si="0"/>
        <v>2404832.2400000002</v>
      </c>
      <c r="J7" s="601">
        <v>200000</v>
      </c>
      <c r="K7" s="601">
        <v>0.2</v>
      </c>
      <c r="L7" s="601">
        <f t="shared" si="1"/>
        <v>480966.44799999997</v>
      </c>
      <c r="M7" s="601">
        <f t="shared" si="2"/>
        <v>680966.44799999997</v>
      </c>
      <c r="N7" s="601">
        <f t="shared" si="3"/>
        <v>1055605.4080000001</v>
      </c>
      <c r="O7" s="601">
        <f t="shared" si="4"/>
        <v>1723865.7919999999</v>
      </c>
      <c r="P7" s="601">
        <f t="shared" si="5"/>
        <v>21000</v>
      </c>
      <c r="Q7" s="601">
        <f t="shared" si="6"/>
        <v>33000</v>
      </c>
      <c r="R7" s="601">
        <f t="shared" si="7"/>
        <v>75000</v>
      </c>
      <c r="S7" s="601">
        <f t="shared" si="8"/>
        <v>95000</v>
      </c>
      <c r="T7" s="601">
        <f t="shared" si="9"/>
        <v>26011.816320000002</v>
      </c>
      <c r="U7" s="601"/>
      <c r="V7" s="601">
        <f t="shared" si="10"/>
        <v>250011.81632000001</v>
      </c>
      <c r="W7" s="604">
        <v>12</v>
      </c>
      <c r="X7" s="601">
        <f t="shared" si="11"/>
        <v>20834.3180266667</v>
      </c>
      <c r="Y7" s="601"/>
      <c r="Z7" s="459">
        <f t="shared" si="12"/>
        <v>20834.3180266667</v>
      </c>
      <c r="AA7" s="605"/>
      <c r="AB7" s="605"/>
      <c r="AC7" s="605"/>
    </row>
    <row r="8" spans="1:29" s="596" customFormat="1" ht="18.75">
      <c r="A8" s="597">
        <v>5</v>
      </c>
      <c r="B8" s="17" t="s">
        <v>218</v>
      </c>
      <c r="C8" s="599">
        <v>231622.6</v>
      </c>
      <c r="D8" s="600">
        <v>12</v>
      </c>
      <c r="E8" s="601">
        <f t="shared" si="13"/>
        <v>2779471.2</v>
      </c>
      <c r="F8" s="601"/>
      <c r="G8" s="601">
        <v>245615.04</v>
      </c>
      <c r="H8" s="601"/>
      <c r="I8" s="601">
        <f t="shared" si="0"/>
        <v>2533856.16</v>
      </c>
      <c r="J8" s="601">
        <v>200000</v>
      </c>
      <c r="K8" s="601">
        <v>0.2</v>
      </c>
      <c r="L8" s="601">
        <f t="shared" si="1"/>
        <v>506771.23200000002</v>
      </c>
      <c r="M8" s="601">
        <f t="shared" si="2"/>
        <v>706771.23199999996</v>
      </c>
      <c r="N8" s="601">
        <f t="shared" si="3"/>
        <v>952386.272</v>
      </c>
      <c r="O8" s="601">
        <f t="shared" si="4"/>
        <v>1827084.9280000001</v>
      </c>
      <c r="P8" s="601">
        <f t="shared" si="5"/>
        <v>21000</v>
      </c>
      <c r="Q8" s="601">
        <f t="shared" si="6"/>
        <v>33000</v>
      </c>
      <c r="R8" s="601">
        <f t="shared" si="7"/>
        <v>75000</v>
      </c>
      <c r="S8" s="601">
        <f t="shared" si="8"/>
        <v>95000</v>
      </c>
      <c r="T8" s="601">
        <f t="shared" si="9"/>
        <v>47687.834880000002</v>
      </c>
      <c r="U8" s="601"/>
      <c r="V8" s="601">
        <f t="shared" si="10"/>
        <v>271687.83487999998</v>
      </c>
      <c r="W8" s="604">
        <v>12</v>
      </c>
      <c r="X8" s="601">
        <f t="shared" si="11"/>
        <v>22640.652906666699</v>
      </c>
      <c r="Y8" s="601"/>
      <c r="Z8" s="459">
        <f t="shared" si="12"/>
        <v>22640.652906666699</v>
      </c>
      <c r="AA8" s="605"/>
      <c r="AB8" s="605"/>
      <c r="AC8" s="605"/>
    </row>
    <row r="9" spans="1:29" ht="18.75">
      <c r="A9" s="445">
        <v>6</v>
      </c>
      <c r="B9" s="17" t="s">
        <v>219</v>
      </c>
      <c r="C9" s="446">
        <v>315849</v>
      </c>
      <c r="D9" s="447">
        <v>12</v>
      </c>
      <c r="E9" s="448">
        <f t="shared" si="13"/>
        <v>3790188</v>
      </c>
      <c r="F9" s="448"/>
      <c r="G9" s="448">
        <v>209556.08</v>
      </c>
      <c r="H9" s="448"/>
      <c r="I9" s="448">
        <f t="shared" si="0"/>
        <v>3580631.92</v>
      </c>
      <c r="J9" s="448">
        <v>200000</v>
      </c>
      <c r="K9" s="448">
        <v>0.2</v>
      </c>
      <c r="L9" s="448">
        <f t="shared" si="1"/>
        <v>716126.38399999996</v>
      </c>
      <c r="M9" s="448">
        <f t="shared" si="2"/>
        <v>916126.38399999996</v>
      </c>
      <c r="N9" s="448">
        <f t="shared" si="3"/>
        <v>1125682.4639999999</v>
      </c>
      <c r="O9" s="448">
        <f t="shared" si="4"/>
        <v>2664505.5359999998</v>
      </c>
      <c r="P9" s="448">
        <f t="shared" si="5"/>
        <v>21000</v>
      </c>
      <c r="Q9" s="448">
        <f t="shared" si="6"/>
        <v>33000</v>
      </c>
      <c r="R9" s="448">
        <f t="shared" si="7"/>
        <v>75000</v>
      </c>
      <c r="S9" s="448">
        <f t="shared" si="8"/>
        <v>95000</v>
      </c>
      <c r="T9" s="448">
        <f t="shared" si="9"/>
        <v>223546.16256</v>
      </c>
      <c r="U9" s="448"/>
      <c r="V9" s="448">
        <f t="shared" si="10"/>
        <v>447546.16256000003</v>
      </c>
      <c r="W9" s="455">
        <v>12</v>
      </c>
      <c r="X9" s="448">
        <f t="shared" si="11"/>
        <v>37295.513546666698</v>
      </c>
      <c r="Y9" s="448"/>
      <c r="Z9" s="459">
        <f t="shared" si="12"/>
        <v>37295.513546666698</v>
      </c>
      <c r="AA9" s="460"/>
      <c r="AB9" s="460"/>
      <c r="AC9" s="460"/>
    </row>
    <row r="10" spans="1:29" s="596" customFormat="1" ht="18.75">
      <c r="A10" s="597">
        <v>7</v>
      </c>
      <c r="B10" s="17" t="s">
        <v>221</v>
      </c>
      <c r="C10" s="599">
        <v>169915.469444444</v>
      </c>
      <c r="D10" s="600">
        <v>12</v>
      </c>
      <c r="E10" s="601">
        <f t="shared" si="13"/>
        <v>2038985.63333333</v>
      </c>
      <c r="F10" s="601"/>
      <c r="G10" s="601">
        <v>281308.48</v>
      </c>
      <c r="H10" s="601"/>
      <c r="I10" s="601">
        <f t="shared" si="0"/>
        <v>1757677.1533333301</v>
      </c>
      <c r="J10" s="601">
        <v>200000</v>
      </c>
      <c r="K10" s="601">
        <v>0.2</v>
      </c>
      <c r="L10" s="601">
        <f t="shared" si="1"/>
        <v>351535.43066666601</v>
      </c>
      <c r="M10" s="601">
        <f t="shared" si="2"/>
        <v>551535.43066666601</v>
      </c>
      <c r="N10" s="601">
        <f t="shared" si="3"/>
        <v>832843.91066666599</v>
      </c>
      <c r="O10" s="601">
        <f t="shared" si="4"/>
        <v>1206141.7226666601</v>
      </c>
      <c r="P10" s="601">
        <f t="shared" si="5"/>
        <v>21000</v>
      </c>
      <c r="Q10" s="601">
        <f t="shared" si="6"/>
        <v>33000</v>
      </c>
      <c r="R10" s="601">
        <f t="shared" si="7"/>
        <v>75000</v>
      </c>
      <c r="S10" s="601">
        <f t="shared" si="8"/>
        <v>20166.927306665901</v>
      </c>
      <c r="T10" s="601">
        <f t="shared" si="9"/>
        <v>0</v>
      </c>
      <c r="U10" s="601"/>
      <c r="V10" s="601">
        <f t="shared" si="10"/>
        <v>149166.92730666601</v>
      </c>
      <c r="W10" s="604">
        <v>12</v>
      </c>
      <c r="X10" s="601">
        <f t="shared" si="11"/>
        <v>12430.577275555501</v>
      </c>
      <c r="Y10" s="601"/>
      <c r="Z10" s="459">
        <f t="shared" si="12"/>
        <v>12430.577275555501</v>
      </c>
      <c r="AA10" s="605"/>
      <c r="AB10" s="605"/>
      <c r="AC10" s="605"/>
    </row>
    <row r="11" spans="1:29" s="596" customFormat="1" ht="18.75">
      <c r="A11" s="597">
        <v>8</v>
      </c>
      <c r="B11" s="17" t="s">
        <v>223</v>
      </c>
      <c r="C11" s="599">
        <v>196744.227777778</v>
      </c>
      <c r="D11" s="600">
        <v>12</v>
      </c>
      <c r="E11" s="601">
        <f t="shared" si="13"/>
        <v>2360930.7333333399</v>
      </c>
      <c r="F11" s="601"/>
      <c r="G11" s="601">
        <v>374638.96</v>
      </c>
      <c r="H11" s="601"/>
      <c r="I11" s="601">
        <f t="shared" si="0"/>
        <v>1986291.77333334</v>
      </c>
      <c r="J11" s="601">
        <v>200000</v>
      </c>
      <c r="K11" s="601">
        <v>0.2</v>
      </c>
      <c r="L11" s="601">
        <f t="shared" si="1"/>
        <v>397258.354666667</v>
      </c>
      <c r="M11" s="601">
        <f t="shared" si="2"/>
        <v>597258.35466666694</v>
      </c>
      <c r="N11" s="601">
        <f t="shared" si="3"/>
        <v>971897.31466666702</v>
      </c>
      <c r="O11" s="601">
        <f t="shared" si="4"/>
        <v>1389033.4186666701</v>
      </c>
      <c r="P11" s="601">
        <f t="shared" si="5"/>
        <v>21000</v>
      </c>
      <c r="Q11" s="601">
        <f t="shared" si="6"/>
        <v>33000</v>
      </c>
      <c r="R11" s="601">
        <f t="shared" si="7"/>
        <v>75000</v>
      </c>
      <c r="S11" s="601">
        <f t="shared" si="8"/>
        <v>54916.349546667101</v>
      </c>
      <c r="T11" s="601">
        <f t="shared" si="9"/>
        <v>0</v>
      </c>
      <c r="U11" s="601"/>
      <c r="V11" s="601">
        <f t="shared" si="10"/>
        <v>183916.34954666701</v>
      </c>
      <c r="W11" s="604">
        <v>12</v>
      </c>
      <c r="X11" s="601">
        <f t="shared" si="11"/>
        <v>15326.3624622223</v>
      </c>
      <c r="Y11" s="601"/>
      <c r="Z11" s="459">
        <f t="shared" si="12"/>
        <v>15326.3624622223</v>
      </c>
      <c r="AA11" s="605"/>
      <c r="AB11" s="605"/>
      <c r="AC11" s="605"/>
    </row>
    <row r="12" spans="1:29" ht="18.75">
      <c r="A12" s="445"/>
      <c r="B12" s="10"/>
      <c r="C12" s="446"/>
      <c r="D12" s="447"/>
      <c r="E12" s="448"/>
      <c r="F12" s="448"/>
      <c r="G12" s="448"/>
      <c r="H12" s="448"/>
      <c r="I12" s="448"/>
      <c r="J12" s="448"/>
      <c r="K12" s="448"/>
      <c r="L12" s="448"/>
      <c r="M12" s="448"/>
      <c r="N12" s="448"/>
      <c r="O12" s="448"/>
      <c r="P12" s="448"/>
      <c r="Q12" s="448"/>
      <c r="R12" s="448"/>
      <c r="S12" s="448"/>
      <c r="T12" s="448"/>
      <c r="U12" s="448"/>
      <c r="V12" s="448"/>
      <c r="W12" s="455"/>
      <c r="X12" s="448"/>
      <c r="Y12" s="448"/>
      <c r="Z12" s="459"/>
      <c r="AA12" s="460"/>
      <c r="AB12" s="460"/>
      <c r="AC12" s="460"/>
    </row>
    <row r="13" spans="1:29" s="596" customFormat="1" ht="18.75">
      <c r="A13" s="597">
        <v>10</v>
      </c>
      <c r="B13" s="10" t="s">
        <v>226</v>
      </c>
      <c r="C13" s="599">
        <v>268287.58333333302</v>
      </c>
      <c r="D13" s="600">
        <v>12</v>
      </c>
      <c r="E13" s="601">
        <f t="shared" si="13"/>
        <v>3219451</v>
      </c>
      <c r="F13" s="601"/>
      <c r="G13" s="601">
        <v>209556.08</v>
      </c>
      <c r="H13" s="601"/>
      <c r="I13" s="601">
        <f t="shared" si="0"/>
        <v>3009894.92</v>
      </c>
      <c r="J13" s="601">
        <v>200000</v>
      </c>
      <c r="K13" s="601">
        <v>0.2</v>
      </c>
      <c r="L13" s="601">
        <f t="shared" si="1"/>
        <v>601978.98399999901</v>
      </c>
      <c r="M13" s="601">
        <f t="shared" si="2"/>
        <v>801978.98399999901</v>
      </c>
      <c r="N13" s="601">
        <f t="shared" si="3"/>
        <v>1011535.064</v>
      </c>
      <c r="O13" s="601">
        <f t="shared" si="4"/>
        <v>2207915.9360000002</v>
      </c>
      <c r="P13" s="601">
        <f t="shared" si="5"/>
        <v>21000</v>
      </c>
      <c r="Q13" s="601">
        <f t="shared" si="6"/>
        <v>33000</v>
      </c>
      <c r="R13" s="601">
        <f t="shared" si="7"/>
        <v>75000</v>
      </c>
      <c r="S13" s="601">
        <f t="shared" si="8"/>
        <v>95000</v>
      </c>
      <c r="T13" s="601">
        <f t="shared" si="9"/>
        <v>127662.346559999</v>
      </c>
      <c r="U13" s="601"/>
      <c r="V13" s="601">
        <f t="shared" si="10"/>
        <v>351662.34655999899</v>
      </c>
      <c r="W13" s="604">
        <v>12</v>
      </c>
      <c r="X13" s="601">
        <f t="shared" si="11"/>
        <v>29305.1955466666</v>
      </c>
      <c r="Y13" s="601"/>
      <c r="Z13" s="459">
        <f t="shared" si="12"/>
        <v>29305.1955466666</v>
      </c>
      <c r="AA13" s="605"/>
      <c r="AB13" s="605"/>
      <c r="AC13" s="605"/>
    </row>
    <row r="14" spans="1:29" ht="18.75">
      <c r="A14" s="445"/>
      <c r="B14" s="10"/>
      <c r="C14" s="446"/>
      <c r="D14" s="447"/>
      <c r="E14" s="448"/>
      <c r="F14" s="448"/>
      <c r="G14" s="448"/>
      <c r="H14" s="448"/>
      <c r="I14" s="448"/>
      <c r="J14" s="448"/>
      <c r="K14" s="448"/>
      <c r="L14" s="448"/>
      <c r="M14" s="448"/>
      <c r="N14" s="448"/>
      <c r="O14" s="448"/>
      <c r="P14" s="448"/>
      <c r="Q14" s="448"/>
      <c r="R14" s="448"/>
      <c r="S14" s="448"/>
      <c r="T14" s="448"/>
      <c r="U14" s="448"/>
      <c r="V14" s="448"/>
      <c r="W14" s="455"/>
      <c r="X14" s="448"/>
      <c r="Y14" s="448"/>
      <c r="Z14" s="459"/>
    </row>
    <row r="15" spans="1:29" ht="18.75">
      <c r="A15" s="597">
        <v>4</v>
      </c>
      <c r="B15" s="17" t="s">
        <v>228</v>
      </c>
      <c r="C15" s="599">
        <v>293557.91666666698</v>
      </c>
      <c r="D15" s="600">
        <v>12</v>
      </c>
      <c r="E15" s="601">
        <f t="shared" ref="E15:E21" si="14">C15*D15</f>
        <v>3522695</v>
      </c>
      <c r="F15" s="601"/>
      <c r="G15" s="601">
        <v>374638.96</v>
      </c>
      <c r="H15" s="601"/>
      <c r="I15" s="601">
        <f t="shared" ref="I15:I29" si="15">E15-F15-G15-H15</f>
        <v>3148056.04</v>
      </c>
      <c r="J15" s="601">
        <v>200000</v>
      </c>
      <c r="K15" s="601">
        <v>0.2</v>
      </c>
      <c r="L15" s="601">
        <f t="shared" ref="L15:L16" si="16">I15*K15</f>
        <v>629611.20800000103</v>
      </c>
      <c r="M15" s="601">
        <f t="shared" ref="M15:M16" si="17">J15+L15</f>
        <v>829611.20800000103</v>
      </c>
      <c r="N15" s="601">
        <f t="shared" ref="N15:N29" si="18">F15+G15+H15+M15</f>
        <v>1204250.1680000001</v>
      </c>
      <c r="O15" s="601">
        <f t="shared" ref="O15:O29" si="19">E15-N15</f>
        <v>2318444.8319999999</v>
      </c>
      <c r="P15" s="601">
        <f t="shared" ref="P15:P16" si="20">IF(O15&lt;300000,0.07*O15,21000)</f>
        <v>21000</v>
      </c>
      <c r="Q15" s="601">
        <f t="shared" ref="Q15:Q16" si="21">IF((O15-300000)&lt;0,0,IF((O15-300000)&lt;300000,0.11*(O15-300000),33000))</f>
        <v>33000</v>
      </c>
      <c r="R15" s="601">
        <f t="shared" ref="R15:R16" si="22">IF((O15-600000)&lt;0,0,IF((O15-600000)&lt;500000,0.15*(O15-600000),75000))</f>
        <v>75000</v>
      </c>
      <c r="S15" s="601">
        <f t="shared" ref="S15:S16" si="23">IF((O15-1100000)&lt;0,0,IF((O15-1100000)&lt;500000,0.19*(O15-1100000),95000))</f>
        <v>95000</v>
      </c>
      <c r="T15" s="601">
        <f t="shared" ref="T15:T16" si="24">IF((O15-1600000)&lt;0,0,IF((O15-1600000)&lt;1600000,0.21*(O15-1600000),336000))</f>
        <v>150873.41472000099</v>
      </c>
      <c r="U15" s="601"/>
      <c r="V15" s="601">
        <f t="shared" ref="V15:V16" si="25">P15+Q15+R15+S15+T15+U15</f>
        <v>374873.41472000099</v>
      </c>
      <c r="W15" s="604">
        <v>12</v>
      </c>
      <c r="X15" s="601">
        <f t="shared" ref="X15:X16" si="26">V15/W15</f>
        <v>31239.451226666701</v>
      </c>
      <c r="Y15" s="601"/>
      <c r="Z15" s="459">
        <f t="shared" ref="Z15:Z16" si="27">X15</f>
        <v>31239.451226666701</v>
      </c>
    </row>
    <row r="16" spans="1:29" ht="37.5">
      <c r="A16" s="597">
        <v>5</v>
      </c>
      <c r="B16" s="10" t="s">
        <v>229</v>
      </c>
      <c r="C16" s="599">
        <v>248918.78888888899</v>
      </c>
      <c r="D16" s="600">
        <v>12</v>
      </c>
      <c r="E16" s="601">
        <f t="shared" si="14"/>
        <v>2987025.4666666701</v>
      </c>
      <c r="F16" s="601"/>
      <c r="G16" s="601">
        <v>245615.04</v>
      </c>
      <c r="H16" s="601"/>
      <c r="I16" s="601">
        <f t="shared" si="15"/>
        <v>2741410.42666667</v>
      </c>
      <c r="J16" s="601">
        <v>200000</v>
      </c>
      <c r="K16" s="601">
        <v>0.2</v>
      </c>
      <c r="L16" s="601">
        <f t="shared" si="16"/>
        <v>548282.08533333405</v>
      </c>
      <c r="M16" s="601">
        <f t="shared" si="17"/>
        <v>748282.08533333405</v>
      </c>
      <c r="N16" s="601">
        <f t="shared" si="18"/>
        <v>993897.12533333397</v>
      </c>
      <c r="O16" s="601">
        <f t="shared" si="19"/>
        <v>1993128.3413333299</v>
      </c>
      <c r="P16" s="601">
        <f t="shared" si="20"/>
        <v>21000</v>
      </c>
      <c r="Q16" s="601">
        <f t="shared" si="21"/>
        <v>33000</v>
      </c>
      <c r="R16" s="601">
        <f t="shared" si="22"/>
        <v>75000</v>
      </c>
      <c r="S16" s="601">
        <f t="shared" si="23"/>
        <v>95000</v>
      </c>
      <c r="T16" s="601">
        <f t="shared" si="24"/>
        <v>82556.951680000202</v>
      </c>
      <c r="U16" s="601"/>
      <c r="V16" s="601">
        <f t="shared" si="25"/>
        <v>306556.95168</v>
      </c>
      <c r="W16" s="604">
        <v>12</v>
      </c>
      <c r="X16" s="601">
        <f t="shared" si="26"/>
        <v>25546.412639999999</v>
      </c>
      <c r="Y16" s="601"/>
      <c r="Z16" s="459">
        <f t="shared" si="27"/>
        <v>25546.412639999999</v>
      </c>
    </row>
    <row r="17" spans="1:26" ht="18.75">
      <c r="A17" s="445"/>
      <c r="B17" s="10"/>
      <c r="C17" s="446"/>
      <c r="D17" s="447"/>
      <c r="E17" s="448"/>
      <c r="F17" s="448"/>
      <c r="G17" s="448"/>
      <c r="H17" s="448"/>
      <c r="I17" s="448"/>
      <c r="J17" s="448"/>
      <c r="K17" s="448"/>
      <c r="L17" s="448"/>
      <c r="M17" s="448"/>
      <c r="N17" s="448"/>
      <c r="O17" s="448"/>
      <c r="P17" s="448"/>
      <c r="Q17" s="448"/>
      <c r="R17" s="448"/>
      <c r="S17" s="448"/>
      <c r="T17" s="448"/>
      <c r="U17" s="448"/>
      <c r="V17" s="448"/>
      <c r="W17" s="455"/>
      <c r="X17" s="448"/>
      <c r="Y17" s="448"/>
      <c r="Z17" s="459"/>
    </row>
    <row r="18" spans="1:26" ht="18.75">
      <c r="A18" s="597">
        <v>7</v>
      </c>
      <c r="B18" s="17" t="s">
        <v>230</v>
      </c>
      <c r="C18" s="599">
        <v>374182.53888888902</v>
      </c>
      <c r="D18" s="600">
        <v>12</v>
      </c>
      <c r="E18" s="601">
        <f t="shared" si="14"/>
        <v>4490190.4666666696</v>
      </c>
      <c r="F18" s="601"/>
      <c r="G18" s="601">
        <v>281308.48</v>
      </c>
      <c r="H18" s="601"/>
      <c r="I18" s="601">
        <f t="shared" si="15"/>
        <v>4208881.9866666701</v>
      </c>
      <c r="J18" s="601">
        <v>200000</v>
      </c>
      <c r="K18" s="601">
        <v>0.2</v>
      </c>
      <c r="L18" s="601">
        <f t="shared" ref="L18:L23" si="28">I18*K18</f>
        <v>841776.39733333397</v>
      </c>
      <c r="M18" s="601">
        <f t="shared" ref="M18:M23" si="29">J18+L18</f>
        <v>1041776.39733333</v>
      </c>
      <c r="N18" s="601">
        <f t="shared" si="18"/>
        <v>1323084.87733333</v>
      </c>
      <c r="O18" s="601">
        <f t="shared" si="19"/>
        <v>3167105.5893333298</v>
      </c>
      <c r="P18" s="601">
        <f t="shared" ref="P18:P23" si="30">IF(O18&lt;300000,0.07*O18,21000)</f>
        <v>21000</v>
      </c>
      <c r="Q18" s="601">
        <f t="shared" ref="Q18:Q23" si="31">IF((O18-300000)&lt;0,0,IF((O18-300000)&lt;300000,0.11*(O18-300000),33000))</f>
        <v>33000</v>
      </c>
      <c r="R18" s="601">
        <f t="shared" ref="R18:R23" si="32">IF((O18-600000)&lt;0,0,IF((O18-600000)&lt;500000,0.15*(O18-600000),75000))</f>
        <v>75000</v>
      </c>
      <c r="S18" s="601">
        <f t="shared" ref="S18:S23" si="33">IF((O18-1100000)&lt;0,0,IF((O18-1100000)&lt;500000,0.19*(O18-1100000),95000))</f>
        <v>95000</v>
      </c>
      <c r="T18" s="601">
        <f t="shared" ref="T18:T23" si="34">IF((O18-1600000)&lt;0,0,IF((O18-1600000)&lt;1600000,0.21*(O18-1600000),336000))</f>
        <v>329092.17375999998</v>
      </c>
      <c r="U18" s="448"/>
      <c r="V18" s="601">
        <f t="shared" ref="V18:V23" si="35">P18+Q18+R18+S18+T18+U18</f>
        <v>553092.17376000003</v>
      </c>
      <c r="W18" s="604">
        <v>12</v>
      </c>
      <c r="X18" s="601">
        <f t="shared" ref="X18:X23" si="36">V18/W18</f>
        <v>46091.014479999998</v>
      </c>
      <c r="Y18" s="601"/>
      <c r="Z18" s="459">
        <f t="shared" ref="Z18:Z23" si="37">X18</f>
        <v>46091.014479999998</v>
      </c>
    </row>
    <row r="19" spans="1:26" ht="18.75">
      <c r="A19" s="597"/>
      <c r="B19" s="10"/>
      <c r="C19" s="599"/>
      <c r="D19" s="600"/>
      <c r="E19" s="601"/>
      <c r="F19" s="601"/>
      <c r="G19" s="601"/>
      <c r="H19" s="601"/>
      <c r="I19" s="601"/>
      <c r="J19" s="601"/>
      <c r="K19" s="601"/>
      <c r="L19" s="601"/>
      <c r="M19" s="601"/>
      <c r="N19" s="601"/>
      <c r="O19" s="601"/>
      <c r="P19" s="601"/>
      <c r="Q19" s="601"/>
      <c r="R19" s="601"/>
      <c r="S19" s="601"/>
      <c r="T19" s="601"/>
      <c r="U19" s="448"/>
      <c r="V19" s="601"/>
      <c r="W19" s="604"/>
      <c r="X19" s="601"/>
      <c r="Y19" s="601"/>
      <c r="Z19" s="459"/>
    </row>
    <row r="20" spans="1:26" ht="18.75">
      <c r="A20" s="445">
        <v>9</v>
      </c>
      <c r="B20" s="10" t="s">
        <v>235</v>
      </c>
      <c r="C20" s="446">
        <v>374182.53888888902</v>
      </c>
      <c r="D20" s="447">
        <v>12</v>
      </c>
      <c r="E20" s="448">
        <f t="shared" si="14"/>
        <v>4490190.4666666696</v>
      </c>
      <c r="F20" s="448"/>
      <c r="G20" s="448">
        <v>209556.08</v>
      </c>
      <c r="H20" s="448"/>
      <c r="I20" s="448">
        <f t="shared" si="15"/>
        <v>4280634.3866666704</v>
      </c>
      <c r="J20" s="448">
        <v>200000</v>
      </c>
      <c r="K20" s="448">
        <v>0.2</v>
      </c>
      <c r="L20" s="448">
        <f t="shared" si="28"/>
        <v>856126.87733333395</v>
      </c>
      <c r="M20" s="448">
        <f t="shared" si="29"/>
        <v>1056126.87733333</v>
      </c>
      <c r="N20" s="448">
        <f t="shared" si="18"/>
        <v>1265682.9573333301</v>
      </c>
      <c r="O20" s="448">
        <f t="shared" si="19"/>
        <v>3224507.5093333302</v>
      </c>
      <c r="P20" s="448">
        <f t="shared" si="30"/>
        <v>21000</v>
      </c>
      <c r="Q20" s="448">
        <f t="shared" si="31"/>
        <v>33000</v>
      </c>
      <c r="R20" s="448">
        <f t="shared" si="32"/>
        <v>75000</v>
      </c>
      <c r="S20" s="448">
        <f t="shared" si="33"/>
        <v>95000</v>
      </c>
      <c r="T20" s="448">
        <f t="shared" si="34"/>
        <v>336000</v>
      </c>
      <c r="U20" s="448">
        <f t="shared" ref="U20" si="38">24%*(O20-3200000)</f>
        <v>5881.8022400003701</v>
      </c>
      <c r="V20" s="448">
        <f t="shared" si="35"/>
        <v>565881.80223999999</v>
      </c>
      <c r="W20" s="455">
        <v>12</v>
      </c>
      <c r="X20" s="448">
        <f t="shared" si="36"/>
        <v>47156.816853333403</v>
      </c>
      <c r="Y20" s="448"/>
      <c r="Z20" s="459">
        <f t="shared" si="37"/>
        <v>47156.816853333403</v>
      </c>
    </row>
    <row r="21" spans="1:26" ht="37.5">
      <c r="A21" s="597">
        <v>10</v>
      </c>
      <c r="B21" s="17" t="s">
        <v>237</v>
      </c>
      <c r="C21" s="599">
        <v>233410.89444444401</v>
      </c>
      <c r="D21" s="600">
        <v>12</v>
      </c>
      <c r="E21" s="601">
        <f t="shared" si="14"/>
        <v>2800930.7333333301</v>
      </c>
      <c r="F21" s="601"/>
      <c r="G21" s="601">
        <v>209556.08</v>
      </c>
      <c r="H21" s="601"/>
      <c r="I21" s="601">
        <f t="shared" si="15"/>
        <v>2591374.6533333301</v>
      </c>
      <c r="J21" s="601">
        <v>200000</v>
      </c>
      <c r="K21" s="601">
        <v>0.2</v>
      </c>
      <c r="L21" s="601">
        <f t="shared" si="28"/>
        <v>518274.93066666601</v>
      </c>
      <c r="M21" s="601">
        <f t="shared" si="29"/>
        <v>718274.93066666601</v>
      </c>
      <c r="N21" s="601">
        <f t="shared" si="18"/>
        <v>927831.01066666597</v>
      </c>
      <c r="O21" s="601">
        <f t="shared" si="19"/>
        <v>1873099.7226666601</v>
      </c>
      <c r="P21" s="601">
        <f t="shared" si="30"/>
        <v>21000</v>
      </c>
      <c r="Q21" s="601">
        <f t="shared" si="31"/>
        <v>33000</v>
      </c>
      <c r="R21" s="601">
        <f t="shared" si="32"/>
        <v>75000</v>
      </c>
      <c r="S21" s="601">
        <f t="shared" si="33"/>
        <v>95000</v>
      </c>
      <c r="T21" s="601">
        <f t="shared" si="34"/>
        <v>57350.941759999201</v>
      </c>
      <c r="U21" s="448"/>
      <c r="V21" s="601">
        <f t="shared" si="35"/>
        <v>281350.94175999903</v>
      </c>
      <c r="W21" s="604">
        <v>12</v>
      </c>
      <c r="X21" s="601">
        <f t="shared" si="36"/>
        <v>23445.9118133333</v>
      </c>
      <c r="Y21" s="601"/>
      <c r="Z21" s="459">
        <f t="shared" si="37"/>
        <v>23445.9118133333</v>
      </c>
    </row>
    <row r="22" spans="1:26" ht="18.75">
      <c r="A22" s="445"/>
      <c r="B22" s="10"/>
      <c r="C22" s="446"/>
      <c r="D22" s="447"/>
      <c r="E22" s="448"/>
      <c r="F22" s="448"/>
      <c r="G22" s="448"/>
      <c r="H22" s="448"/>
      <c r="I22" s="448"/>
      <c r="J22" s="448"/>
      <c r="K22" s="448"/>
      <c r="L22" s="448"/>
      <c r="M22" s="448"/>
      <c r="N22" s="448"/>
      <c r="O22" s="448"/>
      <c r="P22" s="448"/>
      <c r="Q22" s="448"/>
      <c r="R22" s="448"/>
      <c r="S22" s="448"/>
      <c r="T22" s="448"/>
      <c r="U22" s="448"/>
      <c r="V22" s="448"/>
      <c r="W22" s="455"/>
      <c r="X22" s="448"/>
      <c r="Y22" s="448"/>
      <c r="Z22" s="459"/>
    </row>
    <row r="23" spans="1:26" ht="37.5">
      <c r="A23" s="597">
        <v>4</v>
      </c>
      <c r="B23" s="17" t="s">
        <v>239</v>
      </c>
      <c r="C23" s="599">
        <v>216305.83333333299</v>
      </c>
      <c r="D23" s="600">
        <v>12</v>
      </c>
      <c r="E23" s="601">
        <f t="shared" ref="E23:E35" si="39">C23*D23</f>
        <v>2595670</v>
      </c>
      <c r="F23" s="601"/>
      <c r="G23" s="601">
        <v>374638.96</v>
      </c>
      <c r="H23" s="601"/>
      <c r="I23" s="601">
        <f t="shared" si="15"/>
        <v>2221031.04</v>
      </c>
      <c r="J23" s="601">
        <v>200000</v>
      </c>
      <c r="K23" s="601">
        <v>0.2</v>
      </c>
      <c r="L23" s="601">
        <f t="shared" si="28"/>
        <v>444206.20799999899</v>
      </c>
      <c r="M23" s="601">
        <f t="shared" si="29"/>
        <v>644206.20799999905</v>
      </c>
      <c r="N23" s="601">
        <f t="shared" si="18"/>
        <v>1018845.1679999999</v>
      </c>
      <c r="O23" s="601">
        <f t="shared" si="19"/>
        <v>1576824.8319999999</v>
      </c>
      <c r="P23" s="601">
        <f t="shared" si="30"/>
        <v>21000</v>
      </c>
      <c r="Q23" s="601">
        <f t="shared" si="31"/>
        <v>33000</v>
      </c>
      <c r="R23" s="601">
        <f t="shared" si="32"/>
        <v>75000</v>
      </c>
      <c r="S23" s="601">
        <f t="shared" si="33"/>
        <v>90596.718079999395</v>
      </c>
      <c r="T23" s="601">
        <f t="shared" si="34"/>
        <v>0</v>
      </c>
      <c r="U23" s="448"/>
      <c r="V23" s="601">
        <f t="shared" si="35"/>
        <v>219596.718079999</v>
      </c>
      <c r="W23" s="604">
        <v>12</v>
      </c>
      <c r="X23" s="601">
        <f t="shared" si="36"/>
        <v>18299.7265066666</v>
      </c>
      <c r="Y23" s="601"/>
      <c r="Z23" s="459">
        <f t="shared" si="37"/>
        <v>18299.7265066666</v>
      </c>
    </row>
    <row r="24" spans="1:26" ht="18.75">
      <c r="A24" s="597"/>
      <c r="B24" s="10"/>
      <c r="C24" s="599"/>
      <c r="D24" s="600"/>
      <c r="E24" s="601"/>
      <c r="F24" s="601"/>
      <c r="G24" s="601"/>
      <c r="H24" s="601"/>
      <c r="I24" s="601"/>
      <c r="J24" s="601"/>
      <c r="K24" s="601"/>
      <c r="L24" s="601"/>
      <c r="M24" s="601"/>
      <c r="N24" s="601"/>
      <c r="O24" s="601"/>
      <c r="P24" s="601"/>
      <c r="Q24" s="601"/>
      <c r="R24" s="601"/>
      <c r="S24" s="601"/>
      <c r="T24" s="601"/>
      <c r="U24" s="448"/>
      <c r="V24" s="601"/>
      <c r="W24" s="604"/>
      <c r="X24" s="601"/>
      <c r="Y24" s="601"/>
      <c r="Z24" s="459"/>
    </row>
    <row r="25" spans="1:26" ht="37.5">
      <c r="A25" s="445">
        <v>6</v>
      </c>
      <c r="B25" s="10" t="s">
        <v>240</v>
      </c>
      <c r="C25" s="446">
        <v>337515.87222222198</v>
      </c>
      <c r="D25" s="447">
        <v>12</v>
      </c>
      <c r="E25" s="448">
        <f t="shared" si="39"/>
        <v>4050190.4666666598</v>
      </c>
      <c r="F25" s="448"/>
      <c r="G25" s="448">
        <v>209556.08</v>
      </c>
      <c r="H25" s="448"/>
      <c r="I25" s="448">
        <f t="shared" si="15"/>
        <v>3840634.3866666602</v>
      </c>
      <c r="J25" s="448">
        <v>200000</v>
      </c>
      <c r="K25" s="448">
        <v>0.2</v>
      </c>
      <c r="L25" s="448">
        <f>I25*K25</f>
        <v>768126.87733333302</v>
      </c>
      <c r="M25" s="448">
        <f>J25+L25</f>
        <v>968126.87733333302</v>
      </c>
      <c r="N25" s="448">
        <f t="shared" si="18"/>
        <v>1177682.9573333301</v>
      </c>
      <c r="O25" s="448">
        <f t="shared" si="19"/>
        <v>2872507.5093333302</v>
      </c>
      <c r="P25" s="448">
        <f>IF(O25&lt;300000,0.07*O25,21000)</f>
        <v>21000</v>
      </c>
      <c r="Q25" s="448">
        <f>IF((O25-300000)&lt;0,0,IF((O25-300000)&lt;300000,0.11*(O25-300000),33000))</f>
        <v>33000</v>
      </c>
      <c r="R25" s="448">
        <f>IF((O25-600000)&lt;0,0,IF((O25-600000)&lt;500000,0.15*(O25-600000),75000))</f>
        <v>75000</v>
      </c>
      <c r="S25" s="448">
        <f>IF((O25-1100000)&lt;0,0,IF((O25-1100000)&lt;500000,0.19*(O25-1100000),95000))</f>
        <v>95000</v>
      </c>
      <c r="T25" s="448">
        <f>IF((O25-1600000)&lt;0,0,IF((O25-1600000)&lt;1600000,0.21*(O25-1600000),336000))</f>
        <v>267226.57695999998</v>
      </c>
      <c r="U25" s="448"/>
      <c r="V25" s="448">
        <f>P25+Q25+R25+S25+T25+U25</f>
        <v>491226.57695999998</v>
      </c>
      <c r="W25" s="455">
        <v>12</v>
      </c>
      <c r="X25" s="448">
        <f>V25/W25</f>
        <v>40935.54808</v>
      </c>
      <c r="Y25" s="448"/>
      <c r="Z25" s="459">
        <f>X25</f>
        <v>40935.54808</v>
      </c>
    </row>
    <row r="26" spans="1:26" ht="18.75">
      <c r="A26" s="597"/>
      <c r="B26" s="10"/>
      <c r="C26" s="599"/>
      <c r="D26" s="600"/>
      <c r="E26" s="601"/>
      <c r="F26" s="601"/>
      <c r="G26" s="601"/>
      <c r="H26" s="601"/>
      <c r="I26" s="601"/>
      <c r="J26" s="601"/>
      <c r="K26" s="601"/>
      <c r="L26" s="601"/>
      <c r="M26" s="601"/>
      <c r="N26" s="601"/>
      <c r="O26" s="601"/>
      <c r="P26" s="601"/>
      <c r="Q26" s="601"/>
      <c r="R26" s="601"/>
      <c r="S26" s="601"/>
      <c r="T26" s="601"/>
      <c r="U26" s="448"/>
      <c r="V26" s="601"/>
      <c r="W26" s="604"/>
      <c r="X26" s="601"/>
      <c r="Y26" s="601"/>
      <c r="Z26" s="459"/>
    </row>
    <row r="27" spans="1:26" ht="18.75">
      <c r="A27" s="597">
        <v>8</v>
      </c>
      <c r="B27" s="17" t="s">
        <v>243</v>
      </c>
      <c r="C27" s="599">
        <v>260955.933333333</v>
      </c>
      <c r="D27" s="600">
        <v>12</v>
      </c>
      <c r="E27" s="601">
        <f t="shared" si="39"/>
        <v>3131471.2</v>
      </c>
      <c r="F27" s="601"/>
      <c r="G27" s="601">
        <v>374638.96</v>
      </c>
      <c r="H27" s="601"/>
      <c r="I27" s="601">
        <f t="shared" si="15"/>
        <v>2756832.24</v>
      </c>
      <c r="J27" s="601">
        <v>200000</v>
      </c>
      <c r="K27" s="601">
        <v>0.2</v>
      </c>
      <c r="L27" s="601">
        <f t="shared" ref="L27:L29" si="40">I27*K27</f>
        <v>551366.44799999904</v>
      </c>
      <c r="M27" s="601">
        <f t="shared" ref="M27:M29" si="41">J27+L27</f>
        <v>751366.44799999904</v>
      </c>
      <c r="N27" s="601">
        <f t="shared" si="18"/>
        <v>1126005.4080000001</v>
      </c>
      <c r="O27" s="601">
        <f t="shared" si="19"/>
        <v>2005465.7919999999</v>
      </c>
      <c r="P27" s="601">
        <f t="shared" ref="P27:P29" si="42">IF(O27&lt;300000,0.07*O27,21000)</f>
        <v>21000</v>
      </c>
      <c r="Q27" s="601">
        <f t="shared" ref="Q27:Q29" si="43">IF((O27-300000)&lt;0,0,IF((O27-300000)&lt;300000,0.11*(O27-300000),33000))</f>
        <v>33000</v>
      </c>
      <c r="R27" s="601">
        <f t="shared" ref="R27:R29" si="44">IF((O27-600000)&lt;0,0,IF((O27-600000)&lt;500000,0.15*(O27-600000),75000))</f>
        <v>75000</v>
      </c>
      <c r="S27" s="601">
        <f t="shared" ref="S27:S29" si="45">IF((O27-1100000)&lt;0,0,IF((O27-1100000)&lt;500000,0.19*(O27-1100000),95000))</f>
        <v>95000</v>
      </c>
      <c r="T27" s="601">
        <f t="shared" ref="T27:T29" si="46">IF((O27-1600000)&lt;0,0,IF((O27-1600000)&lt;1600000,0.21*(O27-1600000),336000))</f>
        <v>85147.8163199993</v>
      </c>
      <c r="U27" s="448"/>
      <c r="V27" s="601">
        <f t="shared" ref="V27:V29" si="47">P27+Q27+R27+S27+T27+U27</f>
        <v>309147.81631999899</v>
      </c>
      <c r="W27" s="604">
        <v>12</v>
      </c>
      <c r="X27" s="601">
        <f t="shared" ref="X27:X29" si="48">V27/W27</f>
        <v>25762.318026666599</v>
      </c>
      <c r="Y27" s="601"/>
      <c r="Z27" s="459">
        <f t="shared" ref="Z27:Z29" si="49">X27</f>
        <v>25762.318026666599</v>
      </c>
    </row>
    <row r="28" spans="1:26" ht="37.5">
      <c r="A28" s="445">
        <v>9</v>
      </c>
      <c r="B28" s="17" t="s">
        <v>244</v>
      </c>
      <c r="C28" s="446">
        <v>260955.933333333</v>
      </c>
      <c r="D28" s="447">
        <v>12</v>
      </c>
      <c r="E28" s="448">
        <f t="shared" si="39"/>
        <v>3131471.2</v>
      </c>
      <c r="F28" s="448"/>
      <c r="G28" s="448">
        <v>209556.08</v>
      </c>
      <c r="H28" s="448"/>
      <c r="I28" s="448">
        <f t="shared" si="15"/>
        <v>2921915.12</v>
      </c>
      <c r="J28" s="448">
        <v>200000</v>
      </c>
      <c r="K28" s="448">
        <v>0.2</v>
      </c>
      <c r="L28" s="448">
        <f t="shared" si="40"/>
        <v>584383.02399999904</v>
      </c>
      <c r="M28" s="448">
        <f t="shared" si="41"/>
        <v>784383.02399999904</v>
      </c>
      <c r="N28" s="448">
        <f t="shared" si="18"/>
        <v>993939.103999999</v>
      </c>
      <c r="O28" s="448">
        <f t="shared" si="19"/>
        <v>2137532.0959999999</v>
      </c>
      <c r="P28" s="448">
        <f t="shared" si="42"/>
        <v>21000</v>
      </c>
      <c r="Q28" s="448">
        <f t="shared" si="43"/>
        <v>33000</v>
      </c>
      <c r="R28" s="448">
        <f t="shared" si="44"/>
        <v>75000</v>
      </c>
      <c r="S28" s="448">
        <f t="shared" si="45"/>
        <v>95000</v>
      </c>
      <c r="T28" s="448">
        <f t="shared" si="46"/>
        <v>112881.740159999</v>
      </c>
      <c r="U28" s="448"/>
      <c r="V28" s="448">
        <f t="shared" si="47"/>
        <v>336881.740159999</v>
      </c>
      <c r="W28" s="455">
        <v>12</v>
      </c>
      <c r="X28" s="448">
        <f t="shared" si="48"/>
        <v>28073.478346666601</v>
      </c>
      <c r="Y28" s="448"/>
      <c r="Z28" s="459">
        <f t="shared" si="49"/>
        <v>28073.478346666601</v>
      </c>
    </row>
    <row r="29" spans="1:26" ht="18.75">
      <c r="A29" s="597">
        <v>10</v>
      </c>
      <c r="B29" s="17" t="s">
        <v>245</v>
      </c>
      <c r="C29" s="599">
        <v>212191.72222222199</v>
      </c>
      <c r="D29" s="600">
        <v>12</v>
      </c>
      <c r="E29" s="601">
        <f t="shared" si="39"/>
        <v>2546300.66666666</v>
      </c>
      <c r="F29" s="601"/>
      <c r="G29" s="601">
        <v>209556.08</v>
      </c>
      <c r="H29" s="601"/>
      <c r="I29" s="601">
        <f t="shared" si="15"/>
        <v>2336744.5866666599</v>
      </c>
      <c r="J29" s="601">
        <v>200000</v>
      </c>
      <c r="K29" s="601">
        <v>0.2</v>
      </c>
      <c r="L29" s="601">
        <f t="shared" si="40"/>
        <v>467348.917333333</v>
      </c>
      <c r="M29" s="601">
        <f t="shared" si="41"/>
        <v>667348.91733333305</v>
      </c>
      <c r="N29" s="601">
        <f t="shared" si="18"/>
        <v>876904.99733333301</v>
      </c>
      <c r="O29" s="601">
        <f t="shared" si="19"/>
        <v>1669395.6693333299</v>
      </c>
      <c r="P29" s="601">
        <f t="shared" si="42"/>
        <v>21000</v>
      </c>
      <c r="Q29" s="601">
        <f t="shared" si="43"/>
        <v>33000</v>
      </c>
      <c r="R29" s="601">
        <f t="shared" si="44"/>
        <v>75000</v>
      </c>
      <c r="S29" s="601">
        <f t="shared" si="45"/>
        <v>95000</v>
      </c>
      <c r="T29" s="601">
        <f t="shared" si="46"/>
        <v>14573.0905599995</v>
      </c>
      <c r="U29" s="448"/>
      <c r="V29" s="601">
        <f t="shared" si="47"/>
        <v>238573.09055999899</v>
      </c>
      <c r="W29" s="604">
        <v>12</v>
      </c>
      <c r="X29" s="601">
        <f t="shared" si="48"/>
        <v>19881.09088</v>
      </c>
      <c r="Y29" s="601"/>
      <c r="Z29" s="459">
        <f t="shared" si="49"/>
        <v>19881.09088</v>
      </c>
    </row>
    <row r="30" spans="1:26" ht="18.75">
      <c r="A30" s="445"/>
      <c r="B30" s="10"/>
      <c r="C30" s="446"/>
      <c r="D30" s="447"/>
      <c r="E30" s="448"/>
      <c r="F30" s="448"/>
      <c r="G30" s="448"/>
      <c r="H30" s="448"/>
      <c r="I30" s="448"/>
      <c r="J30" s="448"/>
      <c r="K30" s="448"/>
      <c r="L30" s="448"/>
      <c r="M30" s="448"/>
      <c r="N30" s="448"/>
      <c r="O30" s="448"/>
      <c r="P30" s="448"/>
      <c r="Q30" s="448"/>
      <c r="R30" s="448"/>
      <c r="S30" s="448"/>
      <c r="T30" s="448"/>
      <c r="U30" s="448"/>
      <c r="V30" s="448"/>
      <c r="W30" s="455"/>
      <c r="X30" s="448"/>
      <c r="Y30" s="448"/>
      <c r="Z30" s="459"/>
    </row>
    <row r="31" spans="1:26" ht="18.75">
      <c r="A31" s="597">
        <v>7</v>
      </c>
      <c r="B31" s="17" t="s">
        <v>247</v>
      </c>
      <c r="C31" s="599">
        <v>196744.227777778</v>
      </c>
      <c r="D31" s="600">
        <v>12</v>
      </c>
      <c r="E31" s="601">
        <f t="shared" si="39"/>
        <v>2360930.7333333399</v>
      </c>
      <c r="F31" s="601"/>
      <c r="G31" s="601">
        <v>281308.48</v>
      </c>
      <c r="H31" s="601"/>
      <c r="I31" s="601">
        <f t="shared" ref="I31:I35" si="50">E31-F31-G31-H31</f>
        <v>2079622.2533333399</v>
      </c>
      <c r="J31" s="601">
        <v>200000</v>
      </c>
      <c r="K31" s="601">
        <v>0.2</v>
      </c>
      <c r="L31" s="601">
        <f t="shared" ref="L31:L35" si="51">I31*K31</f>
        <v>415924.45066666702</v>
      </c>
      <c r="M31" s="601">
        <f t="shared" ref="M31:M35" si="52">J31+L31</f>
        <v>615924.45066666696</v>
      </c>
      <c r="N31" s="601">
        <f t="shared" ref="N31:N35" si="53">F31+G31+H31+M31</f>
        <v>897232.93066666694</v>
      </c>
      <c r="O31" s="601">
        <f t="shared" ref="O31:O35" si="54">E31-N31</f>
        <v>1463697.8026666699</v>
      </c>
      <c r="P31" s="601">
        <f t="shared" ref="P31:P35" si="55">IF(O31&lt;300000,0.07*O31,21000)</f>
        <v>21000</v>
      </c>
      <c r="Q31" s="601">
        <f t="shared" ref="Q31:Q35" si="56">IF((O31-300000)&lt;0,0,IF((O31-300000)&lt;300000,0.11*(O31-300000),33000))</f>
        <v>33000</v>
      </c>
      <c r="R31" s="601">
        <f t="shared" ref="R31:R35" si="57">IF((O31-600000)&lt;0,0,IF((O31-600000)&lt;500000,0.15*(O31-600000),75000))</f>
        <v>75000</v>
      </c>
      <c r="S31" s="601">
        <f t="shared" ref="S31:S35" si="58">IF((O31-1100000)&lt;0,0,IF((O31-1100000)&lt;500000,0.19*(O31-1100000),95000))</f>
        <v>69102.582506667095</v>
      </c>
      <c r="T31" s="601">
        <f t="shared" ref="T31:T35" si="59">IF((O31-1600000)&lt;0,0,IF((O31-1600000)&lt;1600000,0.21*(O31-1600000),336000))</f>
        <v>0</v>
      </c>
      <c r="U31" s="448"/>
      <c r="V31" s="601">
        <f t="shared" ref="V31:V35" si="60">P31+Q31+R31+S31+T31+U31</f>
        <v>198102.58250666701</v>
      </c>
      <c r="W31" s="604">
        <v>12</v>
      </c>
      <c r="X31" s="601">
        <f t="shared" ref="X31:X35" si="61">V31/W31</f>
        <v>16508.548542222299</v>
      </c>
      <c r="Y31" s="601"/>
      <c r="Z31" s="459">
        <f t="shared" ref="Z31:Z35" si="62">X31</f>
        <v>16508.548542222299</v>
      </c>
    </row>
    <row r="32" spans="1:26" ht="18.75">
      <c r="A32" s="597"/>
      <c r="B32" s="10"/>
      <c r="C32" s="599"/>
      <c r="D32" s="600"/>
      <c r="E32" s="601"/>
      <c r="F32" s="601"/>
      <c r="G32" s="601"/>
      <c r="H32" s="601"/>
      <c r="I32" s="601"/>
      <c r="J32" s="601"/>
      <c r="K32" s="601"/>
      <c r="L32" s="601"/>
      <c r="M32" s="601"/>
      <c r="N32" s="601"/>
      <c r="O32" s="601"/>
      <c r="P32" s="601"/>
      <c r="Q32" s="601"/>
      <c r="R32" s="601"/>
      <c r="S32" s="601"/>
      <c r="T32" s="601"/>
      <c r="U32" s="448"/>
      <c r="V32" s="601"/>
      <c r="W32" s="604"/>
      <c r="X32" s="601"/>
      <c r="Y32" s="601"/>
      <c r="Z32" s="459"/>
    </row>
    <row r="33" spans="1:26" ht="37.5">
      <c r="A33" s="445">
        <v>9</v>
      </c>
      <c r="B33" s="17" t="s">
        <v>250</v>
      </c>
      <c r="C33" s="446">
        <v>353029.67</v>
      </c>
      <c r="D33" s="447">
        <v>12</v>
      </c>
      <c r="E33" s="448">
        <f t="shared" si="39"/>
        <v>4236356.04</v>
      </c>
      <c r="F33" s="448"/>
      <c r="G33" s="448">
        <v>209556.08</v>
      </c>
      <c r="H33" s="448"/>
      <c r="I33" s="448">
        <f t="shared" si="50"/>
        <v>4026799.96</v>
      </c>
      <c r="J33" s="448">
        <v>200000</v>
      </c>
      <c r="K33" s="448">
        <v>0.2</v>
      </c>
      <c r="L33" s="448">
        <f t="shared" si="51"/>
        <v>805359.99199999997</v>
      </c>
      <c r="M33" s="448">
        <f t="shared" si="52"/>
        <v>1005359.992</v>
      </c>
      <c r="N33" s="448">
        <f t="shared" si="53"/>
        <v>1214916.0719999999</v>
      </c>
      <c r="O33" s="448">
        <f t="shared" si="54"/>
        <v>3021439.9679999999</v>
      </c>
      <c r="P33" s="448">
        <f t="shared" si="55"/>
        <v>21000</v>
      </c>
      <c r="Q33" s="448">
        <f t="shared" si="56"/>
        <v>33000</v>
      </c>
      <c r="R33" s="448">
        <f t="shared" si="57"/>
        <v>75000</v>
      </c>
      <c r="S33" s="448">
        <f t="shared" si="58"/>
        <v>95000</v>
      </c>
      <c r="T33" s="448">
        <f t="shared" si="59"/>
        <v>298502.39328000002</v>
      </c>
      <c r="U33" s="448"/>
      <c r="V33" s="448">
        <f t="shared" si="60"/>
        <v>522502.39328000002</v>
      </c>
      <c r="W33" s="455">
        <v>12</v>
      </c>
      <c r="X33" s="448">
        <f t="shared" si="61"/>
        <v>43541.866106666697</v>
      </c>
      <c r="Y33" s="448"/>
      <c r="Z33" s="459">
        <f t="shared" si="62"/>
        <v>43541.866106666697</v>
      </c>
    </row>
    <row r="34" spans="1:26" ht="18.75">
      <c r="A34" s="597">
        <v>10</v>
      </c>
      <c r="B34" s="17" t="s">
        <v>252</v>
      </c>
      <c r="C34" s="599">
        <v>169915.469444444</v>
      </c>
      <c r="D34" s="600">
        <v>12</v>
      </c>
      <c r="E34" s="601">
        <f t="shared" si="39"/>
        <v>2038985.63333333</v>
      </c>
      <c r="F34" s="601"/>
      <c r="G34" s="601">
        <v>209556.08</v>
      </c>
      <c r="H34" s="601"/>
      <c r="I34" s="601">
        <f t="shared" si="50"/>
        <v>1829429.55333333</v>
      </c>
      <c r="J34" s="601">
        <v>200000</v>
      </c>
      <c r="K34" s="601">
        <v>0.2</v>
      </c>
      <c r="L34" s="601">
        <f t="shared" si="51"/>
        <v>365885.91066666599</v>
      </c>
      <c r="M34" s="601">
        <f t="shared" si="52"/>
        <v>565885.91066666599</v>
      </c>
      <c r="N34" s="601">
        <f t="shared" si="53"/>
        <v>775441.99066666502</v>
      </c>
      <c r="O34" s="601">
        <f t="shared" si="54"/>
        <v>1263543.64266666</v>
      </c>
      <c r="P34" s="601">
        <f t="shared" si="55"/>
        <v>21000</v>
      </c>
      <c r="Q34" s="601">
        <f t="shared" si="56"/>
        <v>33000</v>
      </c>
      <c r="R34" s="601">
        <f t="shared" si="57"/>
        <v>75000</v>
      </c>
      <c r="S34" s="601">
        <f t="shared" si="58"/>
        <v>31073.2921066659</v>
      </c>
      <c r="T34" s="601">
        <f t="shared" si="59"/>
        <v>0</v>
      </c>
      <c r="U34" s="448"/>
      <c r="V34" s="601">
        <f t="shared" si="60"/>
        <v>160073.29210666599</v>
      </c>
      <c r="W34" s="604">
        <v>12</v>
      </c>
      <c r="X34" s="601">
        <f t="shared" si="61"/>
        <v>13339.4410088888</v>
      </c>
      <c r="Y34" s="601"/>
      <c r="Z34" s="459">
        <f t="shared" si="62"/>
        <v>13339.4410088888</v>
      </c>
    </row>
    <row r="35" spans="1:26" ht="37.5">
      <c r="A35" s="445">
        <v>3</v>
      </c>
      <c r="B35" s="17" t="s">
        <v>254</v>
      </c>
      <c r="C35" s="446">
        <v>268287.58333333302</v>
      </c>
      <c r="D35" s="447">
        <v>12</v>
      </c>
      <c r="E35" s="448">
        <f t="shared" si="39"/>
        <v>3219451</v>
      </c>
      <c r="F35" s="448"/>
      <c r="G35" s="448">
        <v>209556.08</v>
      </c>
      <c r="H35" s="448"/>
      <c r="I35" s="448">
        <f t="shared" si="50"/>
        <v>3009894.92</v>
      </c>
      <c r="J35" s="448">
        <v>200000</v>
      </c>
      <c r="K35" s="448">
        <v>0.2</v>
      </c>
      <c r="L35" s="448">
        <f t="shared" si="51"/>
        <v>601978.98399999901</v>
      </c>
      <c r="M35" s="448">
        <f t="shared" si="52"/>
        <v>801978.98399999901</v>
      </c>
      <c r="N35" s="448">
        <f t="shared" si="53"/>
        <v>1011535.064</v>
      </c>
      <c r="O35" s="448">
        <f t="shared" si="54"/>
        <v>2207915.9360000002</v>
      </c>
      <c r="P35" s="448">
        <f t="shared" si="55"/>
        <v>21000</v>
      </c>
      <c r="Q35" s="448">
        <f t="shared" si="56"/>
        <v>33000</v>
      </c>
      <c r="R35" s="448">
        <f t="shared" si="57"/>
        <v>75000</v>
      </c>
      <c r="S35" s="448">
        <f t="shared" si="58"/>
        <v>95000</v>
      </c>
      <c r="T35" s="448">
        <f t="shared" si="59"/>
        <v>127662.346559999</v>
      </c>
      <c r="U35" s="448"/>
      <c r="V35" s="448">
        <f t="shared" si="60"/>
        <v>351662.34655999899</v>
      </c>
      <c r="W35" s="455">
        <v>12</v>
      </c>
      <c r="X35" s="448">
        <f t="shared" si="61"/>
        <v>29305.1955466666</v>
      </c>
      <c r="Y35" s="448"/>
      <c r="Z35" s="459">
        <f t="shared" si="62"/>
        <v>29305.1955466666</v>
      </c>
    </row>
    <row r="37" spans="1:26">
      <c r="V37" s="645" t="s">
        <v>280</v>
      </c>
      <c r="X37" s="690">
        <f>SUM(X6:X36)</f>
        <v>575190.051368888</v>
      </c>
      <c r="Y37" s="690">
        <f t="shared" ref="Y37:Z37" si="63">SUM(Y6:Y36)</f>
        <v>0</v>
      </c>
      <c r="Z37" s="690">
        <f t="shared" si="63"/>
        <v>575190.051368888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"/>
  <sheetViews>
    <sheetView workbookViewId="0">
      <selection activeCell="F14" sqref="F14"/>
    </sheetView>
  </sheetViews>
  <sheetFormatPr defaultColWidth="9" defaultRowHeight="12.75"/>
  <cols>
    <col min="1" max="1" width="5.42578125" customWidth="1"/>
    <col min="2" max="2" width="23.42578125" customWidth="1"/>
    <col min="3" max="3" width="20.42578125" customWidth="1"/>
    <col min="5" max="5" width="12.140625" customWidth="1"/>
    <col min="7" max="7" width="12.140625" customWidth="1"/>
    <col min="10" max="10" width="12.140625" customWidth="1"/>
    <col min="15" max="17" width="11" customWidth="1"/>
    <col min="18" max="19" width="12.140625" customWidth="1"/>
  </cols>
  <sheetData>
    <row r="1" spans="1:20" s="1" customFormat="1" ht="49.5" customHeight="1">
      <c r="A1" s="262"/>
      <c r="B1" s="676" t="s">
        <v>2</v>
      </c>
      <c r="C1" s="677" t="s">
        <v>3</v>
      </c>
      <c r="D1" s="678" t="s">
        <v>4</v>
      </c>
      <c r="E1" s="679" t="s">
        <v>5</v>
      </c>
      <c r="F1" s="679" t="s">
        <v>6</v>
      </c>
      <c r="G1" s="679" t="s">
        <v>7</v>
      </c>
      <c r="H1" s="679" t="s">
        <v>7</v>
      </c>
      <c r="I1" s="679" t="s">
        <v>8</v>
      </c>
      <c r="J1" s="684" t="s">
        <v>9</v>
      </c>
      <c r="K1" s="679" t="s">
        <v>10</v>
      </c>
      <c r="L1" s="679" t="s">
        <v>195</v>
      </c>
      <c r="M1" s="679" t="s">
        <v>196</v>
      </c>
      <c r="N1" s="679" t="s">
        <v>14</v>
      </c>
      <c r="O1" s="685" t="s">
        <v>15</v>
      </c>
      <c r="P1" s="679" t="s">
        <v>16</v>
      </c>
      <c r="Q1" s="684" t="s">
        <v>17</v>
      </c>
      <c r="R1" s="687" t="s">
        <v>281</v>
      </c>
      <c r="S1" s="688" t="s">
        <v>282</v>
      </c>
    </row>
    <row r="2" spans="1:20" s="1" customFormat="1" ht="17.25" customHeight="1">
      <c r="A2" s="680"/>
      <c r="B2" s="680"/>
      <c r="C2" s="681"/>
      <c r="D2" s="681"/>
      <c r="E2" s="682" t="s">
        <v>20</v>
      </c>
      <c r="F2" s="682" t="s">
        <v>20</v>
      </c>
      <c r="G2" s="682" t="s">
        <v>20</v>
      </c>
      <c r="H2" s="682" t="s">
        <v>20</v>
      </c>
      <c r="I2" s="682" t="s">
        <v>20</v>
      </c>
      <c r="J2" s="686" t="s">
        <v>20</v>
      </c>
      <c r="K2" s="682" t="s">
        <v>20</v>
      </c>
      <c r="L2" s="682" t="s">
        <v>20</v>
      </c>
      <c r="M2" s="682" t="s">
        <v>20</v>
      </c>
      <c r="N2" s="682" t="s">
        <v>20</v>
      </c>
      <c r="O2" s="682" t="s">
        <v>20</v>
      </c>
      <c r="P2" s="682" t="s">
        <v>20</v>
      </c>
      <c r="Q2" s="686" t="s">
        <v>20</v>
      </c>
      <c r="R2" s="682" t="s">
        <v>20</v>
      </c>
      <c r="S2" s="686" t="s">
        <v>20</v>
      </c>
    </row>
    <row r="3" spans="1:20">
      <c r="A3" s="418"/>
      <c r="B3" s="418"/>
      <c r="C3" s="418"/>
      <c r="D3" s="418"/>
      <c r="E3" s="418"/>
      <c r="F3" s="418"/>
      <c r="G3" s="418"/>
      <c r="H3" s="418"/>
      <c r="I3" s="418"/>
      <c r="J3" s="418"/>
      <c r="K3" s="418"/>
      <c r="L3" s="418"/>
      <c r="M3" s="418"/>
      <c r="N3" s="418"/>
      <c r="O3" s="418"/>
      <c r="P3" s="418"/>
      <c r="Q3" s="418"/>
      <c r="R3" s="418"/>
      <c r="S3" s="418"/>
    </row>
    <row r="5" spans="1:20" s="1" customFormat="1" ht="20.100000000000001" customHeight="1">
      <c r="A5" s="683">
        <v>1</v>
      </c>
      <c r="B5" s="330" t="s">
        <v>228</v>
      </c>
      <c r="C5" s="73" t="s">
        <v>45</v>
      </c>
      <c r="D5" s="626" t="s">
        <v>32</v>
      </c>
      <c r="E5" s="628">
        <f>353512.5</f>
        <v>353512.5</v>
      </c>
      <c r="F5" s="627"/>
      <c r="G5" s="628">
        <f>110000</f>
        <v>110000</v>
      </c>
      <c r="H5" s="628"/>
      <c r="I5" s="627"/>
      <c r="J5" s="638">
        <f t="shared" ref="J5" si="0">SUM(E5:I5)</f>
        <v>463512.5</v>
      </c>
      <c r="K5" s="627"/>
      <c r="L5" s="627"/>
      <c r="M5" s="627"/>
      <c r="N5" s="627"/>
      <c r="O5" s="627">
        <v>62231.114666666697</v>
      </c>
      <c r="P5" s="627">
        <v>28281</v>
      </c>
      <c r="Q5" s="638">
        <f t="shared" ref="Q5" si="1">O5+N5+M5+L5+K5+P5</f>
        <v>90512.114666666705</v>
      </c>
      <c r="R5" s="627">
        <v>262318.46544</v>
      </c>
      <c r="S5" s="689">
        <v>262318.46999999997</v>
      </c>
      <c r="T5" s="12"/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M8"/>
  <sheetViews>
    <sheetView workbookViewId="0">
      <selection activeCell="C15" sqref="C15"/>
    </sheetView>
  </sheetViews>
  <sheetFormatPr defaultColWidth="9" defaultRowHeight="12.75"/>
  <cols>
    <col min="1" max="1" width="5.5703125" customWidth="1"/>
    <col min="2" max="2" width="18.28515625" customWidth="1"/>
    <col min="3" max="3" width="17.140625" customWidth="1"/>
    <col min="4" max="4" width="10.140625" customWidth="1"/>
    <col min="5" max="5" width="15" customWidth="1"/>
    <col min="6" max="6" width="12.7109375" customWidth="1"/>
    <col min="7" max="7" width="11.5703125" customWidth="1"/>
    <col min="8" max="8" width="15.28515625" customWidth="1"/>
    <col min="9" max="9" width="14.42578125" customWidth="1"/>
    <col min="10" max="10" width="14.140625" customWidth="1"/>
    <col min="11" max="11" width="17.42578125" customWidth="1"/>
    <col min="12" max="12" width="16" customWidth="1"/>
  </cols>
  <sheetData>
    <row r="4" spans="1:13" s="1" customFormat="1" ht="49.5" customHeight="1">
      <c r="B4" s="670" t="s">
        <v>2</v>
      </c>
      <c r="C4" s="671" t="s">
        <v>3</v>
      </c>
      <c r="D4" s="672" t="s">
        <v>4</v>
      </c>
      <c r="E4" s="663" t="s">
        <v>5</v>
      </c>
      <c r="F4" s="663" t="s">
        <v>7</v>
      </c>
      <c r="G4" s="663" t="s">
        <v>8</v>
      </c>
      <c r="H4" s="673" t="s">
        <v>9</v>
      </c>
      <c r="I4" s="663" t="s">
        <v>283</v>
      </c>
      <c r="J4" s="663" t="s">
        <v>16</v>
      </c>
      <c r="K4" s="674" t="s">
        <v>17</v>
      </c>
      <c r="L4" s="675" t="s">
        <v>284</v>
      </c>
    </row>
    <row r="5" spans="1:13" s="1" customFormat="1" ht="37.5" customHeight="1">
      <c r="A5" s="1">
        <v>1</v>
      </c>
      <c r="B5" s="330" t="s">
        <v>285</v>
      </c>
      <c r="C5" s="70" t="s">
        <v>286</v>
      </c>
      <c r="D5" s="14" t="s">
        <v>119</v>
      </c>
      <c r="E5" s="72">
        <v>83955</v>
      </c>
      <c r="F5" s="202">
        <f>20000</f>
        <v>20000</v>
      </c>
      <c r="G5" s="72">
        <f>4000+3000</f>
        <v>7000</v>
      </c>
      <c r="H5" s="490">
        <f>SUM(E5:G5)</f>
        <v>110955</v>
      </c>
      <c r="I5" s="72">
        <v>5719.04</v>
      </c>
      <c r="J5" s="72"/>
      <c r="K5" s="491">
        <v>5719.04</v>
      </c>
      <c r="L5" s="490">
        <f>H5-K5</f>
        <v>105235.96</v>
      </c>
      <c r="M5" s="12"/>
    </row>
    <row r="6" spans="1:13" ht="32.25">
      <c r="B6" s="330" t="s">
        <v>287</v>
      </c>
      <c r="C6" s="70"/>
      <c r="D6" s="14"/>
      <c r="E6" s="72">
        <v>83955</v>
      </c>
      <c r="F6" s="202">
        <f>20000</f>
        <v>20000</v>
      </c>
      <c r="G6" s="72">
        <f t="shared" ref="G6" si="0">4000+3000</f>
        <v>7000</v>
      </c>
      <c r="H6" s="490">
        <f>SUM(E6:G6)*(12/31)</f>
        <v>42950.322580645203</v>
      </c>
      <c r="I6" s="72">
        <v>3127.74</v>
      </c>
      <c r="J6" s="72">
        <v>0</v>
      </c>
      <c r="K6" s="491">
        <v>3127.74</v>
      </c>
      <c r="L6" s="490">
        <f t="shared" ref="L6:L7" si="1">H6-K6</f>
        <v>39822.582580645198</v>
      </c>
    </row>
    <row r="7" spans="1:13" ht="32.25">
      <c r="A7" s="1">
        <v>2</v>
      </c>
      <c r="B7" s="330" t="s">
        <v>288</v>
      </c>
      <c r="C7" s="70" t="s">
        <v>289</v>
      </c>
      <c r="D7" s="14" t="s">
        <v>290</v>
      </c>
      <c r="E7" s="72">
        <v>255849</v>
      </c>
      <c r="F7" s="202">
        <v>60000</v>
      </c>
      <c r="G7" s="72"/>
      <c r="H7" s="490">
        <f>SUM(E7:G7)</f>
        <v>315849</v>
      </c>
      <c r="I7" s="72">
        <f>36790.6881</f>
        <v>36790.688099999999</v>
      </c>
      <c r="J7" s="72" t="e">
        <f>#REF!</f>
        <v>#REF!</v>
      </c>
      <c r="K7" s="491" t="e">
        <f>I7+J7</f>
        <v>#REF!</v>
      </c>
      <c r="L7" s="490" t="e">
        <f t="shared" si="1"/>
        <v>#REF!</v>
      </c>
    </row>
    <row r="8" spans="1:13" ht="28.5" customHeight="1">
      <c r="A8" s="1"/>
      <c r="B8" s="21" t="s">
        <v>42</v>
      </c>
      <c r="C8" s="11"/>
      <c r="D8" s="14"/>
      <c r="E8" s="72"/>
      <c r="F8" s="202"/>
      <c r="G8" s="72"/>
      <c r="H8" s="490"/>
      <c r="I8" s="72"/>
      <c r="J8" s="72"/>
      <c r="K8" s="491"/>
      <c r="L8" s="497" t="e">
        <f>SUM(L6:L7)</f>
        <v>#REF!</v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opLeftCell="A7" workbookViewId="0">
      <selection activeCell="D15" sqref="D15"/>
    </sheetView>
  </sheetViews>
  <sheetFormatPr defaultColWidth="9" defaultRowHeight="12.75"/>
  <cols>
    <col min="1" max="1" width="6.140625" customWidth="1"/>
    <col min="2" max="2" width="28.28515625" customWidth="1"/>
    <col min="3" max="3" width="13.5703125" customWidth="1"/>
    <col min="4" max="4" width="16" customWidth="1"/>
    <col min="5" max="5" width="12.5703125" customWidth="1"/>
    <col min="6" max="6" width="15" customWidth="1"/>
    <col min="7" max="7" width="12.28515625" customWidth="1"/>
  </cols>
  <sheetData>
    <row r="1" spans="1:6" ht="27.95" customHeight="1">
      <c r="A1" s="852" t="s">
        <v>291</v>
      </c>
      <c r="B1" s="852"/>
      <c r="C1" s="852"/>
      <c r="D1" s="852"/>
      <c r="E1" s="852"/>
      <c r="F1" s="852"/>
    </row>
    <row r="2" spans="1:6" ht="48.95" customHeight="1">
      <c r="A2" s="57" t="s">
        <v>21</v>
      </c>
      <c r="B2" s="41" t="s">
        <v>182</v>
      </c>
      <c r="C2" s="668" t="s">
        <v>4</v>
      </c>
      <c r="D2" s="241" t="s">
        <v>292</v>
      </c>
      <c r="E2" s="241" t="s">
        <v>293</v>
      </c>
      <c r="F2" s="241" t="s">
        <v>294</v>
      </c>
    </row>
    <row r="3" spans="1:6" ht="30" customHeight="1">
      <c r="A3" s="47">
        <v>1</v>
      </c>
      <c r="B3" s="42" t="s">
        <v>295</v>
      </c>
      <c r="C3" s="47">
        <v>13</v>
      </c>
      <c r="D3" s="243">
        <f>25000*28</f>
        <v>700000</v>
      </c>
      <c r="E3" s="243">
        <v>104125.33</v>
      </c>
      <c r="F3" s="243">
        <f>D3-E3</f>
        <v>595874.67000000004</v>
      </c>
    </row>
    <row r="4" spans="1:6" ht="30" customHeight="1">
      <c r="A4" s="47">
        <v>2</v>
      </c>
      <c r="B4" s="244" t="s">
        <v>296</v>
      </c>
      <c r="C4" s="47">
        <v>13</v>
      </c>
      <c r="D4" s="243">
        <f>25000*28</f>
        <v>700000</v>
      </c>
      <c r="E4" s="243">
        <v>104125.33</v>
      </c>
      <c r="F4" s="243">
        <f t="shared" ref="F4:F10" si="0">D4-E4</f>
        <v>595874.67000000004</v>
      </c>
    </row>
    <row r="5" spans="1:6" ht="30" customHeight="1">
      <c r="A5" s="47">
        <v>3</v>
      </c>
      <c r="B5" s="244" t="s">
        <v>297</v>
      </c>
      <c r="C5" s="47">
        <v>10</v>
      </c>
      <c r="D5" s="243">
        <f t="shared" ref="D5:D10" si="1">20000*28</f>
        <v>560000</v>
      </c>
      <c r="E5" s="243">
        <f t="shared" ref="E5:E10" si="2">86186.67</f>
        <v>86186.67</v>
      </c>
      <c r="F5" s="243">
        <f t="shared" si="0"/>
        <v>473813.33</v>
      </c>
    </row>
    <row r="6" spans="1:6" ht="35.450000000000003" customHeight="1">
      <c r="A6" s="47">
        <v>4</v>
      </c>
      <c r="B6" s="244" t="s">
        <v>298</v>
      </c>
      <c r="C6" s="830" t="s">
        <v>299</v>
      </c>
      <c r="D6" s="243">
        <f t="shared" si="1"/>
        <v>560000</v>
      </c>
      <c r="E6" s="243">
        <f t="shared" si="2"/>
        <v>86186.67</v>
      </c>
      <c r="F6" s="243">
        <f t="shared" si="0"/>
        <v>473813.33</v>
      </c>
    </row>
    <row r="7" spans="1:6" ht="30" customHeight="1">
      <c r="A7" s="47">
        <v>5</v>
      </c>
      <c r="B7" s="244" t="s">
        <v>300</v>
      </c>
      <c r="C7" s="830" t="s">
        <v>301</v>
      </c>
      <c r="D7" s="243">
        <f t="shared" si="1"/>
        <v>560000</v>
      </c>
      <c r="E7" s="243">
        <f t="shared" si="2"/>
        <v>86186.67</v>
      </c>
      <c r="F7" s="243">
        <f t="shared" si="0"/>
        <v>473813.33</v>
      </c>
    </row>
    <row r="8" spans="1:6" ht="36" customHeight="1">
      <c r="A8" s="47">
        <v>6</v>
      </c>
      <c r="B8" s="244" t="s">
        <v>302</v>
      </c>
      <c r="C8" s="830" t="s">
        <v>301</v>
      </c>
      <c r="D8" s="243">
        <f t="shared" si="1"/>
        <v>560000</v>
      </c>
      <c r="E8" s="243">
        <f t="shared" si="2"/>
        <v>86186.67</v>
      </c>
      <c r="F8" s="243">
        <f t="shared" si="0"/>
        <v>473813.33</v>
      </c>
    </row>
    <row r="9" spans="1:6" ht="30" customHeight="1">
      <c r="A9" s="47">
        <v>7</v>
      </c>
      <c r="B9" s="42" t="s">
        <v>303</v>
      </c>
      <c r="C9" s="830" t="s">
        <v>301</v>
      </c>
      <c r="D9" s="243">
        <f t="shared" si="1"/>
        <v>560000</v>
      </c>
      <c r="E9" s="243">
        <f t="shared" si="2"/>
        <v>86186.67</v>
      </c>
      <c r="F9" s="243">
        <f t="shared" si="0"/>
        <v>473813.33</v>
      </c>
    </row>
    <row r="10" spans="1:6" ht="30" customHeight="1">
      <c r="A10" s="47">
        <v>8</v>
      </c>
      <c r="B10" s="244" t="s">
        <v>304</v>
      </c>
      <c r="C10" s="830" t="s">
        <v>301</v>
      </c>
      <c r="D10" s="243">
        <f t="shared" si="1"/>
        <v>560000</v>
      </c>
      <c r="E10" s="243">
        <f t="shared" si="2"/>
        <v>86186.67</v>
      </c>
      <c r="F10" s="243">
        <f t="shared" si="0"/>
        <v>473813.33</v>
      </c>
    </row>
    <row r="11" spans="1:6" ht="30" customHeight="1">
      <c r="A11" s="42"/>
      <c r="B11" s="41" t="s">
        <v>42</v>
      </c>
      <c r="C11" s="41"/>
      <c r="D11" s="669">
        <f>SUM(D3:D10)</f>
        <v>4760000</v>
      </c>
      <c r="E11" s="669">
        <f t="shared" ref="E11:F11" si="3">SUM(E3:E10)</f>
        <v>725370.68</v>
      </c>
      <c r="F11" s="669">
        <f t="shared" si="3"/>
        <v>4034629.32</v>
      </c>
    </row>
    <row r="14" spans="1:6" ht="56.25">
      <c r="A14" s="57" t="s">
        <v>21</v>
      </c>
      <c r="B14" s="41" t="s">
        <v>182</v>
      </c>
      <c r="C14" s="668" t="s">
        <v>4</v>
      </c>
      <c r="D14" s="241" t="s">
        <v>292</v>
      </c>
      <c r="E14" s="241" t="s">
        <v>293</v>
      </c>
      <c r="F14" s="241" t="s">
        <v>294</v>
      </c>
    </row>
    <row r="15" spans="1:6" ht="37.5">
      <c r="B15" s="244" t="s">
        <v>305</v>
      </c>
      <c r="C15" s="830" t="s">
        <v>299</v>
      </c>
      <c r="D15" s="243">
        <f t="shared" ref="D15" si="4">20000*28</f>
        <v>560000</v>
      </c>
      <c r="E15" s="243">
        <f t="shared" ref="E15" si="5">86186.67</f>
        <v>86186.67</v>
      </c>
      <c r="F15" s="243">
        <f t="shared" ref="F15" si="6">D15-E15</f>
        <v>473813.33</v>
      </c>
    </row>
    <row r="16" spans="1:6" ht="18.75">
      <c r="B16" s="244" t="s">
        <v>306</v>
      </c>
      <c r="C16" s="830" t="s">
        <v>307</v>
      </c>
      <c r="D16" s="243">
        <f>10000*28</f>
        <v>280000</v>
      </c>
      <c r="E16" s="243">
        <v>31272.880000000001</v>
      </c>
      <c r="F16" s="243">
        <f t="shared" ref="F16" si="7">D16-E16</f>
        <v>248727.12</v>
      </c>
    </row>
    <row r="17" spans="2:6" ht="18.75">
      <c r="B17" s="41" t="s">
        <v>42</v>
      </c>
      <c r="C17" s="41"/>
      <c r="D17" s="669">
        <f>SUM(D15:D16)</f>
        <v>840000</v>
      </c>
      <c r="E17" s="669">
        <f t="shared" ref="E17:F17" si="8">SUM(E15:E16)</f>
        <v>117459.55</v>
      </c>
      <c r="F17" s="669">
        <f t="shared" si="8"/>
        <v>722540.45</v>
      </c>
    </row>
  </sheetData>
  <mergeCells count="1">
    <mergeCell ref="A1:F1"/>
  </mergeCell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>
      <selection activeCell="C16" sqref="C16"/>
    </sheetView>
  </sheetViews>
  <sheetFormatPr defaultColWidth="9" defaultRowHeight="12.75"/>
  <cols>
    <col min="1" max="1" width="5" customWidth="1"/>
    <col min="2" max="2" width="26.28515625" customWidth="1"/>
    <col min="3" max="3" width="17.140625" customWidth="1"/>
    <col min="4" max="4" width="14.5703125" customWidth="1"/>
    <col min="5" max="5" width="15.5703125" customWidth="1"/>
    <col min="6" max="6" width="14.5703125" customWidth="1"/>
    <col min="8" max="8" width="15.5703125" customWidth="1"/>
    <col min="9" max="9" width="13.28515625" customWidth="1"/>
    <col min="10" max="10" width="9.85546875" customWidth="1"/>
    <col min="11" max="11" width="13.140625" customWidth="1"/>
    <col min="12" max="12" width="14.85546875" customWidth="1"/>
    <col min="13" max="13" width="13.5703125" customWidth="1"/>
    <col min="14" max="14" width="16.140625" customWidth="1"/>
  </cols>
  <sheetData>
    <row r="1" spans="1:14" ht="45" customHeight="1">
      <c r="A1" s="652" t="s">
        <v>21</v>
      </c>
      <c r="B1" s="77" t="s">
        <v>2</v>
      </c>
      <c r="C1" s="77" t="s">
        <v>3</v>
      </c>
      <c r="D1" s="653" t="s">
        <v>4</v>
      </c>
      <c r="E1" s="77" t="s">
        <v>308</v>
      </c>
      <c r="F1" s="653" t="s">
        <v>309</v>
      </c>
      <c r="G1" s="653" t="s">
        <v>194</v>
      </c>
      <c r="H1" s="653" t="s">
        <v>9</v>
      </c>
      <c r="I1" s="853" t="s">
        <v>146</v>
      </c>
      <c r="J1" s="853"/>
      <c r="K1" s="853"/>
      <c r="L1" s="853"/>
      <c r="M1" s="853"/>
      <c r="N1" s="854" t="s">
        <v>310</v>
      </c>
    </row>
    <row r="2" spans="1:14" ht="54.95" customHeight="1">
      <c r="A2" s="652"/>
      <c r="B2" s="77"/>
      <c r="C2" s="77"/>
      <c r="D2" s="77"/>
      <c r="E2" s="77"/>
      <c r="F2" s="653"/>
      <c r="G2" s="653"/>
      <c r="H2" s="77"/>
      <c r="I2" s="663" t="s">
        <v>311</v>
      </c>
      <c r="J2" s="663" t="s">
        <v>312</v>
      </c>
      <c r="K2" s="663" t="s">
        <v>313</v>
      </c>
      <c r="L2" s="663" t="s">
        <v>314</v>
      </c>
      <c r="M2" s="663" t="s">
        <v>17</v>
      </c>
      <c r="N2" s="854"/>
    </row>
    <row r="3" spans="1:14" ht="18.75">
      <c r="A3" s="8"/>
      <c r="B3" s="4"/>
      <c r="C3" s="4"/>
      <c r="D3" s="4"/>
      <c r="E3" s="4"/>
      <c r="F3" s="654"/>
      <c r="G3" s="654"/>
      <c r="H3" s="4"/>
      <c r="I3" s="654"/>
      <c r="J3" s="654"/>
      <c r="K3" s="654"/>
      <c r="L3" s="654"/>
      <c r="M3" s="654"/>
      <c r="N3" s="664"/>
    </row>
    <row r="4" spans="1:14" ht="18.75">
      <c r="A4" s="3"/>
      <c r="B4" s="3"/>
      <c r="C4" s="3"/>
      <c r="D4" s="3"/>
      <c r="E4" s="655" t="s">
        <v>20</v>
      </c>
      <c r="F4" s="655" t="s">
        <v>20</v>
      </c>
      <c r="G4" s="655" t="s">
        <v>20</v>
      </c>
      <c r="H4" s="655" t="s">
        <v>20</v>
      </c>
      <c r="I4" s="655" t="s">
        <v>20</v>
      </c>
      <c r="J4" s="655" t="s">
        <v>20</v>
      </c>
      <c r="K4" s="655" t="s">
        <v>20</v>
      </c>
      <c r="L4" s="655" t="s">
        <v>20</v>
      </c>
      <c r="M4" s="655" t="s">
        <v>20</v>
      </c>
      <c r="N4" s="665" t="s">
        <v>20</v>
      </c>
    </row>
    <row r="5" spans="1:14" ht="18.75">
      <c r="A5" s="3">
        <v>1</v>
      </c>
      <c r="B5" s="10" t="s">
        <v>315</v>
      </c>
      <c r="C5" s="42" t="s">
        <v>316</v>
      </c>
      <c r="D5" s="42" t="s">
        <v>72</v>
      </c>
      <c r="E5" s="656">
        <f>'[5]Annual &amp; Monthly'!$H$36</f>
        <v>218287.58333333299</v>
      </c>
      <c r="F5" s="657">
        <v>50000</v>
      </c>
      <c r="G5" s="657"/>
      <c r="H5" s="658">
        <f t="shared" ref="H5:H12" si="0">E5+F5+G5</f>
        <v>268287.58333333302</v>
      </c>
      <c r="I5" s="658">
        <f>50000</f>
        <v>50000</v>
      </c>
      <c r="J5" s="658"/>
      <c r="K5" s="658">
        <v>29305.195546666699</v>
      </c>
      <c r="L5" s="659">
        <f>218287.583333333*0.08</f>
        <v>17463.006666666599</v>
      </c>
      <c r="M5" s="659">
        <f>I5+J5+K5+L5</f>
        <v>96768.202213333294</v>
      </c>
      <c r="N5" s="666">
        <f t="shared" ref="N5:N12" si="1">H5-M5</f>
        <v>171519.38112000001</v>
      </c>
    </row>
    <row r="6" spans="1:14" ht="18.75">
      <c r="A6" s="3">
        <v>2</v>
      </c>
      <c r="B6" s="10" t="s">
        <v>296</v>
      </c>
      <c r="C6" s="42" t="s">
        <v>317</v>
      </c>
      <c r="D6" s="42" t="s">
        <v>81</v>
      </c>
      <c r="E6" s="656">
        <f>'[5]Annual &amp; Monthly'!$H$40</f>
        <v>390248.91666666698</v>
      </c>
      <c r="F6" s="657">
        <f>70000</f>
        <v>70000</v>
      </c>
      <c r="G6" s="657"/>
      <c r="H6" s="659">
        <f t="shared" si="0"/>
        <v>460248.91666666698</v>
      </c>
      <c r="I6" s="658">
        <v>50000</v>
      </c>
      <c r="J6" s="658"/>
      <c r="K6" s="658">
        <v>61040.235306666698</v>
      </c>
      <c r="L6" s="72">
        <f>390248.916666667*0.08</f>
        <v>31219.913333333399</v>
      </c>
      <c r="M6" s="659">
        <f t="shared" ref="M6:M12" si="2">I6+J6+K6+L6</f>
        <v>142260.14864</v>
      </c>
      <c r="N6" s="666">
        <f t="shared" si="1"/>
        <v>317988.76802666701</v>
      </c>
    </row>
    <row r="7" spans="1:14" ht="18.75">
      <c r="A7" s="3">
        <v>3</v>
      </c>
      <c r="B7" s="10" t="s">
        <v>318</v>
      </c>
      <c r="C7" s="42" t="s">
        <v>209</v>
      </c>
      <c r="D7" s="42" t="s">
        <v>55</v>
      </c>
      <c r="E7" s="656">
        <f>'[5]Annual &amp; Monthly'!$H$37</f>
        <v>255849</v>
      </c>
      <c r="F7" s="657">
        <f>60000</f>
        <v>60000</v>
      </c>
      <c r="G7" s="657"/>
      <c r="H7" s="659">
        <f t="shared" si="0"/>
        <v>315849</v>
      </c>
      <c r="I7" s="658">
        <v>20000</v>
      </c>
      <c r="J7" s="658"/>
      <c r="K7" s="658">
        <v>36790.688106666697</v>
      </c>
      <c r="L7" s="659">
        <f>255849*0.08</f>
        <v>20467.919999999998</v>
      </c>
      <c r="M7" s="659">
        <f t="shared" si="2"/>
        <v>77258.608106666696</v>
      </c>
      <c r="N7" s="666">
        <f t="shared" si="1"/>
        <v>238590.391893333</v>
      </c>
    </row>
    <row r="8" spans="1:14" ht="37.5">
      <c r="A8" s="3">
        <v>4</v>
      </c>
      <c r="B8" s="10" t="s">
        <v>319</v>
      </c>
      <c r="C8" s="42" t="s">
        <v>320</v>
      </c>
      <c r="D8" s="42" t="s">
        <v>72</v>
      </c>
      <c r="E8" s="656">
        <v>218287.58333333299</v>
      </c>
      <c r="F8" s="657">
        <f>50000</f>
        <v>50000</v>
      </c>
      <c r="G8" s="657"/>
      <c r="H8" s="659">
        <f t="shared" si="0"/>
        <v>268287.58333333302</v>
      </c>
      <c r="I8" s="658">
        <v>100000</v>
      </c>
      <c r="J8" s="658"/>
      <c r="K8" s="658">
        <v>29305.195546666699</v>
      </c>
      <c r="L8" s="659">
        <f>218287.583333333*0.08</f>
        <v>17463.006666666599</v>
      </c>
      <c r="M8" s="659">
        <f t="shared" si="2"/>
        <v>146768.20221333299</v>
      </c>
      <c r="N8" s="666">
        <f t="shared" si="1"/>
        <v>121519.38112000001</v>
      </c>
    </row>
    <row r="9" spans="1:14" ht="18.75">
      <c r="A9" s="3">
        <v>5</v>
      </c>
      <c r="B9" s="10" t="s">
        <v>321</v>
      </c>
      <c r="C9" s="42" t="s">
        <v>322</v>
      </c>
      <c r="D9" s="42" t="s">
        <v>37</v>
      </c>
      <c r="E9" s="656">
        <f>'[5]Annual &amp; Monthly'!$H$38</f>
        <v>293029.66666666698</v>
      </c>
      <c r="F9" s="657">
        <f>60000</f>
        <v>60000</v>
      </c>
      <c r="G9" s="657"/>
      <c r="H9" s="659">
        <f t="shared" si="0"/>
        <v>353029.66666666698</v>
      </c>
      <c r="I9" s="658">
        <v>40000</v>
      </c>
      <c r="J9" s="658"/>
      <c r="K9" s="658">
        <v>42537.331946666702</v>
      </c>
      <c r="L9" s="659">
        <f>293029.666666667*0.08</f>
        <v>23442.373333333398</v>
      </c>
      <c r="M9" s="659">
        <f t="shared" si="2"/>
        <v>105979.70527999999</v>
      </c>
      <c r="N9" s="666">
        <f t="shared" si="1"/>
        <v>247049.96138666701</v>
      </c>
    </row>
    <row r="10" spans="1:14" ht="37.5">
      <c r="A10" s="3">
        <v>6</v>
      </c>
      <c r="B10" s="10" t="s">
        <v>323</v>
      </c>
      <c r="C10" s="42" t="s">
        <v>324</v>
      </c>
      <c r="D10" s="42" t="s">
        <v>81</v>
      </c>
      <c r="E10" s="656">
        <v>390248.91666666698</v>
      </c>
      <c r="F10" s="657">
        <f>120000</f>
        <v>120000</v>
      </c>
      <c r="G10" s="657"/>
      <c r="H10" s="659">
        <f t="shared" si="0"/>
        <v>510248.91666666698</v>
      </c>
      <c r="I10" s="658"/>
      <c r="J10" s="658"/>
      <c r="K10" s="658">
        <v>70640.235306666698</v>
      </c>
      <c r="L10" s="72">
        <f>390248.916666667*0.08</f>
        <v>31219.913333333399</v>
      </c>
      <c r="M10" s="659">
        <f t="shared" si="2"/>
        <v>101860.14864</v>
      </c>
      <c r="N10" s="666">
        <f t="shared" si="1"/>
        <v>408388.76802666701</v>
      </c>
    </row>
    <row r="11" spans="1:14" ht="18.75">
      <c r="A11" s="3">
        <v>7</v>
      </c>
      <c r="B11" s="10" t="s">
        <v>303</v>
      </c>
      <c r="C11" s="42" t="s">
        <v>325</v>
      </c>
      <c r="D11" s="42" t="s">
        <v>72</v>
      </c>
      <c r="E11" s="656">
        <f>218287.583333333</f>
        <v>218287.58333333299</v>
      </c>
      <c r="F11" s="660">
        <f>50000</f>
        <v>50000</v>
      </c>
      <c r="G11" s="660"/>
      <c r="H11" s="659">
        <f t="shared" si="0"/>
        <v>268287.58333333302</v>
      </c>
      <c r="I11" s="658"/>
      <c r="J11" s="658"/>
      <c r="K11" s="658">
        <v>29305.1955466666</v>
      </c>
      <c r="L11" s="659">
        <f t="shared" ref="L11:L12" si="3">218287.583333333*0.08</f>
        <v>17463.006666666599</v>
      </c>
      <c r="M11" s="659">
        <f t="shared" si="2"/>
        <v>46768.202213333199</v>
      </c>
      <c r="N11" s="666">
        <f t="shared" si="1"/>
        <v>221519.38112000001</v>
      </c>
    </row>
    <row r="12" spans="1:14" ht="37.5">
      <c r="A12" s="3">
        <v>8</v>
      </c>
      <c r="B12" s="10" t="s">
        <v>304</v>
      </c>
      <c r="C12" s="42" t="s">
        <v>325</v>
      </c>
      <c r="D12" s="42" t="s">
        <v>72</v>
      </c>
      <c r="E12" s="656">
        <f>218287.583333333</f>
        <v>218287.58333333299</v>
      </c>
      <c r="F12" s="660">
        <f>50000</f>
        <v>50000</v>
      </c>
      <c r="G12" s="660"/>
      <c r="H12" s="659">
        <f t="shared" si="0"/>
        <v>268287.58333333302</v>
      </c>
      <c r="I12" s="658"/>
      <c r="J12" s="658"/>
      <c r="K12" s="658">
        <v>29305.1955466666</v>
      </c>
      <c r="L12" s="659">
        <f t="shared" si="3"/>
        <v>17463.006666666599</v>
      </c>
      <c r="M12" s="659">
        <f t="shared" si="2"/>
        <v>46768.202213333199</v>
      </c>
      <c r="N12" s="666">
        <f t="shared" si="1"/>
        <v>221519.38112000001</v>
      </c>
    </row>
    <row r="13" spans="1:14" ht="24" customHeight="1">
      <c r="A13" s="9"/>
      <c r="B13" s="661" t="s">
        <v>42</v>
      </c>
      <c r="C13" s="19"/>
      <c r="D13" s="19"/>
      <c r="E13" s="662">
        <f>SUM(E5:E12)</f>
        <v>2202526.8333333302</v>
      </c>
      <c r="F13" s="662">
        <f t="shared" ref="F13:N13" si="4">SUM(F5:F12)</f>
        <v>510000</v>
      </c>
      <c r="G13" s="662">
        <f t="shared" si="4"/>
        <v>0</v>
      </c>
      <c r="H13" s="662">
        <f t="shared" si="4"/>
        <v>2712526.8333333302</v>
      </c>
      <c r="I13" s="662">
        <f t="shared" si="4"/>
        <v>260000</v>
      </c>
      <c r="J13" s="662">
        <f t="shared" si="4"/>
        <v>0</v>
      </c>
      <c r="K13" s="662">
        <f t="shared" si="4"/>
        <v>328229.27285333298</v>
      </c>
      <c r="L13" s="662">
        <f t="shared" si="4"/>
        <v>176202.14666666699</v>
      </c>
      <c r="M13" s="662">
        <f t="shared" si="4"/>
        <v>764431.41952</v>
      </c>
      <c r="N13" s="667">
        <f t="shared" si="4"/>
        <v>1948095.41381333</v>
      </c>
    </row>
  </sheetData>
  <mergeCells count="2">
    <mergeCell ref="I1:M1"/>
    <mergeCell ref="N1:N2"/>
  </mergeCells>
  <pageMargins left="0.7" right="0.7" top="0.75" bottom="0.75" header="0.3" footer="0.3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5"/>
  <sheetViews>
    <sheetView topLeftCell="A4" workbookViewId="0">
      <selection activeCell="G16" sqref="G16"/>
    </sheetView>
  </sheetViews>
  <sheetFormatPr defaultColWidth="9.140625" defaultRowHeight="12.75"/>
  <cols>
    <col min="1" max="1" width="6.85546875" style="276" customWidth="1"/>
    <col min="2" max="2" width="39.140625" style="276" customWidth="1"/>
    <col min="3" max="3" width="16.85546875" style="276" customWidth="1"/>
    <col min="4" max="4" width="6.7109375" style="276" customWidth="1"/>
    <col min="5" max="5" width="13.140625" style="276" customWidth="1"/>
    <col min="6" max="6" width="11.140625" style="276" customWidth="1"/>
    <col min="7" max="7" width="14.42578125" style="276" customWidth="1"/>
    <col min="8" max="8" width="5.85546875" style="276" customWidth="1"/>
    <col min="9" max="9" width="12.85546875" style="276" customWidth="1"/>
    <col min="10" max="10" width="11.5703125" style="276" customWidth="1"/>
    <col min="11" max="11" width="6.85546875" style="276" customWidth="1"/>
    <col min="12" max="12" width="10.85546875" style="276" customWidth="1"/>
    <col min="13" max="13" width="12.5703125" style="276" customWidth="1"/>
    <col min="14" max="14" width="11" style="276" customWidth="1"/>
    <col min="15" max="15" width="12.140625" style="276" customWidth="1"/>
    <col min="16" max="16" width="15.42578125" style="276" customWidth="1"/>
    <col min="17" max="17" width="16.5703125" style="276" customWidth="1"/>
    <col min="18" max="18" width="9.85546875" style="276" customWidth="1"/>
    <col min="19" max="19" width="10.5703125" style="276" customWidth="1"/>
    <col min="20" max="20" width="11.5703125" style="276" customWidth="1"/>
    <col min="21" max="21" width="12.42578125" style="276" customWidth="1"/>
    <col min="22" max="22" width="14.5703125" style="276" customWidth="1"/>
    <col min="23" max="23" width="9.5703125" style="276" customWidth="1"/>
    <col min="24" max="24" width="15.140625" style="276" customWidth="1"/>
    <col min="25" max="25" width="9" style="276" customWidth="1"/>
    <col min="26" max="26" width="14.140625" style="276" customWidth="1"/>
    <col min="27" max="27" width="27.42578125" style="276" customWidth="1"/>
    <col min="28" max="16384" width="9.140625" style="276"/>
  </cols>
  <sheetData>
    <row r="1" spans="1:29" hidden="1">
      <c r="A1" s="849" t="s">
        <v>0</v>
      </c>
      <c r="B1" s="849"/>
      <c r="C1" s="849"/>
      <c r="D1" s="849"/>
      <c r="E1" s="849"/>
      <c r="F1" s="849"/>
      <c r="G1" s="849"/>
      <c r="H1" s="849"/>
      <c r="I1" s="849"/>
      <c r="J1" s="849"/>
      <c r="K1" s="849"/>
      <c r="L1" s="849"/>
      <c r="M1" s="849"/>
      <c r="N1" s="849"/>
      <c r="O1" s="849"/>
      <c r="P1" s="849"/>
      <c r="Q1" s="849"/>
      <c r="R1" s="849"/>
      <c r="S1" s="849"/>
      <c r="T1" s="849"/>
      <c r="U1" s="849"/>
      <c r="V1" s="849"/>
      <c r="W1" s="849"/>
      <c r="X1" s="849"/>
      <c r="Y1" s="849"/>
      <c r="Z1" s="456"/>
    </row>
    <row r="2" spans="1:29" hidden="1">
      <c r="A2" s="850" t="s">
        <v>266</v>
      </c>
      <c r="B2" s="850"/>
      <c r="C2" s="850"/>
      <c r="D2" s="850"/>
      <c r="E2" s="850"/>
      <c r="F2" s="850"/>
      <c r="G2" s="850"/>
      <c r="H2" s="850"/>
      <c r="I2" s="850"/>
      <c r="J2" s="850"/>
      <c r="K2" s="850"/>
      <c r="L2" s="850"/>
      <c r="M2" s="850"/>
      <c r="N2" s="850"/>
      <c r="O2" s="850"/>
      <c r="P2" s="850"/>
      <c r="Q2" s="850"/>
      <c r="R2" s="850"/>
      <c r="S2" s="850"/>
      <c r="T2" s="850"/>
      <c r="U2" s="850"/>
      <c r="V2" s="850"/>
      <c r="W2" s="850"/>
      <c r="X2" s="850"/>
      <c r="Y2" s="850"/>
      <c r="Z2" s="456"/>
    </row>
    <row r="3" spans="1:29" hidden="1">
      <c r="A3" s="851" t="s">
        <v>267</v>
      </c>
      <c r="B3" s="849"/>
      <c r="C3" s="849"/>
      <c r="D3" s="849"/>
      <c r="E3" s="849"/>
      <c r="F3" s="849"/>
      <c r="G3" s="849"/>
      <c r="H3" s="849"/>
      <c r="I3" s="849"/>
      <c r="J3" s="849"/>
      <c r="K3" s="849"/>
      <c r="L3" s="849"/>
      <c r="M3" s="849"/>
      <c r="N3" s="849"/>
      <c r="O3" s="849"/>
      <c r="P3" s="849"/>
      <c r="Q3" s="849"/>
      <c r="R3" s="849"/>
      <c r="S3" s="849"/>
      <c r="T3" s="849"/>
      <c r="U3" s="849"/>
      <c r="V3" s="849"/>
      <c r="W3" s="849"/>
      <c r="X3" s="849"/>
      <c r="Y3" s="849"/>
      <c r="Z3" s="456"/>
    </row>
    <row r="4" spans="1:29" ht="83.25" customHeight="1">
      <c r="A4" s="442" t="s">
        <v>181</v>
      </c>
      <c r="B4" s="443" t="s">
        <v>182</v>
      </c>
      <c r="C4" s="444" t="s">
        <v>268</v>
      </c>
      <c r="D4" s="443" t="s">
        <v>183</v>
      </c>
      <c r="E4" s="444" t="s">
        <v>184</v>
      </c>
      <c r="F4" s="444" t="s">
        <v>186</v>
      </c>
      <c r="G4" s="444" t="s">
        <v>187</v>
      </c>
      <c r="H4" s="444" t="s">
        <v>188</v>
      </c>
      <c r="I4" s="444" t="s">
        <v>269</v>
      </c>
      <c r="J4" s="444"/>
      <c r="K4" s="444"/>
      <c r="L4" s="444"/>
      <c r="M4" s="444" t="s">
        <v>270</v>
      </c>
      <c r="N4" s="444" t="s">
        <v>189</v>
      </c>
      <c r="O4" s="444" t="s">
        <v>190</v>
      </c>
      <c r="P4" s="444" t="s">
        <v>271</v>
      </c>
      <c r="Q4" s="444" t="s">
        <v>272</v>
      </c>
      <c r="R4" s="444" t="s">
        <v>273</v>
      </c>
      <c r="S4" s="444" t="s">
        <v>274</v>
      </c>
      <c r="T4" s="444" t="s">
        <v>275</v>
      </c>
      <c r="U4" s="444" t="s">
        <v>276</v>
      </c>
      <c r="V4" s="444" t="s">
        <v>191</v>
      </c>
      <c r="W4" s="444"/>
      <c r="X4" s="444" t="s">
        <v>277</v>
      </c>
      <c r="Y4" s="444" t="s">
        <v>278</v>
      </c>
      <c r="Z4" s="457" t="s">
        <v>279</v>
      </c>
    </row>
    <row r="5" spans="1:29" ht="18.75">
      <c r="A5" s="445">
        <v>1</v>
      </c>
      <c r="B5" s="7"/>
      <c r="C5" s="446"/>
      <c r="D5" s="447"/>
      <c r="E5" s="448"/>
      <c r="F5" s="448"/>
      <c r="G5" s="448"/>
      <c r="H5" s="448"/>
      <c r="I5" s="448"/>
      <c r="J5" s="448"/>
      <c r="K5" s="448"/>
      <c r="L5" s="448"/>
      <c r="M5" s="448"/>
      <c r="N5" s="448"/>
      <c r="O5" s="448"/>
      <c r="P5" s="448"/>
      <c r="Q5" s="448"/>
      <c r="R5" s="448"/>
      <c r="S5" s="448"/>
      <c r="T5" s="448"/>
      <c r="U5" s="448"/>
      <c r="V5" s="448"/>
      <c r="W5" s="455"/>
      <c r="X5" s="448"/>
      <c r="Y5" s="448"/>
      <c r="Z5" s="459"/>
      <c r="AA5" s="460"/>
      <c r="AB5" s="460"/>
      <c r="AC5" s="460"/>
    </row>
    <row r="6" spans="1:29" ht="18.75">
      <c r="A6" s="445">
        <v>3</v>
      </c>
      <c r="B6" s="10" t="s">
        <v>315</v>
      </c>
      <c r="C6" s="446">
        <v>268287.58333333302</v>
      </c>
      <c r="D6" s="447">
        <v>12</v>
      </c>
      <c r="E6" s="448">
        <f>C6*D6</f>
        <v>3219451</v>
      </c>
      <c r="F6" s="448"/>
      <c r="G6" s="448">
        <v>209556.08</v>
      </c>
      <c r="H6" s="448"/>
      <c r="I6" s="448">
        <f t="shared" ref="I6:I13" si="0">E6-F6-G6-H6</f>
        <v>3009894.92</v>
      </c>
      <c r="J6" s="448">
        <v>200000</v>
      </c>
      <c r="K6" s="448">
        <v>0.2</v>
      </c>
      <c r="L6" s="448">
        <f t="shared" ref="L6:L13" si="1">I6*K6</f>
        <v>601978.98399999901</v>
      </c>
      <c r="M6" s="448">
        <f t="shared" ref="M6:M13" si="2">J6+L6</f>
        <v>801978.98399999901</v>
      </c>
      <c r="N6" s="448">
        <f t="shared" ref="N6:N13" si="3">F6+G6+H6+M6</f>
        <v>1011535.064</v>
      </c>
      <c r="O6" s="448">
        <f t="shared" ref="O6:O13" si="4">E6-N6</f>
        <v>2207915.9360000002</v>
      </c>
      <c r="P6" s="448">
        <f t="shared" ref="P6:P13" si="5">IF(O6&lt;300000,0.07*O6,21000)</f>
        <v>21000</v>
      </c>
      <c r="Q6" s="448">
        <f t="shared" ref="Q6:Q13" si="6">IF((O6-300000)&lt;0,0,IF((O6-300000)&lt;300000,0.11*(O6-300000),33000))</f>
        <v>33000</v>
      </c>
      <c r="R6" s="448">
        <f t="shared" ref="R6:R13" si="7">IF((O6-600000)&lt;0,0,IF((O6-600000)&lt;500000,0.15*(O6-600000),75000))</f>
        <v>75000</v>
      </c>
      <c r="S6" s="448">
        <f t="shared" ref="S6:S13" si="8">IF((O6-1100000)&lt;0,0,IF((O6-1100000)&lt;500000,0.19*(O6-1100000),95000))</f>
        <v>95000</v>
      </c>
      <c r="T6" s="448">
        <f t="shared" ref="T6:T13" si="9">IF((O6-1600000)&lt;0,0,IF((O6-1600000)&lt;1600000,0.21*(O6-1600000),336000))</f>
        <v>127662.346559999</v>
      </c>
      <c r="U6" s="448"/>
      <c r="V6" s="448">
        <f t="shared" ref="V6:V13" si="10">P6+Q6+R6+S6+T6+U6</f>
        <v>351662.34655999899</v>
      </c>
      <c r="W6" s="455">
        <v>12</v>
      </c>
      <c r="X6" s="448">
        <f t="shared" ref="X6:X13" si="11">V6/W6</f>
        <v>29305.1955466666</v>
      </c>
      <c r="Y6" s="448"/>
      <c r="Z6" s="459">
        <f t="shared" ref="Z6:Z13" si="12">X6</f>
        <v>29305.1955466666</v>
      </c>
      <c r="AA6" s="460"/>
      <c r="AB6" s="460"/>
      <c r="AC6" s="460"/>
    </row>
    <row r="7" spans="1:29" s="596" customFormat="1" ht="18.75">
      <c r="A7" s="597">
        <v>4</v>
      </c>
      <c r="B7" s="10" t="s">
        <v>296</v>
      </c>
      <c r="C7" s="599">
        <v>460248.91666666698</v>
      </c>
      <c r="D7" s="600">
        <v>12</v>
      </c>
      <c r="E7" s="601">
        <f t="shared" ref="E7:E13" si="13">C7*D7</f>
        <v>5522987</v>
      </c>
      <c r="F7" s="601"/>
      <c r="G7" s="601">
        <v>374638.96</v>
      </c>
      <c r="H7" s="601"/>
      <c r="I7" s="601">
        <f t="shared" si="0"/>
        <v>5148348.04</v>
      </c>
      <c r="J7" s="601">
        <v>200000</v>
      </c>
      <c r="K7" s="601">
        <v>0.2</v>
      </c>
      <c r="L7" s="601">
        <f t="shared" si="1"/>
        <v>1029669.608</v>
      </c>
      <c r="M7" s="601">
        <f t="shared" si="2"/>
        <v>1229669.608</v>
      </c>
      <c r="N7" s="601">
        <f t="shared" si="3"/>
        <v>1604308.568</v>
      </c>
      <c r="O7" s="601">
        <f t="shared" si="4"/>
        <v>3918678.432</v>
      </c>
      <c r="P7" s="601">
        <f t="shared" si="5"/>
        <v>21000</v>
      </c>
      <c r="Q7" s="601">
        <f t="shared" si="6"/>
        <v>33000</v>
      </c>
      <c r="R7" s="601">
        <f t="shared" si="7"/>
        <v>75000</v>
      </c>
      <c r="S7" s="601">
        <f t="shared" si="8"/>
        <v>95000</v>
      </c>
      <c r="T7" s="601">
        <f t="shared" si="9"/>
        <v>336000</v>
      </c>
      <c r="U7" s="601">
        <f t="shared" ref="U7:U11" si="14">24%*(O7-3200000)</f>
        <v>172482.82368000099</v>
      </c>
      <c r="V7" s="601">
        <f t="shared" si="10"/>
        <v>732482.82368000096</v>
      </c>
      <c r="W7" s="604">
        <v>12</v>
      </c>
      <c r="X7" s="601">
        <f t="shared" si="11"/>
        <v>61040.235306666698</v>
      </c>
      <c r="Y7" s="601"/>
      <c r="Z7" s="459">
        <f t="shared" si="12"/>
        <v>61040.235306666698</v>
      </c>
      <c r="AA7" s="605"/>
      <c r="AB7" s="605"/>
      <c r="AC7" s="605"/>
    </row>
    <row r="8" spans="1:29" s="596" customFormat="1" ht="18.75">
      <c r="A8" s="597">
        <v>5</v>
      </c>
      <c r="B8" s="10" t="s">
        <v>318</v>
      </c>
      <c r="C8" s="599">
        <v>315849</v>
      </c>
      <c r="D8" s="600">
        <v>12</v>
      </c>
      <c r="E8" s="601">
        <f t="shared" si="13"/>
        <v>3790188</v>
      </c>
      <c r="F8" s="601"/>
      <c r="G8" s="601">
        <v>245615.04</v>
      </c>
      <c r="H8" s="601"/>
      <c r="I8" s="601">
        <f t="shared" si="0"/>
        <v>3544572.96</v>
      </c>
      <c r="J8" s="601">
        <v>200000</v>
      </c>
      <c r="K8" s="601">
        <v>0.2</v>
      </c>
      <c r="L8" s="601">
        <f t="shared" si="1"/>
        <v>708914.59199999995</v>
      </c>
      <c r="M8" s="601">
        <f t="shared" si="2"/>
        <v>908914.59199999995</v>
      </c>
      <c r="N8" s="601">
        <f t="shared" si="3"/>
        <v>1154529.632</v>
      </c>
      <c r="O8" s="601">
        <f t="shared" si="4"/>
        <v>2635658.3679999998</v>
      </c>
      <c r="P8" s="601">
        <f t="shared" si="5"/>
        <v>21000</v>
      </c>
      <c r="Q8" s="601">
        <f t="shared" si="6"/>
        <v>33000</v>
      </c>
      <c r="R8" s="601">
        <f t="shared" si="7"/>
        <v>75000</v>
      </c>
      <c r="S8" s="601">
        <f t="shared" si="8"/>
        <v>95000</v>
      </c>
      <c r="T8" s="601">
        <f t="shared" si="9"/>
        <v>217488.25727999999</v>
      </c>
      <c r="U8" s="601"/>
      <c r="V8" s="601">
        <f t="shared" si="10"/>
        <v>441488.25728000002</v>
      </c>
      <c r="W8" s="604">
        <v>12</v>
      </c>
      <c r="X8" s="601">
        <f t="shared" si="11"/>
        <v>36790.688106666697</v>
      </c>
      <c r="Y8" s="601"/>
      <c r="Z8" s="459">
        <f t="shared" si="12"/>
        <v>36790.688106666697</v>
      </c>
      <c r="AA8" s="605"/>
      <c r="AB8" s="605"/>
      <c r="AC8" s="605"/>
    </row>
    <row r="9" spans="1:29" ht="18.75">
      <c r="A9" s="445">
        <v>6</v>
      </c>
      <c r="B9" s="10" t="s">
        <v>319</v>
      </c>
      <c r="C9" s="446">
        <v>268287.58333333302</v>
      </c>
      <c r="D9" s="447">
        <v>12</v>
      </c>
      <c r="E9" s="448">
        <f t="shared" si="13"/>
        <v>3219451</v>
      </c>
      <c r="F9" s="448"/>
      <c r="G9" s="448">
        <v>209556.08</v>
      </c>
      <c r="H9" s="448"/>
      <c r="I9" s="448">
        <f t="shared" si="0"/>
        <v>3009894.92</v>
      </c>
      <c r="J9" s="448">
        <v>200000</v>
      </c>
      <c r="K9" s="448">
        <v>0.2</v>
      </c>
      <c r="L9" s="448">
        <f t="shared" si="1"/>
        <v>601978.98399999901</v>
      </c>
      <c r="M9" s="448">
        <f t="shared" si="2"/>
        <v>801978.98399999901</v>
      </c>
      <c r="N9" s="448">
        <f t="shared" si="3"/>
        <v>1011535.064</v>
      </c>
      <c r="O9" s="448">
        <f t="shared" si="4"/>
        <v>2207915.9360000002</v>
      </c>
      <c r="P9" s="448">
        <f t="shared" si="5"/>
        <v>21000</v>
      </c>
      <c r="Q9" s="448">
        <f t="shared" si="6"/>
        <v>33000</v>
      </c>
      <c r="R9" s="448">
        <f t="shared" si="7"/>
        <v>75000</v>
      </c>
      <c r="S9" s="448">
        <f t="shared" si="8"/>
        <v>95000</v>
      </c>
      <c r="T9" s="448">
        <f t="shared" si="9"/>
        <v>127662.346559999</v>
      </c>
      <c r="U9" s="448"/>
      <c r="V9" s="448">
        <f t="shared" si="10"/>
        <v>351662.34655999899</v>
      </c>
      <c r="W9" s="455">
        <v>12</v>
      </c>
      <c r="X9" s="448">
        <f t="shared" si="11"/>
        <v>29305.1955466666</v>
      </c>
      <c r="Y9" s="448"/>
      <c r="Z9" s="459">
        <f t="shared" si="12"/>
        <v>29305.1955466666</v>
      </c>
      <c r="AA9" s="460"/>
      <c r="AB9" s="460"/>
      <c r="AC9" s="460"/>
    </row>
    <row r="10" spans="1:29" s="596" customFormat="1" ht="18.75">
      <c r="A10" s="597">
        <v>7</v>
      </c>
      <c r="B10" s="10" t="s">
        <v>321</v>
      </c>
      <c r="C10" s="599">
        <v>353029.66666666698</v>
      </c>
      <c r="D10" s="600">
        <v>12</v>
      </c>
      <c r="E10" s="601">
        <f t="shared" si="13"/>
        <v>4236356</v>
      </c>
      <c r="F10" s="601"/>
      <c r="G10" s="601">
        <v>281308.48</v>
      </c>
      <c r="H10" s="601"/>
      <c r="I10" s="601">
        <f t="shared" si="0"/>
        <v>3955047.52</v>
      </c>
      <c r="J10" s="601">
        <v>200000</v>
      </c>
      <c r="K10" s="601">
        <v>0.2</v>
      </c>
      <c r="L10" s="601">
        <f t="shared" si="1"/>
        <v>791009.504000001</v>
      </c>
      <c r="M10" s="601">
        <f t="shared" si="2"/>
        <v>991009.504000001</v>
      </c>
      <c r="N10" s="601">
        <f t="shared" si="3"/>
        <v>1272317.9839999999</v>
      </c>
      <c r="O10" s="601">
        <f t="shared" si="4"/>
        <v>2964038.0159999998</v>
      </c>
      <c r="P10" s="601">
        <f t="shared" si="5"/>
        <v>21000</v>
      </c>
      <c r="Q10" s="601">
        <f t="shared" si="6"/>
        <v>33000</v>
      </c>
      <c r="R10" s="601">
        <f t="shared" si="7"/>
        <v>75000</v>
      </c>
      <c r="S10" s="601">
        <f t="shared" si="8"/>
        <v>95000</v>
      </c>
      <c r="T10" s="601">
        <f t="shared" si="9"/>
        <v>286447.983360001</v>
      </c>
      <c r="U10" s="601"/>
      <c r="V10" s="601">
        <f t="shared" si="10"/>
        <v>510447.983360001</v>
      </c>
      <c r="W10" s="604">
        <v>12</v>
      </c>
      <c r="X10" s="601">
        <f t="shared" si="11"/>
        <v>42537.331946666702</v>
      </c>
      <c r="Y10" s="601"/>
      <c r="Z10" s="459">
        <f t="shared" si="12"/>
        <v>42537.331946666702</v>
      </c>
      <c r="AA10" s="605"/>
      <c r="AB10" s="605"/>
      <c r="AC10" s="605"/>
    </row>
    <row r="11" spans="1:29" s="596" customFormat="1" ht="18.75">
      <c r="A11" s="597">
        <v>8</v>
      </c>
      <c r="B11" s="10" t="s">
        <v>323</v>
      </c>
      <c r="C11" s="599">
        <v>510248.91666666698</v>
      </c>
      <c r="D11" s="600">
        <v>12</v>
      </c>
      <c r="E11" s="601">
        <f t="shared" si="13"/>
        <v>6122987</v>
      </c>
      <c r="F11" s="601"/>
      <c r="G11" s="601">
        <v>374638.96</v>
      </c>
      <c r="H11" s="601"/>
      <c r="I11" s="601">
        <f t="shared" si="0"/>
        <v>5748348.04</v>
      </c>
      <c r="J11" s="601">
        <v>200000</v>
      </c>
      <c r="K11" s="601">
        <v>0.2</v>
      </c>
      <c r="L11" s="601">
        <f t="shared" si="1"/>
        <v>1149669.608</v>
      </c>
      <c r="M11" s="601">
        <f t="shared" si="2"/>
        <v>1349669.608</v>
      </c>
      <c r="N11" s="601">
        <f t="shared" si="3"/>
        <v>1724308.568</v>
      </c>
      <c r="O11" s="601">
        <f t="shared" si="4"/>
        <v>4398678.432</v>
      </c>
      <c r="P11" s="601">
        <f t="shared" si="5"/>
        <v>21000</v>
      </c>
      <c r="Q11" s="601">
        <f t="shared" si="6"/>
        <v>33000</v>
      </c>
      <c r="R11" s="601">
        <f t="shared" si="7"/>
        <v>75000</v>
      </c>
      <c r="S11" s="601">
        <f t="shared" si="8"/>
        <v>95000</v>
      </c>
      <c r="T11" s="601">
        <f t="shared" si="9"/>
        <v>336000</v>
      </c>
      <c r="U11" s="601">
        <f t="shared" si="14"/>
        <v>287682.82368000102</v>
      </c>
      <c r="V11" s="601">
        <f t="shared" si="10"/>
        <v>847682.82368000096</v>
      </c>
      <c r="W11" s="604">
        <v>12</v>
      </c>
      <c r="X11" s="601">
        <f t="shared" si="11"/>
        <v>70640.235306666698</v>
      </c>
      <c r="Y11" s="601"/>
      <c r="Z11" s="459">
        <f t="shared" si="12"/>
        <v>70640.235306666698</v>
      </c>
      <c r="AA11" s="605"/>
      <c r="AB11" s="605"/>
      <c r="AC11" s="605"/>
    </row>
    <row r="12" spans="1:29" ht="18.75">
      <c r="A12" s="445">
        <v>9</v>
      </c>
      <c r="B12" s="10" t="s">
        <v>303</v>
      </c>
      <c r="C12" s="446">
        <v>268287.58333333302</v>
      </c>
      <c r="D12" s="447">
        <v>12</v>
      </c>
      <c r="E12" s="448">
        <f t="shared" si="13"/>
        <v>3219451</v>
      </c>
      <c r="F12" s="448"/>
      <c r="G12" s="448">
        <v>209556.08</v>
      </c>
      <c r="H12" s="448"/>
      <c r="I12" s="448">
        <f t="shared" si="0"/>
        <v>3009894.92</v>
      </c>
      <c r="J12" s="448">
        <v>200000</v>
      </c>
      <c r="K12" s="448">
        <v>0.2</v>
      </c>
      <c r="L12" s="448">
        <f t="shared" si="1"/>
        <v>601978.98399999901</v>
      </c>
      <c r="M12" s="448">
        <f t="shared" si="2"/>
        <v>801978.98399999901</v>
      </c>
      <c r="N12" s="448">
        <f t="shared" si="3"/>
        <v>1011535.064</v>
      </c>
      <c r="O12" s="448">
        <f t="shared" si="4"/>
        <v>2207915.9360000002</v>
      </c>
      <c r="P12" s="448">
        <f t="shared" si="5"/>
        <v>21000</v>
      </c>
      <c r="Q12" s="448">
        <f t="shared" si="6"/>
        <v>33000</v>
      </c>
      <c r="R12" s="448">
        <f t="shared" si="7"/>
        <v>75000</v>
      </c>
      <c r="S12" s="448">
        <f t="shared" si="8"/>
        <v>95000</v>
      </c>
      <c r="T12" s="448">
        <f t="shared" si="9"/>
        <v>127662.346559999</v>
      </c>
      <c r="U12" s="448"/>
      <c r="V12" s="448">
        <f t="shared" si="10"/>
        <v>351662.34655999899</v>
      </c>
      <c r="W12" s="455">
        <v>12</v>
      </c>
      <c r="X12" s="448">
        <f t="shared" si="11"/>
        <v>29305.1955466666</v>
      </c>
      <c r="Y12" s="448"/>
      <c r="Z12" s="459">
        <f t="shared" si="12"/>
        <v>29305.1955466666</v>
      </c>
      <c r="AA12" s="460"/>
      <c r="AB12" s="460"/>
      <c r="AC12" s="460"/>
    </row>
    <row r="13" spans="1:29" s="596" customFormat="1" ht="18.75">
      <c r="A13" s="597">
        <v>10</v>
      </c>
      <c r="B13" s="10" t="s">
        <v>304</v>
      </c>
      <c r="C13" s="599">
        <v>268287.58333333302</v>
      </c>
      <c r="D13" s="600">
        <v>12</v>
      </c>
      <c r="E13" s="601">
        <f t="shared" si="13"/>
        <v>3219451</v>
      </c>
      <c r="F13" s="601"/>
      <c r="G13" s="601">
        <v>209556.08</v>
      </c>
      <c r="H13" s="601"/>
      <c r="I13" s="601">
        <f t="shared" si="0"/>
        <v>3009894.92</v>
      </c>
      <c r="J13" s="601">
        <v>200000</v>
      </c>
      <c r="K13" s="601">
        <v>0.2</v>
      </c>
      <c r="L13" s="601">
        <f t="shared" si="1"/>
        <v>601978.98399999901</v>
      </c>
      <c r="M13" s="601">
        <f t="shared" si="2"/>
        <v>801978.98399999901</v>
      </c>
      <c r="N13" s="601">
        <f t="shared" si="3"/>
        <v>1011535.064</v>
      </c>
      <c r="O13" s="601">
        <f t="shared" si="4"/>
        <v>2207915.9360000002</v>
      </c>
      <c r="P13" s="601">
        <f t="shared" si="5"/>
        <v>21000</v>
      </c>
      <c r="Q13" s="601">
        <f t="shared" si="6"/>
        <v>33000</v>
      </c>
      <c r="R13" s="601">
        <f t="shared" si="7"/>
        <v>75000</v>
      </c>
      <c r="S13" s="601">
        <f t="shared" si="8"/>
        <v>95000</v>
      </c>
      <c r="T13" s="601">
        <f t="shared" si="9"/>
        <v>127662.346559999</v>
      </c>
      <c r="U13" s="601"/>
      <c r="V13" s="601">
        <f t="shared" si="10"/>
        <v>351662.34655999899</v>
      </c>
      <c r="W13" s="604">
        <v>12</v>
      </c>
      <c r="X13" s="601">
        <f t="shared" si="11"/>
        <v>29305.1955466666</v>
      </c>
      <c r="Y13" s="601"/>
      <c r="Z13" s="459">
        <f t="shared" si="12"/>
        <v>29305.1955466666</v>
      </c>
      <c r="AA13" s="605"/>
      <c r="AB13" s="605"/>
      <c r="AC13" s="605"/>
    </row>
    <row r="14" spans="1:29" ht="26.25" customHeight="1">
      <c r="B14" s="477" t="s">
        <v>326</v>
      </c>
      <c r="C14" s="472"/>
      <c r="D14" s="473"/>
      <c r="E14" s="473"/>
      <c r="F14" s="478"/>
      <c r="G14" s="478"/>
      <c r="H14" s="476"/>
      <c r="I14" s="476"/>
      <c r="J14" s="476"/>
      <c r="K14" s="476"/>
      <c r="L14" s="476"/>
      <c r="M14" s="476"/>
      <c r="N14" s="476"/>
      <c r="O14" s="476"/>
      <c r="P14" s="476"/>
      <c r="Q14" s="476"/>
      <c r="R14" s="476"/>
      <c r="S14" s="476"/>
      <c r="T14" s="476"/>
      <c r="U14" s="476"/>
      <c r="V14" s="478"/>
      <c r="W14" s="473"/>
      <c r="X14" s="473"/>
      <c r="Y14" s="473"/>
      <c r="Z14" s="475">
        <f>SUM(Z6:Z13)</f>
        <v>328229.27285333298</v>
      </c>
    </row>
    <row r="15" spans="1:29" ht="26.25" customHeight="1">
      <c r="B15" s="640"/>
      <c r="C15" s="641"/>
      <c r="D15" s="642"/>
      <c r="E15" s="642"/>
      <c r="F15" s="643"/>
      <c r="G15" s="643"/>
      <c r="H15" s="644"/>
      <c r="I15" s="644"/>
      <c r="J15" s="644"/>
      <c r="K15" s="644"/>
      <c r="L15" s="644"/>
      <c r="M15" s="644"/>
      <c r="N15" s="644"/>
      <c r="O15" s="644"/>
      <c r="P15" s="644"/>
      <c r="Q15" s="644"/>
      <c r="R15" s="644"/>
      <c r="S15" s="644"/>
      <c r="T15" s="644"/>
      <c r="U15" s="644"/>
      <c r="V15" s="643"/>
      <c r="W15" s="642"/>
      <c r="X15" s="642"/>
      <c r="Y15" s="642"/>
      <c r="Z15" s="642"/>
    </row>
    <row r="16" spans="1:29" ht="18.75">
      <c r="B16" s="32"/>
      <c r="C16" s="645" t="s">
        <v>327</v>
      </c>
      <c r="D16" s="276">
        <v>12</v>
      </c>
      <c r="E16" s="646" t="s">
        <v>328</v>
      </c>
      <c r="F16" s="479"/>
    </row>
    <row r="17" spans="1:26" ht="18.75">
      <c r="A17" s="647"/>
      <c r="B17" s="10" t="s">
        <v>315</v>
      </c>
      <c r="C17" s="648">
        <f>218287.583333333*0.08</f>
        <v>17463.006666666599</v>
      </c>
      <c r="D17" s="649">
        <v>12</v>
      </c>
      <c r="E17" s="650">
        <f>C17*D17</f>
        <v>209556.08</v>
      </c>
      <c r="F17" s="480"/>
      <c r="Z17" s="475"/>
    </row>
    <row r="18" spans="1:26" ht="18.75">
      <c r="A18" s="647"/>
      <c r="B18" s="10" t="s">
        <v>296</v>
      </c>
      <c r="C18" s="627">
        <f>390248.916666667*0.08</f>
        <v>31219.913333333399</v>
      </c>
      <c r="D18" s="649">
        <v>12</v>
      </c>
      <c r="E18" s="650">
        <f t="shared" ref="E18:E24" si="15">C18*D18</f>
        <v>374638.96</v>
      </c>
    </row>
    <row r="19" spans="1:26" ht="18.75">
      <c r="A19" s="647"/>
      <c r="B19" s="10" t="s">
        <v>318</v>
      </c>
      <c r="C19" s="648">
        <f>255849*0.08</f>
        <v>20467.919999999998</v>
      </c>
      <c r="D19" s="649">
        <v>12</v>
      </c>
      <c r="E19" s="650">
        <f t="shared" si="15"/>
        <v>245615.04</v>
      </c>
    </row>
    <row r="20" spans="1:26" ht="18.75">
      <c r="A20" s="647"/>
      <c r="B20" s="10" t="s">
        <v>319</v>
      </c>
      <c r="C20" s="648">
        <f>218287.583333333*0.08</f>
        <v>17463.006666666599</v>
      </c>
      <c r="D20" s="649">
        <v>12</v>
      </c>
      <c r="E20" s="650">
        <f t="shared" si="15"/>
        <v>209556.08</v>
      </c>
    </row>
    <row r="21" spans="1:26" ht="18.75">
      <c r="A21" s="647"/>
      <c r="B21" s="10" t="s">
        <v>321</v>
      </c>
      <c r="C21" s="648">
        <f>293029.666666667*0.08</f>
        <v>23442.373333333398</v>
      </c>
      <c r="D21" s="649">
        <v>12</v>
      </c>
      <c r="E21" s="650">
        <f t="shared" si="15"/>
        <v>281308.48</v>
      </c>
    </row>
    <row r="22" spans="1:26" ht="18.75">
      <c r="A22" s="647"/>
      <c r="B22" s="10" t="s">
        <v>323</v>
      </c>
      <c r="C22" s="627">
        <f>390248.916666667*0.08</f>
        <v>31219.913333333399</v>
      </c>
      <c r="D22" s="649">
        <v>12</v>
      </c>
      <c r="E22" s="650">
        <f t="shared" si="15"/>
        <v>374638.96</v>
      </c>
    </row>
    <row r="23" spans="1:26" ht="18.75">
      <c r="A23" s="647"/>
      <c r="B23" s="10" t="s">
        <v>303</v>
      </c>
      <c r="C23" s="648">
        <f t="shared" ref="C23:C24" si="16">218287.583333333*0.08</f>
        <v>17463.006666666599</v>
      </c>
      <c r="D23" s="649">
        <v>12</v>
      </c>
      <c r="E23" s="650">
        <f t="shared" si="15"/>
        <v>209556.08</v>
      </c>
    </row>
    <row r="24" spans="1:26" ht="18.75">
      <c r="A24" s="647"/>
      <c r="B24" s="10" t="s">
        <v>304</v>
      </c>
      <c r="C24" s="648">
        <f t="shared" si="16"/>
        <v>17463.006666666599</v>
      </c>
      <c r="D24" s="649">
        <v>12</v>
      </c>
      <c r="E24" s="650">
        <f t="shared" si="15"/>
        <v>209556.08</v>
      </c>
    </row>
    <row r="25" spans="1:26" ht="15">
      <c r="C25" s="651"/>
      <c r="D25" s="651"/>
      <c r="E25" s="651"/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T9"/>
  <sheetViews>
    <sheetView topLeftCell="D1" workbookViewId="0">
      <selection activeCell="L6" sqref="L6:O6"/>
    </sheetView>
  </sheetViews>
  <sheetFormatPr defaultColWidth="9" defaultRowHeight="12.75"/>
  <cols>
    <col min="1" max="1" width="4.28515625" customWidth="1"/>
    <col min="2" max="2" width="23.140625" customWidth="1"/>
    <col min="3" max="3" width="18.42578125" customWidth="1"/>
    <col min="4" max="4" width="11.85546875" customWidth="1"/>
    <col min="5" max="5" width="14.140625" customWidth="1"/>
    <col min="6" max="6" width="7.42578125" customWidth="1"/>
    <col min="7" max="7" width="12.140625" customWidth="1"/>
    <col min="8" max="8" width="11.140625" customWidth="1"/>
    <col min="9" max="9" width="9" customWidth="1"/>
    <col min="10" max="10" width="12.5703125" customWidth="1"/>
    <col min="11" max="11" width="8.85546875" customWidth="1"/>
    <col min="12" max="13" width="12.140625" customWidth="1"/>
    <col min="14" max="14" width="9" customWidth="1"/>
    <col min="15" max="15" width="12.28515625" customWidth="1"/>
    <col min="16" max="16" width="8.85546875" customWidth="1"/>
    <col min="17" max="19" width="12.5703125" customWidth="1"/>
  </cols>
  <sheetData>
    <row r="3" spans="1:20" ht="63.75">
      <c r="A3" s="3"/>
      <c r="B3" s="77" t="s">
        <v>2</v>
      </c>
      <c r="C3" s="623" t="s">
        <v>3</v>
      </c>
      <c r="D3" s="66" t="s">
        <v>4</v>
      </c>
      <c r="E3" s="624" t="s">
        <v>5</v>
      </c>
      <c r="F3" s="624" t="s">
        <v>6</v>
      </c>
      <c r="G3" s="624" t="s">
        <v>7</v>
      </c>
      <c r="H3" s="624" t="s">
        <v>7</v>
      </c>
      <c r="I3" s="624" t="s">
        <v>8</v>
      </c>
      <c r="J3" s="631" t="s">
        <v>9</v>
      </c>
      <c r="K3" s="624" t="s">
        <v>10</v>
      </c>
      <c r="L3" s="624" t="s">
        <v>195</v>
      </c>
      <c r="M3" s="624" t="s">
        <v>196</v>
      </c>
      <c r="N3" s="624" t="s">
        <v>14</v>
      </c>
      <c r="O3" s="632" t="s">
        <v>15</v>
      </c>
      <c r="P3" s="624" t="s">
        <v>16</v>
      </c>
      <c r="Q3" s="636" t="s">
        <v>17</v>
      </c>
      <c r="R3" s="299" t="s">
        <v>329</v>
      </c>
      <c r="S3" s="637" t="s">
        <v>330</v>
      </c>
    </row>
    <row r="4" spans="1:20" ht="18.75">
      <c r="A4" s="1"/>
      <c r="B4" s="1"/>
      <c r="C4" s="7"/>
      <c r="D4" s="7"/>
      <c r="E4" s="69" t="s">
        <v>20</v>
      </c>
      <c r="F4" s="69" t="s">
        <v>20</v>
      </c>
      <c r="G4" s="69" t="s">
        <v>20</v>
      </c>
      <c r="H4" s="69" t="s">
        <v>20</v>
      </c>
      <c r="I4" s="69" t="s">
        <v>20</v>
      </c>
      <c r="J4" s="488" t="s">
        <v>20</v>
      </c>
      <c r="K4" s="69" t="s">
        <v>20</v>
      </c>
      <c r="L4" s="69" t="s">
        <v>20</v>
      </c>
      <c r="M4" s="69" t="s">
        <v>20</v>
      </c>
      <c r="N4" s="69" t="s">
        <v>20</v>
      </c>
      <c r="O4" s="69" t="s">
        <v>20</v>
      </c>
      <c r="P4" s="69" t="s">
        <v>20</v>
      </c>
      <c r="Q4" s="489" t="s">
        <v>20</v>
      </c>
      <c r="R4" s="69" t="s">
        <v>20</v>
      </c>
      <c r="S4" s="488" t="s">
        <v>20</v>
      </c>
    </row>
    <row r="5" spans="1:20" s="1" customFormat="1" ht="20.100000000000001" customHeight="1">
      <c r="A5" s="82">
        <v>1</v>
      </c>
      <c r="B5" s="625" t="s">
        <v>331</v>
      </c>
      <c r="C5" s="73" t="s">
        <v>76</v>
      </c>
      <c r="D5" s="626" t="s">
        <v>332</v>
      </c>
      <c r="E5" s="627">
        <v>601396.83333333302</v>
      </c>
      <c r="F5" s="627"/>
      <c r="G5" s="628">
        <f>160000</f>
        <v>160000</v>
      </c>
      <c r="H5" s="628"/>
      <c r="I5" s="633">
        <v>0</v>
      </c>
      <c r="J5" s="634">
        <f t="shared" ref="J5:J6" si="0">SUM(E5:I5)</f>
        <v>761396.83333333302</v>
      </c>
      <c r="K5" s="627"/>
      <c r="L5" s="627"/>
      <c r="M5" s="627"/>
      <c r="N5" s="627">
        <v>0</v>
      </c>
      <c r="O5" s="627">
        <v>124854.858666667</v>
      </c>
      <c r="P5" s="627"/>
      <c r="Q5" s="638">
        <f t="shared" ref="Q5:Q8" si="1">O5+N5+M5+L5+K5+P5</f>
        <v>124854.858666667</v>
      </c>
      <c r="R5" s="627">
        <v>636541.97466666705</v>
      </c>
      <c r="S5" s="634">
        <f t="shared" ref="S5:S8" si="2">J5-Q5</f>
        <v>636541.97466666601</v>
      </c>
      <c r="T5" s="12"/>
    </row>
    <row r="6" spans="1:20" s="1" customFormat="1" ht="32.1" customHeight="1">
      <c r="A6" s="82">
        <v>2</v>
      </c>
      <c r="B6" s="330" t="s">
        <v>333</v>
      </c>
      <c r="C6" s="70" t="s">
        <v>334</v>
      </c>
      <c r="D6" s="82" t="s">
        <v>335</v>
      </c>
      <c r="E6" s="627">
        <v>620675.58333333302</v>
      </c>
      <c r="F6" s="627"/>
      <c r="G6" s="628">
        <v>160000</v>
      </c>
      <c r="H6" s="628"/>
      <c r="I6" s="633">
        <v>0</v>
      </c>
      <c r="J6" s="634">
        <f t="shared" si="0"/>
        <v>780675.58333333302</v>
      </c>
      <c r="K6" s="627"/>
      <c r="L6" s="627">
        <f>50000</f>
        <v>50000</v>
      </c>
      <c r="M6" s="627">
        <f>59583.33</f>
        <v>59583.33</v>
      </c>
      <c r="N6" s="627"/>
      <c r="O6" s="627">
        <f>128556.38</f>
        <v>128556.38</v>
      </c>
      <c r="P6" s="627"/>
      <c r="Q6" s="638">
        <f t="shared" si="1"/>
        <v>238139.71</v>
      </c>
      <c r="R6" s="627">
        <v>542535.87333333294</v>
      </c>
      <c r="S6" s="634">
        <f t="shared" si="2"/>
        <v>542535.87333333294</v>
      </c>
      <c r="T6" s="12"/>
    </row>
    <row r="7" spans="1:20" s="622" customFormat="1" ht="29.1" customHeight="1">
      <c r="A7" s="82">
        <v>3</v>
      </c>
      <c r="B7" s="625" t="s">
        <v>336</v>
      </c>
      <c r="C7" s="70" t="s">
        <v>337</v>
      </c>
      <c r="D7" s="626" t="s">
        <v>99</v>
      </c>
      <c r="E7" s="627">
        <v>582118.08333333302</v>
      </c>
      <c r="F7" s="627"/>
      <c r="G7" s="628"/>
      <c r="H7" s="628">
        <f>80000</f>
        <v>80000</v>
      </c>
      <c r="I7" s="627">
        <v>0</v>
      </c>
      <c r="J7" s="634">
        <f t="shared" ref="J7" si="3">SUM(E7:I7)</f>
        <v>662118.08333333302</v>
      </c>
      <c r="K7" s="627"/>
      <c r="L7" s="627">
        <f>100000</f>
        <v>100000</v>
      </c>
      <c r="M7" s="627">
        <f>103000</f>
        <v>103000</v>
      </c>
      <c r="N7" s="627">
        <v>0</v>
      </c>
      <c r="O7" s="627">
        <v>105793.338666667</v>
      </c>
      <c r="P7" s="627"/>
      <c r="Q7" s="638">
        <f t="shared" si="1"/>
        <v>308793.338666667</v>
      </c>
      <c r="R7" s="627">
        <v>353324.74466666701</v>
      </c>
      <c r="S7" s="634">
        <f t="shared" si="2"/>
        <v>353324.74466666603</v>
      </c>
      <c r="T7" s="639"/>
    </row>
    <row r="8" spans="1:20" s="622" customFormat="1" ht="20.100000000000001" customHeight="1">
      <c r="A8" s="82">
        <v>4</v>
      </c>
      <c r="B8" s="629" t="s">
        <v>338</v>
      </c>
      <c r="C8" s="70" t="s">
        <v>339</v>
      </c>
      <c r="D8" s="626" t="s">
        <v>340</v>
      </c>
      <c r="E8" s="627">
        <v>762373.16666666698</v>
      </c>
      <c r="F8" s="627"/>
      <c r="G8" s="628"/>
      <c r="H8" s="628">
        <v>90000</v>
      </c>
      <c r="I8" s="627"/>
      <c r="J8" s="634">
        <f t="shared" ref="J8" si="4">SUM(E8:I8)</f>
        <v>852373.16666666698</v>
      </c>
      <c r="K8" s="627"/>
      <c r="L8" s="635">
        <v>50000</v>
      </c>
      <c r="M8" s="635">
        <v>200000</v>
      </c>
      <c r="O8" s="627">
        <v>142322.31466666699</v>
      </c>
      <c r="P8" s="627"/>
      <c r="Q8" s="638">
        <f t="shared" si="1"/>
        <v>392322.31466666702</v>
      </c>
      <c r="R8" s="627">
        <v>460050.85200000001</v>
      </c>
      <c r="S8" s="634">
        <f t="shared" si="2"/>
        <v>460050.85200000001</v>
      </c>
      <c r="T8" s="639"/>
    </row>
    <row r="9" spans="1:20" ht="29.1" customHeight="1">
      <c r="E9" s="630">
        <f>SUM(E5:E8)</f>
        <v>2566563.6666666698</v>
      </c>
      <c r="F9" s="630">
        <f t="shared" ref="F9:S9" si="5">SUM(F5:F8)</f>
        <v>0</v>
      </c>
      <c r="G9" s="630">
        <f t="shared" si="5"/>
        <v>320000</v>
      </c>
      <c r="H9" s="630">
        <f t="shared" si="5"/>
        <v>170000</v>
      </c>
      <c r="I9" s="630">
        <f t="shared" si="5"/>
        <v>0</v>
      </c>
      <c r="J9" s="630">
        <f t="shared" si="5"/>
        <v>3056563.6666666698</v>
      </c>
      <c r="K9" s="630">
        <f t="shared" si="5"/>
        <v>0</v>
      </c>
      <c r="L9" s="630">
        <f t="shared" si="5"/>
        <v>200000</v>
      </c>
      <c r="M9" s="630">
        <f t="shared" si="5"/>
        <v>362583.33</v>
      </c>
      <c r="N9" s="630">
        <f t="shared" si="5"/>
        <v>0</v>
      </c>
      <c r="O9" s="630">
        <f t="shared" si="5"/>
        <v>501526.89200000098</v>
      </c>
      <c r="P9" s="630">
        <f t="shared" si="5"/>
        <v>0</v>
      </c>
      <c r="Q9" s="630">
        <f t="shared" si="5"/>
        <v>1064110.2220000001</v>
      </c>
      <c r="R9" s="630">
        <f t="shared" si="5"/>
        <v>1992453.4446666699</v>
      </c>
      <c r="S9" s="630">
        <f t="shared" si="5"/>
        <v>1992453.4446666699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2.7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T5"/>
  <sheetViews>
    <sheetView workbookViewId="0">
      <selection activeCell="A5" sqref="A5:XFD5"/>
    </sheetView>
  </sheetViews>
  <sheetFormatPr defaultColWidth="9" defaultRowHeight="12.75"/>
  <cols>
    <col min="1" max="1" width="5.85546875" customWidth="1"/>
  </cols>
  <sheetData>
    <row r="3" spans="1:20" ht="131.25">
      <c r="A3" s="3"/>
      <c r="B3" s="4" t="s">
        <v>2</v>
      </c>
      <c r="C3" s="5" t="s">
        <v>3</v>
      </c>
      <c r="D3" s="6" t="s">
        <v>4</v>
      </c>
      <c r="E3" s="200" t="s">
        <v>5</v>
      </c>
      <c r="F3" s="200" t="s">
        <v>6</v>
      </c>
      <c r="G3" s="200" t="s">
        <v>7</v>
      </c>
      <c r="H3" s="200" t="s">
        <v>7</v>
      </c>
      <c r="I3" s="200" t="s">
        <v>8</v>
      </c>
      <c r="J3" s="486" t="s">
        <v>9</v>
      </c>
      <c r="K3" s="200" t="s">
        <v>10</v>
      </c>
      <c r="L3" s="200" t="s">
        <v>195</v>
      </c>
      <c r="M3" s="200" t="s">
        <v>196</v>
      </c>
      <c r="N3" s="200" t="s">
        <v>14</v>
      </c>
      <c r="O3" s="23" t="s">
        <v>15</v>
      </c>
      <c r="P3" s="200" t="s">
        <v>16</v>
      </c>
      <c r="Q3" s="487" t="s">
        <v>17</v>
      </c>
      <c r="R3" s="67" t="s">
        <v>329</v>
      </c>
      <c r="S3" s="621" t="s">
        <v>330</v>
      </c>
    </row>
    <row r="4" spans="1:20" ht="18.75">
      <c r="A4" s="1"/>
      <c r="B4" s="1"/>
      <c r="C4" s="7"/>
      <c r="D4" s="7"/>
      <c r="E4" s="69" t="s">
        <v>20</v>
      </c>
      <c r="F4" s="69" t="s">
        <v>20</v>
      </c>
      <c r="G4" s="69" t="s">
        <v>20</v>
      </c>
      <c r="H4" s="69" t="s">
        <v>20</v>
      </c>
      <c r="I4" s="69" t="s">
        <v>20</v>
      </c>
      <c r="J4" s="488" t="s">
        <v>20</v>
      </c>
      <c r="K4" s="69" t="s">
        <v>20</v>
      </c>
      <c r="L4" s="69" t="s">
        <v>20</v>
      </c>
      <c r="M4" s="69" t="s">
        <v>20</v>
      </c>
      <c r="N4" s="69" t="s">
        <v>20</v>
      </c>
      <c r="O4" s="69" t="s">
        <v>20</v>
      </c>
      <c r="P4" s="69" t="s">
        <v>20</v>
      </c>
      <c r="Q4" s="489" t="s">
        <v>20</v>
      </c>
      <c r="R4" s="69" t="s">
        <v>20</v>
      </c>
      <c r="S4" s="488" t="s">
        <v>20</v>
      </c>
    </row>
    <row r="5" spans="1:20" s="1" customFormat="1" ht="20.100000000000001" customHeight="1">
      <c r="A5" s="9">
        <v>6</v>
      </c>
      <c r="B5" s="17" t="s">
        <v>341</v>
      </c>
      <c r="C5" s="16" t="s">
        <v>342</v>
      </c>
      <c r="D5" s="9" t="s">
        <v>343</v>
      </c>
      <c r="E5" s="72">
        <v>762373.16666666698</v>
      </c>
      <c r="F5" s="72"/>
      <c r="G5" s="202"/>
      <c r="H5" s="202">
        <f>90000</f>
        <v>90000</v>
      </c>
      <c r="I5" s="72">
        <f>100000+100000</f>
        <v>200000</v>
      </c>
      <c r="J5" s="490">
        <f t="shared" ref="J5" si="0">E5+F5+G5+H5+I5</f>
        <v>1052373.16666667</v>
      </c>
      <c r="K5" s="72"/>
      <c r="L5" s="72">
        <f>50000</f>
        <v>50000</v>
      </c>
      <c r="M5" s="72">
        <f>91666.67</f>
        <v>91666.67</v>
      </c>
      <c r="N5" s="72"/>
      <c r="O5" s="72">
        <f>'Additional Leg Duty Allowance'!P3</f>
        <v>0</v>
      </c>
      <c r="P5" s="72"/>
      <c r="Q5" s="491">
        <f t="shared" ref="Q5" si="1">O5+N5+M5+L5+K5+P5</f>
        <v>141666.67000000001</v>
      </c>
      <c r="R5" s="72">
        <v>729984.18200000003</v>
      </c>
      <c r="S5" s="490">
        <f t="shared" ref="S5" si="2">J5-Q5</f>
        <v>910706.49666666705</v>
      </c>
      <c r="T5" s="1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8"/>
  <sheetViews>
    <sheetView zoomScaleSheetLayoutView="50" workbookViewId="0">
      <pane xSplit="3" ySplit="7" topLeftCell="V8" activePane="bottomRight" state="frozen"/>
      <selection pane="topRight"/>
      <selection pane="bottomLeft"/>
      <selection pane="bottomRight" activeCell="AA12" sqref="AA12"/>
    </sheetView>
  </sheetViews>
  <sheetFormatPr defaultColWidth="9.140625" defaultRowHeight="20.100000000000001" customHeight="1"/>
  <cols>
    <col min="1" max="1" width="5.42578125" style="1" customWidth="1"/>
    <col min="2" max="2" width="39.5703125" style="1" customWidth="1"/>
    <col min="3" max="3" width="35.7109375" style="1" customWidth="1"/>
    <col min="4" max="4" width="12.28515625" style="1" customWidth="1"/>
    <col min="5" max="5" width="15.7109375" style="1" customWidth="1"/>
    <col min="6" max="6" width="21.7109375" style="1" customWidth="1"/>
    <col min="7" max="16384" width="9.140625" style="1"/>
  </cols>
  <sheetData>
    <row r="1" spans="1:6" ht="27" customHeight="1">
      <c r="A1" s="855" t="s">
        <v>0</v>
      </c>
      <c r="B1" s="855"/>
      <c r="C1" s="855"/>
      <c r="D1" s="855"/>
    </row>
    <row r="2" spans="1:6" ht="33.75" customHeight="1">
      <c r="A2" s="218" t="s">
        <v>344</v>
      </c>
      <c r="B2" s="239"/>
      <c r="C2" s="218"/>
      <c r="D2" s="218"/>
      <c r="E2" s="65"/>
    </row>
    <row r="3" spans="1:6" ht="9.75" customHeight="1">
      <c r="A3" s="2"/>
      <c r="B3" s="2"/>
      <c r="C3" s="2"/>
      <c r="D3" s="2"/>
    </row>
    <row r="4" spans="1:6" ht="49.5" customHeight="1">
      <c r="A4" s="3"/>
      <c r="B4" s="4" t="s">
        <v>2</v>
      </c>
      <c r="C4" s="5" t="s">
        <v>3</v>
      </c>
      <c r="D4" s="6" t="s">
        <v>4</v>
      </c>
      <c r="E4" s="301" t="s">
        <v>201</v>
      </c>
    </row>
    <row r="5" spans="1:6" ht="17.25" customHeight="1">
      <c r="C5" s="7"/>
      <c r="D5" s="7"/>
      <c r="E5" s="212" t="s">
        <v>20</v>
      </c>
    </row>
    <row r="6" spans="1:6" ht="20.100000000000001" customHeight="1">
      <c r="A6" s="8" t="s">
        <v>21</v>
      </c>
      <c r="B6" s="7" t="s">
        <v>22</v>
      </c>
      <c r="C6" s="7"/>
      <c r="D6" s="7"/>
      <c r="E6" s="212"/>
    </row>
    <row r="7" spans="1:6" ht="20.100000000000001" customHeight="1">
      <c r="A7" s="9">
        <v>1</v>
      </c>
      <c r="B7" s="10" t="s">
        <v>345</v>
      </c>
      <c r="C7" s="11" t="s">
        <v>346</v>
      </c>
      <c r="D7" s="11" t="s">
        <v>347</v>
      </c>
      <c r="E7" s="614">
        <v>540000</v>
      </c>
      <c r="F7" s="12"/>
    </row>
    <row r="8" spans="1:6" ht="20.100000000000001" customHeight="1">
      <c r="A8" s="9">
        <v>2</v>
      </c>
      <c r="B8" s="10" t="s">
        <v>348</v>
      </c>
      <c r="C8" s="11" t="s">
        <v>349</v>
      </c>
      <c r="D8" s="9" t="s">
        <v>343</v>
      </c>
      <c r="E8" s="614">
        <v>180000</v>
      </c>
      <c r="F8" s="12"/>
    </row>
    <row r="9" spans="1:6" ht="20.100000000000001" customHeight="1">
      <c r="A9" s="9">
        <v>3</v>
      </c>
      <c r="B9" s="13" t="s">
        <v>350</v>
      </c>
      <c r="C9" s="3" t="s">
        <v>351</v>
      </c>
      <c r="D9" s="9" t="s">
        <v>343</v>
      </c>
      <c r="E9" s="614">
        <v>180000</v>
      </c>
      <c r="F9" s="12"/>
    </row>
    <row r="10" spans="1:6" ht="20.100000000000001" customHeight="1">
      <c r="A10" s="9">
        <v>4</v>
      </c>
      <c r="B10" s="10" t="s">
        <v>352</v>
      </c>
      <c r="C10" s="16" t="s">
        <v>353</v>
      </c>
      <c r="D10" s="9" t="s">
        <v>343</v>
      </c>
      <c r="E10" s="614">
        <v>180000</v>
      </c>
      <c r="F10" s="12"/>
    </row>
    <row r="11" spans="1:6" ht="20.100000000000001" customHeight="1">
      <c r="A11" s="9">
        <v>5</v>
      </c>
      <c r="B11" s="13" t="s">
        <v>354</v>
      </c>
      <c r="C11" s="3" t="s">
        <v>355</v>
      </c>
      <c r="D11" s="9" t="s">
        <v>343</v>
      </c>
      <c r="E11" s="614">
        <v>180000</v>
      </c>
      <c r="F11" s="12"/>
    </row>
    <row r="12" spans="1:6" ht="20.100000000000001" customHeight="1">
      <c r="A12" s="9">
        <v>6</v>
      </c>
      <c r="B12" s="17" t="s">
        <v>341</v>
      </c>
      <c r="C12" s="16" t="s">
        <v>342</v>
      </c>
      <c r="D12" s="9" t="s">
        <v>343</v>
      </c>
      <c r="E12" s="614">
        <v>180000</v>
      </c>
      <c r="F12" s="12"/>
    </row>
    <row r="13" spans="1:6" ht="20.100000000000001" customHeight="1">
      <c r="A13" s="9">
        <v>7</v>
      </c>
      <c r="B13" s="10" t="s">
        <v>356</v>
      </c>
      <c r="C13" s="11" t="s">
        <v>357</v>
      </c>
      <c r="D13" s="14" t="s">
        <v>358</v>
      </c>
      <c r="E13" s="614">
        <v>126000</v>
      </c>
      <c r="F13" s="12"/>
    </row>
    <row r="14" spans="1:6" ht="20.100000000000001" customHeight="1">
      <c r="A14" s="9">
        <v>8</v>
      </c>
      <c r="B14" s="10" t="s">
        <v>359</v>
      </c>
      <c r="C14" s="3" t="s">
        <v>360</v>
      </c>
      <c r="D14" s="9" t="s">
        <v>99</v>
      </c>
      <c r="E14" s="614">
        <v>126000</v>
      </c>
      <c r="F14" s="12"/>
    </row>
    <row r="15" spans="1:6" ht="20.100000000000001" customHeight="1">
      <c r="A15" s="9">
        <v>9</v>
      </c>
      <c r="B15" s="10" t="s">
        <v>361</v>
      </c>
      <c r="C15" s="3" t="s">
        <v>362</v>
      </c>
      <c r="D15" s="14" t="s">
        <v>363</v>
      </c>
      <c r="E15" s="614">
        <v>90000</v>
      </c>
      <c r="F15" s="12"/>
    </row>
    <row r="16" spans="1:6" ht="20.100000000000001" customHeight="1">
      <c r="A16" s="9">
        <v>10</v>
      </c>
      <c r="B16" s="13" t="s">
        <v>364</v>
      </c>
      <c r="C16" s="16" t="s">
        <v>365</v>
      </c>
      <c r="D16" s="14" t="s">
        <v>366</v>
      </c>
      <c r="E16" s="614">
        <v>90000</v>
      </c>
      <c r="F16" s="12"/>
    </row>
    <row r="17" spans="1:6" ht="20.100000000000001" customHeight="1">
      <c r="A17" s="9">
        <v>11</v>
      </c>
      <c r="B17" s="10" t="s">
        <v>367</v>
      </c>
      <c r="C17" s="3" t="s">
        <v>368</v>
      </c>
      <c r="D17" s="9" t="s">
        <v>369</v>
      </c>
      <c r="E17" s="614">
        <v>90000</v>
      </c>
      <c r="F17" s="12"/>
    </row>
    <row r="18" spans="1:6" ht="20.100000000000001" customHeight="1">
      <c r="A18" s="9">
        <v>12</v>
      </c>
      <c r="B18" s="10" t="s">
        <v>370</v>
      </c>
      <c r="C18" s="3" t="s">
        <v>371</v>
      </c>
      <c r="D18" s="9" t="s">
        <v>372</v>
      </c>
      <c r="E18" s="614">
        <v>90000</v>
      </c>
    </row>
    <row r="19" spans="1:6" ht="20.100000000000001" customHeight="1">
      <c r="A19" s="9">
        <v>13</v>
      </c>
      <c r="B19" s="10" t="s">
        <v>373</v>
      </c>
      <c r="C19" s="11" t="s">
        <v>374</v>
      </c>
      <c r="D19" s="14" t="s">
        <v>375</v>
      </c>
      <c r="E19" s="614">
        <v>90000</v>
      </c>
      <c r="F19" s="12"/>
    </row>
    <row r="20" spans="1:6" ht="20.100000000000001" customHeight="1">
      <c r="A20" s="9">
        <v>14</v>
      </c>
      <c r="B20" s="17" t="s">
        <v>376</v>
      </c>
      <c r="C20" s="3" t="s">
        <v>377</v>
      </c>
      <c r="D20" s="14" t="s">
        <v>378</v>
      </c>
      <c r="E20" s="614">
        <v>90000</v>
      </c>
      <c r="F20" s="12"/>
    </row>
    <row r="21" spans="1:6" ht="18.75" customHeight="1">
      <c r="A21" s="9">
        <v>15</v>
      </c>
      <c r="B21" s="10" t="s">
        <v>379</v>
      </c>
      <c r="C21" s="11" t="s">
        <v>233</v>
      </c>
      <c r="D21" s="14" t="s">
        <v>380</v>
      </c>
      <c r="E21" s="614">
        <v>68000</v>
      </c>
      <c r="F21" s="12"/>
    </row>
    <row r="22" spans="1:6" ht="20.100000000000001" customHeight="1">
      <c r="A22" s="9">
        <v>16</v>
      </c>
      <c r="B22" s="13" t="s">
        <v>381</v>
      </c>
      <c r="C22" s="16" t="s">
        <v>382</v>
      </c>
      <c r="D22" s="9" t="s">
        <v>32</v>
      </c>
      <c r="E22" s="614">
        <v>68000</v>
      </c>
      <c r="F22" s="12"/>
    </row>
    <row r="23" spans="1:6" ht="21.6" customHeight="1">
      <c r="A23" s="9">
        <v>17</v>
      </c>
      <c r="B23" s="10" t="s">
        <v>383</v>
      </c>
      <c r="C23" s="16" t="s">
        <v>34</v>
      </c>
      <c r="D23" s="14" t="s">
        <v>32</v>
      </c>
      <c r="E23" s="614">
        <v>68000</v>
      </c>
      <c r="F23" s="12"/>
    </row>
    <row r="24" spans="1:6" ht="20.100000000000001" customHeight="1">
      <c r="A24" s="9">
        <v>18</v>
      </c>
      <c r="B24" s="13" t="s">
        <v>384</v>
      </c>
      <c r="C24" s="16" t="s">
        <v>385</v>
      </c>
      <c r="D24" s="9" t="s">
        <v>37</v>
      </c>
      <c r="E24" s="614">
        <v>68000</v>
      </c>
      <c r="F24" s="12"/>
    </row>
    <row r="25" spans="1:6" ht="18.75" customHeight="1">
      <c r="A25" s="9">
        <v>19</v>
      </c>
      <c r="B25" s="3" t="s">
        <v>386</v>
      </c>
      <c r="C25" s="3" t="s">
        <v>289</v>
      </c>
      <c r="D25" s="9" t="s">
        <v>387</v>
      </c>
      <c r="E25" s="614">
        <v>54000</v>
      </c>
      <c r="F25" s="12"/>
    </row>
    <row r="26" spans="1:6" ht="18.75" customHeight="1">
      <c r="A26" s="9">
        <v>20</v>
      </c>
      <c r="B26" s="17" t="s">
        <v>388</v>
      </c>
      <c r="C26" s="11" t="s">
        <v>289</v>
      </c>
      <c r="D26" s="14" t="s">
        <v>387</v>
      </c>
      <c r="E26" s="614">
        <v>54000</v>
      </c>
      <c r="F26" s="12"/>
    </row>
    <row r="27" spans="1:6" ht="20.100000000000001" customHeight="1">
      <c r="A27" s="9">
        <v>21</v>
      </c>
      <c r="B27" s="10" t="s">
        <v>389</v>
      </c>
      <c r="C27" s="16" t="s">
        <v>382</v>
      </c>
      <c r="D27" s="9" t="s">
        <v>387</v>
      </c>
      <c r="E27" s="614">
        <v>54000</v>
      </c>
      <c r="F27" s="12"/>
    </row>
    <row r="28" spans="1:6" ht="18.75" customHeight="1">
      <c r="A28" s="9">
        <v>22</v>
      </c>
      <c r="B28" s="17" t="s">
        <v>390</v>
      </c>
      <c r="C28" s="11" t="s">
        <v>220</v>
      </c>
      <c r="D28" s="14" t="s">
        <v>391</v>
      </c>
      <c r="E28" s="614">
        <v>54000</v>
      </c>
      <c r="F28" s="12"/>
    </row>
    <row r="29" spans="1:6" ht="18.75" customHeight="1">
      <c r="A29" s="9">
        <v>23</v>
      </c>
      <c r="B29" s="17" t="s">
        <v>392</v>
      </c>
      <c r="C29" s="3" t="s">
        <v>393</v>
      </c>
      <c r="D29" s="9" t="s">
        <v>55</v>
      </c>
      <c r="E29" s="614">
        <v>54000</v>
      </c>
      <c r="F29" s="12"/>
    </row>
    <row r="30" spans="1:6" ht="18.75" customHeight="1">
      <c r="A30" s="9">
        <v>24</v>
      </c>
      <c r="B30" s="17" t="s">
        <v>394</v>
      </c>
      <c r="C30" s="3" t="s">
        <v>393</v>
      </c>
      <c r="D30" s="9" t="s">
        <v>55</v>
      </c>
      <c r="E30" s="614">
        <v>54000</v>
      </c>
      <c r="F30" s="12"/>
    </row>
    <row r="31" spans="1:6" ht="18.75" customHeight="1">
      <c r="A31" s="9">
        <v>25</v>
      </c>
      <c r="B31" s="17" t="s">
        <v>395</v>
      </c>
      <c r="C31" s="16" t="s">
        <v>396</v>
      </c>
      <c r="D31" s="14" t="s">
        <v>387</v>
      </c>
      <c r="E31" s="614">
        <v>54000</v>
      </c>
      <c r="F31" s="12"/>
    </row>
    <row r="32" spans="1:6" ht="18.75" customHeight="1">
      <c r="A32" s="9">
        <v>26</v>
      </c>
      <c r="B32" s="17" t="s">
        <v>397</v>
      </c>
      <c r="C32" s="3" t="s">
        <v>398</v>
      </c>
      <c r="D32" s="9" t="s">
        <v>399</v>
      </c>
      <c r="E32" s="614">
        <v>54000</v>
      </c>
      <c r="F32" s="12"/>
    </row>
    <row r="33" spans="1:6" ht="18.75" customHeight="1">
      <c r="A33" s="9">
        <v>27</v>
      </c>
      <c r="B33" s="17" t="s">
        <v>400</v>
      </c>
      <c r="C33" s="11" t="s">
        <v>401</v>
      </c>
      <c r="D33" s="14" t="s">
        <v>402</v>
      </c>
      <c r="E33" s="614">
        <v>54000</v>
      </c>
      <c r="F33" s="12"/>
    </row>
    <row r="34" spans="1:6" ht="21" customHeight="1">
      <c r="A34" s="9"/>
      <c r="B34" s="19" t="s">
        <v>42</v>
      </c>
      <c r="C34" s="20">
        <v>27</v>
      </c>
      <c r="D34" s="14"/>
      <c r="E34" s="76">
        <f>SUM(E7:E33)</f>
        <v>2990000</v>
      </c>
      <c r="F34" s="12"/>
    </row>
    <row r="35" spans="1:6" ht="18.75" customHeight="1">
      <c r="A35" s="9"/>
      <c r="B35" s="21"/>
      <c r="C35" s="3"/>
      <c r="D35" s="14"/>
      <c r="E35" s="615"/>
      <c r="F35" s="12"/>
    </row>
    <row r="36" spans="1:6" ht="18.75" customHeight="1">
      <c r="A36" s="9"/>
      <c r="B36" s="19" t="s">
        <v>225</v>
      </c>
      <c r="C36" s="3"/>
      <c r="D36" s="14"/>
      <c r="E36" s="614"/>
      <c r="F36" s="12"/>
    </row>
    <row r="37" spans="1:6" ht="18.75" customHeight="1">
      <c r="A37" s="9">
        <v>1</v>
      </c>
      <c r="B37" s="17" t="s">
        <v>403</v>
      </c>
      <c r="C37" s="3" t="s">
        <v>404</v>
      </c>
      <c r="D37" s="9" t="s">
        <v>405</v>
      </c>
      <c r="E37" s="614">
        <v>270000</v>
      </c>
      <c r="F37" s="12"/>
    </row>
    <row r="38" spans="1:6" ht="18.75" customHeight="1">
      <c r="A38" s="9">
        <v>2</v>
      </c>
      <c r="B38" s="17" t="s">
        <v>406</v>
      </c>
      <c r="C38" s="3" t="s">
        <v>407</v>
      </c>
      <c r="D38" s="9" t="s">
        <v>37</v>
      </c>
      <c r="E38" s="614">
        <v>68000</v>
      </c>
      <c r="F38" s="12"/>
    </row>
    <row r="39" spans="1:6" ht="18.75" customHeight="1">
      <c r="A39" s="9">
        <v>3</v>
      </c>
      <c r="B39" s="10" t="s">
        <v>408</v>
      </c>
      <c r="C39" s="3" t="s">
        <v>407</v>
      </c>
      <c r="D39" s="14" t="s">
        <v>409</v>
      </c>
      <c r="E39" s="614">
        <v>68000</v>
      </c>
      <c r="F39" s="12"/>
    </row>
    <row r="40" spans="1:6" ht="19.5" customHeight="1">
      <c r="A40" s="9"/>
      <c r="B40" s="13"/>
      <c r="C40" s="20">
        <v>3</v>
      </c>
      <c r="D40" s="9"/>
      <c r="E40" s="76">
        <f t="shared" ref="E40" si="0">SUM(E37:E39)</f>
        <v>406000</v>
      </c>
      <c r="F40" s="12"/>
    </row>
    <row r="41" spans="1:6" ht="20.100000000000001" customHeight="1">
      <c r="A41" s="9"/>
      <c r="B41" s="13"/>
      <c r="C41" s="3"/>
      <c r="D41" s="9"/>
      <c r="E41" s="614"/>
      <c r="F41" s="12"/>
    </row>
    <row r="42" spans="1:6" ht="20.100000000000001" customHeight="1">
      <c r="A42" s="9"/>
      <c r="B42" s="22" t="s">
        <v>43</v>
      </c>
      <c r="C42" s="4"/>
      <c r="D42" s="23"/>
      <c r="E42" s="614"/>
      <c r="F42" s="12"/>
    </row>
    <row r="43" spans="1:6" ht="20.100000000000001" customHeight="1">
      <c r="A43" s="9">
        <v>1</v>
      </c>
      <c r="B43" s="10" t="s">
        <v>410</v>
      </c>
      <c r="C43" s="3" t="s">
        <v>411</v>
      </c>
      <c r="D43" s="9" t="s">
        <v>405</v>
      </c>
      <c r="E43" s="614">
        <v>270000</v>
      </c>
      <c r="F43" s="12"/>
    </row>
    <row r="44" spans="1:6" ht="20.100000000000001" customHeight="1">
      <c r="A44" s="9">
        <v>2</v>
      </c>
      <c r="B44" s="10" t="s">
        <v>412</v>
      </c>
      <c r="C44" s="3" t="s">
        <v>413</v>
      </c>
      <c r="D44" s="9" t="s">
        <v>358</v>
      </c>
      <c r="E44" s="614">
        <v>126000</v>
      </c>
      <c r="F44" s="12"/>
    </row>
    <row r="45" spans="1:6" ht="20.100000000000001" customHeight="1">
      <c r="A45" s="9">
        <v>3</v>
      </c>
      <c r="B45" s="10" t="s">
        <v>414</v>
      </c>
      <c r="C45" s="3" t="s">
        <v>415</v>
      </c>
      <c r="D45" s="9" t="s">
        <v>416</v>
      </c>
      <c r="E45" s="614">
        <v>180000</v>
      </c>
      <c r="F45" s="12"/>
    </row>
    <row r="46" spans="1:6" ht="20.100000000000001" customHeight="1">
      <c r="A46" s="9">
        <v>4</v>
      </c>
      <c r="B46" s="10" t="s">
        <v>417</v>
      </c>
      <c r="C46" s="3" t="s">
        <v>418</v>
      </c>
      <c r="D46" s="9" t="s">
        <v>358</v>
      </c>
      <c r="E46" s="614">
        <v>126000</v>
      </c>
      <c r="F46" s="12"/>
    </row>
    <row r="47" spans="1:6" ht="20.100000000000001" customHeight="1">
      <c r="A47" s="9">
        <v>5</v>
      </c>
      <c r="B47" s="10" t="s">
        <v>419</v>
      </c>
      <c r="C47" s="3" t="s">
        <v>418</v>
      </c>
      <c r="D47" s="9" t="s">
        <v>358</v>
      </c>
      <c r="E47" s="614">
        <v>126000</v>
      </c>
      <c r="F47" s="12"/>
    </row>
    <row r="48" spans="1:6" ht="20.100000000000001" customHeight="1">
      <c r="A48" s="9">
        <v>6</v>
      </c>
      <c r="B48" s="10" t="s">
        <v>420</v>
      </c>
      <c r="C48" s="3" t="s">
        <v>418</v>
      </c>
      <c r="D48" s="9" t="s">
        <v>99</v>
      </c>
      <c r="E48" s="614">
        <v>126000</v>
      </c>
      <c r="F48" s="12"/>
    </row>
    <row r="49" spans="1:6" ht="20.100000000000001" customHeight="1">
      <c r="A49" s="9">
        <v>7</v>
      </c>
      <c r="B49" s="13" t="s">
        <v>421</v>
      </c>
      <c r="C49" s="3" t="s">
        <v>365</v>
      </c>
      <c r="D49" s="15" t="s">
        <v>366</v>
      </c>
      <c r="E49" s="614">
        <v>90000</v>
      </c>
      <c r="F49" s="12"/>
    </row>
    <row r="50" spans="1:6" ht="20.100000000000001" customHeight="1">
      <c r="A50" s="9">
        <v>8</v>
      </c>
      <c r="B50" s="10" t="s">
        <v>422</v>
      </c>
      <c r="C50" s="3" t="s">
        <v>64</v>
      </c>
      <c r="D50" s="9" t="s">
        <v>409</v>
      </c>
      <c r="E50" s="614">
        <v>68000</v>
      </c>
      <c r="F50" s="12"/>
    </row>
    <row r="51" spans="1:6" ht="20.100000000000001" customHeight="1">
      <c r="A51" s="9">
        <v>9</v>
      </c>
      <c r="B51" s="10" t="s">
        <v>423</v>
      </c>
      <c r="C51" s="3" t="s">
        <v>64</v>
      </c>
      <c r="D51" s="9" t="s">
        <v>391</v>
      </c>
      <c r="E51" s="614">
        <v>54000</v>
      </c>
      <c r="F51" s="12"/>
    </row>
    <row r="52" spans="1:6" ht="20.100000000000001" customHeight="1">
      <c r="A52" s="9">
        <v>10</v>
      </c>
      <c r="B52" s="10" t="s">
        <v>424</v>
      </c>
      <c r="C52" s="3" t="s">
        <v>64</v>
      </c>
      <c r="D52" s="9" t="s">
        <v>391</v>
      </c>
      <c r="E52" s="614">
        <v>54000</v>
      </c>
      <c r="F52" s="12"/>
    </row>
    <row r="53" spans="1:6" ht="20.100000000000001" customHeight="1">
      <c r="A53" s="9">
        <v>11</v>
      </c>
      <c r="B53" s="10" t="s">
        <v>425</v>
      </c>
      <c r="C53" s="3" t="s">
        <v>64</v>
      </c>
      <c r="D53" s="9" t="s">
        <v>391</v>
      </c>
      <c r="E53" s="614">
        <v>54000</v>
      </c>
      <c r="F53" s="12"/>
    </row>
    <row r="54" spans="1:6" ht="25.5" customHeight="1">
      <c r="A54" s="9"/>
      <c r="B54" s="19" t="s">
        <v>42</v>
      </c>
      <c r="C54" s="20">
        <v>11</v>
      </c>
      <c r="D54" s="20"/>
      <c r="E54" s="616">
        <f>SUM(E43:E53)</f>
        <v>1274000</v>
      </c>
      <c r="F54" s="12"/>
    </row>
    <row r="55" spans="1:6" ht="20.100000000000001" customHeight="1">
      <c r="A55" s="9"/>
      <c r="B55" s="21"/>
      <c r="C55" s="20"/>
      <c r="D55" s="20"/>
      <c r="E55" s="617"/>
      <c r="F55" s="12"/>
    </row>
    <row r="56" spans="1:6" ht="20.100000000000001" customHeight="1">
      <c r="A56" s="9"/>
      <c r="B56" s="19" t="s">
        <v>426</v>
      </c>
      <c r="C56" s="20"/>
      <c r="D56" s="20"/>
      <c r="E56" s="617"/>
      <c r="F56" s="12"/>
    </row>
    <row r="57" spans="1:6" ht="20.100000000000001" customHeight="1">
      <c r="A57" s="9">
        <v>1</v>
      </c>
      <c r="B57" s="10" t="s">
        <v>427</v>
      </c>
      <c r="C57" s="11" t="s">
        <v>428</v>
      </c>
      <c r="D57" s="14" t="s">
        <v>405</v>
      </c>
      <c r="E57" s="614">
        <v>270000</v>
      </c>
      <c r="F57" s="12"/>
    </row>
    <row r="58" spans="1:6" ht="20.100000000000001" customHeight="1">
      <c r="A58" s="9">
        <v>2</v>
      </c>
      <c r="B58" s="10" t="s">
        <v>429</v>
      </c>
      <c r="C58" s="11" t="s">
        <v>430</v>
      </c>
      <c r="D58" s="14" t="s">
        <v>335</v>
      </c>
      <c r="E58" s="614">
        <v>126000</v>
      </c>
      <c r="F58" s="12"/>
    </row>
    <row r="59" spans="1:6" ht="20.100000000000001" customHeight="1">
      <c r="A59" s="9"/>
      <c r="B59" s="19" t="s">
        <v>42</v>
      </c>
      <c r="C59" s="20">
        <v>2</v>
      </c>
      <c r="D59" s="20"/>
      <c r="E59" s="616">
        <f t="shared" ref="E59" si="1">SUM(E57:E58)</f>
        <v>396000</v>
      </c>
      <c r="F59" s="12"/>
    </row>
    <row r="60" spans="1:6" ht="20.100000000000001" customHeight="1">
      <c r="A60" s="9"/>
      <c r="B60" s="19"/>
      <c r="C60" s="20"/>
      <c r="D60" s="20"/>
      <c r="E60" s="617"/>
      <c r="F60" s="12"/>
    </row>
    <row r="61" spans="1:6" ht="20.100000000000001" customHeight="1">
      <c r="A61" s="9"/>
      <c r="B61" s="19" t="s">
        <v>60</v>
      </c>
      <c r="C61" s="20"/>
      <c r="D61" s="20"/>
      <c r="E61" s="617"/>
      <c r="F61" s="12"/>
    </row>
    <row r="62" spans="1:6" ht="20.100000000000001" customHeight="1">
      <c r="A62" s="9">
        <v>1</v>
      </c>
      <c r="B62" s="10" t="s">
        <v>431</v>
      </c>
      <c r="C62" s="16" t="s">
        <v>432</v>
      </c>
      <c r="D62" s="9" t="s">
        <v>405</v>
      </c>
      <c r="E62" s="614">
        <v>270000</v>
      </c>
      <c r="F62" s="12"/>
    </row>
    <row r="63" spans="1:6" ht="20.100000000000001" customHeight="1">
      <c r="A63" s="9">
        <v>2</v>
      </c>
      <c r="B63" s="330" t="s">
        <v>433</v>
      </c>
      <c r="C63" s="16" t="s">
        <v>434</v>
      </c>
      <c r="D63" s="14" t="s">
        <v>435</v>
      </c>
      <c r="E63" s="614">
        <v>126000</v>
      </c>
      <c r="F63" s="12"/>
    </row>
    <row r="64" spans="1:6" ht="20.100000000000001" customHeight="1">
      <c r="A64" s="9">
        <v>3</v>
      </c>
      <c r="B64" s="10" t="s">
        <v>436</v>
      </c>
      <c r="C64" s="3" t="s">
        <v>365</v>
      </c>
      <c r="D64" s="9" t="s">
        <v>369</v>
      </c>
      <c r="E64" s="614">
        <v>90000</v>
      </c>
      <c r="F64" s="12"/>
    </row>
    <row r="65" spans="1:6" ht="20.100000000000001" customHeight="1">
      <c r="A65" s="9">
        <v>4</v>
      </c>
      <c r="B65" s="17" t="s">
        <v>437</v>
      </c>
      <c r="C65" s="16" t="s">
        <v>231</v>
      </c>
      <c r="D65" s="14" t="s">
        <v>375</v>
      </c>
      <c r="E65" s="614">
        <v>90000</v>
      </c>
      <c r="F65" s="12"/>
    </row>
    <row r="66" spans="1:6" ht="20.100000000000001" customHeight="1">
      <c r="A66" s="9">
        <v>5</v>
      </c>
      <c r="B66" s="13" t="s">
        <v>438</v>
      </c>
      <c r="C66" s="16" t="s">
        <v>365</v>
      </c>
      <c r="D66" s="14" t="s">
        <v>363</v>
      </c>
      <c r="E66" s="614">
        <v>90000</v>
      </c>
      <c r="F66" s="12"/>
    </row>
    <row r="67" spans="1:6" ht="20.100000000000001" customHeight="1">
      <c r="A67" s="9">
        <v>7</v>
      </c>
      <c r="B67" s="10" t="s">
        <v>439</v>
      </c>
      <c r="C67" s="3" t="s">
        <v>64</v>
      </c>
      <c r="D67" s="9" t="s">
        <v>440</v>
      </c>
      <c r="E67" s="614">
        <v>68000</v>
      </c>
      <c r="F67" s="12"/>
    </row>
    <row r="68" spans="1:6" ht="20.100000000000001" customHeight="1">
      <c r="A68" s="9">
        <v>8</v>
      </c>
      <c r="B68" s="10" t="s">
        <v>441</v>
      </c>
      <c r="C68" s="16" t="s">
        <v>34</v>
      </c>
      <c r="D68" s="9" t="s">
        <v>440</v>
      </c>
      <c r="E68" s="614">
        <v>68000</v>
      </c>
      <c r="F68" s="12"/>
    </row>
    <row r="69" spans="1:6" ht="20.100000000000001" customHeight="1">
      <c r="A69" s="9">
        <v>9</v>
      </c>
      <c r="B69" s="10" t="s">
        <v>442</v>
      </c>
      <c r="C69" s="16" t="s">
        <v>34</v>
      </c>
      <c r="D69" s="9" t="s">
        <v>440</v>
      </c>
      <c r="E69" s="614">
        <v>68000</v>
      </c>
      <c r="F69" s="12"/>
    </row>
    <row r="70" spans="1:6" ht="20.100000000000001" customHeight="1">
      <c r="A70" s="9">
        <v>10</v>
      </c>
      <c r="B70" s="10" t="s">
        <v>443</v>
      </c>
      <c r="C70" s="3" t="s">
        <v>444</v>
      </c>
      <c r="D70" s="9" t="s">
        <v>380</v>
      </c>
      <c r="E70" s="614">
        <v>68000</v>
      </c>
      <c r="F70" s="12"/>
    </row>
    <row r="71" spans="1:6" ht="21.6" customHeight="1">
      <c r="A71" s="9">
        <v>11</v>
      </c>
      <c r="B71" s="10" t="s">
        <v>445</v>
      </c>
      <c r="C71" s="3" t="s">
        <v>64</v>
      </c>
      <c r="D71" s="9" t="s">
        <v>409</v>
      </c>
      <c r="E71" s="614">
        <v>68000</v>
      </c>
    </row>
    <row r="72" spans="1:6" ht="27" customHeight="1">
      <c r="A72" s="9"/>
      <c r="B72" s="19" t="s">
        <v>42</v>
      </c>
      <c r="C72" s="20">
        <v>12</v>
      </c>
      <c r="D72" s="20"/>
      <c r="E72" s="78">
        <f>SUM(E62:E71)</f>
        <v>1006000</v>
      </c>
      <c r="F72" s="12"/>
    </row>
    <row r="73" spans="1:6" ht="20.100000000000001" customHeight="1">
      <c r="A73" s="9"/>
      <c r="B73" s="21"/>
      <c r="C73" s="20"/>
      <c r="D73" s="20"/>
      <c r="E73" s="617"/>
      <c r="F73" s="12"/>
    </row>
    <row r="74" spans="1:6" ht="20.100000000000001" customHeight="1">
      <c r="A74" s="9"/>
      <c r="B74" s="19" t="s">
        <v>65</v>
      </c>
      <c r="C74" s="20"/>
      <c r="D74" s="20"/>
      <c r="E74" s="617"/>
      <c r="F74" s="12"/>
    </row>
    <row r="75" spans="1:6" ht="20.100000000000001" customHeight="1">
      <c r="A75" s="9">
        <v>1</v>
      </c>
      <c r="B75" s="10" t="s">
        <v>446</v>
      </c>
      <c r="C75" s="3" t="s">
        <v>447</v>
      </c>
      <c r="D75" s="9" t="s">
        <v>405</v>
      </c>
      <c r="E75" s="614">
        <v>270000</v>
      </c>
      <c r="F75" s="12"/>
    </row>
    <row r="76" spans="1:6" ht="20.100000000000001" customHeight="1">
      <c r="A76" s="9">
        <v>2</v>
      </c>
      <c r="B76" s="13" t="s">
        <v>331</v>
      </c>
      <c r="C76" s="3" t="s">
        <v>76</v>
      </c>
      <c r="D76" s="14" t="s">
        <v>332</v>
      </c>
      <c r="E76" s="614">
        <v>126000</v>
      </c>
      <c r="F76" s="12"/>
    </row>
    <row r="77" spans="1:6" ht="20.100000000000001" customHeight="1">
      <c r="A77" s="9">
        <v>3</v>
      </c>
      <c r="B77" s="17" t="s">
        <v>333</v>
      </c>
      <c r="C77" s="11" t="s">
        <v>334</v>
      </c>
      <c r="D77" s="9" t="s">
        <v>335</v>
      </c>
      <c r="E77" s="614">
        <v>126000</v>
      </c>
      <c r="F77" s="12"/>
    </row>
    <row r="78" spans="1:6" ht="20.100000000000001" customHeight="1">
      <c r="A78" s="9">
        <v>4</v>
      </c>
      <c r="B78" s="10" t="s">
        <v>448</v>
      </c>
      <c r="C78" s="3" t="s">
        <v>449</v>
      </c>
      <c r="D78" s="14" t="s">
        <v>450</v>
      </c>
      <c r="E78" s="614">
        <v>90000</v>
      </c>
      <c r="F78" s="12"/>
    </row>
    <row r="79" spans="1:6" ht="20.100000000000001" customHeight="1">
      <c r="A79" s="9">
        <v>5</v>
      </c>
      <c r="B79" s="10" t="s">
        <v>451</v>
      </c>
      <c r="C79" s="3" t="s">
        <v>452</v>
      </c>
      <c r="D79" s="9" t="s">
        <v>453</v>
      </c>
      <c r="E79" s="614">
        <v>68000</v>
      </c>
      <c r="F79" s="12"/>
    </row>
    <row r="80" spans="1:6" ht="20.100000000000001" customHeight="1">
      <c r="A80" s="9">
        <v>6</v>
      </c>
      <c r="B80" s="10" t="s">
        <v>454</v>
      </c>
      <c r="C80" s="3" t="s">
        <v>452</v>
      </c>
      <c r="D80" s="9" t="s">
        <v>391</v>
      </c>
      <c r="E80" s="614">
        <v>54000</v>
      </c>
      <c r="F80" s="12"/>
    </row>
    <row r="81" spans="1:6" ht="20.100000000000001" customHeight="1">
      <c r="A81" s="9">
        <v>7</v>
      </c>
      <c r="B81" s="10" t="s">
        <v>455</v>
      </c>
      <c r="C81" s="3" t="s">
        <v>456</v>
      </c>
      <c r="D81" s="9" t="s">
        <v>402</v>
      </c>
      <c r="E81" s="614">
        <v>54000</v>
      </c>
      <c r="F81" s="12"/>
    </row>
    <row r="82" spans="1:6" ht="20.100000000000001" customHeight="1">
      <c r="A82" s="9"/>
      <c r="B82" s="19" t="s">
        <v>42</v>
      </c>
      <c r="C82" s="20">
        <v>7</v>
      </c>
      <c r="D82" s="20"/>
      <c r="E82" s="616">
        <f t="shared" ref="E82" si="2">SUM(E75:E81)</f>
        <v>788000</v>
      </c>
      <c r="F82" s="12"/>
    </row>
    <row r="83" spans="1:6" ht="20.100000000000001" customHeight="1">
      <c r="A83" s="9"/>
      <c r="B83" s="19"/>
      <c r="C83" s="20"/>
      <c r="D83" s="20"/>
      <c r="E83" s="614"/>
      <c r="F83" s="12"/>
    </row>
    <row r="84" spans="1:6" ht="20.100000000000001" customHeight="1">
      <c r="A84" s="9"/>
      <c r="B84" s="19" t="s">
        <v>74</v>
      </c>
      <c r="C84" s="24"/>
      <c r="D84" s="20"/>
      <c r="E84" s="614"/>
      <c r="F84" s="12"/>
    </row>
    <row r="85" spans="1:6" ht="20.100000000000001" customHeight="1">
      <c r="A85" s="9">
        <v>1</v>
      </c>
      <c r="B85" s="10" t="s">
        <v>457</v>
      </c>
      <c r="C85" s="3" t="s">
        <v>418</v>
      </c>
      <c r="D85" s="9" t="s">
        <v>358</v>
      </c>
      <c r="E85" s="614">
        <v>126000</v>
      </c>
      <c r="F85" s="12"/>
    </row>
    <row r="86" spans="1:6" ht="20.100000000000001" customHeight="1">
      <c r="A86" s="9">
        <v>2</v>
      </c>
      <c r="B86" s="10" t="s">
        <v>458</v>
      </c>
      <c r="C86" s="3" t="s">
        <v>418</v>
      </c>
      <c r="D86" s="9" t="s">
        <v>358</v>
      </c>
      <c r="E86" s="614">
        <v>126000</v>
      </c>
      <c r="F86" s="12"/>
    </row>
    <row r="87" spans="1:6" ht="20.100000000000001" customHeight="1">
      <c r="A87" s="9">
        <v>3</v>
      </c>
      <c r="B87" s="10" t="s">
        <v>459</v>
      </c>
      <c r="C87" s="3" t="s">
        <v>418</v>
      </c>
      <c r="D87" s="9" t="s">
        <v>99</v>
      </c>
      <c r="E87" s="614">
        <v>126000</v>
      </c>
      <c r="F87" s="12"/>
    </row>
    <row r="88" spans="1:6" ht="21.6" customHeight="1">
      <c r="A88" s="9">
        <v>4</v>
      </c>
      <c r="B88" s="10" t="s">
        <v>460</v>
      </c>
      <c r="C88" s="3" t="s">
        <v>461</v>
      </c>
      <c r="D88" s="14" t="s">
        <v>372</v>
      </c>
      <c r="E88" s="614">
        <v>90000</v>
      </c>
      <c r="F88" s="12"/>
    </row>
    <row r="89" spans="1:6" ht="21.6" customHeight="1">
      <c r="A89" s="9">
        <v>5</v>
      </c>
      <c r="B89" s="10" t="s">
        <v>462</v>
      </c>
      <c r="C89" s="11" t="s">
        <v>231</v>
      </c>
      <c r="D89" s="14" t="s">
        <v>375</v>
      </c>
      <c r="E89" s="614">
        <v>90000</v>
      </c>
      <c r="F89" s="12"/>
    </row>
    <row r="90" spans="1:6" ht="21.6" customHeight="1">
      <c r="A90" s="9">
        <v>6</v>
      </c>
      <c r="B90" s="10" t="s">
        <v>463</v>
      </c>
      <c r="C90" s="11" t="s">
        <v>365</v>
      </c>
      <c r="D90" s="14" t="s">
        <v>29</v>
      </c>
      <c r="E90" s="614">
        <v>90000</v>
      </c>
      <c r="F90" s="12"/>
    </row>
    <row r="91" spans="1:6" ht="21.6" customHeight="1">
      <c r="A91" s="9">
        <v>7</v>
      </c>
      <c r="B91" s="10" t="s">
        <v>464</v>
      </c>
      <c r="C91" s="16" t="s">
        <v>34</v>
      </c>
      <c r="D91" s="14" t="s">
        <v>440</v>
      </c>
      <c r="E91" s="614">
        <v>68000</v>
      </c>
      <c r="F91" s="12"/>
    </row>
    <row r="92" spans="1:6" ht="21.6" customHeight="1">
      <c r="A92" s="9">
        <v>8</v>
      </c>
      <c r="B92" s="10" t="s">
        <v>465</v>
      </c>
      <c r="C92" s="16" t="s">
        <v>231</v>
      </c>
      <c r="D92" s="14" t="s">
        <v>81</v>
      </c>
      <c r="E92" s="614">
        <v>90000</v>
      </c>
      <c r="F92" s="12"/>
    </row>
    <row r="93" spans="1:6" ht="21.6" customHeight="1">
      <c r="A93" s="9">
        <v>9</v>
      </c>
      <c r="B93" s="10" t="s">
        <v>466</v>
      </c>
      <c r="C93" s="3" t="s">
        <v>467</v>
      </c>
      <c r="D93" s="9" t="s">
        <v>409</v>
      </c>
      <c r="E93" s="614">
        <v>68000</v>
      </c>
      <c r="F93" s="12"/>
    </row>
    <row r="94" spans="1:6" ht="21.6" customHeight="1">
      <c r="A94" s="9">
        <v>10</v>
      </c>
      <c r="B94" s="10" t="s">
        <v>468</v>
      </c>
      <c r="C94" s="16" t="s">
        <v>469</v>
      </c>
      <c r="D94" s="14" t="s">
        <v>399</v>
      </c>
      <c r="E94" s="614">
        <v>54000</v>
      </c>
      <c r="F94" s="12"/>
    </row>
    <row r="95" spans="1:6" ht="20.100000000000001" customHeight="1">
      <c r="A95" s="9"/>
      <c r="B95" s="19" t="s">
        <v>42</v>
      </c>
      <c r="C95" s="20">
        <v>11</v>
      </c>
      <c r="D95" s="20"/>
      <c r="E95" s="616">
        <f>SUM(E85:E94)</f>
        <v>928000</v>
      </c>
      <c r="F95" s="12"/>
    </row>
    <row r="96" spans="1:6" ht="20.100000000000001" customHeight="1">
      <c r="A96" s="9"/>
      <c r="B96" s="21"/>
      <c r="C96" s="20"/>
      <c r="D96" s="20"/>
      <c r="E96" s="617"/>
      <c r="F96" s="12"/>
    </row>
    <row r="97" spans="1:6" ht="20.100000000000001" customHeight="1">
      <c r="A97" s="9"/>
      <c r="B97" s="19" t="s">
        <v>84</v>
      </c>
      <c r="C97" s="20"/>
      <c r="D97" s="20"/>
      <c r="E97" s="617"/>
      <c r="F97" s="12"/>
    </row>
    <row r="98" spans="1:6" ht="20.100000000000001" customHeight="1">
      <c r="A98" s="9">
        <v>1</v>
      </c>
      <c r="B98" s="13" t="s">
        <v>470</v>
      </c>
      <c r="C98" s="3" t="s">
        <v>471</v>
      </c>
      <c r="D98" s="15" t="s">
        <v>472</v>
      </c>
      <c r="E98" s="614">
        <v>270000</v>
      </c>
      <c r="F98" s="12"/>
    </row>
    <row r="99" spans="1:6" ht="20.100000000000001" customHeight="1">
      <c r="A99" s="9">
        <v>2</v>
      </c>
      <c r="B99" s="10" t="s">
        <v>473</v>
      </c>
      <c r="C99" s="3" t="s">
        <v>474</v>
      </c>
      <c r="D99" s="14" t="s">
        <v>450</v>
      </c>
      <c r="E99" s="614">
        <v>90000</v>
      </c>
      <c r="F99" s="12"/>
    </row>
    <row r="100" spans="1:6" ht="20.100000000000001" customHeight="1">
      <c r="A100" s="9">
        <v>3</v>
      </c>
      <c r="B100" s="10" t="s">
        <v>475</v>
      </c>
      <c r="C100" s="3" t="s">
        <v>476</v>
      </c>
      <c r="D100" s="14" t="s">
        <v>380</v>
      </c>
      <c r="E100" s="614">
        <v>68000</v>
      </c>
      <c r="F100" s="12"/>
    </row>
    <row r="101" spans="1:6" ht="20.100000000000001" customHeight="1">
      <c r="A101" s="9">
        <v>4</v>
      </c>
      <c r="B101" s="10" t="s">
        <v>477</v>
      </c>
      <c r="C101" s="3" t="s">
        <v>478</v>
      </c>
      <c r="D101" s="14" t="s">
        <v>409</v>
      </c>
      <c r="E101" s="614">
        <v>68000</v>
      </c>
      <c r="F101" s="12"/>
    </row>
    <row r="102" spans="1:6" ht="20.100000000000001" customHeight="1">
      <c r="A102" s="3"/>
      <c r="B102" s="19" t="s">
        <v>42</v>
      </c>
      <c r="C102" s="20">
        <v>4</v>
      </c>
      <c r="D102" s="25"/>
      <c r="E102" s="78">
        <f t="shared" ref="E102" si="3">SUM(E98:E101)</f>
        <v>496000</v>
      </c>
      <c r="F102" s="12"/>
    </row>
    <row r="103" spans="1:6" ht="20.100000000000001" customHeight="1">
      <c r="A103" s="3"/>
      <c r="B103" s="21"/>
      <c r="C103" s="20"/>
      <c r="D103" s="25"/>
      <c r="E103" s="617"/>
      <c r="F103" s="12"/>
    </row>
    <row r="104" spans="1:6" ht="20.100000000000001" customHeight="1">
      <c r="A104" s="3"/>
      <c r="B104" s="19" t="s">
        <v>479</v>
      </c>
      <c r="C104" s="3"/>
      <c r="D104" s="3"/>
      <c r="E104" s="618"/>
      <c r="F104" s="12"/>
    </row>
    <row r="105" spans="1:6" ht="20.100000000000001" customHeight="1">
      <c r="A105" s="3">
        <v>1</v>
      </c>
      <c r="B105" s="10" t="s">
        <v>480</v>
      </c>
      <c r="C105" s="11" t="s">
        <v>481</v>
      </c>
      <c r="D105" s="14" t="s">
        <v>405</v>
      </c>
      <c r="E105" s="614">
        <v>270000</v>
      </c>
      <c r="F105" s="12"/>
    </row>
    <row r="106" spans="1:6" ht="20.100000000000001" customHeight="1">
      <c r="A106" s="3">
        <v>2</v>
      </c>
      <c r="B106" s="10" t="s">
        <v>482</v>
      </c>
      <c r="C106" s="3" t="s">
        <v>483</v>
      </c>
      <c r="D106" s="15" t="s">
        <v>340</v>
      </c>
      <c r="E106" s="614">
        <v>180000</v>
      </c>
      <c r="F106" s="12"/>
    </row>
    <row r="107" spans="1:6" ht="20.100000000000001" customHeight="1">
      <c r="A107" s="3">
        <v>3</v>
      </c>
      <c r="B107" s="10" t="s">
        <v>484</v>
      </c>
      <c r="C107" s="3" t="s">
        <v>485</v>
      </c>
      <c r="D107" s="9" t="s">
        <v>372</v>
      </c>
      <c r="E107" s="614">
        <v>90000</v>
      </c>
      <c r="F107" s="12"/>
    </row>
    <row r="108" spans="1:6" ht="20.100000000000001" customHeight="1">
      <c r="A108" s="3">
        <v>4</v>
      </c>
      <c r="B108" s="10" t="s">
        <v>486</v>
      </c>
      <c r="C108" s="3" t="s">
        <v>485</v>
      </c>
      <c r="D108" s="9" t="s">
        <v>372</v>
      </c>
      <c r="E108" s="614">
        <v>90000</v>
      </c>
      <c r="F108" s="12"/>
    </row>
    <row r="109" spans="1:6" ht="20.100000000000001" customHeight="1">
      <c r="A109" s="3">
        <v>5</v>
      </c>
      <c r="B109" s="10" t="s">
        <v>487</v>
      </c>
      <c r="C109" s="3" t="s">
        <v>488</v>
      </c>
      <c r="D109" s="14" t="s">
        <v>489</v>
      </c>
      <c r="E109" s="614">
        <v>54000</v>
      </c>
      <c r="F109" s="12"/>
    </row>
    <row r="110" spans="1:6" ht="20.100000000000001" customHeight="1">
      <c r="A110" s="3">
        <v>6</v>
      </c>
      <c r="B110" s="17" t="s">
        <v>490</v>
      </c>
      <c r="C110" s="3" t="s">
        <v>488</v>
      </c>
      <c r="D110" s="9" t="s">
        <v>491</v>
      </c>
      <c r="E110" s="614">
        <v>54000</v>
      </c>
      <c r="F110" s="12"/>
    </row>
    <row r="111" spans="1:6" ht="20.100000000000001" customHeight="1">
      <c r="A111" s="3">
        <v>7</v>
      </c>
      <c r="B111" s="17" t="s">
        <v>492</v>
      </c>
      <c r="C111" s="3" t="s">
        <v>488</v>
      </c>
      <c r="D111" s="14" t="s">
        <v>399</v>
      </c>
      <c r="E111" s="614">
        <v>54000</v>
      </c>
      <c r="F111" s="12"/>
    </row>
    <row r="112" spans="1:6" ht="25.5" customHeight="1">
      <c r="A112" s="3"/>
      <c r="B112" s="19" t="s">
        <v>42</v>
      </c>
      <c r="C112" s="20">
        <v>7</v>
      </c>
      <c r="D112" s="3"/>
      <c r="E112" s="619">
        <f t="shared" ref="E112" si="4">SUM(E105:E111)</f>
        <v>792000</v>
      </c>
      <c r="F112" s="12"/>
    </row>
    <row r="113" spans="1:6" ht="20.100000000000001" customHeight="1">
      <c r="A113" s="3"/>
      <c r="B113" s="19"/>
      <c r="C113" s="20"/>
      <c r="D113" s="3"/>
      <c r="E113" s="619"/>
      <c r="F113" s="12"/>
    </row>
    <row r="114" spans="1:6" ht="20.100000000000001" customHeight="1">
      <c r="A114" s="9"/>
      <c r="B114" s="19" t="s">
        <v>242</v>
      </c>
      <c r="C114" s="20"/>
      <c r="D114" s="20"/>
      <c r="E114" s="617"/>
      <c r="F114" s="12"/>
    </row>
    <row r="115" spans="1:6" ht="20.100000000000001" customHeight="1">
      <c r="A115" s="9">
        <v>1</v>
      </c>
      <c r="B115" s="13" t="s">
        <v>493</v>
      </c>
      <c r="C115" s="3" t="s">
        <v>418</v>
      </c>
      <c r="D115" s="9" t="s">
        <v>435</v>
      </c>
      <c r="E115" s="614">
        <v>126000</v>
      </c>
      <c r="F115" s="12"/>
    </row>
    <row r="116" spans="1:6" ht="18.75" customHeight="1">
      <c r="A116" s="9">
        <v>2</v>
      </c>
      <c r="B116" s="10" t="s">
        <v>494</v>
      </c>
      <c r="C116" s="3" t="s">
        <v>495</v>
      </c>
      <c r="D116" s="14" t="s">
        <v>380</v>
      </c>
      <c r="E116" s="614">
        <v>68000</v>
      </c>
      <c r="F116" s="12"/>
    </row>
    <row r="117" spans="1:6" ht="20.100000000000001" customHeight="1">
      <c r="A117" s="9">
        <v>3</v>
      </c>
      <c r="B117" s="10" t="s">
        <v>496</v>
      </c>
      <c r="C117" s="11" t="s">
        <v>497</v>
      </c>
      <c r="D117" s="14" t="s">
        <v>498</v>
      </c>
      <c r="E117" s="614">
        <v>68000</v>
      </c>
      <c r="F117" s="12"/>
    </row>
    <row r="118" spans="1:6" ht="24.75" customHeight="1">
      <c r="A118" s="3"/>
      <c r="B118" s="19" t="s">
        <v>42</v>
      </c>
      <c r="C118" s="20">
        <v>2</v>
      </c>
      <c r="D118" s="25"/>
      <c r="E118" s="78">
        <f t="shared" ref="E118" si="5">SUM(E115:E117)</f>
        <v>262000</v>
      </c>
      <c r="F118" s="12"/>
    </row>
    <row r="119" spans="1:6" ht="20.100000000000001" customHeight="1">
      <c r="A119" s="3"/>
      <c r="B119" s="21"/>
      <c r="C119" s="9"/>
      <c r="D119" s="3"/>
      <c r="E119" s="620"/>
      <c r="F119" s="12"/>
    </row>
    <row r="120" spans="1:6" ht="20.100000000000001" customHeight="1">
      <c r="A120" s="3"/>
      <c r="B120" s="19" t="s">
        <v>97</v>
      </c>
      <c r="C120" s="20"/>
      <c r="D120" s="20"/>
      <c r="E120" s="614"/>
      <c r="F120" s="12"/>
    </row>
    <row r="121" spans="1:6" ht="20.100000000000001" customHeight="1">
      <c r="A121" s="3">
        <v>1</v>
      </c>
      <c r="B121" s="10" t="s">
        <v>499</v>
      </c>
      <c r="C121" s="11" t="s">
        <v>500</v>
      </c>
      <c r="D121" s="14" t="s">
        <v>405</v>
      </c>
      <c r="E121" s="614">
        <v>270000</v>
      </c>
      <c r="F121" s="12"/>
    </row>
    <row r="122" spans="1:6" ht="20.100000000000001" customHeight="1">
      <c r="A122" s="3">
        <v>2</v>
      </c>
      <c r="B122" s="10" t="s">
        <v>178</v>
      </c>
      <c r="C122" s="11" t="s">
        <v>501</v>
      </c>
      <c r="D122" s="14" t="s">
        <v>416</v>
      </c>
      <c r="E122" s="614">
        <v>180000</v>
      </c>
      <c r="F122" s="12"/>
    </row>
    <row r="123" spans="1:6" ht="20.100000000000001" customHeight="1">
      <c r="A123" s="3">
        <v>3</v>
      </c>
      <c r="B123" s="13" t="s">
        <v>502</v>
      </c>
      <c r="C123" s="11" t="s">
        <v>337</v>
      </c>
      <c r="D123" s="14" t="s">
        <v>358</v>
      </c>
      <c r="E123" s="614">
        <v>126000</v>
      </c>
      <c r="F123" s="12"/>
    </row>
    <row r="124" spans="1:6" ht="20.100000000000001" customHeight="1">
      <c r="A124" s="3">
        <v>4</v>
      </c>
      <c r="B124" s="13" t="s">
        <v>336</v>
      </c>
      <c r="C124" s="11" t="s">
        <v>337</v>
      </c>
      <c r="D124" s="14" t="s">
        <v>99</v>
      </c>
      <c r="E124" s="614">
        <v>126000</v>
      </c>
      <c r="F124" s="12"/>
    </row>
    <row r="125" spans="1:6" ht="20.100000000000001" customHeight="1">
      <c r="A125" s="3">
        <v>5</v>
      </c>
      <c r="B125" s="10" t="s">
        <v>503</v>
      </c>
      <c r="C125" s="11" t="s">
        <v>504</v>
      </c>
      <c r="D125" s="14" t="s">
        <v>366</v>
      </c>
      <c r="E125" s="614">
        <v>90000</v>
      </c>
      <c r="F125" s="12"/>
    </row>
    <row r="126" spans="1:6" ht="20.100000000000001" customHeight="1">
      <c r="A126" s="3">
        <v>6</v>
      </c>
      <c r="B126" s="10" t="s">
        <v>505</v>
      </c>
      <c r="C126" s="11" t="s">
        <v>506</v>
      </c>
      <c r="D126" s="14" t="s">
        <v>369</v>
      </c>
      <c r="E126" s="614">
        <v>90000</v>
      </c>
      <c r="F126" s="12"/>
    </row>
    <row r="127" spans="1:6" ht="20.100000000000001" customHeight="1">
      <c r="A127" s="3">
        <v>7</v>
      </c>
      <c r="B127" s="10" t="s">
        <v>507</v>
      </c>
      <c r="C127" s="11" t="s">
        <v>504</v>
      </c>
      <c r="D127" s="14" t="s">
        <v>450</v>
      </c>
      <c r="E127" s="614">
        <v>90000</v>
      </c>
      <c r="F127" s="12"/>
    </row>
    <row r="128" spans="1:6" ht="20.100000000000001" customHeight="1">
      <c r="A128" s="3">
        <v>8</v>
      </c>
      <c r="B128" s="10" t="s">
        <v>508</v>
      </c>
      <c r="C128" s="11" t="s">
        <v>509</v>
      </c>
      <c r="D128" s="9" t="s">
        <v>387</v>
      </c>
      <c r="E128" s="614">
        <v>54000</v>
      </c>
      <c r="F128" s="12"/>
    </row>
    <row r="129" spans="1:6" ht="20.100000000000001" customHeight="1">
      <c r="A129" s="3">
        <v>9</v>
      </c>
      <c r="B129" s="17" t="s">
        <v>510</v>
      </c>
      <c r="C129" s="11" t="s">
        <v>511</v>
      </c>
      <c r="D129" s="14" t="s">
        <v>402</v>
      </c>
      <c r="E129" s="614">
        <v>54000</v>
      </c>
      <c r="F129" s="12"/>
    </row>
    <row r="130" spans="1:6" ht="20.100000000000001" customHeight="1">
      <c r="A130" s="3">
        <v>10</v>
      </c>
      <c r="B130" s="17" t="s">
        <v>512</v>
      </c>
      <c r="C130" s="11" t="s">
        <v>248</v>
      </c>
      <c r="D130" s="14" t="s">
        <v>402</v>
      </c>
      <c r="E130" s="614">
        <v>54000</v>
      </c>
      <c r="F130" s="12"/>
    </row>
    <row r="131" spans="1:6" ht="28.5" customHeight="1">
      <c r="A131" s="3"/>
      <c r="B131" s="19" t="s">
        <v>42</v>
      </c>
      <c r="C131" s="25" t="s">
        <v>513</v>
      </c>
      <c r="D131" s="14"/>
      <c r="E131" s="617">
        <f t="shared" ref="E131" si="6">SUM(E121:E130)</f>
        <v>1134000</v>
      </c>
      <c r="F131" s="12"/>
    </row>
    <row r="132" spans="1:6" ht="20.100000000000001" customHeight="1">
      <c r="A132" s="3"/>
      <c r="B132" s="21"/>
      <c r="C132" s="25"/>
      <c r="D132" s="14"/>
      <c r="E132" s="617"/>
      <c r="F132" s="12"/>
    </row>
    <row r="133" spans="1:6" ht="20.100000000000001" customHeight="1">
      <c r="A133" s="3"/>
      <c r="B133" s="19" t="s">
        <v>103</v>
      </c>
      <c r="C133" s="11"/>
      <c r="D133" s="14"/>
      <c r="E133" s="614"/>
      <c r="F133" s="12"/>
    </row>
    <row r="134" spans="1:6" ht="20.100000000000001" customHeight="1">
      <c r="A134" s="26">
        <v>1</v>
      </c>
      <c r="B134" s="10" t="s">
        <v>514</v>
      </c>
      <c r="C134" s="11" t="s">
        <v>515</v>
      </c>
      <c r="D134" s="14" t="s">
        <v>405</v>
      </c>
      <c r="E134" s="614">
        <v>270000</v>
      </c>
      <c r="F134" s="12"/>
    </row>
    <row r="135" spans="1:6" ht="20.100000000000001" customHeight="1">
      <c r="A135" s="26">
        <v>2</v>
      </c>
      <c r="B135" s="10" t="s">
        <v>338</v>
      </c>
      <c r="C135" s="11" t="s">
        <v>339</v>
      </c>
      <c r="D135" s="14" t="s">
        <v>340</v>
      </c>
      <c r="E135" s="614">
        <v>180000</v>
      </c>
      <c r="F135" s="12"/>
    </row>
    <row r="136" spans="1:6" ht="20.100000000000001" customHeight="1">
      <c r="A136" s="26">
        <v>3</v>
      </c>
      <c r="B136" s="13" t="s">
        <v>516</v>
      </c>
      <c r="C136" s="3" t="s">
        <v>517</v>
      </c>
      <c r="D136" s="15" t="s">
        <v>340</v>
      </c>
      <c r="E136" s="614">
        <v>180000</v>
      </c>
      <c r="F136" s="12"/>
    </row>
    <row r="137" spans="1:6" ht="20.100000000000001" customHeight="1">
      <c r="A137" s="26">
        <v>4</v>
      </c>
      <c r="B137" s="10" t="s">
        <v>518</v>
      </c>
      <c r="C137" s="11" t="s">
        <v>519</v>
      </c>
      <c r="D137" s="14" t="s">
        <v>363</v>
      </c>
      <c r="E137" s="614">
        <v>90000</v>
      </c>
      <c r="F137" s="12"/>
    </row>
    <row r="138" spans="1:6" ht="20.100000000000001" customHeight="1">
      <c r="A138" s="26">
        <v>5</v>
      </c>
      <c r="B138" s="10" t="s">
        <v>520</v>
      </c>
      <c r="C138" s="3" t="s">
        <v>521</v>
      </c>
      <c r="D138" s="14" t="s">
        <v>363</v>
      </c>
      <c r="E138" s="614">
        <v>90000</v>
      </c>
      <c r="F138" s="12"/>
    </row>
    <row r="139" spans="1:6" ht="20.100000000000001" customHeight="1">
      <c r="A139" s="26">
        <v>6</v>
      </c>
      <c r="B139" s="10" t="s">
        <v>522</v>
      </c>
      <c r="C139" s="3" t="s">
        <v>521</v>
      </c>
      <c r="D139" s="14" t="s">
        <v>363</v>
      </c>
      <c r="E139" s="614">
        <v>90000</v>
      </c>
      <c r="F139" s="12"/>
    </row>
    <row r="140" spans="1:6" ht="20.100000000000001" customHeight="1">
      <c r="A140" s="26">
        <v>7</v>
      </c>
      <c r="B140" s="10" t="s">
        <v>523</v>
      </c>
      <c r="C140" s="11" t="s">
        <v>524</v>
      </c>
      <c r="D140" s="14" t="s">
        <v>498</v>
      </c>
      <c r="E140" s="614">
        <v>68000</v>
      </c>
      <c r="F140" s="12"/>
    </row>
    <row r="141" spans="1:6" ht="20.100000000000001" customHeight="1">
      <c r="A141" s="26">
        <v>8</v>
      </c>
      <c r="B141" s="10" t="s">
        <v>525</v>
      </c>
      <c r="C141" s="11" t="s">
        <v>524</v>
      </c>
      <c r="D141" s="14" t="s">
        <v>498</v>
      </c>
      <c r="E141" s="614">
        <v>68000</v>
      </c>
      <c r="F141" s="12"/>
    </row>
    <row r="142" spans="1:6" ht="20.100000000000001" customHeight="1">
      <c r="A142" s="26">
        <v>9</v>
      </c>
      <c r="B142" s="10" t="s">
        <v>526</v>
      </c>
      <c r="C142" s="3" t="s">
        <v>527</v>
      </c>
      <c r="D142" s="14" t="s">
        <v>498</v>
      </c>
      <c r="E142" s="614">
        <v>68000</v>
      </c>
      <c r="F142" s="12"/>
    </row>
    <row r="143" spans="1:6" ht="20.100000000000001" customHeight="1">
      <c r="A143" s="26">
        <v>10</v>
      </c>
      <c r="B143" s="10" t="s">
        <v>528</v>
      </c>
      <c r="C143" s="11" t="s">
        <v>529</v>
      </c>
      <c r="D143" s="14" t="s">
        <v>380</v>
      </c>
      <c r="E143" s="614">
        <v>68000</v>
      </c>
      <c r="F143" s="12"/>
    </row>
    <row r="144" spans="1:6" ht="20.100000000000001" customHeight="1">
      <c r="A144" s="26">
        <v>11</v>
      </c>
      <c r="B144" s="10" t="s">
        <v>530</v>
      </c>
      <c r="C144" s="11" t="s">
        <v>531</v>
      </c>
      <c r="D144" s="14" t="s">
        <v>440</v>
      </c>
      <c r="E144" s="614">
        <v>68000</v>
      </c>
      <c r="F144" s="12"/>
    </row>
    <row r="145" spans="1:6" ht="20.100000000000001" customHeight="1">
      <c r="A145" s="26">
        <v>12</v>
      </c>
      <c r="B145" s="10" t="s">
        <v>532</v>
      </c>
      <c r="C145" s="11" t="s">
        <v>533</v>
      </c>
      <c r="D145" s="14" t="s">
        <v>498</v>
      </c>
      <c r="E145" s="614">
        <v>68000</v>
      </c>
      <c r="F145" s="12"/>
    </row>
    <row r="146" spans="1:6" ht="20.100000000000001" customHeight="1">
      <c r="A146" s="26">
        <v>13</v>
      </c>
      <c r="B146" s="17" t="s">
        <v>534</v>
      </c>
      <c r="C146" s="3" t="s">
        <v>535</v>
      </c>
      <c r="D146" s="14" t="s">
        <v>32</v>
      </c>
      <c r="E146" s="614">
        <v>68000</v>
      </c>
      <c r="F146" s="12"/>
    </row>
    <row r="147" spans="1:6" ht="20.100000000000001" customHeight="1">
      <c r="A147" s="26">
        <v>14</v>
      </c>
      <c r="B147" s="10" t="s">
        <v>536</v>
      </c>
      <c r="C147" s="3" t="s">
        <v>537</v>
      </c>
      <c r="D147" s="14" t="s">
        <v>453</v>
      </c>
      <c r="E147" s="614">
        <v>68000</v>
      </c>
      <c r="F147" s="12"/>
    </row>
    <row r="148" spans="1:6" ht="20.100000000000001" customHeight="1">
      <c r="A148" s="26">
        <v>15</v>
      </c>
      <c r="B148" s="10" t="s">
        <v>538</v>
      </c>
      <c r="C148" s="3" t="s">
        <v>537</v>
      </c>
      <c r="D148" s="14" t="s">
        <v>539</v>
      </c>
      <c r="E148" s="614">
        <v>68000</v>
      </c>
      <c r="F148" s="12"/>
    </row>
    <row r="149" spans="1:6" ht="20.100000000000001" customHeight="1">
      <c r="A149" s="26">
        <v>16</v>
      </c>
      <c r="B149" s="10" t="s">
        <v>540</v>
      </c>
      <c r="C149" s="3" t="s">
        <v>537</v>
      </c>
      <c r="D149" s="14" t="s">
        <v>539</v>
      </c>
      <c r="E149" s="614">
        <v>68000</v>
      </c>
      <c r="F149" s="12"/>
    </row>
    <row r="150" spans="1:6" ht="20.100000000000001" customHeight="1">
      <c r="A150" s="26">
        <v>17</v>
      </c>
      <c r="B150" s="10" t="s">
        <v>541</v>
      </c>
      <c r="C150" s="11" t="s">
        <v>542</v>
      </c>
      <c r="D150" s="14" t="s">
        <v>409</v>
      </c>
      <c r="E150" s="614">
        <v>68000</v>
      </c>
      <c r="F150" s="12"/>
    </row>
    <row r="151" spans="1:6" ht="20.100000000000001" customHeight="1">
      <c r="A151" s="26">
        <v>18</v>
      </c>
      <c r="B151" s="10" t="s">
        <v>543</v>
      </c>
      <c r="C151" s="11" t="s">
        <v>544</v>
      </c>
      <c r="D151" s="9" t="s">
        <v>391</v>
      </c>
      <c r="E151" s="614">
        <v>54000</v>
      </c>
      <c r="F151" s="12"/>
    </row>
    <row r="152" spans="1:6" ht="20.100000000000001" customHeight="1">
      <c r="A152" s="26">
        <v>19</v>
      </c>
      <c r="B152" s="10" t="s">
        <v>545</v>
      </c>
      <c r="C152" s="11" t="s">
        <v>546</v>
      </c>
      <c r="D152" s="14" t="s">
        <v>453</v>
      </c>
      <c r="E152" s="614">
        <v>68000</v>
      </c>
      <c r="F152" s="12"/>
    </row>
    <row r="153" spans="1:6" ht="20.100000000000001" customHeight="1">
      <c r="A153" s="26">
        <v>20</v>
      </c>
      <c r="B153" s="10" t="s">
        <v>547</v>
      </c>
      <c r="C153" s="11" t="s">
        <v>548</v>
      </c>
      <c r="D153" s="14" t="s">
        <v>387</v>
      </c>
      <c r="E153" s="614">
        <v>54000</v>
      </c>
      <c r="F153" s="12"/>
    </row>
    <row r="154" spans="1:6" ht="20.100000000000001" customHeight="1">
      <c r="A154" s="26">
        <v>21</v>
      </c>
      <c r="B154" s="10" t="s">
        <v>549</v>
      </c>
      <c r="C154" s="11" t="s">
        <v>550</v>
      </c>
      <c r="D154" s="14" t="s">
        <v>453</v>
      </c>
      <c r="E154" s="614">
        <v>68000</v>
      </c>
      <c r="F154" s="12"/>
    </row>
    <row r="155" spans="1:6" ht="20.100000000000001" customHeight="1">
      <c r="A155" s="26">
        <v>22</v>
      </c>
      <c r="B155" s="10" t="s">
        <v>551</v>
      </c>
      <c r="C155" s="11" t="s">
        <v>552</v>
      </c>
      <c r="D155" s="14" t="s">
        <v>387</v>
      </c>
      <c r="E155" s="614">
        <v>54000</v>
      </c>
      <c r="F155" s="12"/>
    </row>
    <row r="156" spans="1:6" ht="20.100000000000001" customHeight="1">
      <c r="A156" s="26">
        <v>23</v>
      </c>
      <c r="B156" s="17" t="s">
        <v>553</v>
      </c>
      <c r="C156" s="11" t="s">
        <v>554</v>
      </c>
      <c r="D156" s="14" t="s">
        <v>55</v>
      </c>
      <c r="E156" s="614">
        <v>54000</v>
      </c>
      <c r="F156" s="12"/>
    </row>
    <row r="157" spans="1:6" ht="20.100000000000001" customHeight="1">
      <c r="A157" s="26">
        <v>24</v>
      </c>
      <c r="B157" s="17" t="s">
        <v>555</v>
      </c>
      <c r="C157" s="11" t="s">
        <v>556</v>
      </c>
      <c r="D157" s="14" t="s">
        <v>402</v>
      </c>
      <c r="E157" s="614">
        <v>54000</v>
      </c>
      <c r="F157" s="12"/>
    </row>
    <row r="158" spans="1:6" ht="20.100000000000001" customHeight="1">
      <c r="A158" s="26">
        <v>25</v>
      </c>
      <c r="B158" s="17" t="s">
        <v>557</v>
      </c>
      <c r="C158" s="11" t="s">
        <v>558</v>
      </c>
      <c r="D158" s="14" t="s">
        <v>402</v>
      </c>
      <c r="E158" s="614">
        <v>54000</v>
      </c>
      <c r="F158" s="12"/>
    </row>
    <row r="159" spans="1:6" ht="20.100000000000001" customHeight="1">
      <c r="A159" s="26">
        <v>26</v>
      </c>
      <c r="B159" s="17" t="s">
        <v>559</v>
      </c>
      <c r="C159" s="11" t="s">
        <v>560</v>
      </c>
      <c r="D159" s="14" t="s">
        <v>402</v>
      </c>
      <c r="E159" s="614">
        <v>54000</v>
      </c>
      <c r="F159" s="12"/>
    </row>
    <row r="160" spans="1:6" ht="20.100000000000001" customHeight="1">
      <c r="A160" s="26">
        <v>27</v>
      </c>
      <c r="B160" s="17" t="s">
        <v>561</v>
      </c>
      <c r="C160" s="11" t="s">
        <v>562</v>
      </c>
      <c r="D160" s="14" t="s">
        <v>399</v>
      </c>
      <c r="E160" s="614">
        <v>54000</v>
      </c>
      <c r="F160" s="12"/>
    </row>
    <row r="161" spans="1:6" ht="20.100000000000001" customHeight="1">
      <c r="A161" s="26">
        <v>28</v>
      </c>
      <c r="B161" s="17" t="s">
        <v>563</v>
      </c>
      <c r="C161" s="11" t="s">
        <v>558</v>
      </c>
      <c r="D161" s="14" t="s">
        <v>402</v>
      </c>
      <c r="E161" s="614">
        <v>54000</v>
      </c>
      <c r="F161" s="12"/>
    </row>
    <row r="162" spans="1:6" ht="20.100000000000001" customHeight="1">
      <c r="A162" s="26">
        <v>29</v>
      </c>
      <c r="B162" s="10" t="s">
        <v>564</v>
      </c>
      <c r="C162" s="11" t="s">
        <v>565</v>
      </c>
      <c r="D162" s="14" t="s">
        <v>566</v>
      </c>
      <c r="E162" s="614">
        <v>36000</v>
      </c>
      <c r="F162" s="12"/>
    </row>
    <row r="163" spans="1:6" ht="20.100000000000001" customHeight="1">
      <c r="A163" s="26">
        <v>30</v>
      </c>
      <c r="B163" s="10" t="s">
        <v>567</v>
      </c>
      <c r="C163" s="11" t="s">
        <v>565</v>
      </c>
      <c r="D163" s="14" t="s">
        <v>566</v>
      </c>
      <c r="E163" s="614">
        <v>36000</v>
      </c>
      <c r="F163" s="12"/>
    </row>
    <row r="164" spans="1:6" ht="20.100000000000001" customHeight="1">
      <c r="A164" s="26">
        <v>31</v>
      </c>
      <c r="B164" s="10" t="s">
        <v>568</v>
      </c>
      <c r="C164" s="11" t="s">
        <v>565</v>
      </c>
      <c r="D164" s="14" t="s">
        <v>566</v>
      </c>
      <c r="E164" s="614">
        <v>36000</v>
      </c>
      <c r="F164" s="12"/>
    </row>
    <row r="165" spans="1:6" ht="20.100000000000001" customHeight="1">
      <c r="A165" s="26">
        <v>32</v>
      </c>
      <c r="B165" s="10" t="s">
        <v>569</v>
      </c>
      <c r="C165" s="11" t="s">
        <v>565</v>
      </c>
      <c r="D165" s="14" t="s">
        <v>566</v>
      </c>
      <c r="E165" s="614">
        <v>36000</v>
      </c>
      <c r="F165" s="12"/>
    </row>
    <row r="166" spans="1:6" ht="20.100000000000001" customHeight="1">
      <c r="A166" s="26">
        <v>33</v>
      </c>
      <c r="B166" s="10" t="s">
        <v>570</v>
      </c>
      <c r="C166" s="11" t="s">
        <v>565</v>
      </c>
      <c r="D166" s="14" t="s">
        <v>566</v>
      </c>
      <c r="E166" s="614">
        <v>36000</v>
      </c>
      <c r="F166" s="12"/>
    </row>
    <row r="167" spans="1:6" ht="20.100000000000001" customHeight="1">
      <c r="A167" s="26">
        <v>34</v>
      </c>
      <c r="B167" s="10" t="s">
        <v>571</v>
      </c>
      <c r="C167" s="11" t="s">
        <v>565</v>
      </c>
      <c r="D167" s="14" t="s">
        <v>572</v>
      </c>
      <c r="E167" s="614">
        <v>36000</v>
      </c>
      <c r="F167" s="12"/>
    </row>
    <row r="168" spans="1:6" ht="20.100000000000001" customHeight="1">
      <c r="A168" s="26">
        <v>35</v>
      </c>
      <c r="B168" s="10" t="s">
        <v>573</v>
      </c>
      <c r="C168" s="11" t="s">
        <v>565</v>
      </c>
      <c r="D168" s="14" t="s">
        <v>572</v>
      </c>
      <c r="E168" s="614">
        <v>36000</v>
      </c>
      <c r="F168" s="12"/>
    </row>
    <row r="169" spans="1:6" ht="20.100000000000001" customHeight="1">
      <c r="A169" s="26">
        <v>36</v>
      </c>
      <c r="B169" s="13" t="s">
        <v>574</v>
      </c>
      <c r="C169" s="11" t="s">
        <v>565</v>
      </c>
      <c r="D169" s="14" t="s">
        <v>572</v>
      </c>
      <c r="E169" s="614">
        <v>36000</v>
      </c>
      <c r="F169" s="12"/>
    </row>
    <row r="170" spans="1:6" ht="20.100000000000001" customHeight="1">
      <c r="A170" s="26">
        <v>37</v>
      </c>
      <c r="B170" s="10" t="s">
        <v>575</v>
      </c>
      <c r="C170" s="11" t="s">
        <v>565</v>
      </c>
      <c r="D170" s="14" t="s">
        <v>572</v>
      </c>
      <c r="E170" s="614">
        <v>36000</v>
      </c>
      <c r="F170" s="12"/>
    </row>
    <row r="171" spans="1:6" ht="20.100000000000001" customHeight="1">
      <c r="A171" s="26">
        <v>38</v>
      </c>
      <c r="B171" s="17" t="s">
        <v>576</v>
      </c>
      <c r="C171" s="11" t="s">
        <v>565</v>
      </c>
      <c r="D171" s="14" t="s">
        <v>572</v>
      </c>
      <c r="E171" s="614">
        <v>36000</v>
      </c>
      <c r="F171" s="12"/>
    </row>
    <row r="172" spans="1:6" ht="20.100000000000001" customHeight="1">
      <c r="A172" s="26">
        <v>39</v>
      </c>
      <c r="B172" s="17" t="s">
        <v>577</v>
      </c>
      <c r="C172" s="11" t="s">
        <v>565</v>
      </c>
      <c r="D172" s="14" t="s">
        <v>572</v>
      </c>
      <c r="E172" s="614">
        <v>36000</v>
      </c>
      <c r="F172" s="12"/>
    </row>
    <row r="173" spans="1:6" ht="20.100000000000001" customHeight="1">
      <c r="A173" s="26">
        <v>40</v>
      </c>
      <c r="B173" s="10" t="s">
        <v>578</v>
      </c>
      <c r="C173" s="11" t="s">
        <v>579</v>
      </c>
      <c r="D173" s="14" t="s">
        <v>580</v>
      </c>
      <c r="E173" s="614">
        <v>36000</v>
      </c>
      <c r="F173" s="12"/>
    </row>
    <row r="174" spans="1:6" ht="20.100000000000001" customHeight="1">
      <c r="A174" s="26">
        <v>41</v>
      </c>
      <c r="B174" s="10" t="s">
        <v>581</v>
      </c>
      <c r="C174" s="11" t="s">
        <v>579</v>
      </c>
      <c r="D174" s="14" t="s">
        <v>580</v>
      </c>
      <c r="E174" s="614">
        <v>36000</v>
      </c>
      <c r="F174" s="12"/>
    </row>
    <row r="175" spans="1:6" ht="20.100000000000001" customHeight="1">
      <c r="A175" s="26">
        <v>42</v>
      </c>
      <c r="B175" s="17" t="s">
        <v>582</v>
      </c>
      <c r="C175" s="11" t="s">
        <v>579</v>
      </c>
      <c r="D175" s="14" t="s">
        <v>583</v>
      </c>
      <c r="E175" s="614">
        <v>36000</v>
      </c>
      <c r="F175" s="12"/>
    </row>
    <row r="176" spans="1:6" ht="20.100000000000001" customHeight="1">
      <c r="A176" s="26">
        <v>43</v>
      </c>
      <c r="B176" s="10" t="s">
        <v>584</v>
      </c>
      <c r="C176" s="11" t="s">
        <v>585</v>
      </c>
      <c r="D176" s="14" t="s">
        <v>586</v>
      </c>
      <c r="E176" s="614">
        <v>36000</v>
      </c>
      <c r="F176" s="12"/>
    </row>
    <row r="177" spans="1:6" ht="20.100000000000001" customHeight="1">
      <c r="A177" s="26">
        <v>44</v>
      </c>
      <c r="B177" s="10" t="s">
        <v>587</v>
      </c>
      <c r="C177" s="11" t="s">
        <v>588</v>
      </c>
      <c r="D177" s="14" t="s">
        <v>589</v>
      </c>
      <c r="E177" s="614">
        <v>36000</v>
      </c>
      <c r="F177" s="12"/>
    </row>
    <row r="178" spans="1:6" ht="20.100000000000001" customHeight="1">
      <c r="A178" s="26">
        <v>45</v>
      </c>
      <c r="B178" s="10" t="s">
        <v>590</v>
      </c>
      <c r="C178" s="11" t="s">
        <v>588</v>
      </c>
      <c r="D178" s="14" t="s">
        <v>589</v>
      </c>
      <c r="E178" s="614">
        <v>36000</v>
      </c>
      <c r="F178" s="12"/>
    </row>
    <row r="179" spans="1:6" ht="20.100000000000001" customHeight="1">
      <c r="A179" s="26">
        <v>46</v>
      </c>
      <c r="B179" s="10" t="s">
        <v>591</v>
      </c>
      <c r="C179" s="11" t="s">
        <v>588</v>
      </c>
      <c r="D179" s="14" t="s">
        <v>589</v>
      </c>
      <c r="E179" s="614">
        <v>36000</v>
      </c>
      <c r="F179" s="12"/>
    </row>
    <row r="180" spans="1:6" ht="20.100000000000001" customHeight="1">
      <c r="A180" s="26">
        <v>47</v>
      </c>
      <c r="B180" s="10" t="s">
        <v>592</v>
      </c>
      <c r="C180" s="11" t="s">
        <v>588</v>
      </c>
      <c r="D180" s="14" t="s">
        <v>589</v>
      </c>
      <c r="E180" s="614">
        <v>36000</v>
      </c>
      <c r="F180" s="12"/>
    </row>
    <row r="181" spans="1:6" ht="20.100000000000001" customHeight="1">
      <c r="A181" s="26">
        <v>48</v>
      </c>
      <c r="B181" s="10" t="s">
        <v>593</v>
      </c>
      <c r="C181" s="11" t="s">
        <v>588</v>
      </c>
      <c r="D181" s="14" t="s">
        <v>589</v>
      </c>
      <c r="E181" s="614">
        <v>36000</v>
      </c>
      <c r="F181" s="12"/>
    </row>
    <row r="182" spans="1:6" ht="20.100000000000001" customHeight="1">
      <c r="A182" s="26">
        <v>49</v>
      </c>
      <c r="B182" s="17" t="s">
        <v>594</v>
      </c>
      <c r="C182" s="11" t="s">
        <v>588</v>
      </c>
      <c r="D182" s="14" t="s">
        <v>589</v>
      </c>
      <c r="E182" s="614">
        <v>36000</v>
      </c>
      <c r="F182" s="12"/>
    </row>
    <row r="183" spans="1:6" ht="20.100000000000001" customHeight="1">
      <c r="A183" s="26">
        <v>50</v>
      </c>
      <c r="B183" s="17" t="s">
        <v>595</v>
      </c>
      <c r="C183" s="11" t="s">
        <v>588</v>
      </c>
      <c r="D183" s="14" t="s">
        <v>589</v>
      </c>
      <c r="E183" s="614">
        <v>36000</v>
      </c>
      <c r="F183" s="12"/>
    </row>
    <row r="184" spans="1:6" ht="20.100000000000001" customHeight="1">
      <c r="A184" s="26">
        <v>51</v>
      </c>
      <c r="B184" s="10" t="s">
        <v>596</v>
      </c>
      <c r="C184" s="11" t="s">
        <v>585</v>
      </c>
      <c r="D184" s="14" t="s">
        <v>589</v>
      </c>
      <c r="E184" s="614">
        <v>36000</v>
      </c>
      <c r="F184" s="12"/>
    </row>
    <row r="185" spans="1:6" ht="20.100000000000001" customHeight="1">
      <c r="A185" s="26">
        <v>52</v>
      </c>
      <c r="B185" s="10" t="s">
        <v>597</v>
      </c>
      <c r="C185" s="11" t="s">
        <v>585</v>
      </c>
      <c r="D185" s="14" t="s">
        <v>589</v>
      </c>
      <c r="E185" s="614">
        <v>36000</v>
      </c>
      <c r="F185" s="12"/>
    </row>
    <row r="186" spans="1:6" ht="20.100000000000001" customHeight="1">
      <c r="A186" s="26">
        <v>53</v>
      </c>
      <c r="B186" s="17" t="s">
        <v>598</v>
      </c>
      <c r="C186" s="11" t="s">
        <v>286</v>
      </c>
      <c r="D186" s="14" t="s">
        <v>599</v>
      </c>
      <c r="E186" s="614">
        <v>36000</v>
      </c>
      <c r="F186" s="12"/>
    </row>
    <row r="187" spans="1:6" ht="20.100000000000001" customHeight="1">
      <c r="A187" s="26">
        <v>54</v>
      </c>
      <c r="B187" s="17" t="s">
        <v>600</v>
      </c>
      <c r="C187" s="11" t="s">
        <v>588</v>
      </c>
      <c r="D187" s="14" t="s">
        <v>601</v>
      </c>
      <c r="E187" s="614">
        <v>36000</v>
      </c>
      <c r="F187" s="12"/>
    </row>
    <row r="188" spans="1:6" ht="20.100000000000001" customHeight="1">
      <c r="A188" s="26">
        <v>55</v>
      </c>
      <c r="B188" s="17" t="s">
        <v>602</v>
      </c>
      <c r="C188" s="11" t="s">
        <v>603</v>
      </c>
      <c r="D188" s="14" t="s">
        <v>604</v>
      </c>
      <c r="E188" s="614">
        <v>36000</v>
      </c>
      <c r="F188" s="12"/>
    </row>
    <row r="189" spans="1:6" ht="20.100000000000001" customHeight="1">
      <c r="A189" s="26">
        <v>56</v>
      </c>
      <c r="B189" s="17" t="s">
        <v>605</v>
      </c>
      <c r="C189" s="11" t="s">
        <v>603</v>
      </c>
      <c r="D189" s="14" t="s">
        <v>604</v>
      </c>
      <c r="E189" s="614">
        <v>36000</v>
      </c>
      <c r="F189" s="12"/>
    </row>
    <row r="190" spans="1:6" ht="20.100000000000001" customHeight="1">
      <c r="A190" s="26">
        <v>57</v>
      </c>
      <c r="B190" s="17" t="s">
        <v>606</v>
      </c>
      <c r="C190" s="11" t="s">
        <v>603</v>
      </c>
      <c r="D190" s="14" t="s">
        <v>604</v>
      </c>
      <c r="E190" s="614">
        <v>36000</v>
      </c>
      <c r="F190" s="12"/>
    </row>
    <row r="191" spans="1:6" ht="20.100000000000001" customHeight="1">
      <c r="A191" s="26">
        <v>58</v>
      </c>
      <c r="B191" s="17" t="s">
        <v>607</v>
      </c>
      <c r="C191" s="11" t="s">
        <v>608</v>
      </c>
      <c r="D191" s="14" t="s">
        <v>609</v>
      </c>
      <c r="E191" s="614">
        <v>36000</v>
      </c>
      <c r="F191" s="12"/>
    </row>
    <row r="192" spans="1:6" ht="20.100000000000001" customHeight="1">
      <c r="A192" s="26">
        <v>59</v>
      </c>
      <c r="B192" s="17" t="s">
        <v>610</v>
      </c>
      <c r="C192" s="11" t="s">
        <v>608</v>
      </c>
      <c r="D192" s="14" t="s">
        <v>609</v>
      </c>
      <c r="E192" s="614">
        <v>36000</v>
      </c>
      <c r="F192" s="12"/>
    </row>
    <row r="193" spans="1:6" ht="30.75" customHeight="1">
      <c r="A193" s="26"/>
      <c r="B193" s="7" t="s">
        <v>42</v>
      </c>
      <c r="C193" s="27" t="s">
        <v>611</v>
      </c>
      <c r="D193" s="28"/>
      <c r="E193" s="616">
        <f t="shared" ref="E193" si="7">SUM(E134:E192)</f>
        <v>3386000</v>
      </c>
      <c r="F193" s="12"/>
    </row>
    <row r="194" spans="1:6" ht="35.25" customHeight="1">
      <c r="A194" s="3"/>
      <c r="B194" s="29" t="s">
        <v>125</v>
      </c>
      <c r="C194" s="30">
        <f>C34+C40+C54+C59+C72+C82+C95+C102+C112+C131+C193</f>
        <v>153</v>
      </c>
      <c r="D194" s="31"/>
      <c r="E194" s="89">
        <f>E193+E131+E118+E112+E102+E95+E82+E72+E59+E54+E40+E34</f>
        <v>13858000</v>
      </c>
      <c r="F194" s="12"/>
    </row>
    <row r="195" spans="1:6" ht="38.25" customHeight="1">
      <c r="A195" s="2"/>
      <c r="B195" s="32"/>
      <c r="C195" s="2"/>
      <c r="D195" s="33"/>
      <c r="E195" s="90"/>
      <c r="F195" s="34"/>
    </row>
    <row r="196" spans="1:6" ht="36.75" customHeight="1">
      <c r="A196" s="2"/>
      <c r="B196" s="32"/>
      <c r="C196" s="33"/>
      <c r="D196" s="33"/>
      <c r="E196" s="34"/>
    </row>
    <row r="197" spans="1:6" ht="20.100000000000001" customHeight="1">
      <c r="E197" s="315"/>
    </row>
    <row r="198" spans="1:6" ht="20.100000000000001" customHeight="1">
      <c r="E198" s="34"/>
    </row>
  </sheetData>
  <mergeCells count="1">
    <mergeCell ref="A1:D1"/>
  </mergeCells>
  <pageMargins left="0.23622047244094499" right="0.23622047244094499" top="0.98425196850393704" bottom="0.98425196850393704" header="0.511811023622047" footer="0.511811023622047"/>
  <pageSetup paperSize="9" scale="83" orientation="portrait" horizontalDpi="1200" verticalDpi="1200"/>
  <headerFooter alignWithMargins="0"/>
  <rowBreaks count="5" manualBreakCount="5">
    <brk id="34" max="4" man="1"/>
    <brk id="72" max="4" man="1"/>
    <brk id="103" max="4" man="1"/>
    <brk id="137" max="4" man="1"/>
    <brk id="169" max="4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"/>
  <sheetViews>
    <sheetView workbookViewId="0">
      <selection activeCell="G12" sqref="G12"/>
    </sheetView>
  </sheetViews>
  <sheetFormatPr defaultColWidth="9" defaultRowHeight="12.75"/>
  <cols>
    <col min="1" max="1" width="5.28515625" customWidth="1"/>
    <col min="2" max="2" width="33.42578125" customWidth="1"/>
    <col min="3" max="3" width="19.140625" customWidth="1"/>
  </cols>
  <sheetData>
    <row r="2" spans="1:5" ht="20.25">
      <c r="A2" s="611">
        <v>1</v>
      </c>
      <c r="B2" s="611" t="s">
        <v>207</v>
      </c>
      <c r="C2" s="612">
        <f>'Welfare June'!E194</f>
        <v>13858000</v>
      </c>
      <c r="D2" s="611"/>
      <c r="E2" s="611"/>
    </row>
    <row r="3" spans="1:5" ht="20.25">
      <c r="A3" s="611">
        <v>2</v>
      </c>
      <c r="B3" s="611" t="s">
        <v>209</v>
      </c>
      <c r="C3" s="612">
        <f>'[6]CONTRACT Welfare'!$E$26</f>
        <v>1688000</v>
      </c>
      <c r="D3" s="611"/>
      <c r="E3" s="611"/>
    </row>
    <row r="4" spans="1:5" ht="20.25">
      <c r="A4" s="611">
        <v>3</v>
      </c>
      <c r="B4" s="611" t="s">
        <v>210</v>
      </c>
      <c r="C4" s="612">
        <f>'[6]CAS. SABB. NYSC Welfare'!$D$58</f>
        <v>1791000</v>
      </c>
      <c r="D4" s="611"/>
      <c r="E4" s="611"/>
    </row>
    <row r="5" spans="1:5" ht="20.25">
      <c r="A5" s="611">
        <v>4</v>
      </c>
      <c r="B5" s="611" t="s">
        <v>612</v>
      </c>
      <c r="C5" s="612">
        <f>'[6]CONSULTANCY Welfare'!$D$31</f>
        <v>1746000</v>
      </c>
      <c r="D5" s="611"/>
      <c r="E5" s="611"/>
    </row>
    <row r="6" spans="1:5" ht="20.25">
      <c r="A6" s="611">
        <v>5</v>
      </c>
      <c r="B6" s="611" t="s">
        <v>613</v>
      </c>
      <c r="C6" s="612">
        <f>'[6]Welfare Others'!$C$92</f>
        <v>1225000</v>
      </c>
      <c r="D6" s="611"/>
      <c r="E6" s="611"/>
    </row>
    <row r="7" spans="1:5" ht="27" customHeight="1">
      <c r="A7" s="611"/>
      <c r="B7" s="611"/>
      <c r="C7" s="613">
        <f>SUM(C2:C6)</f>
        <v>20308000</v>
      </c>
      <c r="D7" s="611"/>
      <c r="E7" s="611"/>
    </row>
    <row r="8" spans="1:5" ht="20.25">
      <c r="A8" s="611"/>
      <c r="B8" s="611"/>
      <c r="C8" s="611"/>
      <c r="D8" s="611"/>
      <c r="E8" s="611"/>
    </row>
    <row r="9" spans="1:5" ht="20.25">
      <c r="A9" s="611"/>
      <c r="B9" s="611"/>
      <c r="C9" s="611"/>
      <c r="D9" s="611"/>
      <c r="E9" s="611"/>
    </row>
    <row r="10" spans="1:5" ht="20.25">
      <c r="A10" s="611"/>
      <c r="B10" s="611"/>
      <c r="C10" s="611"/>
      <c r="D10" s="611"/>
      <c r="E10" s="611"/>
    </row>
    <row r="11" spans="1:5" ht="20.25">
      <c r="A11" s="611"/>
      <c r="B11" s="611"/>
      <c r="C11" s="611"/>
      <c r="D11" s="611"/>
      <c r="E11" s="611"/>
    </row>
    <row r="12" spans="1:5" ht="20.25">
      <c r="A12" s="611"/>
      <c r="B12" s="611"/>
      <c r="C12" s="611"/>
      <c r="D12" s="611"/>
      <c r="E12" s="611"/>
    </row>
    <row r="13" spans="1:5" ht="20.25">
      <c r="A13" s="611"/>
      <c r="B13" s="611"/>
      <c r="C13" s="611"/>
      <c r="D13" s="611"/>
      <c r="E13" s="611"/>
    </row>
    <row r="14" spans="1:5" ht="20.25">
      <c r="A14" s="611"/>
      <c r="B14" s="611"/>
      <c r="C14" s="611"/>
      <c r="D14" s="611"/>
      <c r="E14" s="611"/>
    </row>
    <row r="15" spans="1:5" ht="20.25">
      <c r="A15" s="611"/>
      <c r="B15" s="611"/>
      <c r="C15" s="611"/>
      <c r="D15" s="611"/>
      <c r="E15" s="611"/>
    </row>
    <row r="16" spans="1:5" ht="20.25">
      <c r="A16" s="611"/>
      <c r="B16" s="611"/>
      <c r="C16" s="611"/>
      <c r="D16" s="611"/>
      <c r="E16" s="611"/>
    </row>
    <row r="17" spans="1:5" ht="20.25">
      <c r="A17" s="611"/>
      <c r="B17" s="611"/>
      <c r="C17" s="611"/>
      <c r="D17" s="611"/>
      <c r="E17" s="611"/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selection activeCell="I7" sqref="I7"/>
    </sheetView>
  </sheetViews>
  <sheetFormatPr defaultColWidth="9" defaultRowHeight="12.75"/>
  <cols>
    <col min="1" max="1" width="28.85546875" customWidth="1"/>
    <col min="2" max="2" width="17.140625" customWidth="1"/>
    <col min="4" max="4" width="14.28515625" customWidth="1"/>
    <col min="5" max="5" width="19.5703125" customWidth="1"/>
    <col min="6" max="6" width="18.7109375" customWidth="1"/>
    <col min="7" max="7" width="16" customWidth="1"/>
    <col min="8" max="9" width="17.7109375" customWidth="1"/>
  </cols>
  <sheetData>
    <row r="1" spans="1:9" ht="38.25" customHeight="1">
      <c r="D1" s="609" t="s">
        <v>614</v>
      </c>
      <c r="E1" s="610" t="s">
        <v>615</v>
      </c>
      <c r="F1" s="610" t="s">
        <v>616</v>
      </c>
      <c r="G1" s="610" t="s">
        <v>617</v>
      </c>
      <c r="H1" s="610" t="s">
        <v>618</v>
      </c>
      <c r="I1" s="610" t="s">
        <v>619</v>
      </c>
    </row>
    <row r="2" spans="1:9" s="1" customFormat="1" ht="33" customHeight="1">
      <c r="A2" s="17" t="s">
        <v>333</v>
      </c>
      <c r="B2" s="17" t="s">
        <v>334</v>
      </c>
      <c r="C2" s="9" t="s">
        <v>335</v>
      </c>
      <c r="D2" s="72">
        <f>64596.94</f>
        <v>64596.94</v>
      </c>
      <c r="E2" s="72">
        <f>79956.94</f>
        <v>79956.94</v>
      </c>
      <c r="F2" s="202">
        <f>E2-D2</f>
        <v>15360</v>
      </c>
      <c r="G2" s="202">
        <f>F2*7</f>
        <v>107520</v>
      </c>
      <c r="H2" s="72">
        <v>560000</v>
      </c>
      <c r="I2" s="201">
        <f>H2-G2</f>
        <v>452480</v>
      </c>
    </row>
    <row r="3" spans="1:9" ht="24.75" customHeight="1"/>
  </sheetData>
  <pageMargins left="0.7" right="0.7" top="0.75" bottom="0.75" header="0.3" footer="0.3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"/>
  <sheetViews>
    <sheetView zoomScaleSheetLayoutView="50" workbookViewId="0">
      <pane xSplit="3" ySplit="6" topLeftCell="D7" activePane="bottomRight" state="frozen"/>
      <selection pane="topRight"/>
      <selection pane="bottomLeft"/>
      <selection pane="bottomRight" activeCell="B16" sqref="B16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6" width="19.28515625" style="1" customWidth="1"/>
    <col min="7" max="7" width="18.28515625" style="1" customWidth="1"/>
    <col min="8" max="8" width="18.140625" style="1" customWidth="1"/>
    <col min="9" max="9" width="17.85546875" style="1" customWidth="1"/>
    <col min="10" max="10" width="21.5703125" style="1" customWidth="1"/>
    <col min="11" max="11" width="9.140625" style="1" customWidth="1"/>
    <col min="12" max="12" width="18.42578125" style="1" customWidth="1"/>
    <col min="13" max="13" width="17.7109375" style="1" customWidth="1"/>
    <col min="14" max="14" width="16" style="1" customWidth="1"/>
    <col min="15" max="17" width="19.85546875" style="1" customWidth="1"/>
    <col min="18" max="18" width="18.140625" style="1" customWidth="1"/>
    <col min="19" max="20" width="19.28515625" style="1" customWidth="1"/>
    <col min="21" max="21" width="19.5703125" style="1" customWidth="1"/>
    <col min="22" max="22" width="21.7109375" style="1" customWidth="1"/>
    <col min="23" max="16384" width="9.140625" style="1"/>
  </cols>
  <sheetData>
    <row r="1" spans="1:22" ht="27" customHeight="1">
      <c r="A1" s="838" t="s">
        <v>0</v>
      </c>
      <c r="B1" s="838"/>
      <c r="C1" s="838"/>
      <c r="D1" s="838"/>
      <c r="E1" s="838"/>
      <c r="F1" s="838"/>
      <c r="G1" s="199"/>
      <c r="H1" s="199"/>
      <c r="I1" s="199"/>
    </row>
    <row r="2" spans="1:22" ht="33.75" customHeight="1">
      <c r="A2" s="63" t="s">
        <v>620</v>
      </c>
      <c r="B2" s="64"/>
      <c r="C2" s="63"/>
      <c r="D2" s="63"/>
      <c r="E2" s="198"/>
      <c r="F2" s="198"/>
      <c r="G2" s="279"/>
      <c r="H2" s="279"/>
      <c r="I2" s="279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</row>
    <row r="3" spans="1:22" ht="9.75" customHeight="1">
      <c r="A3" s="2"/>
      <c r="B3" s="2"/>
      <c r="C3" s="2"/>
      <c r="D3" s="2"/>
      <c r="E3" s="199" t="e">
        <f>'[1]FEB 08'!E11/'[1]FEB 08'!M11</f>
        <v>#REF!</v>
      </c>
      <c r="F3" s="199"/>
      <c r="G3" s="199"/>
      <c r="H3" s="199"/>
      <c r="I3" s="199"/>
    </row>
    <row r="4" spans="1:22" ht="49.5" customHeight="1">
      <c r="A4" s="3"/>
      <c r="B4" s="4" t="s">
        <v>2</v>
      </c>
      <c r="C4" s="5" t="s">
        <v>3</v>
      </c>
      <c r="D4" s="6" t="s">
        <v>4</v>
      </c>
      <c r="E4" s="200" t="s">
        <v>5</v>
      </c>
      <c r="F4" s="200" t="s">
        <v>6</v>
      </c>
      <c r="G4" s="200" t="s">
        <v>7</v>
      </c>
      <c r="H4" s="200" t="s">
        <v>7</v>
      </c>
      <c r="I4" s="200" t="s">
        <v>8</v>
      </c>
      <c r="J4" s="314" t="s">
        <v>9</v>
      </c>
      <c r="K4" s="200" t="s">
        <v>10</v>
      </c>
      <c r="L4" s="200" t="s">
        <v>195</v>
      </c>
      <c r="M4" s="200" t="s">
        <v>196</v>
      </c>
      <c r="N4" s="200" t="s">
        <v>14</v>
      </c>
      <c r="O4" s="23" t="s">
        <v>15</v>
      </c>
      <c r="P4" s="23" t="s">
        <v>621</v>
      </c>
      <c r="Q4" s="23" t="s">
        <v>616</v>
      </c>
      <c r="R4" s="200" t="s">
        <v>16</v>
      </c>
      <c r="S4" s="327" t="s">
        <v>17</v>
      </c>
      <c r="T4" s="67" t="s">
        <v>622</v>
      </c>
      <c r="U4" s="301" t="s">
        <v>623</v>
      </c>
    </row>
    <row r="5" spans="1:22" ht="17.25" customHeight="1">
      <c r="C5" s="7"/>
      <c r="D5" s="7"/>
      <c r="E5" s="69" t="s">
        <v>20</v>
      </c>
      <c r="F5" s="20"/>
      <c r="G5" s="69" t="s">
        <v>20</v>
      </c>
      <c r="H5" s="69" t="s">
        <v>20</v>
      </c>
      <c r="I5" s="69" t="s">
        <v>20</v>
      </c>
      <c r="J5" s="287" t="s">
        <v>20</v>
      </c>
      <c r="K5" s="69" t="s">
        <v>20</v>
      </c>
      <c r="L5" s="69" t="s">
        <v>20</v>
      </c>
      <c r="M5" s="69" t="s">
        <v>20</v>
      </c>
      <c r="N5" s="69" t="s">
        <v>20</v>
      </c>
      <c r="O5" s="69" t="s">
        <v>20</v>
      </c>
      <c r="P5" s="69" t="s">
        <v>20</v>
      </c>
      <c r="Q5" s="69" t="s">
        <v>20</v>
      </c>
      <c r="R5" s="69" t="s">
        <v>20</v>
      </c>
      <c r="S5" s="433" t="s">
        <v>20</v>
      </c>
      <c r="T5" s="69" t="s">
        <v>20</v>
      </c>
      <c r="U5" s="212" t="s">
        <v>20</v>
      </c>
    </row>
    <row r="6" spans="1:22" ht="20.100000000000001" customHeight="1">
      <c r="A6" s="8" t="s">
        <v>21</v>
      </c>
      <c r="B6" s="7" t="s">
        <v>22</v>
      </c>
      <c r="C6" s="7"/>
      <c r="D6" s="7"/>
      <c r="E6" s="69"/>
      <c r="F6" s="20"/>
      <c r="G6" s="69"/>
      <c r="H6" s="69"/>
      <c r="I6" s="69"/>
      <c r="J6" s="287"/>
      <c r="K6" s="69"/>
      <c r="L6" s="69"/>
      <c r="M6" s="69"/>
      <c r="N6" s="69"/>
      <c r="O6" s="69"/>
      <c r="P6" s="69"/>
      <c r="Q6" s="69"/>
      <c r="R6" s="69"/>
      <c r="S6" s="433"/>
      <c r="T6" s="69"/>
      <c r="U6" s="212"/>
    </row>
    <row r="7" spans="1:22" ht="20.100000000000001" customHeight="1">
      <c r="A7" s="9">
        <v>1</v>
      </c>
      <c r="B7" s="10" t="s">
        <v>348</v>
      </c>
      <c r="C7" s="11" t="s">
        <v>349</v>
      </c>
      <c r="D7" s="9" t="s">
        <v>343</v>
      </c>
      <c r="E7" s="72">
        <v>762373.16666666698</v>
      </c>
      <c r="F7" s="72"/>
      <c r="G7" s="202"/>
      <c r="H7" s="202">
        <f>90000</f>
        <v>90000</v>
      </c>
      <c r="I7" s="72">
        <v>0</v>
      </c>
      <c r="J7" s="201">
        <f t="shared" ref="J7:J16" si="0">E7+F7+G7+H7+I7</f>
        <v>852373.16666666698</v>
      </c>
      <c r="K7" s="72"/>
      <c r="L7" s="72">
        <f>100000</f>
        <v>100000</v>
      </c>
      <c r="M7" s="72"/>
      <c r="N7" s="72"/>
      <c r="O7" s="72">
        <v>130612.26282666701</v>
      </c>
      <c r="P7" s="72">
        <f>'March New PAYE '!Z7</f>
        <v>149812.26282666699</v>
      </c>
      <c r="Q7" s="72">
        <f>P7-O7</f>
        <v>19199.999999999702</v>
      </c>
      <c r="R7" s="72">
        <v>60989.853333333303</v>
      </c>
      <c r="S7" s="319">
        <f t="shared" ref="S7:S16" si="1">O7+N7+M7+L7+K7+R7</f>
        <v>291602.11615999998</v>
      </c>
      <c r="T7" s="72">
        <v>560771.050506667</v>
      </c>
      <c r="U7" s="213">
        <f t="shared" ref="U7:U16" si="2">J7-S7</f>
        <v>560771.050506667</v>
      </c>
      <c r="V7" s="12"/>
    </row>
    <row r="8" spans="1:22" ht="20.100000000000001" customHeight="1">
      <c r="A8" s="9">
        <v>2</v>
      </c>
      <c r="B8" s="13" t="s">
        <v>350</v>
      </c>
      <c r="C8" s="3" t="s">
        <v>351</v>
      </c>
      <c r="D8" s="9" t="s">
        <v>343</v>
      </c>
      <c r="E8" s="72">
        <v>762373.16666666698</v>
      </c>
      <c r="F8" s="72"/>
      <c r="G8" s="202"/>
      <c r="H8" s="202">
        <f>90000</f>
        <v>90000</v>
      </c>
      <c r="I8" s="72">
        <f>100000+100000</f>
        <v>200000</v>
      </c>
      <c r="J8" s="201">
        <f t="shared" si="0"/>
        <v>1052373.16666667</v>
      </c>
      <c r="K8" s="72"/>
      <c r="L8" s="72"/>
      <c r="M8" s="72"/>
      <c r="N8" s="72"/>
      <c r="O8" s="72">
        <v>180722.31466666699</v>
      </c>
      <c r="P8" s="72">
        <f>'March New PAYE '!Z8</f>
        <v>199922.31466666699</v>
      </c>
      <c r="Q8" s="72">
        <f t="shared" ref="Q8:Q16" si="3">P8-O8</f>
        <v>19200.000000000298</v>
      </c>
      <c r="R8" s="72"/>
      <c r="S8" s="319">
        <f t="shared" si="1"/>
        <v>180722.31466666699</v>
      </c>
      <c r="T8" s="72">
        <v>871650.85199999996</v>
      </c>
      <c r="U8" s="213">
        <f t="shared" si="2"/>
        <v>871650.85199999996</v>
      </c>
      <c r="V8" s="12"/>
    </row>
    <row r="9" spans="1:22" ht="20.100000000000001" customHeight="1">
      <c r="A9" s="9">
        <v>3</v>
      </c>
      <c r="B9" s="13" t="s">
        <v>354</v>
      </c>
      <c r="C9" s="3" t="s">
        <v>355</v>
      </c>
      <c r="D9" s="9" t="s">
        <v>343</v>
      </c>
      <c r="E9" s="72">
        <v>762373.16666666698</v>
      </c>
      <c r="F9" s="72"/>
      <c r="G9" s="202"/>
      <c r="H9" s="202">
        <f>80000+10000</f>
        <v>90000</v>
      </c>
      <c r="I9" s="72">
        <v>150000</v>
      </c>
      <c r="J9" s="201">
        <f t="shared" si="0"/>
        <v>1002373.16666667</v>
      </c>
      <c r="K9" s="72"/>
      <c r="L9" s="72">
        <f>20000+60000</f>
        <v>80000</v>
      </c>
      <c r="M9" s="72">
        <f>'[7]OCTOBER 2023 '!$D$193</f>
        <v>230499.8</v>
      </c>
      <c r="N9" s="72">
        <v>1066.32925</v>
      </c>
      <c r="O9" s="72">
        <v>159207.52761066699</v>
      </c>
      <c r="P9" s="72">
        <f>'March New PAYE '!Z10</f>
        <v>178407.52761066699</v>
      </c>
      <c r="Q9" s="72">
        <f t="shared" si="3"/>
        <v>19200.000000000298</v>
      </c>
      <c r="R9" s="72">
        <v>60989.853333333303</v>
      </c>
      <c r="S9" s="319">
        <f t="shared" si="1"/>
        <v>531763.51019399997</v>
      </c>
      <c r="T9" s="72">
        <v>470609.656472667</v>
      </c>
      <c r="U9" s="213">
        <f t="shared" si="2"/>
        <v>470609.656472667</v>
      </c>
      <c r="V9" s="12"/>
    </row>
    <row r="10" spans="1:22" ht="20.100000000000001" customHeight="1">
      <c r="A10" s="9">
        <v>4</v>
      </c>
      <c r="B10" s="17" t="s">
        <v>341</v>
      </c>
      <c r="C10" s="9" t="s">
        <v>342</v>
      </c>
      <c r="D10" s="9" t="s">
        <v>343</v>
      </c>
      <c r="E10" s="72">
        <v>762373.16666666698</v>
      </c>
      <c r="F10" s="72"/>
      <c r="G10" s="202"/>
      <c r="H10" s="202">
        <f>90000</f>
        <v>90000</v>
      </c>
      <c r="I10" s="72">
        <v>100000</v>
      </c>
      <c r="J10" s="201">
        <f t="shared" si="0"/>
        <v>952373.16666666698</v>
      </c>
      <c r="K10" s="72"/>
      <c r="L10" s="72">
        <f>50000</f>
        <v>50000</v>
      </c>
      <c r="M10" s="72">
        <f>91666.67</f>
        <v>91666.67</v>
      </c>
      <c r="N10" s="72"/>
      <c r="O10" s="72">
        <v>161522.31466666699</v>
      </c>
      <c r="P10" s="72">
        <f>'March New PAYE '!Z11</f>
        <v>180722.31466666699</v>
      </c>
      <c r="Q10" s="72">
        <f t="shared" si="3"/>
        <v>19199.999999999702</v>
      </c>
      <c r="R10" s="72"/>
      <c r="S10" s="319">
        <f t="shared" si="1"/>
        <v>303188.98466666701</v>
      </c>
      <c r="T10" s="72">
        <v>649184.18200000003</v>
      </c>
      <c r="U10" s="213">
        <f t="shared" si="2"/>
        <v>649184.18200000003</v>
      </c>
      <c r="V10" s="12"/>
    </row>
    <row r="11" spans="1:22" ht="20.100000000000001" customHeight="1">
      <c r="A11" s="9">
        <v>5</v>
      </c>
      <c r="B11" s="10" t="s">
        <v>457</v>
      </c>
      <c r="C11" s="3" t="s">
        <v>418</v>
      </c>
      <c r="D11" s="9" t="s">
        <v>358</v>
      </c>
      <c r="E11" s="72">
        <v>620675.58333333302</v>
      </c>
      <c r="F11" s="72"/>
      <c r="G11" s="202">
        <f>160000</f>
        <v>160000</v>
      </c>
      <c r="H11" s="202"/>
      <c r="I11" s="72">
        <v>100000</v>
      </c>
      <c r="J11" s="201">
        <f>SUM(E11:I11)</f>
        <v>880675.58333333302</v>
      </c>
      <c r="K11" s="72"/>
      <c r="L11" s="72"/>
      <c r="M11" s="72"/>
      <c r="N11" s="72"/>
      <c r="O11" s="72">
        <v>138222.801706667</v>
      </c>
      <c r="P11" s="72">
        <f>'March New PAYE '!Z80</f>
        <v>157422.801706667</v>
      </c>
      <c r="Q11" s="72">
        <f t="shared" si="3"/>
        <v>19199.9999999996</v>
      </c>
      <c r="R11" s="72">
        <v>49654.046666666698</v>
      </c>
      <c r="S11" s="319">
        <f t="shared" si="1"/>
        <v>187876.84837333401</v>
      </c>
      <c r="T11" s="72">
        <v>692798.73496000003</v>
      </c>
      <c r="U11" s="213">
        <f t="shared" si="2"/>
        <v>692798.73495999898</v>
      </c>
      <c r="V11" s="12"/>
    </row>
    <row r="12" spans="1:22" ht="20.100000000000001" customHeight="1">
      <c r="A12" s="9">
        <v>6</v>
      </c>
      <c r="B12" s="10" t="s">
        <v>359</v>
      </c>
      <c r="C12" s="3" t="s">
        <v>360</v>
      </c>
      <c r="D12" s="9" t="s">
        <v>99</v>
      </c>
      <c r="E12" s="72">
        <v>582118.08333333302</v>
      </c>
      <c r="F12" s="72"/>
      <c r="G12" s="202">
        <v>160000</v>
      </c>
      <c r="H12" s="202"/>
      <c r="I12" s="72">
        <f>100000</f>
        <v>100000</v>
      </c>
      <c r="J12" s="201">
        <f t="shared" si="0"/>
        <v>842118.08333333302</v>
      </c>
      <c r="K12" s="72"/>
      <c r="L12" s="72"/>
      <c r="M12" s="72"/>
      <c r="N12" s="72">
        <v>775.49599999999998</v>
      </c>
      <c r="O12" s="72">
        <v>131263.10967466701</v>
      </c>
      <c r="P12" s="72">
        <f>'March New PAYE '!Z13</f>
        <v>150463.10967466701</v>
      </c>
      <c r="Q12" s="72">
        <f t="shared" si="3"/>
        <v>19199.9999999996</v>
      </c>
      <c r="R12" s="72">
        <v>46569.446666666699</v>
      </c>
      <c r="S12" s="319">
        <f t="shared" si="1"/>
        <v>178608.052341334</v>
      </c>
      <c r="T12" s="72">
        <v>663510.03099200001</v>
      </c>
      <c r="U12" s="213">
        <f t="shared" si="2"/>
        <v>663510.03099199897</v>
      </c>
      <c r="V12" s="12"/>
    </row>
    <row r="13" spans="1:22" ht="20.100000000000001" customHeight="1">
      <c r="A13" s="9">
        <v>7</v>
      </c>
      <c r="B13" s="10" t="s">
        <v>367</v>
      </c>
      <c r="C13" s="3" t="s">
        <v>368</v>
      </c>
      <c r="D13" s="9" t="s">
        <v>369</v>
      </c>
      <c r="E13" s="72">
        <v>442746.5</v>
      </c>
      <c r="F13" s="72"/>
      <c r="G13" s="202">
        <f>140000</f>
        <v>140000</v>
      </c>
      <c r="H13" s="202"/>
      <c r="I13" s="72">
        <v>150000</v>
      </c>
      <c r="J13" s="201">
        <f t="shared" si="0"/>
        <v>732746.5</v>
      </c>
      <c r="K13" s="72"/>
      <c r="L13" s="72">
        <v>70000</v>
      </c>
      <c r="M13" s="72"/>
      <c r="N13" s="72"/>
      <c r="O13" s="72">
        <v>112553.408426667</v>
      </c>
      <c r="P13" s="72">
        <f>'March New PAYE '!Z16</f>
        <v>131753.40842666701</v>
      </c>
      <c r="Q13" s="72">
        <f t="shared" si="3"/>
        <v>19199.999999999702</v>
      </c>
      <c r="R13" s="72">
        <v>35419.72</v>
      </c>
      <c r="S13" s="319">
        <f t="shared" si="1"/>
        <v>217973.12842666701</v>
      </c>
      <c r="T13" s="72">
        <v>514773.37157333299</v>
      </c>
      <c r="U13" s="213">
        <f t="shared" si="2"/>
        <v>514773.37157333299</v>
      </c>
      <c r="V13" s="12"/>
    </row>
    <row r="14" spans="1:22" ht="20.100000000000001" customHeight="1">
      <c r="A14" s="9">
        <v>8</v>
      </c>
      <c r="B14" s="17" t="s">
        <v>376</v>
      </c>
      <c r="C14" s="3" t="s">
        <v>377</v>
      </c>
      <c r="D14" s="14" t="s">
        <v>378</v>
      </c>
      <c r="E14" s="72">
        <v>416026.91666666698</v>
      </c>
      <c r="F14" s="72"/>
      <c r="G14" s="202">
        <f>120000</f>
        <v>120000</v>
      </c>
      <c r="H14" s="202"/>
      <c r="I14" s="72">
        <f>100000</f>
        <v>100000</v>
      </c>
      <c r="J14" s="201">
        <f t="shared" si="0"/>
        <v>636026.91666666698</v>
      </c>
      <c r="K14" s="72"/>
      <c r="L14" s="72">
        <f>30000-20000</f>
        <v>10000</v>
      </c>
      <c r="M14" s="72">
        <f>95833.33</f>
        <v>95833.33</v>
      </c>
      <c r="N14" s="72">
        <v>618.53150000000005</v>
      </c>
      <c r="O14" s="72">
        <v>94274.903466666699</v>
      </c>
      <c r="P14" s="72">
        <f>'March New PAYE '!Z19</f>
        <v>113474.903466667</v>
      </c>
      <c r="Q14" s="72">
        <f t="shared" si="3"/>
        <v>19200</v>
      </c>
      <c r="R14" s="72">
        <v>33282.153333333299</v>
      </c>
      <c r="S14" s="319">
        <f t="shared" si="1"/>
        <v>234008.91829999999</v>
      </c>
      <c r="T14" s="72">
        <v>402017.99836666702</v>
      </c>
      <c r="U14" s="213">
        <f t="shared" si="2"/>
        <v>402017.99836666702</v>
      </c>
      <c r="V14" s="12"/>
    </row>
    <row r="15" spans="1:22" ht="20.100000000000001" customHeight="1">
      <c r="A15" s="9">
        <v>9</v>
      </c>
      <c r="B15" s="13" t="s">
        <v>381</v>
      </c>
      <c r="C15" s="16" t="s">
        <v>382</v>
      </c>
      <c r="D15" s="9" t="s">
        <v>32</v>
      </c>
      <c r="E15" s="72">
        <v>353512.5</v>
      </c>
      <c r="F15" s="72"/>
      <c r="G15" s="202">
        <f t="shared" ref="G15" si="4">100000</f>
        <v>100000</v>
      </c>
      <c r="H15" s="202"/>
      <c r="I15" s="72">
        <v>100000</v>
      </c>
      <c r="J15" s="201">
        <f t="shared" si="0"/>
        <v>553512.5</v>
      </c>
      <c r="K15" s="72"/>
      <c r="L15" s="72">
        <v>50000</v>
      </c>
      <c r="M15" s="72"/>
      <c r="N15" s="72"/>
      <c r="O15" s="72">
        <v>79511.114666666705</v>
      </c>
      <c r="P15" s="72">
        <f>'March New PAYE '!Z21</f>
        <v>98711.114666666705</v>
      </c>
      <c r="Q15" s="72">
        <f t="shared" si="3"/>
        <v>19200</v>
      </c>
      <c r="R15" s="72">
        <v>28281</v>
      </c>
      <c r="S15" s="319">
        <f t="shared" si="1"/>
        <v>157792.11466666701</v>
      </c>
      <c r="T15" s="72">
        <v>395720.38533333299</v>
      </c>
      <c r="U15" s="213">
        <f t="shared" si="2"/>
        <v>395720.38533333299</v>
      </c>
      <c r="V15" s="12"/>
    </row>
    <row r="16" spans="1:22" ht="20.100000000000001" customHeight="1">
      <c r="A16" s="9">
        <v>10</v>
      </c>
      <c r="B16" s="13" t="s">
        <v>384</v>
      </c>
      <c r="C16" s="16" t="s">
        <v>385</v>
      </c>
      <c r="D16" s="9" t="s">
        <v>37</v>
      </c>
      <c r="E16" s="72">
        <v>293029.66666666698</v>
      </c>
      <c r="F16" s="72"/>
      <c r="G16" s="202"/>
      <c r="H16" s="202">
        <f>50000+10000</f>
        <v>60000</v>
      </c>
      <c r="I16" s="72">
        <v>100000</v>
      </c>
      <c r="J16" s="201">
        <f t="shared" si="0"/>
        <v>453029.66666666698</v>
      </c>
      <c r="K16" s="72"/>
      <c r="L16" s="72"/>
      <c r="M16" s="72"/>
      <c r="N16" s="72"/>
      <c r="O16" s="72">
        <v>61147.426986666702</v>
      </c>
      <c r="P16" s="72">
        <f>'March New PAYE '!Z23</f>
        <v>80347.426986666702</v>
      </c>
      <c r="Q16" s="72">
        <f t="shared" si="3"/>
        <v>19200</v>
      </c>
      <c r="R16" s="72">
        <v>23442.3733333333</v>
      </c>
      <c r="S16" s="319">
        <f t="shared" si="1"/>
        <v>84589.800319999995</v>
      </c>
      <c r="T16" s="72">
        <v>368439.866346667</v>
      </c>
      <c r="U16" s="213">
        <f t="shared" si="2"/>
        <v>368439.866346667</v>
      </c>
      <c r="V16" s="12"/>
    </row>
    <row r="17" spans="1:22" ht="30.75" customHeight="1">
      <c r="A17" s="26"/>
      <c r="B17" s="7" t="s">
        <v>42</v>
      </c>
      <c r="C17" s="27" t="s">
        <v>513</v>
      </c>
      <c r="D17" s="28"/>
      <c r="E17" s="80">
        <v>14898686.4166667</v>
      </c>
      <c r="F17" s="80"/>
      <c r="G17" s="80" t="e">
        <f>SUM(#REF!)</f>
        <v>#REF!</v>
      </c>
      <c r="H17" s="80" t="e">
        <f>SUM(#REF!)</f>
        <v>#REF!</v>
      </c>
      <c r="I17" s="80" t="e">
        <f>SUM(#REF!)</f>
        <v>#REF!</v>
      </c>
      <c r="J17" s="80" t="e">
        <f>SUM(#REF!)</f>
        <v>#REF!</v>
      </c>
      <c r="K17" s="80" t="e">
        <f>SUM(#REF!)</f>
        <v>#REF!</v>
      </c>
      <c r="L17" s="80" t="e">
        <f>SUM(#REF!)</f>
        <v>#REF!</v>
      </c>
      <c r="M17" s="80" t="e">
        <f>SUM(#REF!)</f>
        <v>#REF!</v>
      </c>
      <c r="N17" s="80">
        <v>6347.2330000000002</v>
      </c>
      <c r="O17" s="80">
        <f>SUM(O7:O16)</f>
        <v>1249037.1846986699</v>
      </c>
      <c r="P17" s="80">
        <f t="shared" ref="P17:Q17" si="5">SUM(P7:P16)</f>
        <v>1441037.1846986699</v>
      </c>
      <c r="Q17" s="80">
        <f t="shared" si="5"/>
        <v>191999.99999999901</v>
      </c>
      <c r="R17" s="80">
        <v>1130905.06</v>
      </c>
      <c r="S17" s="608" t="e">
        <f>SUM(#REF!)</f>
        <v>#REF!</v>
      </c>
      <c r="T17" s="80">
        <v>11108681.2189053</v>
      </c>
      <c r="U17" s="302" t="e">
        <f>SUM(#REF!)</f>
        <v>#REF!</v>
      </c>
      <c r="V17" s="12"/>
    </row>
    <row r="18" spans="1:22" ht="38.25" customHeight="1">
      <c r="A18" s="2"/>
      <c r="B18" s="32"/>
      <c r="C18" s="2"/>
      <c r="D18" s="33"/>
      <c r="E18" s="33"/>
      <c r="F18" s="33"/>
      <c r="G18" s="210"/>
      <c r="H18" s="210"/>
      <c r="I18" s="210"/>
      <c r="J18" s="210"/>
      <c r="K18" s="210"/>
      <c r="L18" s="210"/>
      <c r="M18" s="210"/>
      <c r="N18" s="210"/>
      <c r="O18" s="211"/>
      <c r="P18" s="211"/>
      <c r="Q18" s="211"/>
      <c r="R18" s="211"/>
      <c r="S18" s="211"/>
      <c r="T18" s="211"/>
      <c r="U18" s="211"/>
      <c r="V18" s="34"/>
    </row>
    <row r="19" spans="1:22" ht="36.75" customHeight="1">
      <c r="A19" s="2"/>
      <c r="B19" s="32"/>
      <c r="C19" s="33"/>
      <c r="D19" s="33"/>
      <c r="E19" s="33"/>
      <c r="F19" s="33"/>
      <c r="G19" s="210"/>
      <c r="H19" s="210"/>
      <c r="J19" s="210" t="s">
        <v>624</v>
      </c>
      <c r="K19" s="210"/>
      <c r="L19" s="210"/>
      <c r="M19" s="210"/>
      <c r="N19" s="210"/>
      <c r="O19" s="211"/>
      <c r="P19" s="211"/>
      <c r="Q19" s="211"/>
      <c r="R19" s="211"/>
      <c r="S19" s="211"/>
      <c r="T19" s="211"/>
      <c r="U19" s="34"/>
    </row>
    <row r="20" spans="1:22" ht="20.100000000000001" customHeight="1">
      <c r="S20" s="34"/>
      <c r="U20" s="315"/>
    </row>
    <row r="21" spans="1:22" ht="20.100000000000001" customHeight="1">
      <c r="U21" s="34"/>
    </row>
    <row r="22" spans="1:22" ht="20.100000000000001" customHeight="1">
      <c r="J22" s="34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1"/>
  <sheetViews>
    <sheetView topLeftCell="S4" workbookViewId="0">
      <selection activeCell="U6" sqref="U6"/>
    </sheetView>
  </sheetViews>
  <sheetFormatPr defaultColWidth="9.140625" defaultRowHeight="12.75"/>
  <cols>
    <col min="1" max="1" width="6.85546875" style="276" customWidth="1"/>
    <col min="2" max="2" width="39.140625" style="276" customWidth="1"/>
    <col min="3" max="3" width="16.85546875" style="276" customWidth="1"/>
    <col min="4" max="4" width="6.7109375" style="276" customWidth="1"/>
    <col min="5" max="5" width="13.140625" style="276" customWidth="1"/>
    <col min="6" max="6" width="11.140625" style="276" customWidth="1"/>
    <col min="7" max="7" width="14.42578125" style="276" customWidth="1"/>
    <col min="8" max="8" width="5.85546875" style="276" customWidth="1"/>
    <col min="9" max="9" width="12.85546875" style="276" customWidth="1"/>
    <col min="10" max="10" width="11.5703125" style="276" customWidth="1"/>
    <col min="11" max="11" width="6.85546875" style="276" customWidth="1"/>
    <col min="12" max="12" width="10.85546875" style="276" customWidth="1"/>
    <col min="13" max="13" width="12.5703125" style="276" customWidth="1"/>
    <col min="14" max="14" width="11" style="276" customWidth="1"/>
    <col min="15" max="15" width="12.140625" style="276" customWidth="1"/>
    <col min="16" max="16" width="15.42578125" style="276" customWidth="1"/>
    <col min="17" max="17" width="16.5703125" style="276" customWidth="1"/>
    <col min="18" max="18" width="9.85546875" style="276" customWidth="1"/>
    <col min="19" max="19" width="10.5703125" style="276" customWidth="1"/>
    <col min="20" max="20" width="11.5703125" style="276" customWidth="1"/>
    <col min="21" max="21" width="12.42578125" style="276" customWidth="1"/>
    <col min="22" max="22" width="14.5703125" style="276" customWidth="1"/>
    <col min="23" max="23" width="9.5703125" style="276" customWidth="1"/>
    <col min="24" max="24" width="15.140625" style="276" customWidth="1"/>
    <col min="25" max="25" width="9" style="276" customWidth="1"/>
    <col min="26" max="26" width="14.140625" style="276" customWidth="1"/>
    <col min="27" max="27" width="16.28515625" style="276" customWidth="1"/>
    <col min="28" max="28" width="14.7109375" style="276" customWidth="1"/>
    <col min="29" max="29" width="27.42578125" style="276" customWidth="1"/>
    <col min="30" max="16384" width="9.140625" style="276"/>
  </cols>
  <sheetData>
    <row r="1" spans="1:31" hidden="1">
      <c r="A1" s="849" t="s">
        <v>0</v>
      </c>
      <c r="B1" s="849"/>
      <c r="C1" s="849"/>
      <c r="D1" s="849"/>
      <c r="E1" s="849"/>
      <c r="F1" s="849"/>
      <c r="G1" s="849"/>
      <c r="H1" s="849"/>
      <c r="I1" s="849"/>
      <c r="J1" s="849"/>
      <c r="K1" s="849"/>
      <c r="L1" s="849"/>
      <c r="M1" s="849"/>
      <c r="N1" s="849"/>
      <c r="O1" s="849"/>
      <c r="P1" s="849"/>
      <c r="Q1" s="849"/>
      <c r="R1" s="849"/>
      <c r="S1" s="849"/>
      <c r="T1" s="849"/>
      <c r="U1" s="849"/>
      <c r="V1" s="849"/>
      <c r="W1" s="849"/>
      <c r="X1" s="849"/>
      <c r="Y1" s="849"/>
      <c r="Z1" s="456"/>
    </row>
    <row r="2" spans="1:31" hidden="1">
      <c r="A2" s="850" t="s">
        <v>266</v>
      </c>
      <c r="B2" s="850"/>
      <c r="C2" s="850"/>
      <c r="D2" s="850"/>
      <c r="E2" s="850"/>
      <c r="F2" s="850"/>
      <c r="G2" s="850"/>
      <c r="H2" s="850"/>
      <c r="I2" s="850"/>
      <c r="J2" s="850"/>
      <c r="K2" s="850"/>
      <c r="L2" s="850"/>
      <c r="M2" s="850"/>
      <c r="N2" s="850"/>
      <c r="O2" s="850"/>
      <c r="P2" s="850"/>
      <c r="Q2" s="850"/>
      <c r="R2" s="850"/>
      <c r="S2" s="850"/>
      <c r="T2" s="850"/>
      <c r="U2" s="850"/>
      <c r="V2" s="850"/>
      <c r="W2" s="850"/>
      <c r="X2" s="850"/>
      <c r="Y2" s="850"/>
      <c r="Z2" s="456"/>
    </row>
    <row r="3" spans="1:31" hidden="1">
      <c r="A3" s="851" t="s">
        <v>267</v>
      </c>
      <c r="B3" s="849"/>
      <c r="C3" s="849"/>
      <c r="D3" s="849"/>
      <c r="E3" s="849"/>
      <c r="F3" s="849"/>
      <c r="G3" s="849"/>
      <c r="H3" s="849"/>
      <c r="I3" s="849"/>
      <c r="J3" s="849"/>
      <c r="K3" s="849"/>
      <c r="L3" s="849"/>
      <c r="M3" s="849"/>
      <c r="N3" s="849"/>
      <c r="O3" s="849"/>
      <c r="P3" s="849"/>
      <c r="Q3" s="849"/>
      <c r="R3" s="849"/>
      <c r="S3" s="849"/>
      <c r="T3" s="849"/>
      <c r="U3" s="849"/>
      <c r="V3" s="849"/>
      <c r="W3" s="849"/>
      <c r="X3" s="849"/>
      <c r="Y3" s="849"/>
      <c r="Z3" s="456"/>
    </row>
    <row r="4" spans="1:31" ht="83.25" customHeight="1">
      <c r="A4" s="442" t="s">
        <v>181</v>
      </c>
      <c r="B4" s="443" t="s">
        <v>182</v>
      </c>
      <c r="C4" s="444" t="s">
        <v>268</v>
      </c>
      <c r="D4" s="443" t="s">
        <v>183</v>
      </c>
      <c r="E4" s="444" t="s">
        <v>184</v>
      </c>
      <c r="F4" s="444" t="s">
        <v>186</v>
      </c>
      <c r="G4" s="444" t="s">
        <v>187</v>
      </c>
      <c r="H4" s="444" t="s">
        <v>188</v>
      </c>
      <c r="I4" s="444" t="s">
        <v>269</v>
      </c>
      <c r="J4" s="444"/>
      <c r="K4" s="444"/>
      <c r="L4" s="444"/>
      <c r="M4" s="444" t="s">
        <v>270</v>
      </c>
      <c r="N4" s="444" t="s">
        <v>189</v>
      </c>
      <c r="O4" s="444" t="s">
        <v>190</v>
      </c>
      <c r="P4" s="444" t="s">
        <v>271</v>
      </c>
      <c r="Q4" s="444" t="s">
        <v>272</v>
      </c>
      <c r="R4" s="444" t="s">
        <v>273</v>
      </c>
      <c r="S4" s="444" t="s">
        <v>274</v>
      </c>
      <c r="T4" s="444" t="s">
        <v>275</v>
      </c>
      <c r="U4" s="444" t="s">
        <v>276</v>
      </c>
      <c r="V4" s="444" t="s">
        <v>191</v>
      </c>
      <c r="W4" s="444"/>
      <c r="X4" s="444" t="s">
        <v>277</v>
      </c>
      <c r="Y4" s="444" t="s">
        <v>278</v>
      </c>
      <c r="Z4" s="457" t="s">
        <v>279</v>
      </c>
      <c r="AA4" s="458"/>
      <c r="AB4" s="458" t="s">
        <v>625</v>
      </c>
    </row>
    <row r="5" spans="1:31" ht="18.75">
      <c r="A5" s="445">
        <v>1</v>
      </c>
      <c r="B5" s="7" t="s">
        <v>22</v>
      </c>
      <c r="C5" s="446"/>
      <c r="D5" s="447"/>
      <c r="E5" s="448"/>
      <c r="F5" s="448"/>
      <c r="G5" s="448"/>
      <c r="H5" s="448"/>
      <c r="I5" s="448"/>
      <c r="J5" s="448"/>
      <c r="K5" s="448"/>
      <c r="L5" s="448"/>
      <c r="M5" s="448"/>
      <c r="N5" s="448"/>
      <c r="O5" s="448"/>
      <c r="P5" s="448"/>
      <c r="Q5" s="448"/>
      <c r="R5" s="448"/>
      <c r="S5" s="448"/>
      <c r="T5" s="448"/>
      <c r="U5" s="448"/>
      <c r="V5" s="448"/>
      <c r="W5" s="455"/>
      <c r="X5" s="448"/>
      <c r="Y5" s="448"/>
      <c r="Z5" s="459"/>
      <c r="AA5" s="460"/>
      <c r="AB5" s="460"/>
      <c r="AC5" s="460"/>
      <c r="AD5" s="460"/>
      <c r="AE5" s="460"/>
    </row>
    <row r="6" spans="1:31" ht="37.5">
      <c r="A6" s="445">
        <v>3</v>
      </c>
      <c r="B6" s="10" t="s">
        <v>345</v>
      </c>
      <c r="C6" s="446">
        <v>1934986.1669999999</v>
      </c>
      <c r="D6" s="447">
        <v>12</v>
      </c>
      <c r="E6" s="448">
        <f>C6*D6</f>
        <v>23219834.004000001</v>
      </c>
      <c r="F6" s="448"/>
      <c r="G6" s="448"/>
      <c r="H6" s="448"/>
      <c r="I6" s="448">
        <f t="shared" ref="I6:I32" si="0">E6-F6-G6-H6</f>
        <v>23219834.004000001</v>
      </c>
      <c r="J6" s="448">
        <v>200000</v>
      </c>
      <c r="K6" s="448">
        <v>0.2</v>
      </c>
      <c r="L6" s="448">
        <f t="shared" ref="L6:L75" si="1">I6*K6</f>
        <v>4643966.8008000003</v>
      </c>
      <c r="M6" s="448">
        <f t="shared" ref="M6:M75" si="2">J6+L6</f>
        <v>4843966.8008000003</v>
      </c>
      <c r="N6" s="448">
        <f t="shared" ref="N6:N32" si="3">F6+G6+H6+M6</f>
        <v>4843966.8008000003</v>
      </c>
      <c r="O6" s="448">
        <f t="shared" ref="O6:O32" si="4">E6-N6</f>
        <v>18375867.203200001</v>
      </c>
      <c r="P6" s="448">
        <f t="shared" ref="P6:P75" si="5">IF(O6&lt;300000,0.07*O6,21000)</f>
        <v>21000</v>
      </c>
      <c r="Q6" s="448">
        <f t="shared" ref="Q6:Q75" si="6">IF((O6-300000)&lt;0,0,IF((O6-300000)&lt;300000,0.11*(O6-300000),33000))</f>
        <v>33000</v>
      </c>
      <c r="R6" s="448">
        <f t="shared" ref="R6:R75" si="7">IF((O6-600000)&lt;0,0,IF((O6-600000)&lt;500000,0.15*(O6-600000),75000))</f>
        <v>75000</v>
      </c>
      <c r="S6" s="448">
        <f t="shared" ref="S6:S75" si="8">IF((O6-1100000)&lt;0,0,IF((O6-1100000)&lt;500000,0.19*(O6-1100000),95000))</f>
        <v>95000</v>
      </c>
      <c r="T6" s="448">
        <f t="shared" ref="T6:T75" si="9">IF((O6-1600000)&lt;0,0,IF((O6-1600000)&lt;1600000,0.21*(O6-1600000),336000))</f>
        <v>336000</v>
      </c>
      <c r="U6" s="448">
        <f t="shared" ref="U6:U73" si="10">24%*(O6-3200000)</f>
        <v>3642208.1287679998</v>
      </c>
      <c r="V6" s="448">
        <f t="shared" ref="V6:V75" si="11">P6+Q6+R6+S6+T6+U6</f>
        <v>4202208.1287679998</v>
      </c>
      <c r="W6" s="455">
        <v>12</v>
      </c>
      <c r="X6" s="448">
        <f t="shared" ref="X6:X75" si="12">V6/W6</f>
        <v>350184.01073066698</v>
      </c>
      <c r="Y6" s="448"/>
      <c r="Z6" s="459">
        <f t="shared" ref="Z6:Z75" si="13">X6</f>
        <v>350184.01073066698</v>
      </c>
      <c r="AA6" s="460">
        <v>201165.83594666701</v>
      </c>
      <c r="AB6" s="460">
        <f>Z6-AA6</f>
        <v>149018.174784</v>
      </c>
      <c r="AC6" s="460"/>
      <c r="AD6" s="460"/>
      <c r="AE6" s="460"/>
    </row>
    <row r="7" spans="1:31" s="596" customFormat="1" ht="18.75">
      <c r="A7" s="597">
        <v>4</v>
      </c>
      <c r="B7" s="598" t="s">
        <v>348</v>
      </c>
      <c r="C7" s="599">
        <f>852373.166666667+100000</f>
        <v>952373.16666666698</v>
      </c>
      <c r="D7" s="600">
        <v>12</v>
      </c>
      <c r="E7" s="601">
        <f t="shared" ref="E7:E32" si="14">C7*D7</f>
        <v>11428478</v>
      </c>
      <c r="F7" s="601"/>
      <c r="G7" s="601">
        <v>731878.24</v>
      </c>
      <c r="H7" s="601"/>
      <c r="I7" s="601">
        <f t="shared" si="0"/>
        <v>10696599.76</v>
      </c>
      <c r="J7" s="601">
        <v>200000</v>
      </c>
      <c r="K7" s="601">
        <v>0.2</v>
      </c>
      <c r="L7" s="601">
        <f t="shared" si="1"/>
        <v>2139319.952</v>
      </c>
      <c r="M7" s="601">
        <f t="shared" si="2"/>
        <v>2339319.952</v>
      </c>
      <c r="N7" s="601">
        <f t="shared" si="3"/>
        <v>3071198.1919999998</v>
      </c>
      <c r="O7" s="601">
        <f t="shared" si="4"/>
        <v>8357279.8080000002</v>
      </c>
      <c r="P7" s="601">
        <f t="shared" si="5"/>
        <v>21000</v>
      </c>
      <c r="Q7" s="601">
        <f t="shared" si="6"/>
        <v>33000</v>
      </c>
      <c r="R7" s="601">
        <f t="shared" si="7"/>
        <v>75000</v>
      </c>
      <c r="S7" s="601">
        <f t="shared" si="8"/>
        <v>95000</v>
      </c>
      <c r="T7" s="601">
        <f t="shared" si="9"/>
        <v>336000</v>
      </c>
      <c r="U7" s="601">
        <f t="shared" si="10"/>
        <v>1237747.15392</v>
      </c>
      <c r="V7" s="601">
        <f t="shared" si="11"/>
        <v>1797747.15392</v>
      </c>
      <c r="W7" s="604">
        <v>12</v>
      </c>
      <c r="X7" s="601">
        <f t="shared" si="12"/>
        <v>149812.26282666699</v>
      </c>
      <c r="Y7" s="601"/>
      <c r="Z7" s="601">
        <f t="shared" si="13"/>
        <v>149812.26282666699</v>
      </c>
      <c r="AA7" s="605">
        <v>82627.951418666693</v>
      </c>
      <c r="AB7" s="605">
        <f t="shared" ref="AB7:AB32" si="15">Z7-AA7</f>
        <v>67184.311407999994</v>
      </c>
      <c r="AC7" s="605"/>
      <c r="AD7" s="605"/>
      <c r="AE7" s="605"/>
    </row>
    <row r="8" spans="1:31" s="596" customFormat="1" ht="18.75">
      <c r="A8" s="597">
        <v>5</v>
      </c>
      <c r="B8" s="602" t="s">
        <v>350</v>
      </c>
      <c r="C8" s="599">
        <f>1052373.16666667+100000</f>
        <v>1152373.16666667</v>
      </c>
      <c r="D8" s="600">
        <v>12</v>
      </c>
      <c r="E8" s="601">
        <f t="shared" si="14"/>
        <v>13828478</v>
      </c>
      <c r="F8" s="601"/>
      <c r="G8" s="601">
        <v>0</v>
      </c>
      <c r="H8" s="601"/>
      <c r="I8" s="601">
        <f t="shared" si="0"/>
        <v>13828478</v>
      </c>
      <c r="J8" s="601">
        <v>200000</v>
      </c>
      <c r="K8" s="601">
        <v>0.2</v>
      </c>
      <c r="L8" s="601">
        <f t="shared" si="1"/>
        <v>2765695.6000000099</v>
      </c>
      <c r="M8" s="601">
        <f t="shared" si="2"/>
        <v>2965695.6000000099</v>
      </c>
      <c r="N8" s="601">
        <f t="shared" si="3"/>
        <v>2965695.6000000099</v>
      </c>
      <c r="O8" s="601">
        <f t="shared" si="4"/>
        <v>10862782.4</v>
      </c>
      <c r="P8" s="601">
        <f t="shared" si="5"/>
        <v>21000</v>
      </c>
      <c r="Q8" s="601">
        <f t="shared" si="6"/>
        <v>33000</v>
      </c>
      <c r="R8" s="601">
        <f t="shared" si="7"/>
        <v>75000</v>
      </c>
      <c r="S8" s="601">
        <f t="shared" si="8"/>
        <v>95000</v>
      </c>
      <c r="T8" s="601">
        <f t="shared" si="9"/>
        <v>336000</v>
      </c>
      <c r="U8" s="601">
        <f t="shared" si="10"/>
        <v>1839067.7760000101</v>
      </c>
      <c r="V8" s="601">
        <f t="shared" si="11"/>
        <v>2399067.7760000098</v>
      </c>
      <c r="W8" s="604">
        <v>12</v>
      </c>
      <c r="X8" s="601">
        <f t="shared" si="12"/>
        <v>199922.31466666699</v>
      </c>
      <c r="Y8" s="601"/>
      <c r="Z8" s="601">
        <f t="shared" si="13"/>
        <v>199922.31466666699</v>
      </c>
      <c r="AA8" s="605">
        <v>121027.951418667</v>
      </c>
      <c r="AB8" s="605">
        <f t="shared" si="15"/>
        <v>78894.3632480003</v>
      </c>
      <c r="AC8" s="605"/>
      <c r="AD8" s="605"/>
      <c r="AE8" s="605"/>
    </row>
    <row r="9" spans="1:31" ht="18.75">
      <c r="A9" s="445">
        <v>6</v>
      </c>
      <c r="B9" s="10" t="s">
        <v>352</v>
      </c>
      <c r="C9" s="446">
        <v>942373.16666666698</v>
      </c>
      <c r="D9" s="447">
        <v>12</v>
      </c>
      <c r="E9" s="448">
        <f t="shared" si="14"/>
        <v>11308478</v>
      </c>
      <c r="F9" s="448">
        <f>'[8]JANUARY 2024'!$V$10*12</f>
        <v>12795.950999999999</v>
      </c>
      <c r="G9" s="448">
        <v>731878.24</v>
      </c>
      <c r="H9" s="448"/>
      <c r="I9" s="448">
        <f t="shared" si="0"/>
        <v>10563803.809</v>
      </c>
      <c r="J9" s="448">
        <v>200000</v>
      </c>
      <c r="K9" s="448">
        <v>0.2</v>
      </c>
      <c r="L9" s="448">
        <f t="shared" si="1"/>
        <v>2112760.7618</v>
      </c>
      <c r="M9" s="448">
        <f t="shared" si="2"/>
        <v>2312760.7618</v>
      </c>
      <c r="N9" s="448">
        <f t="shared" si="3"/>
        <v>3057434.9528000001</v>
      </c>
      <c r="O9" s="448">
        <f t="shared" si="4"/>
        <v>8251043.0471999999</v>
      </c>
      <c r="P9" s="448">
        <f t="shared" si="5"/>
        <v>21000</v>
      </c>
      <c r="Q9" s="448">
        <f t="shared" si="6"/>
        <v>33000</v>
      </c>
      <c r="R9" s="448">
        <f t="shared" si="7"/>
        <v>75000</v>
      </c>
      <c r="S9" s="448">
        <f t="shared" si="8"/>
        <v>95000</v>
      </c>
      <c r="T9" s="448">
        <f t="shared" si="9"/>
        <v>336000</v>
      </c>
      <c r="U9" s="448">
        <f t="shared" si="10"/>
        <v>1212250.3313279999</v>
      </c>
      <c r="V9" s="448">
        <f t="shared" si="11"/>
        <v>1772250.3313279999</v>
      </c>
      <c r="W9" s="455">
        <v>12</v>
      </c>
      <c r="X9" s="448">
        <f t="shared" si="12"/>
        <v>147687.52761066699</v>
      </c>
      <c r="Y9" s="448"/>
      <c r="Z9" s="459">
        <f t="shared" si="13"/>
        <v>147687.52761066699</v>
      </c>
      <c r="AA9" s="460">
        <v>99703.216202666707</v>
      </c>
      <c r="AB9" s="460">
        <f t="shared" si="15"/>
        <v>47984.311408000001</v>
      </c>
      <c r="AC9" s="460"/>
      <c r="AD9" s="460"/>
      <c r="AE9" s="460"/>
    </row>
    <row r="10" spans="1:31" s="596" customFormat="1" ht="18.75">
      <c r="A10" s="597">
        <v>7</v>
      </c>
      <c r="B10" s="602" t="s">
        <v>354</v>
      </c>
      <c r="C10" s="599">
        <f>1002373.16666667+100000</f>
        <v>1102373.16666667</v>
      </c>
      <c r="D10" s="600">
        <v>12</v>
      </c>
      <c r="E10" s="601">
        <f t="shared" si="14"/>
        <v>13228478</v>
      </c>
      <c r="F10" s="601">
        <f>'[8]JANUARY 2024'!$V$10*12</f>
        <v>12795.950999999999</v>
      </c>
      <c r="G10" s="601">
        <v>731878.24</v>
      </c>
      <c r="H10" s="601"/>
      <c r="I10" s="601">
        <f t="shared" si="0"/>
        <v>12483803.809</v>
      </c>
      <c r="J10" s="601">
        <v>200000</v>
      </c>
      <c r="K10" s="601">
        <v>0.2</v>
      </c>
      <c r="L10" s="601">
        <f t="shared" si="1"/>
        <v>2496760.7618000102</v>
      </c>
      <c r="M10" s="601">
        <f t="shared" si="2"/>
        <v>2696760.7618000102</v>
      </c>
      <c r="N10" s="601">
        <f t="shared" si="3"/>
        <v>3441434.9528000099</v>
      </c>
      <c r="O10" s="601">
        <f t="shared" si="4"/>
        <v>9787043.0472000297</v>
      </c>
      <c r="P10" s="601">
        <f t="shared" si="5"/>
        <v>21000</v>
      </c>
      <c r="Q10" s="601">
        <f t="shared" si="6"/>
        <v>33000</v>
      </c>
      <c r="R10" s="601">
        <f t="shared" si="7"/>
        <v>75000</v>
      </c>
      <c r="S10" s="601">
        <f t="shared" si="8"/>
        <v>95000</v>
      </c>
      <c r="T10" s="601">
        <f t="shared" si="9"/>
        <v>336000</v>
      </c>
      <c r="U10" s="601">
        <f t="shared" si="10"/>
        <v>1580890.33132801</v>
      </c>
      <c r="V10" s="601">
        <f t="shared" si="11"/>
        <v>2140890.3313280102</v>
      </c>
      <c r="W10" s="604">
        <v>12</v>
      </c>
      <c r="X10" s="601">
        <f t="shared" si="12"/>
        <v>178407.52761066699</v>
      </c>
      <c r="Y10" s="601"/>
      <c r="Z10" s="601">
        <f t="shared" si="13"/>
        <v>178407.52761066699</v>
      </c>
      <c r="AA10" s="605">
        <v>111223.216202667</v>
      </c>
      <c r="AB10" s="605">
        <f t="shared" si="15"/>
        <v>67184.3114080003</v>
      </c>
      <c r="AC10" s="605"/>
      <c r="AD10" s="605"/>
      <c r="AE10" s="605"/>
    </row>
    <row r="11" spans="1:31" s="596" customFormat="1" ht="18.75">
      <c r="A11" s="597">
        <v>8</v>
      </c>
      <c r="B11" s="603" t="s">
        <v>341</v>
      </c>
      <c r="C11" s="599">
        <f>952373.166666667+100000</f>
        <v>1052373.16666667</v>
      </c>
      <c r="D11" s="600">
        <v>12</v>
      </c>
      <c r="E11" s="601">
        <f t="shared" si="14"/>
        <v>12628478</v>
      </c>
      <c r="F11" s="601"/>
      <c r="G11" s="601">
        <v>0</v>
      </c>
      <c r="H11" s="601"/>
      <c r="I11" s="601">
        <f t="shared" si="0"/>
        <v>12628478</v>
      </c>
      <c r="J11" s="601">
        <v>200000</v>
      </c>
      <c r="K11" s="601">
        <v>0.2</v>
      </c>
      <c r="L11" s="601">
        <f t="shared" si="1"/>
        <v>2525695.6</v>
      </c>
      <c r="M11" s="601">
        <f t="shared" si="2"/>
        <v>2725695.6</v>
      </c>
      <c r="N11" s="601">
        <f t="shared" si="3"/>
        <v>2725695.6</v>
      </c>
      <c r="O11" s="601">
        <f t="shared" si="4"/>
        <v>9902782.4000000004</v>
      </c>
      <c r="P11" s="601">
        <f t="shared" si="5"/>
        <v>21000</v>
      </c>
      <c r="Q11" s="601">
        <f t="shared" si="6"/>
        <v>33000</v>
      </c>
      <c r="R11" s="601">
        <f t="shared" si="7"/>
        <v>75000</v>
      </c>
      <c r="S11" s="601">
        <f t="shared" si="8"/>
        <v>95000</v>
      </c>
      <c r="T11" s="601">
        <f t="shared" si="9"/>
        <v>336000</v>
      </c>
      <c r="U11" s="601">
        <f t="shared" si="10"/>
        <v>1608667.7760000001</v>
      </c>
      <c r="V11" s="601">
        <f t="shared" si="11"/>
        <v>2168667.7760000001</v>
      </c>
      <c r="W11" s="604">
        <v>12</v>
      </c>
      <c r="X11" s="601">
        <f t="shared" si="12"/>
        <v>180722.31466666699</v>
      </c>
      <c r="Y11" s="601"/>
      <c r="Z11" s="601">
        <f t="shared" si="13"/>
        <v>180722.31466666699</v>
      </c>
      <c r="AA11" s="605">
        <v>101827.951418667</v>
      </c>
      <c r="AB11" s="605">
        <f t="shared" si="15"/>
        <v>78894.363247999703</v>
      </c>
      <c r="AC11" s="605"/>
      <c r="AD11" s="605"/>
      <c r="AE11" s="605"/>
    </row>
    <row r="12" spans="1:31" ht="18.75">
      <c r="A12" s="445">
        <v>9</v>
      </c>
      <c r="B12" s="10" t="s">
        <v>356</v>
      </c>
      <c r="C12" s="446">
        <v>750675.58333333302</v>
      </c>
      <c r="D12" s="447">
        <v>12</v>
      </c>
      <c r="E12" s="448">
        <f t="shared" si="14"/>
        <v>9008107</v>
      </c>
      <c r="F12" s="448">
        <f>'[8]JANUARY 2024'!$V$13*12</f>
        <v>10052.25</v>
      </c>
      <c r="G12" s="448">
        <v>595848.56000000006</v>
      </c>
      <c r="H12" s="448"/>
      <c r="I12" s="448">
        <f t="shared" si="0"/>
        <v>8402206.1899999995</v>
      </c>
      <c r="J12" s="448">
        <v>200000</v>
      </c>
      <c r="K12" s="448">
        <v>0.2</v>
      </c>
      <c r="L12" s="448">
        <f t="shared" si="1"/>
        <v>1680441.2379999999</v>
      </c>
      <c r="M12" s="448">
        <f t="shared" si="2"/>
        <v>1880441.2379999999</v>
      </c>
      <c r="N12" s="448">
        <f t="shared" si="3"/>
        <v>2486342.048</v>
      </c>
      <c r="O12" s="448">
        <f t="shared" si="4"/>
        <v>6521764.9519999996</v>
      </c>
      <c r="P12" s="448">
        <f t="shared" si="5"/>
        <v>21000</v>
      </c>
      <c r="Q12" s="448">
        <f t="shared" si="6"/>
        <v>33000</v>
      </c>
      <c r="R12" s="448">
        <f t="shared" si="7"/>
        <v>75000</v>
      </c>
      <c r="S12" s="448">
        <f t="shared" si="8"/>
        <v>95000</v>
      </c>
      <c r="T12" s="448">
        <f t="shared" si="9"/>
        <v>336000</v>
      </c>
      <c r="U12" s="448">
        <f t="shared" si="10"/>
        <v>797223.58847999899</v>
      </c>
      <c r="V12" s="448">
        <f t="shared" si="11"/>
        <v>1357223.5884799999</v>
      </c>
      <c r="W12" s="455">
        <v>12</v>
      </c>
      <c r="X12" s="448">
        <f t="shared" si="12"/>
        <v>113101.965706667</v>
      </c>
      <c r="Y12" s="448"/>
      <c r="Z12" s="459">
        <f t="shared" si="13"/>
        <v>113101.965706667</v>
      </c>
      <c r="AA12" s="460">
        <v>74036.103146666705</v>
      </c>
      <c r="AB12" s="460">
        <f t="shared" si="15"/>
        <v>39065.8625599999</v>
      </c>
      <c r="AC12" s="460"/>
      <c r="AD12" s="460"/>
      <c r="AE12" s="460"/>
    </row>
    <row r="13" spans="1:31" s="596" customFormat="1" ht="18.75">
      <c r="A13" s="597">
        <v>10</v>
      </c>
      <c r="B13" s="598" t="s">
        <v>359</v>
      </c>
      <c r="C13" s="599">
        <f>842118.083333333+100000</f>
        <v>942118.08333333302</v>
      </c>
      <c r="D13" s="600">
        <v>12</v>
      </c>
      <c r="E13" s="601">
        <f t="shared" si="14"/>
        <v>11305417</v>
      </c>
      <c r="F13" s="601">
        <f>'[8]JANUARY 2024'!$V$14*12</f>
        <v>9305.9519999999993</v>
      </c>
      <c r="G13" s="601">
        <v>558833.36</v>
      </c>
      <c r="H13" s="601"/>
      <c r="I13" s="601">
        <f t="shared" si="0"/>
        <v>10737277.687999999</v>
      </c>
      <c r="J13" s="601">
        <v>200000</v>
      </c>
      <c r="K13" s="601">
        <v>0.2</v>
      </c>
      <c r="L13" s="601">
        <f t="shared" si="1"/>
        <v>2147455.5375999999</v>
      </c>
      <c r="M13" s="601">
        <f t="shared" si="2"/>
        <v>2347455.5375999999</v>
      </c>
      <c r="N13" s="601">
        <f t="shared" si="3"/>
        <v>2915594.8495999998</v>
      </c>
      <c r="O13" s="601">
        <f t="shared" si="4"/>
        <v>8389822.1503999997</v>
      </c>
      <c r="P13" s="601">
        <f t="shared" si="5"/>
        <v>21000</v>
      </c>
      <c r="Q13" s="601">
        <f t="shared" si="6"/>
        <v>33000</v>
      </c>
      <c r="R13" s="601">
        <f t="shared" si="7"/>
        <v>75000</v>
      </c>
      <c r="S13" s="601">
        <f t="shared" si="8"/>
        <v>95000</v>
      </c>
      <c r="T13" s="601">
        <f t="shared" si="9"/>
        <v>336000</v>
      </c>
      <c r="U13" s="601">
        <f t="shared" si="10"/>
        <v>1245557.3160959999</v>
      </c>
      <c r="V13" s="601">
        <f t="shared" si="11"/>
        <v>1805557.3160959999</v>
      </c>
      <c r="W13" s="604">
        <v>12</v>
      </c>
      <c r="X13" s="601">
        <f t="shared" si="12"/>
        <v>150463.10967466701</v>
      </c>
      <c r="Y13" s="601"/>
      <c r="Z13" s="601">
        <f t="shared" si="13"/>
        <v>150463.10967466701</v>
      </c>
      <c r="AA13" s="605">
        <v>94625.782058666693</v>
      </c>
      <c r="AB13" s="605">
        <f t="shared" si="15"/>
        <v>55837.3276159999</v>
      </c>
      <c r="AC13" s="605"/>
      <c r="AD13" s="605"/>
      <c r="AE13" s="605"/>
    </row>
    <row r="14" spans="1:31" ht="18.75">
      <c r="A14" s="445">
        <v>11</v>
      </c>
      <c r="B14" s="10" t="s">
        <v>361</v>
      </c>
      <c r="C14" s="446">
        <v>554373.75</v>
      </c>
      <c r="D14" s="447">
        <v>12</v>
      </c>
      <c r="E14" s="448">
        <f t="shared" si="14"/>
        <v>6652485</v>
      </c>
      <c r="F14" s="448"/>
      <c r="G14" s="448">
        <v>464998.8</v>
      </c>
      <c r="H14" s="448"/>
      <c r="I14" s="448">
        <f t="shared" si="0"/>
        <v>6187486.2000000002</v>
      </c>
      <c r="J14" s="448">
        <v>200000</v>
      </c>
      <c r="K14" s="448">
        <v>0.2</v>
      </c>
      <c r="L14" s="448">
        <f t="shared" si="1"/>
        <v>1237497.24</v>
      </c>
      <c r="M14" s="448">
        <f t="shared" si="2"/>
        <v>1437497.24</v>
      </c>
      <c r="N14" s="448">
        <f t="shared" si="3"/>
        <v>1902496.04</v>
      </c>
      <c r="O14" s="448">
        <f t="shared" si="4"/>
        <v>4749988.96</v>
      </c>
      <c r="P14" s="448">
        <f t="shared" si="5"/>
        <v>21000</v>
      </c>
      <c r="Q14" s="448">
        <f t="shared" si="6"/>
        <v>33000</v>
      </c>
      <c r="R14" s="448">
        <f t="shared" si="7"/>
        <v>75000</v>
      </c>
      <c r="S14" s="448">
        <f t="shared" si="8"/>
        <v>95000</v>
      </c>
      <c r="T14" s="448">
        <f t="shared" si="9"/>
        <v>336000</v>
      </c>
      <c r="U14" s="448">
        <f t="shared" si="10"/>
        <v>371997.3504</v>
      </c>
      <c r="V14" s="448">
        <f t="shared" si="11"/>
        <v>931997.3504</v>
      </c>
      <c r="W14" s="455">
        <v>12</v>
      </c>
      <c r="X14" s="448">
        <f t="shared" si="12"/>
        <v>77666.445866666705</v>
      </c>
      <c r="Y14" s="448"/>
      <c r="Z14" s="459">
        <f t="shared" si="13"/>
        <v>77666.445866666705</v>
      </c>
      <c r="AA14" s="460">
        <v>44846.6165886667</v>
      </c>
      <c r="AB14" s="460">
        <f t="shared" si="15"/>
        <v>32819.829277999997</v>
      </c>
      <c r="AC14" s="460"/>
      <c r="AD14" s="460"/>
      <c r="AE14" s="460"/>
    </row>
    <row r="15" spans="1:31" ht="18.75">
      <c r="A15" s="445">
        <v>12</v>
      </c>
      <c r="B15" s="13" t="s">
        <v>364</v>
      </c>
      <c r="C15" s="446">
        <f>660498</f>
        <v>660498</v>
      </c>
      <c r="D15" s="447">
        <v>12</v>
      </c>
      <c r="E15" s="448">
        <f t="shared" si="14"/>
        <v>7925976</v>
      </c>
      <c r="F15" s="448"/>
      <c r="G15" s="449">
        <v>451678.08</v>
      </c>
      <c r="H15" s="448"/>
      <c r="I15" s="448">
        <f t="shared" si="0"/>
        <v>7474297.9199999999</v>
      </c>
      <c r="J15" s="448">
        <v>200000</v>
      </c>
      <c r="K15" s="448">
        <v>0.2</v>
      </c>
      <c r="L15" s="448">
        <f t="shared" si="1"/>
        <v>1494859.584</v>
      </c>
      <c r="M15" s="448">
        <f t="shared" si="2"/>
        <v>1694859.584</v>
      </c>
      <c r="N15" s="448">
        <f t="shared" si="3"/>
        <v>2146537.6639999999</v>
      </c>
      <c r="O15" s="448">
        <f t="shared" si="4"/>
        <v>5779438.3360000001</v>
      </c>
      <c r="P15" s="448">
        <f t="shared" si="5"/>
        <v>21000</v>
      </c>
      <c r="Q15" s="448">
        <f t="shared" si="6"/>
        <v>33000</v>
      </c>
      <c r="R15" s="448">
        <f t="shared" si="7"/>
        <v>75000</v>
      </c>
      <c r="S15" s="448">
        <f t="shared" si="8"/>
        <v>95000</v>
      </c>
      <c r="T15" s="448">
        <f t="shared" si="9"/>
        <v>336000</v>
      </c>
      <c r="U15" s="448">
        <f t="shared" si="10"/>
        <v>619065.20064000005</v>
      </c>
      <c r="V15" s="448">
        <f t="shared" si="11"/>
        <v>1179065.2006399999</v>
      </c>
      <c r="W15" s="455">
        <v>12</v>
      </c>
      <c r="X15" s="448">
        <f t="shared" si="12"/>
        <v>98255.4333866667</v>
      </c>
      <c r="Y15" s="448"/>
      <c r="Z15" s="459">
        <f t="shared" si="13"/>
        <v>98255.4333866667</v>
      </c>
      <c r="AA15" s="460">
        <v>46666.666666666701</v>
      </c>
      <c r="AB15" s="460">
        <f t="shared" si="15"/>
        <v>51588.76672</v>
      </c>
      <c r="AC15" s="460"/>
      <c r="AD15" s="460"/>
      <c r="AE15" s="460"/>
    </row>
    <row r="16" spans="1:31" s="596" customFormat="1" ht="18.75">
      <c r="A16" s="597">
        <v>13</v>
      </c>
      <c r="B16" s="598" t="s">
        <v>367</v>
      </c>
      <c r="C16" s="599">
        <f>732746.5+100000</f>
        <v>832746.5</v>
      </c>
      <c r="D16" s="600">
        <v>12</v>
      </c>
      <c r="E16" s="601">
        <f t="shared" si="14"/>
        <v>9992958</v>
      </c>
      <c r="F16" s="601"/>
      <c r="G16" s="601">
        <v>425036.64</v>
      </c>
      <c r="H16" s="601"/>
      <c r="I16" s="601">
        <f t="shared" si="0"/>
        <v>9567921.3599999994</v>
      </c>
      <c r="J16" s="601">
        <v>200000</v>
      </c>
      <c r="K16" s="601">
        <v>0.2</v>
      </c>
      <c r="L16" s="601">
        <f t="shared" si="1"/>
        <v>1913584.2720000001</v>
      </c>
      <c r="M16" s="601">
        <f t="shared" si="2"/>
        <v>2113584.2719999999</v>
      </c>
      <c r="N16" s="601">
        <f t="shared" si="3"/>
        <v>2538620.912</v>
      </c>
      <c r="O16" s="601">
        <f t="shared" si="4"/>
        <v>7454337.0880000005</v>
      </c>
      <c r="P16" s="601">
        <f t="shared" si="5"/>
        <v>21000</v>
      </c>
      <c r="Q16" s="601">
        <f t="shared" si="6"/>
        <v>33000</v>
      </c>
      <c r="R16" s="601">
        <f t="shared" si="7"/>
        <v>75000</v>
      </c>
      <c r="S16" s="601">
        <f t="shared" si="8"/>
        <v>95000</v>
      </c>
      <c r="T16" s="601">
        <f t="shared" si="9"/>
        <v>336000</v>
      </c>
      <c r="U16" s="601">
        <f t="shared" si="10"/>
        <v>1021040.9011200001</v>
      </c>
      <c r="V16" s="601">
        <f t="shared" si="11"/>
        <v>1581040.9011200001</v>
      </c>
      <c r="W16" s="604">
        <v>12</v>
      </c>
      <c r="X16" s="601">
        <f t="shared" si="12"/>
        <v>131753.40842666701</v>
      </c>
      <c r="Y16" s="601"/>
      <c r="Z16" s="601">
        <f t="shared" si="13"/>
        <v>131753.40842666701</v>
      </c>
      <c r="AA16" s="605">
        <v>46666.666666666701</v>
      </c>
      <c r="AB16" s="605">
        <f t="shared" si="15"/>
        <v>85086.741760000004</v>
      </c>
      <c r="AC16" s="605"/>
      <c r="AD16" s="605"/>
      <c r="AE16" s="605"/>
    </row>
    <row r="17" spans="1:31" ht="18.75">
      <c r="A17" s="445">
        <v>14</v>
      </c>
      <c r="B17" s="10" t="s">
        <v>370</v>
      </c>
      <c r="C17" s="446">
        <v>511804.91666666698</v>
      </c>
      <c r="D17" s="447">
        <v>12</v>
      </c>
      <c r="E17" s="448">
        <f t="shared" si="14"/>
        <v>6141659</v>
      </c>
      <c r="F17" s="448"/>
      <c r="G17" s="448">
        <v>424132.72</v>
      </c>
      <c r="H17" s="448"/>
      <c r="I17" s="448">
        <f t="shared" si="0"/>
        <v>5717526.2800000003</v>
      </c>
      <c r="J17" s="448">
        <v>200000</v>
      </c>
      <c r="K17" s="448">
        <v>0.2</v>
      </c>
      <c r="L17" s="448">
        <f t="shared" si="1"/>
        <v>1143505.2560000001</v>
      </c>
      <c r="M17" s="448">
        <f t="shared" si="2"/>
        <v>1343505.2560000001</v>
      </c>
      <c r="N17" s="448">
        <f t="shared" si="3"/>
        <v>1767637.976</v>
      </c>
      <c r="O17" s="448">
        <f t="shared" si="4"/>
        <v>4374021.0240000002</v>
      </c>
      <c r="P17" s="448">
        <f t="shared" si="5"/>
        <v>21000</v>
      </c>
      <c r="Q17" s="448">
        <f t="shared" si="6"/>
        <v>33000</v>
      </c>
      <c r="R17" s="448">
        <f t="shared" si="7"/>
        <v>75000</v>
      </c>
      <c r="S17" s="448">
        <f t="shared" si="8"/>
        <v>95000</v>
      </c>
      <c r="T17" s="448">
        <f t="shared" si="9"/>
        <v>336000</v>
      </c>
      <c r="U17" s="448">
        <f t="shared" si="10"/>
        <v>281765.045760001</v>
      </c>
      <c r="V17" s="448">
        <f t="shared" si="11"/>
        <v>841765.04576000106</v>
      </c>
      <c r="W17" s="455">
        <v>12</v>
      </c>
      <c r="X17" s="448">
        <f t="shared" si="12"/>
        <v>70147.087146666701</v>
      </c>
      <c r="Y17" s="448"/>
      <c r="Z17" s="459">
        <f t="shared" si="13"/>
        <v>70147.087146666701</v>
      </c>
      <c r="AA17" s="460">
        <v>42046.063686666697</v>
      </c>
      <c r="AB17" s="460">
        <f t="shared" si="15"/>
        <v>28101.02346</v>
      </c>
      <c r="AC17" s="460"/>
      <c r="AD17" s="460"/>
      <c r="AE17" s="460"/>
    </row>
    <row r="18" spans="1:31" ht="18.75">
      <c r="A18" s="445">
        <v>15</v>
      </c>
      <c r="B18" s="10" t="s">
        <v>373</v>
      </c>
      <c r="C18" s="446">
        <v>548915.91666666698</v>
      </c>
      <c r="D18" s="447">
        <v>12</v>
      </c>
      <c r="E18" s="448">
        <f t="shared" si="14"/>
        <v>6586991</v>
      </c>
      <c r="F18" s="448"/>
      <c r="G18" s="448">
        <v>411759.28</v>
      </c>
      <c r="H18" s="448"/>
      <c r="I18" s="448">
        <f t="shared" si="0"/>
        <v>6175231.7199999997</v>
      </c>
      <c r="J18" s="448">
        <v>200000</v>
      </c>
      <c r="K18" s="448">
        <v>0.2</v>
      </c>
      <c r="L18" s="448">
        <f t="shared" si="1"/>
        <v>1235046.344</v>
      </c>
      <c r="M18" s="448">
        <f t="shared" si="2"/>
        <v>1435046.344</v>
      </c>
      <c r="N18" s="448">
        <f t="shared" si="3"/>
        <v>1846805.6240000001</v>
      </c>
      <c r="O18" s="448">
        <f t="shared" si="4"/>
        <v>4740185.3760000002</v>
      </c>
      <c r="P18" s="448">
        <f t="shared" si="5"/>
        <v>21000</v>
      </c>
      <c r="Q18" s="448">
        <f t="shared" si="6"/>
        <v>33000</v>
      </c>
      <c r="R18" s="448">
        <f t="shared" si="7"/>
        <v>75000</v>
      </c>
      <c r="S18" s="448">
        <f t="shared" si="8"/>
        <v>95000</v>
      </c>
      <c r="T18" s="448">
        <f t="shared" si="9"/>
        <v>336000</v>
      </c>
      <c r="U18" s="448">
        <f t="shared" si="10"/>
        <v>369644.490240001</v>
      </c>
      <c r="V18" s="448">
        <f t="shared" si="11"/>
        <v>929644.490240001</v>
      </c>
      <c r="W18" s="455">
        <v>12</v>
      </c>
      <c r="X18" s="448">
        <f t="shared" si="12"/>
        <v>77470.374186666697</v>
      </c>
      <c r="Y18" s="448"/>
      <c r="Z18" s="459">
        <f t="shared" si="13"/>
        <v>77470.374186666697</v>
      </c>
      <c r="AA18" s="460">
        <v>46666.666666666701</v>
      </c>
      <c r="AB18" s="460">
        <f t="shared" si="15"/>
        <v>30803.70752</v>
      </c>
      <c r="AC18" s="460"/>
      <c r="AD18" s="460"/>
      <c r="AE18" s="460"/>
    </row>
    <row r="19" spans="1:31" s="596" customFormat="1" ht="18.75">
      <c r="A19" s="597">
        <v>16</v>
      </c>
      <c r="B19" s="603" t="s">
        <v>376</v>
      </c>
      <c r="C19" s="599">
        <f>636026.916666667+100000</f>
        <v>736026.91666666698</v>
      </c>
      <c r="D19" s="600">
        <v>12</v>
      </c>
      <c r="E19" s="601">
        <f t="shared" si="14"/>
        <v>8832323</v>
      </c>
      <c r="F19" s="601">
        <f>618.53*12</f>
        <v>7422.36</v>
      </c>
      <c r="G19" s="601">
        <v>399385.84</v>
      </c>
      <c r="H19" s="601"/>
      <c r="I19" s="601">
        <f t="shared" si="0"/>
        <v>8425514.8000000007</v>
      </c>
      <c r="J19" s="601">
        <v>200000</v>
      </c>
      <c r="K19" s="601">
        <v>0.2</v>
      </c>
      <c r="L19" s="601">
        <f t="shared" si="1"/>
        <v>1685102.96</v>
      </c>
      <c r="M19" s="601">
        <f t="shared" si="2"/>
        <v>1885102.96</v>
      </c>
      <c r="N19" s="601">
        <f t="shared" si="3"/>
        <v>2291911.16</v>
      </c>
      <c r="O19" s="601">
        <f t="shared" si="4"/>
        <v>6540411.8399999999</v>
      </c>
      <c r="P19" s="601">
        <f t="shared" si="5"/>
        <v>21000</v>
      </c>
      <c r="Q19" s="601">
        <f t="shared" si="6"/>
        <v>33000</v>
      </c>
      <c r="R19" s="601">
        <f t="shared" si="7"/>
        <v>75000</v>
      </c>
      <c r="S19" s="601">
        <f t="shared" si="8"/>
        <v>95000</v>
      </c>
      <c r="T19" s="601">
        <f t="shared" si="9"/>
        <v>336000</v>
      </c>
      <c r="U19" s="601">
        <f t="shared" si="10"/>
        <v>801698.84160000097</v>
      </c>
      <c r="V19" s="601">
        <f t="shared" si="11"/>
        <v>1361698.8415999999</v>
      </c>
      <c r="W19" s="604">
        <v>12</v>
      </c>
      <c r="X19" s="601">
        <f t="shared" si="12"/>
        <v>113474.903466667</v>
      </c>
      <c r="Y19" s="601"/>
      <c r="Z19" s="601">
        <f t="shared" si="13"/>
        <v>113474.903466667</v>
      </c>
      <c r="AA19" s="605">
        <v>46666.666666666701</v>
      </c>
      <c r="AB19" s="605">
        <f t="shared" si="15"/>
        <v>66808.236799999999</v>
      </c>
      <c r="AC19" s="605"/>
      <c r="AD19" s="605"/>
      <c r="AE19" s="605"/>
    </row>
    <row r="20" spans="1:31" ht="18.75">
      <c r="A20" s="445">
        <v>17</v>
      </c>
      <c r="B20" s="10" t="s">
        <v>379</v>
      </c>
      <c r="C20" s="446">
        <v>537895.16666666698</v>
      </c>
      <c r="D20" s="447">
        <v>12</v>
      </c>
      <c r="E20" s="448">
        <f t="shared" si="14"/>
        <v>6454742</v>
      </c>
      <c r="F20" s="448"/>
      <c r="G20" s="448">
        <v>362779.36</v>
      </c>
      <c r="H20" s="448"/>
      <c r="I20" s="448">
        <f t="shared" si="0"/>
        <v>6091962.6399999997</v>
      </c>
      <c r="J20" s="448">
        <v>200000</v>
      </c>
      <c r="K20" s="448">
        <v>0.2</v>
      </c>
      <c r="L20" s="448">
        <f t="shared" si="1"/>
        <v>1218392.5279999999</v>
      </c>
      <c r="M20" s="448">
        <f t="shared" si="2"/>
        <v>1418392.5279999999</v>
      </c>
      <c r="N20" s="448">
        <f t="shared" si="3"/>
        <v>1781171.888</v>
      </c>
      <c r="O20" s="448">
        <f t="shared" si="4"/>
        <v>4673570.1119999997</v>
      </c>
      <c r="P20" s="448">
        <f t="shared" si="5"/>
        <v>21000</v>
      </c>
      <c r="Q20" s="448">
        <f t="shared" si="6"/>
        <v>33000</v>
      </c>
      <c r="R20" s="448">
        <f t="shared" si="7"/>
        <v>75000</v>
      </c>
      <c r="S20" s="448">
        <f t="shared" si="8"/>
        <v>95000</v>
      </c>
      <c r="T20" s="448">
        <f t="shared" si="9"/>
        <v>336000</v>
      </c>
      <c r="U20" s="448">
        <f t="shared" si="10"/>
        <v>353656.826880001</v>
      </c>
      <c r="V20" s="448">
        <f t="shared" si="11"/>
        <v>913656.826880001</v>
      </c>
      <c r="W20" s="455">
        <v>12</v>
      </c>
      <c r="X20" s="448">
        <f t="shared" si="12"/>
        <v>76138.068906666696</v>
      </c>
      <c r="Y20" s="448"/>
      <c r="Z20" s="459">
        <f t="shared" si="13"/>
        <v>76138.068906666696</v>
      </c>
      <c r="AA20" s="460">
        <v>52497.770378666602</v>
      </c>
      <c r="AB20" s="460">
        <f t="shared" si="15"/>
        <v>23640.298528000101</v>
      </c>
      <c r="AC20" s="460"/>
      <c r="AD20" s="460"/>
      <c r="AE20" s="460"/>
    </row>
    <row r="21" spans="1:31" s="596" customFormat="1" ht="18.75">
      <c r="A21" s="597">
        <v>18</v>
      </c>
      <c r="B21" s="602" t="s">
        <v>381</v>
      </c>
      <c r="C21" s="599">
        <f>553512.5+100000</f>
        <v>653512.5</v>
      </c>
      <c r="D21" s="600">
        <v>12</v>
      </c>
      <c r="E21" s="601">
        <f t="shared" si="14"/>
        <v>7842150</v>
      </c>
      <c r="F21" s="601"/>
      <c r="G21" s="601">
        <v>339372</v>
      </c>
      <c r="H21" s="601"/>
      <c r="I21" s="601">
        <f t="shared" si="0"/>
        <v>7502778</v>
      </c>
      <c r="J21" s="601">
        <v>200000</v>
      </c>
      <c r="K21" s="601">
        <v>0.2</v>
      </c>
      <c r="L21" s="601">
        <f t="shared" si="1"/>
        <v>1500555.6</v>
      </c>
      <c r="M21" s="601">
        <f t="shared" si="2"/>
        <v>1700555.6</v>
      </c>
      <c r="N21" s="601">
        <f t="shared" si="3"/>
        <v>2039927.6</v>
      </c>
      <c r="O21" s="601">
        <f t="shared" si="4"/>
        <v>5802222.4000000004</v>
      </c>
      <c r="P21" s="601">
        <f t="shared" si="5"/>
        <v>21000</v>
      </c>
      <c r="Q21" s="601">
        <f t="shared" si="6"/>
        <v>33000</v>
      </c>
      <c r="R21" s="601">
        <f t="shared" si="7"/>
        <v>75000</v>
      </c>
      <c r="S21" s="601">
        <f t="shared" si="8"/>
        <v>95000</v>
      </c>
      <c r="T21" s="601">
        <f t="shared" si="9"/>
        <v>336000</v>
      </c>
      <c r="U21" s="601">
        <f t="shared" si="10"/>
        <v>624533.37600000005</v>
      </c>
      <c r="V21" s="601">
        <f t="shared" si="11"/>
        <v>1184533.3759999999</v>
      </c>
      <c r="W21" s="604">
        <v>12</v>
      </c>
      <c r="X21" s="601">
        <f t="shared" si="12"/>
        <v>98711.114666666705</v>
      </c>
      <c r="Y21" s="601"/>
      <c r="Z21" s="601">
        <f t="shared" si="13"/>
        <v>98711.114666666705</v>
      </c>
      <c r="AA21" s="605">
        <v>46666.666666666701</v>
      </c>
      <c r="AB21" s="605">
        <f t="shared" si="15"/>
        <v>52044.447999999997</v>
      </c>
      <c r="AC21" s="605"/>
      <c r="AD21" s="605"/>
      <c r="AE21" s="605"/>
    </row>
    <row r="22" spans="1:31" ht="18.75">
      <c r="A22" s="445">
        <v>19</v>
      </c>
      <c r="B22" s="10" t="s">
        <v>383</v>
      </c>
      <c r="C22" s="446">
        <v>463512.5</v>
      </c>
      <c r="D22" s="447">
        <v>12</v>
      </c>
      <c r="E22" s="448">
        <f t="shared" si="14"/>
        <v>5562150</v>
      </c>
      <c r="F22" s="448"/>
      <c r="G22" s="448">
        <v>339372</v>
      </c>
      <c r="H22" s="448"/>
      <c r="I22" s="448">
        <f t="shared" si="0"/>
        <v>5222778</v>
      </c>
      <c r="J22" s="448">
        <v>200000</v>
      </c>
      <c r="K22" s="448">
        <v>0.2</v>
      </c>
      <c r="L22" s="448">
        <f t="shared" si="1"/>
        <v>1044555.6</v>
      </c>
      <c r="M22" s="448">
        <f t="shared" si="2"/>
        <v>1244555.6000000001</v>
      </c>
      <c r="N22" s="448">
        <f t="shared" si="3"/>
        <v>1583927.6</v>
      </c>
      <c r="O22" s="448">
        <f t="shared" si="4"/>
        <v>3978222.4</v>
      </c>
      <c r="P22" s="448">
        <f t="shared" si="5"/>
        <v>21000</v>
      </c>
      <c r="Q22" s="448">
        <f t="shared" si="6"/>
        <v>33000</v>
      </c>
      <c r="R22" s="448">
        <f t="shared" si="7"/>
        <v>75000</v>
      </c>
      <c r="S22" s="448">
        <f t="shared" si="8"/>
        <v>95000</v>
      </c>
      <c r="T22" s="448">
        <f t="shared" si="9"/>
        <v>336000</v>
      </c>
      <c r="U22" s="448">
        <f t="shared" si="10"/>
        <v>186773.37599999999</v>
      </c>
      <c r="V22" s="448">
        <f t="shared" si="11"/>
        <v>746773.37600000005</v>
      </c>
      <c r="W22" s="455">
        <v>12</v>
      </c>
      <c r="X22" s="448">
        <f t="shared" si="12"/>
        <v>62231.114666666697</v>
      </c>
      <c r="Y22" s="448"/>
      <c r="Z22" s="459">
        <f t="shared" si="13"/>
        <v>62231.114666666697</v>
      </c>
      <c r="AA22" s="460">
        <v>46666.666666666701</v>
      </c>
      <c r="AB22" s="460">
        <f t="shared" si="15"/>
        <v>15564.448</v>
      </c>
      <c r="AC22" s="460"/>
      <c r="AD22" s="460"/>
      <c r="AE22" s="460"/>
    </row>
    <row r="23" spans="1:31" s="596" customFormat="1" ht="18.75">
      <c r="A23" s="597">
        <v>20</v>
      </c>
      <c r="B23" s="602" t="s">
        <v>384</v>
      </c>
      <c r="C23" s="599">
        <f>453029.666666667+100000</f>
        <v>553029.66666666698</v>
      </c>
      <c r="D23" s="600">
        <v>12</v>
      </c>
      <c r="E23" s="601">
        <f t="shared" si="14"/>
        <v>6636356</v>
      </c>
      <c r="F23" s="601"/>
      <c r="G23" s="601">
        <v>281308.48</v>
      </c>
      <c r="H23" s="601"/>
      <c r="I23" s="601">
        <f t="shared" si="0"/>
        <v>6355047.5199999996</v>
      </c>
      <c r="J23" s="601">
        <v>200000</v>
      </c>
      <c r="K23" s="601">
        <v>0.2</v>
      </c>
      <c r="L23" s="601">
        <f t="shared" si="1"/>
        <v>1271009.504</v>
      </c>
      <c r="M23" s="601">
        <f t="shared" si="2"/>
        <v>1471009.504</v>
      </c>
      <c r="N23" s="601">
        <f t="shared" si="3"/>
        <v>1752317.9839999999</v>
      </c>
      <c r="O23" s="601">
        <f t="shared" si="4"/>
        <v>4884038.0159999998</v>
      </c>
      <c r="P23" s="601">
        <f t="shared" si="5"/>
        <v>21000</v>
      </c>
      <c r="Q23" s="601">
        <f t="shared" si="6"/>
        <v>33000</v>
      </c>
      <c r="R23" s="601">
        <f t="shared" si="7"/>
        <v>75000</v>
      </c>
      <c r="S23" s="601">
        <f t="shared" si="8"/>
        <v>95000</v>
      </c>
      <c r="T23" s="601">
        <f t="shared" si="9"/>
        <v>336000</v>
      </c>
      <c r="U23" s="601">
        <f t="shared" si="10"/>
        <v>404169.123840001</v>
      </c>
      <c r="V23" s="601">
        <f t="shared" si="11"/>
        <v>964169.12384000095</v>
      </c>
      <c r="W23" s="604">
        <v>12</v>
      </c>
      <c r="X23" s="601">
        <f t="shared" si="12"/>
        <v>80347.426986666702</v>
      </c>
      <c r="Y23" s="601"/>
      <c r="Z23" s="601">
        <f t="shared" si="13"/>
        <v>80347.426986666702</v>
      </c>
      <c r="AA23" s="605">
        <v>42371.815728666697</v>
      </c>
      <c r="AB23" s="605">
        <f t="shared" si="15"/>
        <v>37975.611257999997</v>
      </c>
      <c r="AC23" s="605"/>
      <c r="AD23" s="605"/>
      <c r="AE23" s="605"/>
    </row>
    <row r="24" spans="1:31" ht="18.75">
      <c r="A24" s="445">
        <v>21</v>
      </c>
      <c r="B24" s="3" t="s">
        <v>386</v>
      </c>
      <c r="C24" s="446">
        <v>330481.66666666698</v>
      </c>
      <c r="D24" s="447">
        <v>12</v>
      </c>
      <c r="E24" s="448">
        <f t="shared" si="14"/>
        <v>3965780</v>
      </c>
      <c r="F24" s="448"/>
      <c r="G24" s="448">
        <v>259662.4</v>
      </c>
      <c r="H24" s="448"/>
      <c r="I24" s="448">
        <f t="shared" si="0"/>
        <v>3706117.6</v>
      </c>
      <c r="J24" s="448">
        <v>200000</v>
      </c>
      <c r="K24" s="448">
        <v>0.2</v>
      </c>
      <c r="L24" s="448">
        <f t="shared" si="1"/>
        <v>741223.52000000095</v>
      </c>
      <c r="M24" s="448">
        <f t="shared" si="2"/>
        <v>941223.52000000095</v>
      </c>
      <c r="N24" s="448">
        <f t="shared" si="3"/>
        <v>1200885.92</v>
      </c>
      <c r="O24" s="448">
        <f t="shared" si="4"/>
        <v>2764894.08</v>
      </c>
      <c r="P24" s="448">
        <f t="shared" si="5"/>
        <v>21000</v>
      </c>
      <c r="Q24" s="448">
        <f t="shared" si="6"/>
        <v>33000</v>
      </c>
      <c r="R24" s="448">
        <f t="shared" si="7"/>
        <v>75000</v>
      </c>
      <c r="S24" s="448">
        <f t="shared" si="8"/>
        <v>95000</v>
      </c>
      <c r="T24" s="448">
        <f t="shared" si="9"/>
        <v>244627.75680000099</v>
      </c>
      <c r="U24" s="448"/>
      <c r="V24" s="448">
        <f t="shared" si="11"/>
        <v>468627.75680000102</v>
      </c>
      <c r="W24" s="455">
        <v>12</v>
      </c>
      <c r="X24" s="448">
        <f t="shared" si="12"/>
        <v>39052.313066666698</v>
      </c>
      <c r="Y24" s="448"/>
      <c r="Z24" s="459">
        <f t="shared" si="13"/>
        <v>39052.313066666698</v>
      </c>
      <c r="AA24" s="460">
        <v>23036.012346666699</v>
      </c>
      <c r="AB24" s="460">
        <f t="shared" si="15"/>
        <v>16016.300719999999</v>
      </c>
      <c r="AC24" s="460"/>
      <c r="AD24" s="460"/>
      <c r="AE24" s="460"/>
    </row>
    <row r="25" spans="1:31" ht="18.75">
      <c r="A25" s="445">
        <v>22</v>
      </c>
      <c r="B25" s="17" t="s">
        <v>388</v>
      </c>
      <c r="C25" s="446">
        <v>330481.66666666698</v>
      </c>
      <c r="D25" s="447">
        <v>12</v>
      </c>
      <c r="E25" s="448">
        <f t="shared" si="14"/>
        <v>3965780</v>
      </c>
      <c r="F25" s="448"/>
      <c r="G25" s="448">
        <v>259662.4</v>
      </c>
      <c r="H25" s="448"/>
      <c r="I25" s="448">
        <f t="shared" si="0"/>
        <v>3706117.6</v>
      </c>
      <c r="J25" s="448">
        <v>200000</v>
      </c>
      <c r="K25" s="448">
        <v>0.2</v>
      </c>
      <c r="L25" s="448">
        <f t="shared" si="1"/>
        <v>741223.52000000095</v>
      </c>
      <c r="M25" s="448">
        <f t="shared" si="2"/>
        <v>941223.52000000095</v>
      </c>
      <c r="N25" s="448">
        <f t="shared" si="3"/>
        <v>1200885.92</v>
      </c>
      <c r="O25" s="448">
        <f t="shared" si="4"/>
        <v>2764894.08</v>
      </c>
      <c r="P25" s="448">
        <f t="shared" si="5"/>
        <v>21000</v>
      </c>
      <c r="Q25" s="448">
        <f t="shared" si="6"/>
        <v>33000</v>
      </c>
      <c r="R25" s="448">
        <f t="shared" si="7"/>
        <v>75000</v>
      </c>
      <c r="S25" s="448">
        <f t="shared" si="8"/>
        <v>95000</v>
      </c>
      <c r="T25" s="448">
        <f t="shared" si="9"/>
        <v>244627.75680000099</v>
      </c>
      <c r="U25" s="448"/>
      <c r="V25" s="448">
        <f t="shared" si="11"/>
        <v>468627.75680000102</v>
      </c>
      <c r="W25" s="455">
        <v>12</v>
      </c>
      <c r="X25" s="448">
        <f t="shared" si="12"/>
        <v>39052.313066666698</v>
      </c>
      <c r="Y25" s="448"/>
      <c r="Z25" s="459">
        <f t="shared" si="13"/>
        <v>39052.313066666698</v>
      </c>
      <c r="AA25" s="460">
        <v>23036.012346666699</v>
      </c>
      <c r="AB25" s="460">
        <f t="shared" si="15"/>
        <v>16016.300719999999</v>
      </c>
      <c r="AC25" s="460"/>
      <c r="AD25" s="460"/>
      <c r="AE25" s="460"/>
    </row>
    <row r="26" spans="1:31" ht="18.75">
      <c r="A26" s="445">
        <v>23</v>
      </c>
      <c r="B26" s="10" t="s">
        <v>389</v>
      </c>
      <c r="C26" s="446">
        <v>370481.66666666698</v>
      </c>
      <c r="D26" s="447">
        <v>12</v>
      </c>
      <c r="E26" s="448">
        <f t="shared" si="14"/>
        <v>4445780</v>
      </c>
      <c r="F26" s="448"/>
      <c r="G26" s="448">
        <v>259662.4</v>
      </c>
      <c r="H26" s="448"/>
      <c r="I26" s="448">
        <f t="shared" si="0"/>
        <v>4186117.6</v>
      </c>
      <c r="J26" s="448">
        <v>200000</v>
      </c>
      <c r="K26" s="448">
        <v>0.2</v>
      </c>
      <c r="L26" s="448">
        <f t="shared" si="1"/>
        <v>837223.52000000095</v>
      </c>
      <c r="M26" s="448">
        <f t="shared" si="2"/>
        <v>1037223.52</v>
      </c>
      <c r="N26" s="448">
        <f t="shared" si="3"/>
        <v>1296885.92</v>
      </c>
      <c r="O26" s="448">
        <f t="shared" si="4"/>
        <v>3148894.08</v>
      </c>
      <c r="P26" s="448">
        <f t="shared" si="5"/>
        <v>21000</v>
      </c>
      <c r="Q26" s="448">
        <f t="shared" si="6"/>
        <v>33000</v>
      </c>
      <c r="R26" s="448">
        <f t="shared" si="7"/>
        <v>75000</v>
      </c>
      <c r="S26" s="448">
        <f t="shared" si="8"/>
        <v>95000</v>
      </c>
      <c r="T26" s="448">
        <f t="shared" si="9"/>
        <v>325267.75680000102</v>
      </c>
      <c r="U26" s="448"/>
      <c r="V26" s="448">
        <f t="shared" si="11"/>
        <v>549267.75680000102</v>
      </c>
      <c r="W26" s="455">
        <v>12</v>
      </c>
      <c r="X26" s="448">
        <f t="shared" si="12"/>
        <v>45772.313066666698</v>
      </c>
      <c r="Y26" s="448"/>
      <c r="Z26" s="459">
        <f t="shared" si="13"/>
        <v>45772.313066666698</v>
      </c>
      <c r="AA26" s="460">
        <v>29756.012346666699</v>
      </c>
      <c r="AB26" s="460">
        <f t="shared" si="15"/>
        <v>16016.300719999999</v>
      </c>
      <c r="AC26" s="460"/>
      <c r="AD26" s="460"/>
      <c r="AE26" s="460"/>
    </row>
    <row r="27" spans="1:31" ht="37.5">
      <c r="A27" s="445">
        <v>24</v>
      </c>
      <c r="B27" s="17" t="s">
        <v>390</v>
      </c>
      <c r="C27" s="446">
        <v>323165.33333333302</v>
      </c>
      <c r="D27" s="447">
        <v>12</v>
      </c>
      <c r="E27" s="448">
        <f t="shared" si="14"/>
        <v>3877984</v>
      </c>
      <c r="F27" s="448"/>
      <c r="G27" s="448">
        <v>252638.72</v>
      </c>
      <c r="H27" s="448"/>
      <c r="I27" s="448">
        <f t="shared" si="0"/>
        <v>3625345.28</v>
      </c>
      <c r="J27" s="448">
        <v>200000</v>
      </c>
      <c r="K27" s="448">
        <v>0.2</v>
      </c>
      <c r="L27" s="448">
        <f t="shared" ref="L27" si="16">I27*K27</f>
        <v>725069.05599999905</v>
      </c>
      <c r="M27" s="448">
        <f t="shared" ref="M27" si="17">J27+L27</f>
        <v>925069.05599999905</v>
      </c>
      <c r="N27" s="448">
        <f t="shared" si="3"/>
        <v>1177707.7760000001</v>
      </c>
      <c r="O27" s="448">
        <f t="shared" si="4"/>
        <v>2700276.2239999999</v>
      </c>
      <c r="P27" s="448">
        <f t="shared" ref="P27" si="18">IF(O27&lt;300000,0.07*O27,21000)</f>
        <v>21000</v>
      </c>
      <c r="Q27" s="448">
        <f t="shared" ref="Q27" si="19">IF((O27-300000)&lt;0,0,IF((O27-300000)&lt;300000,0.11*(O27-300000),33000))</f>
        <v>33000</v>
      </c>
      <c r="R27" s="448">
        <f t="shared" ref="R27" si="20">IF((O27-600000)&lt;0,0,IF((O27-600000)&lt;500000,0.15*(O27-600000),75000))</f>
        <v>75000</v>
      </c>
      <c r="S27" s="448">
        <f t="shared" ref="S27" si="21">IF((O27-1100000)&lt;0,0,IF((O27-1100000)&lt;500000,0.19*(O27-1100000),95000))</f>
        <v>95000</v>
      </c>
      <c r="T27" s="448">
        <f t="shared" ref="T27" si="22">IF((O27-1600000)&lt;0,0,IF((O27-1600000)&lt;1600000,0.21*(O27-1600000),336000))</f>
        <v>231058.00703999901</v>
      </c>
      <c r="U27" s="448"/>
      <c r="V27" s="448">
        <f t="shared" ref="V27" si="23">P27+Q27+R27+S27+T27+U27</f>
        <v>455058.00703999901</v>
      </c>
      <c r="W27" s="455">
        <v>12</v>
      </c>
      <c r="X27" s="448">
        <f t="shared" ref="X27" si="24">V27/W27</f>
        <v>37921.500586666603</v>
      </c>
      <c r="Y27" s="448"/>
      <c r="Z27" s="459">
        <f t="shared" ref="Z27" si="25">X27</f>
        <v>37921.500586666603</v>
      </c>
      <c r="AA27" s="460">
        <v>22338.4826046667</v>
      </c>
      <c r="AB27" s="460">
        <f t="shared" si="15"/>
        <v>15583.017981999899</v>
      </c>
      <c r="AC27" s="460"/>
      <c r="AD27" s="460"/>
      <c r="AE27" s="460"/>
    </row>
    <row r="28" spans="1:31" ht="18.75">
      <c r="A28" s="445">
        <v>25</v>
      </c>
      <c r="B28" s="17" t="s">
        <v>392</v>
      </c>
      <c r="C28" s="446">
        <v>315849</v>
      </c>
      <c r="D28" s="447">
        <v>12</v>
      </c>
      <c r="E28" s="448">
        <f t="shared" si="14"/>
        <v>3790188</v>
      </c>
      <c r="F28" s="448"/>
      <c r="G28" s="448">
        <v>245615.04</v>
      </c>
      <c r="H28" s="448"/>
      <c r="I28" s="448">
        <f t="shared" si="0"/>
        <v>3544572.96</v>
      </c>
      <c r="J28" s="448">
        <v>200000</v>
      </c>
      <c r="K28" s="448">
        <v>0.2</v>
      </c>
      <c r="L28" s="448">
        <f t="shared" si="1"/>
        <v>708914.59199999995</v>
      </c>
      <c r="M28" s="448">
        <f t="shared" si="2"/>
        <v>908914.59199999995</v>
      </c>
      <c r="N28" s="448">
        <f t="shared" si="3"/>
        <v>1154529.632</v>
      </c>
      <c r="O28" s="448">
        <f t="shared" si="4"/>
        <v>2635658.3679999998</v>
      </c>
      <c r="P28" s="448">
        <f t="shared" si="5"/>
        <v>21000</v>
      </c>
      <c r="Q28" s="448">
        <f t="shared" si="6"/>
        <v>33000</v>
      </c>
      <c r="R28" s="448">
        <f t="shared" si="7"/>
        <v>75000</v>
      </c>
      <c r="S28" s="448">
        <f t="shared" si="8"/>
        <v>95000</v>
      </c>
      <c r="T28" s="448">
        <f t="shared" si="9"/>
        <v>217488.25727999999</v>
      </c>
      <c r="U28" s="448"/>
      <c r="V28" s="448">
        <f t="shared" si="11"/>
        <v>441488.25728000002</v>
      </c>
      <c r="W28" s="455">
        <v>12</v>
      </c>
      <c r="X28" s="448">
        <f t="shared" si="12"/>
        <v>36790.688106666697</v>
      </c>
      <c r="Y28" s="448"/>
      <c r="Z28" s="459">
        <f t="shared" si="13"/>
        <v>36790.688106666697</v>
      </c>
      <c r="AA28" s="460">
        <v>21640.952862666702</v>
      </c>
      <c r="AB28" s="460">
        <f t="shared" si="15"/>
        <v>15149.735244</v>
      </c>
      <c r="AC28" s="460"/>
      <c r="AD28" s="460"/>
      <c r="AE28" s="460"/>
    </row>
    <row r="29" spans="1:31" ht="37.5">
      <c r="A29" s="445">
        <v>26</v>
      </c>
      <c r="B29" s="17" t="s">
        <v>394</v>
      </c>
      <c r="C29" s="446">
        <v>315849</v>
      </c>
      <c r="D29" s="447">
        <v>12</v>
      </c>
      <c r="E29" s="448">
        <f t="shared" si="14"/>
        <v>3790188</v>
      </c>
      <c r="F29" s="448"/>
      <c r="G29" s="448">
        <v>245615.04</v>
      </c>
      <c r="H29" s="448"/>
      <c r="I29" s="448">
        <f t="shared" si="0"/>
        <v>3544572.96</v>
      </c>
      <c r="J29" s="448">
        <v>200000</v>
      </c>
      <c r="K29" s="448">
        <v>0.2</v>
      </c>
      <c r="L29" s="448">
        <f t="shared" si="1"/>
        <v>708914.59199999995</v>
      </c>
      <c r="M29" s="448">
        <f t="shared" si="2"/>
        <v>908914.59199999995</v>
      </c>
      <c r="N29" s="448">
        <f t="shared" si="3"/>
        <v>1154529.632</v>
      </c>
      <c r="O29" s="448">
        <f t="shared" si="4"/>
        <v>2635658.3679999998</v>
      </c>
      <c r="P29" s="448">
        <f t="shared" si="5"/>
        <v>21000</v>
      </c>
      <c r="Q29" s="448">
        <f t="shared" si="6"/>
        <v>33000</v>
      </c>
      <c r="R29" s="448">
        <f t="shared" si="7"/>
        <v>75000</v>
      </c>
      <c r="S29" s="448">
        <f t="shared" si="8"/>
        <v>95000</v>
      </c>
      <c r="T29" s="448">
        <f t="shared" si="9"/>
        <v>217488.25727999999</v>
      </c>
      <c r="U29" s="448"/>
      <c r="V29" s="448">
        <f t="shared" si="11"/>
        <v>441488.25728000002</v>
      </c>
      <c r="W29" s="455">
        <v>12</v>
      </c>
      <c r="X29" s="448">
        <f t="shared" si="12"/>
        <v>36790.688106666697</v>
      </c>
      <c r="Y29" s="448"/>
      <c r="Z29" s="459">
        <f t="shared" si="13"/>
        <v>36790.688106666697</v>
      </c>
      <c r="AA29" s="460">
        <v>21640.952862666702</v>
      </c>
      <c r="AB29" s="460">
        <f t="shared" si="15"/>
        <v>15149.735244</v>
      </c>
      <c r="AC29" s="460"/>
      <c r="AD29" s="460"/>
      <c r="AE29" s="460"/>
    </row>
    <row r="30" spans="1:31" ht="18.75">
      <c r="A30" s="445">
        <v>27</v>
      </c>
      <c r="B30" s="17" t="s">
        <v>395</v>
      </c>
      <c r="C30" s="446">
        <v>330481.66666666698</v>
      </c>
      <c r="D30" s="447">
        <v>12</v>
      </c>
      <c r="E30" s="448">
        <f t="shared" si="14"/>
        <v>3965780</v>
      </c>
      <c r="F30" s="448"/>
      <c r="G30" s="448">
        <v>259662.4</v>
      </c>
      <c r="H30" s="448"/>
      <c r="I30" s="448">
        <f t="shared" si="0"/>
        <v>3706117.6</v>
      </c>
      <c r="J30" s="448">
        <v>200000</v>
      </c>
      <c r="K30" s="448">
        <v>0.2</v>
      </c>
      <c r="L30" s="448">
        <f t="shared" si="1"/>
        <v>741223.52000000095</v>
      </c>
      <c r="M30" s="448">
        <f t="shared" si="2"/>
        <v>941223.52000000095</v>
      </c>
      <c r="N30" s="448">
        <f t="shared" si="3"/>
        <v>1200885.92</v>
      </c>
      <c r="O30" s="448">
        <f t="shared" si="4"/>
        <v>2764894.08</v>
      </c>
      <c r="P30" s="448">
        <f t="shared" si="5"/>
        <v>21000</v>
      </c>
      <c r="Q30" s="448">
        <f t="shared" si="6"/>
        <v>33000</v>
      </c>
      <c r="R30" s="448">
        <f t="shared" si="7"/>
        <v>75000</v>
      </c>
      <c r="S30" s="448">
        <f t="shared" si="8"/>
        <v>95000</v>
      </c>
      <c r="T30" s="448">
        <f t="shared" si="9"/>
        <v>244627.75680000099</v>
      </c>
      <c r="U30" s="448"/>
      <c r="V30" s="448">
        <f t="shared" si="11"/>
        <v>468627.75680000102</v>
      </c>
      <c r="W30" s="455">
        <v>12</v>
      </c>
      <c r="X30" s="448">
        <f t="shared" si="12"/>
        <v>39052.313066666698</v>
      </c>
      <c r="Y30" s="448"/>
      <c r="Z30" s="459">
        <f t="shared" si="13"/>
        <v>39052.313066666698</v>
      </c>
      <c r="AA30" s="460">
        <v>22338.4826046667</v>
      </c>
      <c r="AB30" s="460">
        <f t="shared" si="15"/>
        <v>16713.830462000002</v>
      </c>
      <c r="AC30" s="460"/>
      <c r="AD30" s="460"/>
      <c r="AE30" s="460"/>
    </row>
    <row r="31" spans="1:31" ht="18.75">
      <c r="A31" s="445">
        <v>28</v>
      </c>
      <c r="B31" s="17" t="s">
        <v>397</v>
      </c>
      <c r="C31" s="446">
        <v>280631.91666666698</v>
      </c>
      <c r="D31" s="447">
        <v>12</v>
      </c>
      <c r="E31" s="448">
        <f t="shared" si="14"/>
        <v>3367583</v>
      </c>
      <c r="F31" s="448"/>
      <c r="G31" s="449">
        <v>221406.64</v>
      </c>
      <c r="H31" s="448"/>
      <c r="I31" s="448">
        <f t="shared" si="0"/>
        <v>3146176.36</v>
      </c>
      <c r="J31" s="448">
        <v>200000</v>
      </c>
      <c r="K31" s="448">
        <v>0.2</v>
      </c>
      <c r="L31" s="448">
        <f t="shared" si="1"/>
        <v>629235.27200000104</v>
      </c>
      <c r="M31" s="448">
        <f t="shared" si="2"/>
        <v>829235.27200000104</v>
      </c>
      <c r="N31" s="448">
        <f t="shared" si="3"/>
        <v>1050641.912</v>
      </c>
      <c r="O31" s="448">
        <f t="shared" si="4"/>
        <v>2316941.088</v>
      </c>
      <c r="P31" s="448">
        <f t="shared" si="5"/>
        <v>21000</v>
      </c>
      <c r="Q31" s="448">
        <f t="shared" si="6"/>
        <v>33000</v>
      </c>
      <c r="R31" s="448">
        <f t="shared" si="7"/>
        <v>75000</v>
      </c>
      <c r="S31" s="448">
        <f t="shared" si="8"/>
        <v>95000</v>
      </c>
      <c r="T31" s="448">
        <f t="shared" si="9"/>
        <v>150557.628480001</v>
      </c>
      <c r="U31" s="448"/>
      <c r="V31" s="448">
        <f t="shared" si="11"/>
        <v>374557.628480001</v>
      </c>
      <c r="W31" s="455">
        <v>12</v>
      </c>
      <c r="X31" s="448">
        <f t="shared" si="12"/>
        <v>31213.135706666701</v>
      </c>
      <c r="Y31" s="448"/>
      <c r="Z31" s="459">
        <f t="shared" si="13"/>
        <v>31213.135706666701</v>
      </c>
      <c r="AA31" s="460">
        <v>17572.885002666699</v>
      </c>
      <c r="AB31" s="460">
        <f t="shared" si="15"/>
        <v>13640.250704</v>
      </c>
      <c r="AC31" s="460"/>
      <c r="AD31" s="460"/>
      <c r="AE31" s="460"/>
    </row>
    <row r="32" spans="1:31" ht="18.75">
      <c r="A32" s="445">
        <v>29</v>
      </c>
      <c r="B32" s="17" t="s">
        <v>400</v>
      </c>
      <c r="C32" s="446">
        <v>274459.75</v>
      </c>
      <c r="D32" s="447">
        <v>12</v>
      </c>
      <c r="E32" s="448">
        <f t="shared" si="14"/>
        <v>3293517</v>
      </c>
      <c r="F32" s="448"/>
      <c r="G32" s="449">
        <f>17956.78*12</f>
        <v>215481.36</v>
      </c>
      <c r="H32" s="448"/>
      <c r="I32" s="448">
        <f t="shared" si="0"/>
        <v>3078035.64</v>
      </c>
      <c r="J32" s="448">
        <v>200000</v>
      </c>
      <c r="K32" s="448">
        <v>0.2</v>
      </c>
      <c r="L32" s="448">
        <f t="shared" si="1"/>
        <v>615607.12800000003</v>
      </c>
      <c r="M32" s="448">
        <f t="shared" si="2"/>
        <v>815607.12800000003</v>
      </c>
      <c r="N32" s="448">
        <f t="shared" si="3"/>
        <v>1031088.488</v>
      </c>
      <c r="O32" s="448">
        <f t="shared" si="4"/>
        <v>2262428.5120000001</v>
      </c>
      <c r="P32" s="448">
        <f t="shared" si="5"/>
        <v>21000</v>
      </c>
      <c r="Q32" s="448">
        <f t="shared" si="6"/>
        <v>33000</v>
      </c>
      <c r="R32" s="448">
        <f t="shared" si="7"/>
        <v>75000</v>
      </c>
      <c r="S32" s="448">
        <f t="shared" si="8"/>
        <v>95000</v>
      </c>
      <c r="T32" s="448">
        <f t="shared" si="9"/>
        <v>139109.98752</v>
      </c>
      <c r="U32" s="448"/>
      <c r="V32" s="448">
        <f t="shared" si="11"/>
        <v>363109.98752000002</v>
      </c>
      <c r="W32" s="455">
        <v>12</v>
      </c>
      <c r="X32" s="448">
        <f t="shared" si="12"/>
        <v>30259.165626666701</v>
      </c>
      <c r="Y32" s="448"/>
      <c r="Z32" s="459">
        <f t="shared" si="13"/>
        <v>30259.165626666701</v>
      </c>
      <c r="AA32" s="460">
        <v>16512.682190666699</v>
      </c>
      <c r="AB32" s="460">
        <f t="shared" si="15"/>
        <v>13746.483436</v>
      </c>
      <c r="AC32" s="460"/>
      <c r="AD32" s="460"/>
      <c r="AE32" s="460"/>
    </row>
    <row r="33" spans="1:31" ht="18.75">
      <c r="A33" s="445">
        <v>31</v>
      </c>
      <c r="B33" s="21"/>
      <c r="C33" s="450"/>
      <c r="D33" s="447"/>
      <c r="E33" s="448"/>
      <c r="F33" s="451"/>
      <c r="G33" s="451"/>
      <c r="H33" s="451"/>
      <c r="I33" s="448"/>
      <c r="J33" s="448"/>
      <c r="K33" s="448"/>
      <c r="L33" s="448"/>
      <c r="M33" s="448"/>
      <c r="N33" s="448"/>
      <c r="O33" s="448"/>
      <c r="P33" s="448"/>
      <c r="Q33" s="448"/>
      <c r="R33" s="448"/>
      <c r="S33" s="448"/>
      <c r="T33" s="448"/>
      <c r="U33" s="448"/>
      <c r="V33" s="448"/>
      <c r="W33" s="455"/>
      <c r="X33" s="448"/>
      <c r="Y33" s="451"/>
      <c r="Z33" s="459"/>
      <c r="AA33" s="460"/>
      <c r="AB33" s="460"/>
      <c r="AC33" s="460"/>
      <c r="AD33" s="460"/>
      <c r="AE33" s="460"/>
    </row>
    <row r="34" spans="1:31" ht="18.75">
      <c r="A34" s="445">
        <v>32</v>
      </c>
      <c r="B34" s="19" t="s">
        <v>225</v>
      </c>
      <c r="C34" s="448"/>
      <c r="D34" s="447"/>
      <c r="E34" s="448"/>
      <c r="F34" s="451"/>
      <c r="G34" s="451"/>
      <c r="H34" s="451"/>
      <c r="I34" s="448"/>
      <c r="J34" s="448"/>
      <c r="K34" s="448"/>
      <c r="L34" s="448"/>
      <c r="M34" s="448"/>
      <c r="N34" s="448"/>
      <c r="O34" s="448"/>
      <c r="P34" s="448"/>
      <c r="Q34" s="448"/>
      <c r="R34" s="448"/>
      <c r="S34" s="448"/>
      <c r="T34" s="448"/>
      <c r="U34" s="448"/>
      <c r="V34" s="448"/>
      <c r="W34" s="455"/>
      <c r="X34" s="448"/>
      <c r="Y34" s="451"/>
      <c r="Z34" s="459"/>
      <c r="AA34" s="460"/>
      <c r="AB34" s="460"/>
      <c r="AC34" s="460"/>
      <c r="AD34" s="460"/>
      <c r="AE34" s="460"/>
    </row>
    <row r="35" spans="1:31" ht="18.75">
      <c r="A35" s="445"/>
      <c r="B35" s="17" t="s">
        <v>403</v>
      </c>
      <c r="C35" s="452">
        <v>1535720</v>
      </c>
      <c r="D35" s="448">
        <v>12</v>
      </c>
      <c r="E35" s="448">
        <f>C35*D35</f>
        <v>18428640</v>
      </c>
      <c r="F35" s="448"/>
      <c r="G35" s="449">
        <v>1378291.2</v>
      </c>
      <c r="H35" s="448"/>
      <c r="I35" s="448">
        <f>E35-F35-G35-H35</f>
        <v>17050348.800000001</v>
      </c>
      <c r="J35" s="448">
        <v>200000</v>
      </c>
      <c r="K35" s="448">
        <v>0.2</v>
      </c>
      <c r="L35" s="448">
        <f>I35*K35</f>
        <v>3410069.76</v>
      </c>
      <c r="M35" s="448">
        <f>J35+L35</f>
        <v>3610069.76</v>
      </c>
      <c r="N35" s="448">
        <f>F35+G35+H35+M35</f>
        <v>4988360.96</v>
      </c>
      <c r="O35" s="448">
        <f>E35-N35</f>
        <v>13440279.039999999</v>
      </c>
      <c r="P35" s="448">
        <f t="shared" si="5"/>
        <v>21000</v>
      </c>
      <c r="Q35" s="448">
        <f t="shared" ref="Q35:Q37" si="26">IF((O35-300000)&lt;0,0,IF((O35-300000)&lt;300000,0.11*(O35-300000),33000))</f>
        <v>33000</v>
      </c>
      <c r="R35" s="448">
        <f t="shared" ref="R35:R37" si="27">IF((O35-600000)&lt;0,0,IF((O35-600000)&lt;500000,0.15*(O35-600000),75000))</f>
        <v>75000</v>
      </c>
      <c r="S35" s="448">
        <f t="shared" ref="S35:S37" si="28">IF((O35-1100000)&lt;0,0,IF((O35-1100000)&lt;500000,0.19*(O35-1100000),95000))</f>
        <v>95000</v>
      </c>
      <c r="T35" s="448">
        <f t="shared" ref="T35:T37" si="29">IF((O35-1600000)&lt;0,0,IF((O35-1600000)&lt;1600000,0.21*(O35-1600000),336000))</f>
        <v>336000</v>
      </c>
      <c r="U35" s="448">
        <f t="shared" si="10"/>
        <v>2457666.9696</v>
      </c>
      <c r="V35" s="448">
        <f>P35+Q35+R35+S35+T35+U35</f>
        <v>3017666.9696</v>
      </c>
      <c r="W35" s="448">
        <v>12</v>
      </c>
      <c r="X35" s="448">
        <f>V35/W35</f>
        <v>251472.247466667</v>
      </c>
      <c r="Y35" s="448"/>
      <c r="Z35" s="459">
        <f>X35</f>
        <v>251472.247466667</v>
      </c>
      <c r="AA35" s="448">
        <v>161106.806858667</v>
      </c>
      <c r="AB35" s="448">
        <f>Z35-AA35</f>
        <v>90365.440607999597</v>
      </c>
      <c r="AC35" s="460"/>
      <c r="AD35" s="460"/>
      <c r="AE35" s="460"/>
    </row>
    <row r="36" spans="1:31" ht="18.75">
      <c r="A36" s="445"/>
      <c r="B36" s="17" t="s">
        <v>406</v>
      </c>
      <c r="C36" s="448">
        <v>353029.66666666698</v>
      </c>
      <c r="D36" s="447">
        <v>12</v>
      </c>
      <c r="E36" s="448">
        <f>C36*D36</f>
        <v>4236356</v>
      </c>
      <c r="F36" s="448"/>
      <c r="G36" s="449">
        <v>281308.48</v>
      </c>
      <c r="H36" s="448"/>
      <c r="I36" s="448">
        <f>E36-F36-G36-H36</f>
        <v>3955047.52</v>
      </c>
      <c r="J36" s="448">
        <v>200000</v>
      </c>
      <c r="K36" s="448">
        <v>0.2</v>
      </c>
      <c r="L36" s="448">
        <f>I36*K36</f>
        <v>791009.504000001</v>
      </c>
      <c r="M36" s="448">
        <f>J36+L36</f>
        <v>991009.504000001</v>
      </c>
      <c r="N36" s="448">
        <f>F36+G36+H36+M36</f>
        <v>1272317.9839999999</v>
      </c>
      <c r="O36" s="448">
        <f>E36-N36</f>
        <v>2964038.0159999998</v>
      </c>
      <c r="P36" s="448">
        <f t="shared" si="5"/>
        <v>21000</v>
      </c>
      <c r="Q36" s="448">
        <f t="shared" si="26"/>
        <v>33000</v>
      </c>
      <c r="R36" s="448">
        <f t="shared" si="27"/>
        <v>75000</v>
      </c>
      <c r="S36" s="448">
        <f t="shared" si="28"/>
        <v>95000</v>
      </c>
      <c r="T36" s="448">
        <f t="shared" si="29"/>
        <v>286447.983360001</v>
      </c>
      <c r="U36" s="448"/>
      <c r="V36" s="448">
        <f>P36+Q36+R36+S36+T36+U36</f>
        <v>510447.983360001</v>
      </c>
      <c r="W36" s="448">
        <v>12</v>
      </c>
      <c r="X36" s="448">
        <f>V36/W36</f>
        <v>42537.331946666702</v>
      </c>
      <c r="Y36" s="448"/>
      <c r="Z36" s="459">
        <f>X36</f>
        <v>42537.331946666702</v>
      </c>
      <c r="AA36" s="460">
        <v>17042.713866666702</v>
      </c>
      <c r="AB36" s="448">
        <f t="shared" ref="AB36:AB37" si="30">Z36-AA36</f>
        <v>25494.61808</v>
      </c>
      <c r="AC36" s="460"/>
      <c r="AD36" s="460"/>
      <c r="AE36" s="460"/>
    </row>
    <row r="37" spans="1:31" ht="18.75">
      <c r="A37" s="445">
        <v>33</v>
      </c>
      <c r="B37" s="10" t="s">
        <v>408</v>
      </c>
      <c r="C37" s="446">
        <v>360965.58333333302</v>
      </c>
      <c r="D37" s="447">
        <v>12</v>
      </c>
      <c r="E37" s="448">
        <f>C37*D37</f>
        <v>4331587</v>
      </c>
      <c r="F37" s="448"/>
      <c r="G37" s="449">
        <v>288926.96000000002</v>
      </c>
      <c r="H37" s="448"/>
      <c r="I37" s="448">
        <f>E37-F37-G37-H37</f>
        <v>4042660.04</v>
      </c>
      <c r="J37" s="448">
        <v>200000</v>
      </c>
      <c r="K37" s="448">
        <v>0.2</v>
      </c>
      <c r="L37" s="448">
        <f>I37*K37</f>
        <v>808532.00799999898</v>
      </c>
      <c r="M37" s="448">
        <f>J37+L37</f>
        <v>1008532.008</v>
      </c>
      <c r="N37" s="448">
        <f>F37+G37+H37+M37</f>
        <v>1297458.9680000001</v>
      </c>
      <c r="O37" s="448">
        <f>E37-N37</f>
        <v>3034128.0320000001</v>
      </c>
      <c r="P37" s="448">
        <f t="shared" si="5"/>
        <v>21000</v>
      </c>
      <c r="Q37" s="448">
        <f t="shared" si="26"/>
        <v>33000</v>
      </c>
      <c r="R37" s="448">
        <f t="shared" si="27"/>
        <v>75000</v>
      </c>
      <c r="S37" s="448">
        <f t="shared" si="28"/>
        <v>95000</v>
      </c>
      <c r="T37" s="448">
        <f t="shared" si="29"/>
        <v>301166.88671999902</v>
      </c>
      <c r="U37" s="448"/>
      <c r="V37" s="448">
        <f>P37+Q37+R37+S37+T37+U37</f>
        <v>525166.88671999902</v>
      </c>
      <c r="W37" s="448">
        <v>12</v>
      </c>
      <c r="X37" s="448">
        <f>V37/W37</f>
        <v>43763.907226666597</v>
      </c>
      <c r="Y37" s="448"/>
      <c r="Z37" s="459">
        <f>X37</f>
        <v>43763.907226666597</v>
      </c>
      <c r="AA37" s="460">
        <v>26339.0784066667</v>
      </c>
      <c r="AB37" s="448">
        <f t="shared" si="30"/>
        <v>17424.828819999901</v>
      </c>
      <c r="AC37" s="460"/>
      <c r="AD37" s="460"/>
      <c r="AE37" s="460"/>
    </row>
    <row r="38" spans="1:31" ht="18.75">
      <c r="A38" s="445"/>
      <c r="B38" s="13"/>
      <c r="C38" s="450"/>
      <c r="D38" s="447"/>
      <c r="E38" s="448"/>
      <c r="F38" s="451"/>
      <c r="G38" s="451">
        <v>0</v>
      </c>
      <c r="H38" s="451"/>
      <c r="I38" s="448"/>
      <c r="J38" s="448"/>
      <c r="K38" s="448"/>
      <c r="L38" s="448"/>
      <c r="M38" s="448"/>
      <c r="N38" s="448"/>
      <c r="O38" s="448"/>
      <c r="P38" s="448"/>
      <c r="Q38" s="448"/>
      <c r="R38" s="448"/>
      <c r="S38" s="448"/>
      <c r="T38" s="448"/>
      <c r="U38" s="448"/>
      <c r="V38" s="448"/>
      <c r="W38" s="455"/>
      <c r="X38" s="448"/>
      <c r="Y38" s="451"/>
      <c r="Z38" s="459"/>
      <c r="AA38" s="460"/>
      <c r="AB38" s="460"/>
      <c r="AC38" s="460"/>
      <c r="AD38" s="460"/>
      <c r="AE38" s="460"/>
    </row>
    <row r="39" spans="1:31" ht="18.75">
      <c r="A39" s="445"/>
      <c r="B39" s="22" t="s">
        <v>43</v>
      </c>
      <c r="C39" s="448"/>
      <c r="D39" s="447"/>
      <c r="E39" s="448"/>
      <c r="F39" s="451"/>
      <c r="G39" s="451">
        <v>0</v>
      </c>
      <c r="H39" s="451"/>
      <c r="I39" s="448"/>
      <c r="J39" s="448"/>
      <c r="K39" s="448"/>
      <c r="L39" s="448"/>
      <c r="M39" s="448"/>
      <c r="N39" s="448"/>
      <c r="O39" s="448"/>
      <c r="P39" s="448"/>
      <c r="Q39" s="448"/>
      <c r="R39" s="448"/>
      <c r="S39" s="448"/>
      <c r="T39" s="448"/>
      <c r="U39" s="448"/>
      <c r="V39" s="448"/>
      <c r="W39" s="455"/>
      <c r="X39" s="448"/>
      <c r="Y39" s="451"/>
      <c r="Z39" s="459"/>
      <c r="AA39" s="460"/>
      <c r="AB39" s="460"/>
      <c r="AC39" s="460"/>
      <c r="AD39" s="460"/>
      <c r="AE39" s="460"/>
    </row>
    <row r="40" spans="1:31" ht="37.5">
      <c r="A40" s="445">
        <v>35</v>
      </c>
      <c r="B40" s="10" t="s">
        <v>410</v>
      </c>
      <c r="C40" s="446">
        <v>1635720</v>
      </c>
      <c r="D40" s="447">
        <v>12</v>
      </c>
      <c r="E40" s="448">
        <f>C40*D40</f>
        <v>19628640</v>
      </c>
      <c r="F40" s="448"/>
      <c r="G40" s="449">
        <v>1378291.2</v>
      </c>
      <c r="H40" s="448"/>
      <c r="I40" s="448">
        <f t="shared" ref="I40:I50" si="31">E40-F40-G40-H40</f>
        <v>18250348.800000001</v>
      </c>
      <c r="J40" s="448">
        <v>200000</v>
      </c>
      <c r="K40" s="448">
        <v>0.2</v>
      </c>
      <c r="L40" s="448">
        <f>I40*K40</f>
        <v>3650069.76</v>
      </c>
      <c r="M40" s="448">
        <f>J40+L40</f>
        <v>3850069.76</v>
      </c>
      <c r="N40" s="448">
        <f t="shared" ref="N40:N50" si="32">F40+G40+H40+M40</f>
        <v>5228360.96</v>
      </c>
      <c r="O40" s="448">
        <f t="shared" ref="O40:O50" si="33">E40-N40</f>
        <v>14400279.039999999</v>
      </c>
      <c r="P40" s="448">
        <f>IF(O40&lt;300000,0.07*O40,21000)</f>
        <v>21000</v>
      </c>
      <c r="Q40" s="448">
        <f>IF((O40-300000)&lt;0,0,IF((O40-300000)&lt;300000,0.11*(O40-300000),33000))</f>
        <v>33000</v>
      </c>
      <c r="R40" s="448">
        <f>IF((O40-600000)&lt;0,0,IF((O40-600000)&lt;500000,0.15*(O40-600000),75000))</f>
        <v>75000</v>
      </c>
      <c r="S40" s="448">
        <f>IF((O40-1100000)&lt;0,0,IF((O40-1100000)&lt;500000,0.19*(O40-1100000),95000))</f>
        <v>95000</v>
      </c>
      <c r="T40" s="448">
        <f>IF((O40-1600000)&lt;0,0,IF((O40-1600000)&lt;1600000,0.21*(O40-1600000),336000))</f>
        <v>336000</v>
      </c>
      <c r="U40" s="448">
        <f>0.24*(O40-3200000)</f>
        <v>2688066.9696</v>
      </c>
      <c r="V40" s="448">
        <f>P40+Q40+R40+S40+T40+U40</f>
        <v>3248066.9696</v>
      </c>
      <c r="W40" s="455">
        <v>12</v>
      </c>
      <c r="X40" s="448">
        <f>V40/W40</f>
        <v>270672.24746666697</v>
      </c>
      <c r="Y40" s="448"/>
      <c r="Z40" s="459">
        <f>X40</f>
        <v>270672.24746666697</v>
      </c>
      <c r="AA40" s="460">
        <v>180306.806858667</v>
      </c>
      <c r="AB40" s="460">
        <f>Z40-AA40</f>
        <v>90365.440607999597</v>
      </c>
      <c r="AC40" s="460"/>
      <c r="AD40" s="460"/>
      <c r="AE40" s="460"/>
    </row>
    <row r="41" spans="1:31" ht="18.75">
      <c r="A41" s="445">
        <v>36</v>
      </c>
      <c r="B41" s="10" t="s">
        <v>412</v>
      </c>
      <c r="C41" s="448">
        <v>780675.58333333302</v>
      </c>
      <c r="D41" s="447">
        <v>12</v>
      </c>
      <c r="E41" s="448">
        <f t="shared" ref="E41:E50" si="34">C41*D41</f>
        <v>9368107</v>
      </c>
      <c r="F41" s="451"/>
      <c r="G41" s="449">
        <v>595848.56000000006</v>
      </c>
      <c r="H41" s="451"/>
      <c r="I41" s="448">
        <f t="shared" si="31"/>
        <v>8772258.4399999995</v>
      </c>
      <c r="J41" s="448">
        <v>200000</v>
      </c>
      <c r="K41" s="448">
        <v>0.2</v>
      </c>
      <c r="L41" s="448">
        <f t="shared" si="1"/>
        <v>1754451.6880000001</v>
      </c>
      <c r="M41" s="448">
        <f t="shared" si="2"/>
        <v>1954451.6880000001</v>
      </c>
      <c r="N41" s="448">
        <f t="shared" si="32"/>
        <v>2550300.2480000001</v>
      </c>
      <c r="O41" s="448">
        <f t="shared" si="33"/>
        <v>6817806.7520000003</v>
      </c>
      <c r="P41" s="448">
        <f t="shared" si="5"/>
        <v>21000</v>
      </c>
      <c r="Q41" s="448">
        <f t="shared" si="6"/>
        <v>33000</v>
      </c>
      <c r="R41" s="448">
        <f t="shared" si="7"/>
        <v>75000</v>
      </c>
      <c r="S41" s="448">
        <f t="shared" si="8"/>
        <v>95000</v>
      </c>
      <c r="T41" s="448">
        <f t="shared" si="9"/>
        <v>336000</v>
      </c>
      <c r="U41" s="448">
        <f t="shared" si="10"/>
        <v>868273.62047999899</v>
      </c>
      <c r="V41" s="448">
        <f t="shared" si="11"/>
        <v>1428273.62048</v>
      </c>
      <c r="W41" s="455">
        <v>12</v>
      </c>
      <c r="X41" s="448">
        <f t="shared" si="12"/>
        <v>119022.801706667</v>
      </c>
      <c r="Y41" s="451"/>
      <c r="Z41" s="459">
        <f t="shared" si="13"/>
        <v>119022.801706667</v>
      </c>
      <c r="AA41" s="460">
        <v>79956.9391466667</v>
      </c>
      <c r="AB41" s="460">
        <f t="shared" ref="AB41:AB50" si="35">Z41-AA41</f>
        <v>39065.8625599999</v>
      </c>
      <c r="AC41" s="460"/>
      <c r="AD41" s="460"/>
      <c r="AE41" s="460"/>
    </row>
    <row r="42" spans="1:31" ht="18.75">
      <c r="A42" s="445">
        <v>37</v>
      </c>
      <c r="B42" s="10" t="s">
        <v>414</v>
      </c>
      <c r="C42" s="448">
        <v>919203.58333333302</v>
      </c>
      <c r="D42" s="447">
        <v>12</v>
      </c>
      <c r="E42" s="448">
        <f t="shared" si="34"/>
        <v>11030443</v>
      </c>
      <c r="F42" s="451"/>
      <c r="G42" s="449">
        <v>709635.44</v>
      </c>
      <c r="H42" s="451"/>
      <c r="I42" s="448">
        <f t="shared" si="31"/>
        <v>10320807.560000001</v>
      </c>
      <c r="J42" s="448">
        <v>200000</v>
      </c>
      <c r="K42" s="448">
        <v>0.2</v>
      </c>
      <c r="L42" s="448">
        <f t="shared" si="1"/>
        <v>2064161.5120000001</v>
      </c>
      <c r="M42" s="448">
        <f t="shared" si="2"/>
        <v>2264161.5120000001</v>
      </c>
      <c r="N42" s="448">
        <f t="shared" si="32"/>
        <v>2973796.952</v>
      </c>
      <c r="O42" s="448">
        <f t="shared" si="33"/>
        <v>8056646.0480000004</v>
      </c>
      <c r="P42" s="448">
        <f t="shared" si="5"/>
        <v>21000</v>
      </c>
      <c r="Q42" s="448">
        <f t="shared" si="6"/>
        <v>33000</v>
      </c>
      <c r="R42" s="448">
        <f t="shared" si="7"/>
        <v>75000</v>
      </c>
      <c r="S42" s="448">
        <f t="shared" si="8"/>
        <v>95000</v>
      </c>
      <c r="T42" s="448">
        <f t="shared" si="9"/>
        <v>336000</v>
      </c>
      <c r="U42" s="448">
        <f t="shared" si="10"/>
        <v>1165595.05152</v>
      </c>
      <c r="V42" s="448">
        <f t="shared" si="11"/>
        <v>1725595.05152</v>
      </c>
      <c r="W42" s="455">
        <v>12</v>
      </c>
      <c r="X42" s="448">
        <f t="shared" si="12"/>
        <v>143799.58762666699</v>
      </c>
      <c r="Y42" s="451"/>
      <c r="Z42" s="459">
        <f t="shared" si="13"/>
        <v>143799.58762666699</v>
      </c>
      <c r="AA42" s="460">
        <v>97273.513850666699</v>
      </c>
      <c r="AB42" s="460">
        <f t="shared" si="35"/>
        <v>46526.073775999903</v>
      </c>
      <c r="AC42" s="460"/>
      <c r="AD42" s="460"/>
      <c r="AE42" s="460"/>
    </row>
    <row r="43" spans="1:31" ht="18.75">
      <c r="A43" s="445">
        <v>38</v>
      </c>
      <c r="B43" s="10" t="s">
        <v>417</v>
      </c>
      <c r="C43" s="448">
        <v>780675.58333333302</v>
      </c>
      <c r="D43" s="447">
        <v>12</v>
      </c>
      <c r="E43" s="448">
        <f t="shared" si="34"/>
        <v>9368107</v>
      </c>
      <c r="F43" s="451"/>
      <c r="G43" s="449">
        <v>595848.56000000006</v>
      </c>
      <c r="H43" s="451"/>
      <c r="I43" s="448">
        <f t="shared" si="31"/>
        <v>8772258.4399999995</v>
      </c>
      <c r="J43" s="448">
        <v>200000</v>
      </c>
      <c r="K43" s="448">
        <v>0.2</v>
      </c>
      <c r="L43" s="448">
        <f t="shared" si="1"/>
        <v>1754451.6880000001</v>
      </c>
      <c r="M43" s="448">
        <f t="shared" si="2"/>
        <v>1954451.6880000001</v>
      </c>
      <c r="N43" s="448">
        <f t="shared" si="32"/>
        <v>2550300.2480000001</v>
      </c>
      <c r="O43" s="448">
        <f t="shared" si="33"/>
        <v>6817806.7520000003</v>
      </c>
      <c r="P43" s="448">
        <f t="shared" si="5"/>
        <v>21000</v>
      </c>
      <c r="Q43" s="448">
        <f t="shared" si="6"/>
        <v>33000</v>
      </c>
      <c r="R43" s="448">
        <f t="shared" si="7"/>
        <v>75000</v>
      </c>
      <c r="S43" s="448">
        <f t="shared" si="8"/>
        <v>95000</v>
      </c>
      <c r="T43" s="448">
        <f t="shared" si="9"/>
        <v>336000</v>
      </c>
      <c r="U43" s="448">
        <f t="shared" si="10"/>
        <v>868273.62047999899</v>
      </c>
      <c r="V43" s="448">
        <f t="shared" si="11"/>
        <v>1428273.62048</v>
      </c>
      <c r="W43" s="455">
        <v>12</v>
      </c>
      <c r="X43" s="448">
        <f t="shared" si="12"/>
        <v>119022.801706667</v>
      </c>
      <c r="Y43" s="451"/>
      <c r="Z43" s="459">
        <f t="shared" si="13"/>
        <v>119022.801706667</v>
      </c>
      <c r="AA43" s="460">
        <v>79956.9391466667</v>
      </c>
      <c r="AB43" s="460">
        <f t="shared" si="35"/>
        <v>39065.8625599999</v>
      </c>
      <c r="AC43" s="460"/>
      <c r="AD43" s="460"/>
      <c r="AE43" s="460"/>
    </row>
    <row r="44" spans="1:31" ht="18.75">
      <c r="A44" s="445">
        <v>39</v>
      </c>
      <c r="B44" s="10" t="s">
        <v>419</v>
      </c>
      <c r="C44" s="448">
        <v>780675.58333333302</v>
      </c>
      <c r="D44" s="447">
        <v>12</v>
      </c>
      <c r="E44" s="448">
        <f t="shared" si="34"/>
        <v>9368107</v>
      </c>
      <c r="F44" s="448">
        <f>'[8]JANUARY 2024'!$V$47*12</f>
        <v>10052.25</v>
      </c>
      <c r="G44" s="449">
        <v>595848.56000000006</v>
      </c>
      <c r="H44" s="451"/>
      <c r="I44" s="448">
        <f t="shared" si="31"/>
        <v>8762206.1899999995</v>
      </c>
      <c r="J44" s="448">
        <v>200000</v>
      </c>
      <c r="K44" s="448">
        <v>0.2</v>
      </c>
      <c r="L44" s="448">
        <f t="shared" si="1"/>
        <v>1752441.2379999999</v>
      </c>
      <c r="M44" s="448">
        <f t="shared" si="2"/>
        <v>1952441.2379999999</v>
      </c>
      <c r="N44" s="448">
        <f t="shared" si="32"/>
        <v>2558342.048</v>
      </c>
      <c r="O44" s="448">
        <f t="shared" si="33"/>
        <v>6809764.9519999996</v>
      </c>
      <c r="P44" s="448">
        <f t="shared" si="5"/>
        <v>21000</v>
      </c>
      <c r="Q44" s="448">
        <f t="shared" si="6"/>
        <v>33000</v>
      </c>
      <c r="R44" s="448">
        <f t="shared" si="7"/>
        <v>75000</v>
      </c>
      <c r="S44" s="448">
        <f t="shared" si="8"/>
        <v>95000</v>
      </c>
      <c r="T44" s="448">
        <f t="shared" si="9"/>
        <v>336000</v>
      </c>
      <c r="U44" s="448">
        <f t="shared" si="10"/>
        <v>866343.58847999899</v>
      </c>
      <c r="V44" s="448">
        <f t="shared" si="11"/>
        <v>1426343.5884799999</v>
      </c>
      <c r="W44" s="455">
        <v>12</v>
      </c>
      <c r="X44" s="448">
        <f t="shared" si="12"/>
        <v>118861.965706667</v>
      </c>
      <c r="Y44" s="451"/>
      <c r="Z44" s="459">
        <f t="shared" si="13"/>
        <v>118861.965706667</v>
      </c>
      <c r="AA44" s="460">
        <v>79796.103146666603</v>
      </c>
      <c r="AB44" s="460">
        <f t="shared" si="35"/>
        <v>39065.862560000001</v>
      </c>
      <c r="AC44" s="460"/>
      <c r="AD44" s="460"/>
      <c r="AE44" s="460"/>
    </row>
    <row r="45" spans="1:31" ht="18.75">
      <c r="A45" s="445">
        <v>40</v>
      </c>
      <c r="B45" s="10" t="s">
        <v>420</v>
      </c>
      <c r="C45" s="448">
        <v>742118.08333333302</v>
      </c>
      <c r="D45" s="447">
        <v>12</v>
      </c>
      <c r="E45" s="448">
        <f t="shared" si="34"/>
        <v>8905417</v>
      </c>
      <c r="F45" s="448"/>
      <c r="G45" s="449">
        <v>558833.36</v>
      </c>
      <c r="H45" s="451"/>
      <c r="I45" s="448">
        <f t="shared" si="31"/>
        <v>8346583.6399999997</v>
      </c>
      <c r="J45" s="448">
        <v>200000</v>
      </c>
      <c r="K45" s="448">
        <v>0.2</v>
      </c>
      <c r="L45" s="448">
        <f t="shared" si="1"/>
        <v>1669316.7279999999</v>
      </c>
      <c r="M45" s="448">
        <f t="shared" si="2"/>
        <v>1869316.7279999999</v>
      </c>
      <c r="N45" s="448">
        <f t="shared" si="32"/>
        <v>2428150.088</v>
      </c>
      <c r="O45" s="448">
        <f t="shared" si="33"/>
        <v>6477266.9119999995</v>
      </c>
      <c r="P45" s="448">
        <f t="shared" si="5"/>
        <v>21000</v>
      </c>
      <c r="Q45" s="448">
        <f t="shared" si="6"/>
        <v>33000</v>
      </c>
      <c r="R45" s="448">
        <f t="shared" si="7"/>
        <v>75000</v>
      </c>
      <c r="S45" s="448">
        <f t="shared" si="8"/>
        <v>95000</v>
      </c>
      <c r="T45" s="448">
        <f t="shared" si="9"/>
        <v>336000</v>
      </c>
      <c r="U45" s="448">
        <f t="shared" si="10"/>
        <v>786544.05887999898</v>
      </c>
      <c r="V45" s="448">
        <f t="shared" si="11"/>
        <v>1346544.0588799999</v>
      </c>
      <c r="W45" s="455">
        <v>12</v>
      </c>
      <c r="X45" s="448">
        <f t="shared" si="12"/>
        <v>112212.004906667</v>
      </c>
      <c r="Y45" s="451"/>
      <c r="Z45" s="459">
        <f t="shared" si="13"/>
        <v>112212.004906667</v>
      </c>
      <c r="AA45" s="460">
        <v>75572.915690666705</v>
      </c>
      <c r="AB45" s="460">
        <f t="shared" si="35"/>
        <v>36639.089215999898</v>
      </c>
      <c r="AC45" s="460"/>
      <c r="AD45" s="460"/>
      <c r="AE45" s="460"/>
    </row>
    <row r="46" spans="1:31" ht="18.75">
      <c r="A46" s="445">
        <v>41</v>
      </c>
      <c r="B46" s="13" t="s">
        <v>421</v>
      </c>
      <c r="C46" s="448">
        <v>610498</v>
      </c>
      <c r="D46" s="447">
        <v>12</v>
      </c>
      <c r="E46" s="448">
        <f t="shared" si="34"/>
        <v>7325976</v>
      </c>
      <c r="F46" s="448"/>
      <c r="G46" s="449">
        <v>451678.08</v>
      </c>
      <c r="H46" s="451"/>
      <c r="I46" s="448">
        <f t="shared" si="31"/>
        <v>6874297.9199999999</v>
      </c>
      <c r="J46" s="448">
        <v>200000</v>
      </c>
      <c r="K46" s="448">
        <v>0.2</v>
      </c>
      <c r="L46" s="448">
        <f t="shared" si="1"/>
        <v>1374859.584</v>
      </c>
      <c r="M46" s="448">
        <f t="shared" si="2"/>
        <v>1574859.584</v>
      </c>
      <c r="N46" s="448">
        <f t="shared" si="32"/>
        <v>2026537.6640000001</v>
      </c>
      <c r="O46" s="448">
        <f t="shared" si="33"/>
        <v>5299438.3360000001</v>
      </c>
      <c r="P46" s="448">
        <f t="shared" si="5"/>
        <v>21000</v>
      </c>
      <c r="Q46" s="448">
        <f t="shared" si="6"/>
        <v>33000</v>
      </c>
      <c r="R46" s="448">
        <f t="shared" si="7"/>
        <v>75000</v>
      </c>
      <c r="S46" s="448">
        <f t="shared" si="8"/>
        <v>95000</v>
      </c>
      <c r="T46" s="448">
        <f t="shared" si="9"/>
        <v>336000</v>
      </c>
      <c r="U46" s="448">
        <f t="shared" si="10"/>
        <v>503865.20064</v>
      </c>
      <c r="V46" s="448">
        <f t="shared" si="11"/>
        <v>1063865.2006399999</v>
      </c>
      <c r="W46" s="455">
        <v>12</v>
      </c>
      <c r="X46" s="448">
        <f t="shared" si="12"/>
        <v>88655.4333866667</v>
      </c>
      <c r="Y46" s="451"/>
      <c r="Z46" s="459">
        <f t="shared" si="13"/>
        <v>88655.4333866667</v>
      </c>
      <c r="AA46" s="460">
        <v>58026.609434666701</v>
      </c>
      <c r="AB46" s="460">
        <f t="shared" si="35"/>
        <v>30628.823951999999</v>
      </c>
      <c r="AC46" s="460"/>
      <c r="AD46" s="460"/>
      <c r="AE46" s="460"/>
    </row>
    <row r="47" spans="1:31" ht="18.75">
      <c r="A47" s="445">
        <v>42</v>
      </c>
      <c r="B47" s="10" t="s">
        <v>422</v>
      </c>
      <c r="C47" s="448">
        <v>400965.58333333302</v>
      </c>
      <c r="D47" s="447">
        <v>12</v>
      </c>
      <c r="E47" s="448">
        <f t="shared" si="34"/>
        <v>4811587</v>
      </c>
      <c r="F47" s="448"/>
      <c r="G47" s="449">
        <v>288926.96000000002</v>
      </c>
      <c r="H47" s="451"/>
      <c r="I47" s="448">
        <f t="shared" si="31"/>
        <v>4522660.04</v>
      </c>
      <c r="J47" s="448">
        <v>200000</v>
      </c>
      <c r="K47" s="448">
        <v>0.2</v>
      </c>
      <c r="L47" s="448">
        <f t="shared" si="1"/>
        <v>904532.00799999898</v>
      </c>
      <c r="M47" s="448">
        <f t="shared" si="2"/>
        <v>1104532.0079999999</v>
      </c>
      <c r="N47" s="448">
        <f t="shared" si="32"/>
        <v>1393458.9680000001</v>
      </c>
      <c r="O47" s="448">
        <f t="shared" si="33"/>
        <v>3418128.0320000001</v>
      </c>
      <c r="P47" s="448">
        <f t="shared" si="5"/>
        <v>21000</v>
      </c>
      <c r="Q47" s="448">
        <f t="shared" si="6"/>
        <v>33000</v>
      </c>
      <c r="R47" s="448">
        <f t="shared" si="7"/>
        <v>75000</v>
      </c>
      <c r="S47" s="448">
        <f t="shared" si="8"/>
        <v>95000</v>
      </c>
      <c r="T47" s="448">
        <f t="shared" si="9"/>
        <v>336000</v>
      </c>
      <c r="U47" s="448">
        <f t="shared" si="10"/>
        <v>52350.727679999203</v>
      </c>
      <c r="V47" s="448">
        <f t="shared" si="11"/>
        <v>612350.72767999896</v>
      </c>
      <c r="W47" s="455">
        <v>12</v>
      </c>
      <c r="X47" s="448">
        <f t="shared" si="12"/>
        <v>51029.227306666602</v>
      </c>
      <c r="Y47" s="451"/>
      <c r="Z47" s="459">
        <f t="shared" si="13"/>
        <v>51029.227306666602</v>
      </c>
      <c r="AA47" s="460">
        <v>33059.078406666697</v>
      </c>
      <c r="AB47" s="460">
        <f t="shared" si="35"/>
        <v>17970.148899999898</v>
      </c>
      <c r="AC47" s="460"/>
      <c r="AD47" s="460"/>
      <c r="AE47" s="460"/>
    </row>
    <row r="48" spans="1:31" ht="18.75">
      <c r="A48" s="445">
        <v>43</v>
      </c>
      <c r="B48" s="10" t="s">
        <v>423</v>
      </c>
      <c r="C48" s="448">
        <v>363165.33333333302</v>
      </c>
      <c r="D48" s="447">
        <v>12</v>
      </c>
      <c r="E48" s="448">
        <f t="shared" si="34"/>
        <v>4357984</v>
      </c>
      <c r="F48" s="448"/>
      <c r="G48" s="449">
        <v>252638.72</v>
      </c>
      <c r="H48" s="451"/>
      <c r="I48" s="448">
        <f t="shared" si="31"/>
        <v>4105345.28</v>
      </c>
      <c r="J48" s="448">
        <v>200000</v>
      </c>
      <c r="K48" s="448">
        <v>0.2</v>
      </c>
      <c r="L48" s="448">
        <f t="shared" si="1"/>
        <v>821069.05599999905</v>
      </c>
      <c r="M48" s="448">
        <f t="shared" si="2"/>
        <v>1021069.056</v>
      </c>
      <c r="N48" s="448">
        <f t="shared" si="32"/>
        <v>1273707.7760000001</v>
      </c>
      <c r="O48" s="448">
        <f t="shared" si="33"/>
        <v>3084276.2239999999</v>
      </c>
      <c r="P48" s="448">
        <f t="shared" si="5"/>
        <v>21000</v>
      </c>
      <c r="Q48" s="448">
        <f t="shared" si="6"/>
        <v>33000</v>
      </c>
      <c r="R48" s="448">
        <f t="shared" si="7"/>
        <v>75000</v>
      </c>
      <c r="S48" s="448">
        <f t="shared" si="8"/>
        <v>95000</v>
      </c>
      <c r="T48" s="448">
        <f t="shared" si="9"/>
        <v>311698.00703999901</v>
      </c>
      <c r="U48" s="448"/>
      <c r="V48" s="448">
        <f t="shared" si="11"/>
        <v>535698.00703999901</v>
      </c>
      <c r="W48" s="455">
        <v>12</v>
      </c>
      <c r="X48" s="448">
        <f t="shared" si="12"/>
        <v>44641.500586666603</v>
      </c>
      <c r="Y48" s="451"/>
      <c r="Z48" s="459">
        <f t="shared" si="13"/>
        <v>44641.500586666603</v>
      </c>
      <c r="AA48" s="460">
        <v>29058.4826046667</v>
      </c>
      <c r="AB48" s="460">
        <f t="shared" si="35"/>
        <v>15583.017981999899</v>
      </c>
      <c r="AC48" s="460"/>
      <c r="AD48" s="460"/>
      <c r="AE48" s="460"/>
    </row>
    <row r="49" spans="1:31" ht="18.75">
      <c r="A49" s="445">
        <v>44</v>
      </c>
      <c r="B49" s="10" t="s">
        <v>424</v>
      </c>
      <c r="C49" s="448">
        <v>363165.33333333302</v>
      </c>
      <c r="D49" s="447">
        <v>12</v>
      </c>
      <c r="E49" s="448">
        <f t="shared" si="34"/>
        <v>4357984</v>
      </c>
      <c r="F49" s="448"/>
      <c r="G49" s="449">
        <v>252638.72</v>
      </c>
      <c r="H49" s="451"/>
      <c r="I49" s="448">
        <f t="shared" si="31"/>
        <v>4105345.28</v>
      </c>
      <c r="J49" s="448">
        <v>200000</v>
      </c>
      <c r="K49" s="448">
        <v>0.2</v>
      </c>
      <c r="L49" s="448">
        <f t="shared" si="1"/>
        <v>821069.05599999905</v>
      </c>
      <c r="M49" s="448">
        <f t="shared" si="2"/>
        <v>1021069.056</v>
      </c>
      <c r="N49" s="448">
        <f t="shared" si="32"/>
        <v>1273707.7760000001</v>
      </c>
      <c r="O49" s="448">
        <f t="shared" si="33"/>
        <v>3084276.2239999999</v>
      </c>
      <c r="P49" s="448">
        <f t="shared" si="5"/>
        <v>21000</v>
      </c>
      <c r="Q49" s="448">
        <f t="shared" si="6"/>
        <v>33000</v>
      </c>
      <c r="R49" s="448">
        <f t="shared" si="7"/>
        <v>75000</v>
      </c>
      <c r="S49" s="448">
        <f t="shared" si="8"/>
        <v>95000</v>
      </c>
      <c r="T49" s="448">
        <f t="shared" si="9"/>
        <v>311698.00703999901</v>
      </c>
      <c r="U49" s="448"/>
      <c r="V49" s="448">
        <f t="shared" si="11"/>
        <v>535698.00703999901</v>
      </c>
      <c r="W49" s="455">
        <v>12</v>
      </c>
      <c r="X49" s="448">
        <f t="shared" si="12"/>
        <v>44641.500586666603</v>
      </c>
      <c r="Y49" s="451"/>
      <c r="Z49" s="459">
        <f t="shared" si="13"/>
        <v>44641.500586666603</v>
      </c>
      <c r="AA49" s="460">
        <v>28360.952862666702</v>
      </c>
      <c r="AB49" s="460">
        <f t="shared" si="35"/>
        <v>16280.5477239999</v>
      </c>
      <c r="AC49" s="460"/>
      <c r="AD49" s="460"/>
      <c r="AE49" s="460"/>
    </row>
    <row r="50" spans="1:31" ht="18.75">
      <c r="A50" s="445">
        <v>45</v>
      </c>
      <c r="B50" s="10" t="s">
        <v>425</v>
      </c>
      <c r="C50" s="448">
        <v>363165.33333333302</v>
      </c>
      <c r="D50" s="447">
        <v>12</v>
      </c>
      <c r="E50" s="448">
        <f t="shared" si="34"/>
        <v>4357984</v>
      </c>
      <c r="F50" s="448"/>
      <c r="G50" s="449">
        <v>252638.72</v>
      </c>
      <c r="H50" s="451"/>
      <c r="I50" s="448">
        <f t="shared" si="31"/>
        <v>4105345.28</v>
      </c>
      <c r="J50" s="448">
        <v>200000</v>
      </c>
      <c r="K50" s="448">
        <v>0.2</v>
      </c>
      <c r="L50" s="448">
        <f t="shared" si="1"/>
        <v>821069.05599999905</v>
      </c>
      <c r="M50" s="448">
        <f t="shared" si="2"/>
        <v>1021069.056</v>
      </c>
      <c r="N50" s="448">
        <f t="shared" si="32"/>
        <v>1273707.7760000001</v>
      </c>
      <c r="O50" s="448">
        <f t="shared" si="33"/>
        <v>3084276.2239999999</v>
      </c>
      <c r="P50" s="448">
        <f t="shared" si="5"/>
        <v>21000</v>
      </c>
      <c r="Q50" s="448">
        <f t="shared" si="6"/>
        <v>33000</v>
      </c>
      <c r="R50" s="448">
        <f t="shared" si="7"/>
        <v>75000</v>
      </c>
      <c r="S50" s="448">
        <f t="shared" si="8"/>
        <v>95000</v>
      </c>
      <c r="T50" s="448">
        <f t="shared" si="9"/>
        <v>311698.00703999901</v>
      </c>
      <c r="U50" s="448"/>
      <c r="V50" s="448">
        <f t="shared" si="11"/>
        <v>535698.00703999901</v>
      </c>
      <c r="W50" s="455">
        <v>12</v>
      </c>
      <c r="X50" s="448">
        <f t="shared" si="12"/>
        <v>44641.500586666603</v>
      </c>
      <c r="Y50" s="451"/>
      <c r="Z50" s="459">
        <f t="shared" si="13"/>
        <v>44641.500586666603</v>
      </c>
      <c r="AA50" s="460">
        <v>29058.4826046667</v>
      </c>
      <c r="AB50" s="460">
        <f t="shared" si="35"/>
        <v>15583.017981999899</v>
      </c>
      <c r="AC50" s="460"/>
      <c r="AD50" s="460"/>
      <c r="AE50" s="460"/>
    </row>
    <row r="51" spans="1:31" ht="18.75">
      <c r="A51" s="445"/>
      <c r="B51" s="21"/>
      <c r="C51" s="453"/>
      <c r="D51" s="447"/>
      <c r="E51" s="448"/>
      <c r="F51" s="448"/>
      <c r="G51" s="451"/>
      <c r="H51" s="451"/>
      <c r="I51" s="448"/>
      <c r="J51" s="448"/>
      <c r="K51" s="448"/>
      <c r="L51" s="448"/>
      <c r="M51" s="448"/>
      <c r="N51" s="448"/>
      <c r="O51" s="448"/>
      <c r="P51" s="448"/>
      <c r="Q51" s="448"/>
      <c r="R51" s="448"/>
      <c r="S51" s="448"/>
      <c r="T51" s="448"/>
      <c r="U51" s="448"/>
      <c r="V51" s="448"/>
      <c r="W51" s="455"/>
      <c r="X51" s="448"/>
      <c r="Y51" s="451"/>
      <c r="Z51" s="459"/>
      <c r="AA51" s="460"/>
      <c r="AB51" s="460"/>
      <c r="AC51" s="460"/>
      <c r="AD51" s="460"/>
      <c r="AE51" s="460"/>
    </row>
    <row r="52" spans="1:31" ht="18.75">
      <c r="A52" s="445"/>
      <c r="B52" s="19" t="s">
        <v>426</v>
      </c>
      <c r="C52" s="448"/>
      <c r="D52" s="447"/>
      <c r="E52" s="448"/>
      <c r="F52" s="448"/>
      <c r="G52" s="451"/>
      <c r="H52" s="451"/>
      <c r="I52" s="448"/>
      <c r="J52" s="448"/>
      <c r="K52" s="448"/>
      <c r="L52" s="448"/>
      <c r="M52" s="448"/>
      <c r="N52" s="448"/>
      <c r="O52" s="448"/>
      <c r="P52" s="448"/>
      <c r="Q52" s="448"/>
      <c r="R52" s="448"/>
      <c r="S52" s="448"/>
      <c r="T52" s="448"/>
      <c r="U52" s="448"/>
      <c r="V52" s="448"/>
      <c r="W52" s="455"/>
      <c r="X52" s="448"/>
      <c r="Y52" s="451"/>
      <c r="Z52" s="459"/>
      <c r="AA52" s="460"/>
      <c r="AB52" s="460"/>
      <c r="AC52" s="460"/>
      <c r="AD52" s="460"/>
      <c r="AE52" s="460"/>
    </row>
    <row r="53" spans="1:31" ht="18.75">
      <c r="A53" s="445">
        <v>47</v>
      </c>
      <c r="B53" s="10" t="s">
        <v>626</v>
      </c>
      <c r="C53" s="448">
        <v>1635720</v>
      </c>
      <c r="D53" s="447">
        <v>12</v>
      </c>
      <c r="E53" s="448">
        <f>C53*D53</f>
        <v>19628640</v>
      </c>
      <c r="F53" s="448"/>
      <c r="G53" s="449">
        <v>1378291.2</v>
      </c>
      <c r="H53" s="451"/>
      <c r="I53" s="448">
        <f>E53-F53-G53-H53</f>
        <v>18250348.800000001</v>
      </c>
      <c r="J53" s="448">
        <v>200000</v>
      </c>
      <c r="K53" s="448">
        <v>0.2</v>
      </c>
      <c r="L53" s="448">
        <f t="shared" si="1"/>
        <v>3650069.76</v>
      </c>
      <c r="M53" s="448">
        <f t="shared" si="2"/>
        <v>3850069.76</v>
      </c>
      <c r="N53" s="448">
        <f>F53+G53+H53+M53</f>
        <v>5228360.96</v>
      </c>
      <c r="O53" s="448">
        <f>E53-N53</f>
        <v>14400279.039999999</v>
      </c>
      <c r="P53" s="448">
        <f t="shared" si="5"/>
        <v>21000</v>
      </c>
      <c r="Q53" s="448">
        <f t="shared" si="6"/>
        <v>33000</v>
      </c>
      <c r="R53" s="448">
        <f t="shared" si="7"/>
        <v>75000</v>
      </c>
      <c r="S53" s="448">
        <f t="shared" si="8"/>
        <v>95000</v>
      </c>
      <c r="T53" s="448">
        <f t="shared" si="9"/>
        <v>336000</v>
      </c>
      <c r="U53" s="448">
        <f t="shared" si="10"/>
        <v>2688066.9696</v>
      </c>
      <c r="V53" s="448">
        <f t="shared" si="11"/>
        <v>3248066.9696</v>
      </c>
      <c r="W53" s="455">
        <v>12</v>
      </c>
      <c r="X53" s="448">
        <f t="shared" si="12"/>
        <v>270672.24746666697</v>
      </c>
      <c r="Y53" s="451"/>
      <c r="Z53" s="459">
        <f t="shared" si="13"/>
        <v>270672.24746666697</v>
      </c>
      <c r="AA53" s="460">
        <v>180306.806858667</v>
      </c>
      <c r="AB53" s="460">
        <f>Z53-AA53</f>
        <v>90365.440607999597</v>
      </c>
      <c r="AC53" s="460"/>
      <c r="AD53" s="460"/>
      <c r="AE53" s="460"/>
    </row>
    <row r="54" spans="1:31" ht="18.75">
      <c r="A54" s="445">
        <v>48</v>
      </c>
      <c r="B54" s="10" t="s">
        <v>429</v>
      </c>
      <c r="C54" s="448">
        <v>700675.58333333302</v>
      </c>
      <c r="D54" s="447">
        <v>12</v>
      </c>
      <c r="E54" s="448">
        <f>C54*D54</f>
        <v>8408107</v>
      </c>
      <c r="F54" s="448"/>
      <c r="G54" s="448">
        <v>595848.56000000006</v>
      </c>
      <c r="H54" s="451"/>
      <c r="I54" s="448">
        <f>E54-F54-G54-H54</f>
        <v>7812258.4400000004</v>
      </c>
      <c r="J54" s="448">
        <v>200000</v>
      </c>
      <c r="K54" s="448">
        <v>0.2</v>
      </c>
      <c r="L54" s="448">
        <f t="shared" si="1"/>
        <v>1562451.6880000001</v>
      </c>
      <c r="M54" s="448">
        <f t="shared" si="2"/>
        <v>1762451.6880000001</v>
      </c>
      <c r="N54" s="448">
        <f>F54+G54+H54+M54</f>
        <v>2358300.2480000001</v>
      </c>
      <c r="O54" s="448">
        <f>E54-N54</f>
        <v>6049806.7520000003</v>
      </c>
      <c r="P54" s="448">
        <f t="shared" si="5"/>
        <v>21000</v>
      </c>
      <c r="Q54" s="448">
        <f t="shared" si="6"/>
        <v>33000</v>
      </c>
      <c r="R54" s="448">
        <f t="shared" si="7"/>
        <v>75000</v>
      </c>
      <c r="S54" s="448">
        <f t="shared" si="8"/>
        <v>95000</v>
      </c>
      <c r="T54" s="448">
        <f t="shared" si="9"/>
        <v>336000</v>
      </c>
      <c r="U54" s="448">
        <f t="shared" si="10"/>
        <v>683953.62047999899</v>
      </c>
      <c r="V54" s="448">
        <f t="shared" si="11"/>
        <v>1243953.62048</v>
      </c>
      <c r="W54" s="455">
        <v>12</v>
      </c>
      <c r="X54" s="448">
        <f t="shared" si="12"/>
        <v>103662.801706667</v>
      </c>
      <c r="Y54" s="451"/>
      <c r="Z54" s="459">
        <f t="shared" si="13"/>
        <v>103662.801706667</v>
      </c>
      <c r="AA54" s="460">
        <v>64596.9391466667</v>
      </c>
      <c r="AB54" s="460">
        <f>Z54-AA54</f>
        <v>39065.8625599999</v>
      </c>
      <c r="AC54" s="460"/>
      <c r="AD54" s="460"/>
      <c r="AE54" s="460"/>
    </row>
    <row r="55" spans="1:31" ht="18.75">
      <c r="A55" s="445"/>
      <c r="B55" s="19"/>
      <c r="C55" s="448"/>
      <c r="D55" s="447"/>
      <c r="E55" s="448"/>
      <c r="F55" s="448"/>
      <c r="G55" s="451">
        <v>0</v>
      </c>
      <c r="H55" s="451"/>
      <c r="I55" s="448"/>
      <c r="J55" s="448"/>
      <c r="K55" s="448"/>
      <c r="L55" s="448"/>
      <c r="M55" s="448"/>
      <c r="N55" s="448"/>
      <c r="O55" s="448"/>
      <c r="P55" s="448"/>
      <c r="Q55" s="448"/>
      <c r="R55" s="448"/>
      <c r="S55" s="448"/>
      <c r="T55" s="448"/>
      <c r="U55" s="448"/>
      <c r="V55" s="448"/>
      <c r="W55" s="455"/>
      <c r="X55" s="448"/>
      <c r="Y55" s="451"/>
      <c r="Z55" s="459"/>
      <c r="AA55" s="460"/>
      <c r="AB55" s="460"/>
      <c r="AC55" s="460"/>
      <c r="AD55" s="460"/>
      <c r="AE55" s="460"/>
    </row>
    <row r="56" spans="1:31" ht="37.5">
      <c r="A56" s="445">
        <v>49</v>
      </c>
      <c r="B56" s="19" t="s">
        <v>60</v>
      </c>
      <c r="C56" s="448"/>
      <c r="D56" s="447"/>
      <c r="E56" s="448"/>
      <c r="F56" s="448"/>
      <c r="G56" s="451">
        <v>0</v>
      </c>
      <c r="H56" s="451"/>
      <c r="I56" s="448"/>
      <c r="J56" s="448"/>
      <c r="K56" s="448"/>
      <c r="L56" s="448"/>
      <c r="M56" s="448"/>
      <c r="N56" s="448"/>
      <c r="O56" s="448"/>
      <c r="P56" s="448"/>
      <c r="Q56" s="448"/>
      <c r="R56" s="448"/>
      <c r="S56" s="448"/>
      <c r="T56" s="448"/>
      <c r="U56" s="448"/>
      <c r="V56" s="448"/>
      <c r="W56" s="455"/>
      <c r="X56" s="448"/>
      <c r="Y56" s="451"/>
      <c r="Z56" s="459"/>
      <c r="AA56" s="460"/>
      <c r="AB56" s="460"/>
      <c r="AC56" s="460"/>
      <c r="AD56" s="460"/>
      <c r="AE56" s="460"/>
    </row>
    <row r="57" spans="1:31" ht="18.75">
      <c r="A57" s="445">
        <v>50</v>
      </c>
      <c r="B57" s="10" t="s">
        <v>431</v>
      </c>
      <c r="C57" s="448">
        <v>1635720</v>
      </c>
      <c r="D57" s="447">
        <v>12</v>
      </c>
      <c r="E57" s="448">
        <f>C57*D57</f>
        <v>19628640</v>
      </c>
      <c r="F57" s="448"/>
      <c r="G57" s="449">
        <v>0</v>
      </c>
      <c r="H57" s="451"/>
      <c r="I57" s="448">
        <f t="shared" ref="I57:I66" si="36">E57-F57-G57-H57</f>
        <v>19628640</v>
      </c>
      <c r="J57" s="448">
        <v>200000</v>
      </c>
      <c r="K57" s="448">
        <v>0.2</v>
      </c>
      <c r="L57" s="448">
        <f t="shared" si="1"/>
        <v>3925728</v>
      </c>
      <c r="M57" s="448">
        <f t="shared" si="2"/>
        <v>4125728</v>
      </c>
      <c r="N57" s="448">
        <f t="shared" ref="N57:N66" si="37">F57+G57+H57+M57</f>
        <v>4125728</v>
      </c>
      <c r="O57" s="448">
        <f t="shared" ref="O57:O66" si="38">E57-N57</f>
        <v>15502912</v>
      </c>
      <c r="P57" s="448">
        <f t="shared" si="5"/>
        <v>21000</v>
      </c>
      <c r="Q57" s="448">
        <f t="shared" si="6"/>
        <v>33000</v>
      </c>
      <c r="R57" s="448">
        <f t="shared" si="7"/>
        <v>75000</v>
      </c>
      <c r="S57" s="448">
        <f t="shared" si="8"/>
        <v>95000</v>
      </c>
      <c r="T57" s="448">
        <f t="shared" si="9"/>
        <v>336000</v>
      </c>
      <c r="U57" s="448">
        <f t="shared" si="10"/>
        <v>2952698.88</v>
      </c>
      <c r="V57" s="448">
        <f t="shared" si="11"/>
        <v>3512698.8799999999</v>
      </c>
      <c r="W57" s="455">
        <v>12</v>
      </c>
      <c r="X57" s="448">
        <f t="shared" si="12"/>
        <v>292724.90666666703</v>
      </c>
      <c r="Y57" s="451"/>
      <c r="Z57" s="459">
        <f t="shared" si="13"/>
        <v>292724.90666666703</v>
      </c>
      <c r="AA57" s="460">
        <v>180306.806858667</v>
      </c>
      <c r="AB57" s="460">
        <f>Z57-AA57</f>
        <v>112418.099808</v>
      </c>
      <c r="AC57" s="460"/>
      <c r="AD57" s="460"/>
      <c r="AE57" s="460"/>
    </row>
    <row r="58" spans="1:31" ht="23.25" customHeight="1">
      <c r="A58" s="445">
        <v>51</v>
      </c>
      <c r="B58" s="330" t="s">
        <v>433</v>
      </c>
      <c r="C58" s="448">
        <v>761396.83333333302</v>
      </c>
      <c r="D58" s="447">
        <v>12</v>
      </c>
      <c r="E58" s="448">
        <f t="shared" ref="E58:E66" si="39">C58*D58</f>
        <v>9136762</v>
      </c>
      <c r="F58" s="448"/>
      <c r="G58" s="454">
        <f>48111.7466666667*12</f>
        <v>577340.96</v>
      </c>
      <c r="H58" s="451"/>
      <c r="I58" s="448">
        <f t="shared" si="36"/>
        <v>8559421.0399999991</v>
      </c>
      <c r="J58" s="448">
        <v>200000</v>
      </c>
      <c r="K58" s="448">
        <v>0.2</v>
      </c>
      <c r="L58" s="448">
        <f t="shared" si="1"/>
        <v>1711884.2080000001</v>
      </c>
      <c r="M58" s="448">
        <f t="shared" si="2"/>
        <v>1911884.2080000001</v>
      </c>
      <c r="N58" s="448">
        <f t="shared" si="37"/>
        <v>2489225.1680000001</v>
      </c>
      <c r="O58" s="448">
        <f t="shared" si="38"/>
        <v>6647536.8320000004</v>
      </c>
      <c r="P58" s="448">
        <f t="shared" si="5"/>
        <v>21000</v>
      </c>
      <c r="Q58" s="448">
        <f t="shared" si="6"/>
        <v>33000</v>
      </c>
      <c r="R58" s="448">
        <f t="shared" si="7"/>
        <v>75000</v>
      </c>
      <c r="S58" s="448">
        <f t="shared" si="8"/>
        <v>95000</v>
      </c>
      <c r="T58" s="448">
        <f t="shared" si="9"/>
        <v>336000</v>
      </c>
      <c r="U58" s="448">
        <f t="shared" si="10"/>
        <v>827408.83967999904</v>
      </c>
      <c r="V58" s="448">
        <f t="shared" si="11"/>
        <v>1387408.83968</v>
      </c>
      <c r="W58" s="455">
        <v>12</v>
      </c>
      <c r="X58" s="448">
        <f t="shared" si="12"/>
        <v>115617.40330666699</v>
      </c>
      <c r="Y58" s="451"/>
      <c r="Z58" s="459">
        <f t="shared" si="13"/>
        <v>115617.40330666699</v>
      </c>
      <c r="AA58" s="460">
        <v>77764.980266666695</v>
      </c>
      <c r="AB58" s="460">
        <f t="shared" ref="AB58:AB66" si="40">Z58-AA58</f>
        <v>37852.4230399999</v>
      </c>
      <c r="AC58" s="460"/>
      <c r="AD58" s="460"/>
      <c r="AE58" s="460"/>
    </row>
    <row r="59" spans="1:31" ht="18.75">
      <c r="A59" s="445">
        <v>52</v>
      </c>
      <c r="B59" s="10" t="s">
        <v>436</v>
      </c>
      <c r="C59" s="448">
        <v>582746.5</v>
      </c>
      <c r="D59" s="447">
        <v>12</v>
      </c>
      <c r="E59" s="448">
        <f t="shared" si="39"/>
        <v>6992958</v>
      </c>
      <c r="F59" s="448"/>
      <c r="G59" s="449">
        <v>425036.64</v>
      </c>
      <c r="H59" s="451"/>
      <c r="I59" s="448">
        <f t="shared" si="36"/>
        <v>6567921.3600000003</v>
      </c>
      <c r="J59" s="448">
        <v>200000</v>
      </c>
      <c r="K59" s="448">
        <v>0.2</v>
      </c>
      <c r="L59" s="448">
        <f t="shared" si="1"/>
        <v>1313584.2720000001</v>
      </c>
      <c r="M59" s="448">
        <f t="shared" si="2"/>
        <v>1513584.2720000001</v>
      </c>
      <c r="N59" s="448">
        <f t="shared" si="37"/>
        <v>1938620.912</v>
      </c>
      <c r="O59" s="448">
        <f t="shared" si="38"/>
        <v>5054337.0880000005</v>
      </c>
      <c r="P59" s="448">
        <f t="shared" si="5"/>
        <v>21000</v>
      </c>
      <c r="Q59" s="448">
        <f t="shared" si="6"/>
        <v>33000</v>
      </c>
      <c r="R59" s="448">
        <f t="shared" si="7"/>
        <v>75000</v>
      </c>
      <c r="S59" s="448">
        <f t="shared" si="8"/>
        <v>95000</v>
      </c>
      <c r="T59" s="448">
        <f t="shared" si="9"/>
        <v>336000</v>
      </c>
      <c r="U59" s="448">
        <f t="shared" si="10"/>
        <v>445040.90111999999</v>
      </c>
      <c r="V59" s="448">
        <f t="shared" si="11"/>
        <v>1005040.9011200001</v>
      </c>
      <c r="W59" s="455">
        <v>12</v>
      </c>
      <c r="X59" s="448">
        <f t="shared" si="12"/>
        <v>83753.408426666603</v>
      </c>
      <c r="Y59" s="451"/>
      <c r="Z59" s="459">
        <f t="shared" si="13"/>
        <v>83753.408426666603</v>
      </c>
      <c r="AA59" s="460">
        <v>54931.249226666703</v>
      </c>
      <c r="AB59" s="460">
        <f t="shared" si="40"/>
        <v>28822.1591999999</v>
      </c>
      <c r="AC59" s="460"/>
      <c r="AD59" s="460"/>
      <c r="AE59" s="460"/>
    </row>
    <row r="60" spans="1:31" ht="18.75">
      <c r="A60" s="445">
        <v>53</v>
      </c>
      <c r="B60" s="17" t="s">
        <v>437</v>
      </c>
      <c r="C60" s="448">
        <v>548915.91666666698</v>
      </c>
      <c r="D60" s="447">
        <v>12</v>
      </c>
      <c r="E60" s="448">
        <f t="shared" si="39"/>
        <v>6586991</v>
      </c>
      <c r="F60" s="448"/>
      <c r="G60" s="449">
        <v>411759.28</v>
      </c>
      <c r="H60" s="451"/>
      <c r="I60" s="448">
        <f t="shared" si="36"/>
        <v>6175231.7199999997</v>
      </c>
      <c r="J60" s="448">
        <v>200000</v>
      </c>
      <c r="K60" s="448">
        <v>0.2</v>
      </c>
      <c r="L60" s="448">
        <f t="shared" si="1"/>
        <v>1235046.344</v>
      </c>
      <c r="M60" s="448">
        <f t="shared" si="2"/>
        <v>1435046.344</v>
      </c>
      <c r="N60" s="448">
        <f t="shared" si="37"/>
        <v>1846805.6240000001</v>
      </c>
      <c r="O60" s="448">
        <f t="shared" si="38"/>
        <v>4740185.3760000002</v>
      </c>
      <c r="P60" s="448">
        <f t="shared" si="5"/>
        <v>21000</v>
      </c>
      <c r="Q60" s="448">
        <f t="shared" si="6"/>
        <v>33000</v>
      </c>
      <c r="R60" s="448">
        <f t="shared" si="7"/>
        <v>75000</v>
      </c>
      <c r="S60" s="448">
        <f t="shared" si="8"/>
        <v>95000</v>
      </c>
      <c r="T60" s="448">
        <f t="shared" si="9"/>
        <v>336000</v>
      </c>
      <c r="U60" s="448">
        <f t="shared" si="10"/>
        <v>369644.490240001</v>
      </c>
      <c r="V60" s="448">
        <f t="shared" si="11"/>
        <v>929644.490240001</v>
      </c>
      <c r="W60" s="455">
        <v>12</v>
      </c>
      <c r="X60" s="448">
        <f t="shared" si="12"/>
        <v>77470.374186666697</v>
      </c>
      <c r="Y60" s="451"/>
      <c r="Z60" s="459">
        <f t="shared" si="13"/>
        <v>77470.374186666697</v>
      </c>
      <c r="AA60" s="460">
        <v>49548.776186666699</v>
      </c>
      <c r="AB60" s="460">
        <f t="shared" si="40"/>
        <v>27921.598000000002</v>
      </c>
      <c r="AC60" s="460"/>
      <c r="AD60" s="460"/>
      <c r="AE60" s="460"/>
    </row>
    <row r="61" spans="1:31" ht="18.75">
      <c r="A61" s="445">
        <v>54</v>
      </c>
      <c r="B61" s="13" t="s">
        <v>438</v>
      </c>
      <c r="C61" s="448">
        <v>624373.75</v>
      </c>
      <c r="D61" s="447">
        <v>12</v>
      </c>
      <c r="E61" s="448">
        <f t="shared" si="39"/>
        <v>7492485</v>
      </c>
      <c r="F61" s="448"/>
      <c r="G61" s="449">
        <v>464998.8</v>
      </c>
      <c r="H61" s="451"/>
      <c r="I61" s="448">
        <f t="shared" si="36"/>
        <v>7027486.2000000002</v>
      </c>
      <c r="J61" s="448">
        <v>200000</v>
      </c>
      <c r="K61" s="448">
        <v>0.2</v>
      </c>
      <c r="L61" s="448">
        <f t="shared" si="1"/>
        <v>1405497.24</v>
      </c>
      <c r="M61" s="448">
        <f t="shared" si="2"/>
        <v>1605497.24</v>
      </c>
      <c r="N61" s="448">
        <f t="shared" si="37"/>
        <v>2070496.04</v>
      </c>
      <c r="O61" s="448">
        <f t="shared" si="38"/>
        <v>5421988.96</v>
      </c>
      <c r="P61" s="448">
        <f t="shared" si="5"/>
        <v>21000</v>
      </c>
      <c r="Q61" s="448">
        <f t="shared" si="6"/>
        <v>33000</v>
      </c>
      <c r="R61" s="448">
        <f t="shared" si="7"/>
        <v>75000</v>
      </c>
      <c r="S61" s="448">
        <f t="shared" si="8"/>
        <v>95000</v>
      </c>
      <c r="T61" s="448">
        <f t="shared" si="9"/>
        <v>336000</v>
      </c>
      <c r="U61" s="448">
        <f t="shared" si="10"/>
        <v>533277.3504</v>
      </c>
      <c r="V61" s="448">
        <f t="shared" si="11"/>
        <v>1093277.3504000001</v>
      </c>
      <c r="W61" s="455">
        <v>12</v>
      </c>
      <c r="X61" s="448">
        <f t="shared" si="12"/>
        <v>91106.445866666705</v>
      </c>
      <c r="Y61" s="451"/>
      <c r="Z61" s="459">
        <f t="shared" si="13"/>
        <v>91106.445866666705</v>
      </c>
      <c r="AA61" s="460">
        <v>46666.666666666701</v>
      </c>
      <c r="AB61" s="460">
        <f t="shared" si="40"/>
        <v>44439.779199999997</v>
      </c>
      <c r="AC61" s="460"/>
      <c r="AD61" s="460"/>
      <c r="AE61" s="460"/>
    </row>
    <row r="62" spans="1:31" ht="37.5">
      <c r="A62" s="445">
        <v>55</v>
      </c>
      <c r="B62" s="10" t="s">
        <v>439</v>
      </c>
      <c r="C62" s="448">
        <v>475703.83333333302</v>
      </c>
      <c r="D62" s="447">
        <v>12</v>
      </c>
      <c r="E62" s="448">
        <f t="shared" si="39"/>
        <v>5708446</v>
      </c>
      <c r="F62" s="448"/>
      <c r="G62" s="449">
        <v>351075.68</v>
      </c>
      <c r="H62" s="451"/>
      <c r="I62" s="448">
        <f t="shared" si="36"/>
        <v>5357370.32</v>
      </c>
      <c r="J62" s="448">
        <v>200000</v>
      </c>
      <c r="K62" s="448">
        <v>0.2</v>
      </c>
      <c r="L62" s="448">
        <f t="shared" si="1"/>
        <v>1071474.064</v>
      </c>
      <c r="M62" s="448">
        <f t="shared" si="2"/>
        <v>1271474.064</v>
      </c>
      <c r="N62" s="448">
        <f t="shared" si="37"/>
        <v>1622549.7439999999</v>
      </c>
      <c r="O62" s="448">
        <f t="shared" si="38"/>
        <v>4085896.2560000001</v>
      </c>
      <c r="P62" s="448">
        <f t="shared" si="5"/>
        <v>21000</v>
      </c>
      <c r="Q62" s="448">
        <f t="shared" si="6"/>
        <v>33000</v>
      </c>
      <c r="R62" s="448">
        <f t="shared" si="7"/>
        <v>75000</v>
      </c>
      <c r="S62" s="448">
        <f t="shared" si="8"/>
        <v>95000</v>
      </c>
      <c r="T62" s="448">
        <f t="shared" si="9"/>
        <v>336000</v>
      </c>
      <c r="U62" s="448">
        <f t="shared" si="10"/>
        <v>212615.10143999901</v>
      </c>
      <c r="V62" s="448">
        <f t="shared" si="11"/>
        <v>772615.10143999895</v>
      </c>
      <c r="W62" s="455">
        <v>12</v>
      </c>
      <c r="X62" s="448">
        <f t="shared" si="12"/>
        <v>64384.591786666599</v>
      </c>
      <c r="Y62" s="451"/>
      <c r="Z62" s="459">
        <f t="shared" si="13"/>
        <v>64384.591786666599</v>
      </c>
      <c r="AA62" s="460">
        <v>41338.951098666701</v>
      </c>
      <c r="AB62" s="460">
        <f t="shared" si="40"/>
        <v>23045.640687999901</v>
      </c>
      <c r="AC62" s="460"/>
      <c r="AD62" s="460"/>
      <c r="AE62" s="460"/>
    </row>
    <row r="63" spans="1:31" ht="18.75">
      <c r="A63" s="445">
        <v>56</v>
      </c>
      <c r="B63" s="10" t="s">
        <v>441</v>
      </c>
      <c r="C63" s="448">
        <v>475703.83333333302</v>
      </c>
      <c r="D63" s="447">
        <v>12</v>
      </c>
      <c r="E63" s="448">
        <f t="shared" si="39"/>
        <v>5708446</v>
      </c>
      <c r="F63" s="448"/>
      <c r="G63" s="449">
        <v>351075.68</v>
      </c>
      <c r="H63" s="451"/>
      <c r="I63" s="448">
        <f t="shared" si="36"/>
        <v>5357370.32</v>
      </c>
      <c r="J63" s="448">
        <v>200000</v>
      </c>
      <c r="K63" s="448">
        <v>0.2</v>
      </c>
      <c r="L63" s="448">
        <f t="shared" si="1"/>
        <v>1071474.064</v>
      </c>
      <c r="M63" s="448">
        <f t="shared" si="2"/>
        <v>1271474.064</v>
      </c>
      <c r="N63" s="448">
        <f t="shared" si="37"/>
        <v>1622549.7439999999</v>
      </c>
      <c r="O63" s="448">
        <f t="shared" si="38"/>
        <v>4085896.2560000001</v>
      </c>
      <c r="P63" s="448">
        <f t="shared" si="5"/>
        <v>21000</v>
      </c>
      <c r="Q63" s="448">
        <f t="shared" si="6"/>
        <v>33000</v>
      </c>
      <c r="R63" s="448">
        <f t="shared" si="7"/>
        <v>75000</v>
      </c>
      <c r="S63" s="448">
        <f t="shared" si="8"/>
        <v>95000</v>
      </c>
      <c r="T63" s="448">
        <f t="shared" si="9"/>
        <v>336000</v>
      </c>
      <c r="U63" s="448">
        <f t="shared" si="10"/>
        <v>212615.10143999901</v>
      </c>
      <c r="V63" s="448">
        <f t="shared" si="11"/>
        <v>772615.10143999895</v>
      </c>
      <c r="W63" s="455">
        <v>12</v>
      </c>
      <c r="X63" s="448">
        <f t="shared" si="12"/>
        <v>64384.591786666599</v>
      </c>
      <c r="Y63" s="451"/>
      <c r="Z63" s="459">
        <f t="shared" si="13"/>
        <v>64384.591786666599</v>
      </c>
      <c r="AA63" s="460">
        <v>41338.951098666701</v>
      </c>
      <c r="AB63" s="460">
        <f t="shared" si="40"/>
        <v>23045.640687999901</v>
      </c>
      <c r="AC63" s="460"/>
      <c r="AD63" s="460"/>
      <c r="AE63" s="460"/>
    </row>
    <row r="64" spans="1:31" ht="18.75">
      <c r="A64" s="445">
        <v>57</v>
      </c>
      <c r="B64" s="10" t="s">
        <v>442</v>
      </c>
      <c r="C64" s="448">
        <v>475703.83333333302</v>
      </c>
      <c r="D64" s="447">
        <v>12</v>
      </c>
      <c r="E64" s="448">
        <f t="shared" si="39"/>
        <v>5708446</v>
      </c>
      <c r="F64" s="448"/>
      <c r="G64" s="449">
        <v>351075.68</v>
      </c>
      <c r="H64" s="451"/>
      <c r="I64" s="448">
        <f t="shared" si="36"/>
        <v>5357370.32</v>
      </c>
      <c r="J64" s="448">
        <v>200000</v>
      </c>
      <c r="K64" s="448">
        <v>0.2</v>
      </c>
      <c r="L64" s="448">
        <f t="shared" si="1"/>
        <v>1071474.064</v>
      </c>
      <c r="M64" s="448">
        <f t="shared" si="2"/>
        <v>1271474.064</v>
      </c>
      <c r="N64" s="448">
        <f t="shared" si="37"/>
        <v>1622549.7439999999</v>
      </c>
      <c r="O64" s="448">
        <f t="shared" si="38"/>
        <v>4085896.2560000001</v>
      </c>
      <c r="P64" s="448">
        <f t="shared" si="5"/>
        <v>21000</v>
      </c>
      <c r="Q64" s="448">
        <f t="shared" si="6"/>
        <v>33000</v>
      </c>
      <c r="R64" s="448">
        <f t="shared" si="7"/>
        <v>75000</v>
      </c>
      <c r="S64" s="448">
        <f t="shared" si="8"/>
        <v>95000</v>
      </c>
      <c r="T64" s="448">
        <f t="shared" si="9"/>
        <v>336000</v>
      </c>
      <c r="U64" s="448">
        <f t="shared" si="10"/>
        <v>212615.10143999901</v>
      </c>
      <c r="V64" s="448">
        <f t="shared" si="11"/>
        <v>772615.10143999895</v>
      </c>
      <c r="W64" s="455">
        <v>12</v>
      </c>
      <c r="X64" s="448">
        <f t="shared" si="12"/>
        <v>64384.591786666599</v>
      </c>
      <c r="Y64" s="451"/>
      <c r="Z64" s="459">
        <f t="shared" si="13"/>
        <v>64384.591786666599</v>
      </c>
      <c r="AA64" s="460">
        <v>41338.951098666701</v>
      </c>
      <c r="AB64" s="460">
        <f t="shared" si="40"/>
        <v>23045.640687999901</v>
      </c>
      <c r="AC64" s="460"/>
      <c r="AD64" s="460"/>
      <c r="AE64" s="460"/>
    </row>
    <row r="65" spans="1:31" ht="18.75">
      <c r="A65" s="445">
        <v>58</v>
      </c>
      <c r="B65" s="10" t="s">
        <v>443</v>
      </c>
      <c r="C65" s="448">
        <v>487895.16666666698</v>
      </c>
      <c r="D65" s="447">
        <v>12</v>
      </c>
      <c r="E65" s="448">
        <f t="shared" si="39"/>
        <v>5854742</v>
      </c>
      <c r="F65" s="448"/>
      <c r="G65" s="449">
        <v>362779.36</v>
      </c>
      <c r="H65" s="451"/>
      <c r="I65" s="448">
        <f t="shared" si="36"/>
        <v>5491962.6399999997</v>
      </c>
      <c r="J65" s="448">
        <v>200000</v>
      </c>
      <c r="K65" s="448">
        <v>0.2</v>
      </c>
      <c r="L65" s="448">
        <f t="shared" si="1"/>
        <v>1098392.5279999999</v>
      </c>
      <c r="M65" s="448">
        <f t="shared" si="2"/>
        <v>1298392.5279999999</v>
      </c>
      <c r="N65" s="448">
        <f t="shared" si="37"/>
        <v>1661171.888</v>
      </c>
      <c r="O65" s="448">
        <f t="shared" si="38"/>
        <v>4193570.1120000002</v>
      </c>
      <c r="P65" s="448">
        <f t="shared" si="5"/>
        <v>21000</v>
      </c>
      <c r="Q65" s="448">
        <f t="shared" si="6"/>
        <v>33000</v>
      </c>
      <c r="R65" s="448">
        <f t="shared" si="7"/>
        <v>75000</v>
      </c>
      <c r="S65" s="448">
        <f t="shared" si="8"/>
        <v>95000</v>
      </c>
      <c r="T65" s="448">
        <f t="shared" si="9"/>
        <v>336000</v>
      </c>
      <c r="U65" s="448">
        <f t="shared" si="10"/>
        <v>238456.826880001</v>
      </c>
      <c r="V65" s="448">
        <f t="shared" si="11"/>
        <v>798456.826880001</v>
      </c>
      <c r="W65" s="455">
        <v>12</v>
      </c>
      <c r="X65" s="448">
        <f t="shared" si="12"/>
        <v>66538.068906666696</v>
      </c>
      <c r="Y65" s="451"/>
      <c r="Z65" s="459">
        <f t="shared" si="13"/>
        <v>66538.068906666696</v>
      </c>
      <c r="AA65" s="460">
        <v>43368.882414666703</v>
      </c>
      <c r="AB65" s="460">
        <f t="shared" si="40"/>
        <v>23169.186492000001</v>
      </c>
      <c r="AC65" s="460"/>
      <c r="AD65" s="460"/>
      <c r="AE65" s="460"/>
    </row>
    <row r="66" spans="1:31" ht="18.75">
      <c r="A66" s="445">
        <v>59</v>
      </c>
      <c r="B66" s="10" t="s">
        <v>445</v>
      </c>
      <c r="C66" s="448">
        <v>400965.58333333302</v>
      </c>
      <c r="D66" s="447">
        <v>12</v>
      </c>
      <c r="E66" s="448">
        <f t="shared" si="39"/>
        <v>4811587</v>
      </c>
      <c r="F66" s="448"/>
      <c r="G66" s="453">
        <v>288926.96000000002</v>
      </c>
      <c r="H66" s="451"/>
      <c r="I66" s="448">
        <f t="shared" si="36"/>
        <v>4522660.04</v>
      </c>
      <c r="J66" s="448">
        <v>200000</v>
      </c>
      <c r="K66" s="448">
        <v>0.2</v>
      </c>
      <c r="L66" s="448">
        <f t="shared" si="1"/>
        <v>904532.00799999898</v>
      </c>
      <c r="M66" s="448">
        <f t="shared" si="2"/>
        <v>1104532.0079999999</v>
      </c>
      <c r="N66" s="448">
        <f t="shared" si="37"/>
        <v>1393458.9680000001</v>
      </c>
      <c r="O66" s="448">
        <f t="shared" si="38"/>
        <v>3418128.0320000001</v>
      </c>
      <c r="P66" s="448">
        <f t="shared" si="5"/>
        <v>21000</v>
      </c>
      <c r="Q66" s="448">
        <f t="shared" si="6"/>
        <v>33000</v>
      </c>
      <c r="R66" s="448">
        <f t="shared" si="7"/>
        <v>75000</v>
      </c>
      <c r="S66" s="448">
        <f t="shared" si="8"/>
        <v>95000</v>
      </c>
      <c r="T66" s="448">
        <f t="shared" si="9"/>
        <v>336000</v>
      </c>
      <c r="U66" s="448">
        <f t="shared" si="10"/>
        <v>52350.727679999203</v>
      </c>
      <c r="V66" s="448">
        <f t="shared" si="11"/>
        <v>612350.72767999896</v>
      </c>
      <c r="W66" s="455">
        <v>12</v>
      </c>
      <c r="X66" s="448">
        <f t="shared" si="12"/>
        <v>51029.227306666602</v>
      </c>
      <c r="Y66" s="451"/>
      <c r="Z66" s="459">
        <f t="shared" si="13"/>
        <v>51029.227306666602</v>
      </c>
      <c r="AA66" s="460">
        <v>33825.986562666702</v>
      </c>
      <c r="AB66" s="460">
        <f t="shared" si="40"/>
        <v>17203.240743999901</v>
      </c>
      <c r="AC66" s="460"/>
      <c r="AD66" s="460"/>
      <c r="AE66" s="460"/>
    </row>
    <row r="67" spans="1:31" ht="18.75">
      <c r="A67" s="445">
        <v>60</v>
      </c>
      <c r="B67" s="19"/>
      <c r="C67" s="448"/>
      <c r="D67" s="447"/>
      <c r="E67" s="448"/>
      <c r="F67" s="448"/>
      <c r="G67" s="451"/>
      <c r="H67" s="451"/>
      <c r="I67" s="448"/>
      <c r="J67" s="448"/>
      <c r="K67" s="448"/>
      <c r="L67" s="448"/>
      <c r="M67" s="448"/>
      <c r="N67" s="448"/>
      <c r="O67" s="448"/>
      <c r="P67" s="448"/>
      <c r="Q67" s="448"/>
      <c r="R67" s="448"/>
      <c r="S67" s="448"/>
      <c r="T67" s="448"/>
      <c r="U67" s="448"/>
      <c r="V67" s="448"/>
      <c r="W67" s="455"/>
      <c r="X67" s="448"/>
      <c r="Y67" s="451"/>
      <c r="Z67" s="459"/>
      <c r="AA67" s="460"/>
      <c r="AB67" s="460"/>
      <c r="AC67" s="460"/>
      <c r="AD67" s="460"/>
      <c r="AE67" s="460"/>
    </row>
    <row r="68" spans="1:31" ht="18.75">
      <c r="A68" s="445">
        <v>61</v>
      </c>
      <c r="B68" s="21"/>
      <c r="C68" s="448"/>
      <c r="D68" s="447"/>
      <c r="E68" s="448"/>
      <c r="F68" s="448"/>
      <c r="G68" s="451"/>
      <c r="H68" s="451"/>
      <c r="I68" s="448"/>
      <c r="J68" s="448"/>
      <c r="K68" s="448"/>
      <c r="L68" s="448"/>
      <c r="M68" s="448"/>
      <c r="N68" s="448"/>
      <c r="O68" s="448"/>
      <c r="P68" s="448"/>
      <c r="Q68" s="448"/>
      <c r="R68" s="448"/>
      <c r="S68" s="448"/>
      <c r="T68" s="448"/>
      <c r="U68" s="448"/>
      <c r="V68" s="448"/>
      <c r="W68" s="455"/>
      <c r="X68" s="448"/>
      <c r="Y68" s="451"/>
      <c r="Z68" s="459"/>
      <c r="AA68" s="460"/>
      <c r="AB68" s="460"/>
      <c r="AC68" s="460"/>
      <c r="AD68" s="460"/>
      <c r="AE68" s="460"/>
    </row>
    <row r="69" spans="1:31" ht="18.75">
      <c r="A69" s="445"/>
      <c r="B69" s="19" t="s">
        <v>65</v>
      </c>
      <c r="C69" s="448"/>
      <c r="D69" s="447"/>
      <c r="E69" s="448"/>
      <c r="F69" s="448"/>
      <c r="G69" s="451"/>
      <c r="H69" s="451"/>
      <c r="I69" s="448"/>
      <c r="J69" s="448"/>
      <c r="K69" s="448"/>
      <c r="L69" s="448"/>
      <c r="M69" s="448"/>
      <c r="N69" s="448"/>
      <c r="O69" s="448"/>
      <c r="P69" s="448"/>
      <c r="Q69" s="448"/>
      <c r="R69" s="448"/>
      <c r="S69" s="448"/>
      <c r="T69" s="448"/>
      <c r="U69" s="448"/>
      <c r="V69" s="448"/>
      <c r="W69" s="455"/>
      <c r="X69" s="448"/>
      <c r="Y69" s="451"/>
      <c r="Z69" s="459"/>
      <c r="AA69" s="460"/>
      <c r="AB69" s="460"/>
      <c r="AC69" s="460"/>
      <c r="AD69" s="460"/>
      <c r="AE69" s="460"/>
    </row>
    <row r="70" spans="1:31" ht="18.75">
      <c r="A70" s="445"/>
      <c r="B70" s="10" t="s">
        <v>446</v>
      </c>
      <c r="C70" s="448">
        <v>1635720</v>
      </c>
      <c r="D70" s="447">
        <v>12</v>
      </c>
      <c r="E70" s="448">
        <f>C70*D70</f>
        <v>19628640</v>
      </c>
      <c r="F70" s="448"/>
      <c r="G70" s="449">
        <v>1378291.2</v>
      </c>
      <c r="H70" s="451"/>
      <c r="I70" s="448">
        <f t="shared" ref="I70:I76" si="41">E70-F70-G70-H70</f>
        <v>18250348.800000001</v>
      </c>
      <c r="J70" s="448">
        <v>200000</v>
      </c>
      <c r="K70" s="448">
        <v>0.2</v>
      </c>
      <c r="L70" s="448">
        <f t="shared" ref="L70" si="42">I70*K70</f>
        <v>3650069.76</v>
      </c>
      <c r="M70" s="448">
        <f t="shared" ref="M70" si="43">J70+L70</f>
        <v>3850069.76</v>
      </c>
      <c r="N70" s="448">
        <f t="shared" ref="N70:N76" si="44">F70+G70+H70+M70</f>
        <v>5228360.96</v>
      </c>
      <c r="O70" s="448">
        <f t="shared" ref="O70:O76" si="45">E70-N70</f>
        <v>14400279.039999999</v>
      </c>
      <c r="P70" s="448">
        <f t="shared" ref="P70" si="46">IF(O70&lt;300000,0.07*O70,21000)</f>
        <v>21000</v>
      </c>
      <c r="Q70" s="448">
        <f t="shared" ref="Q70" si="47">IF((O70-300000)&lt;0,0,IF((O70-300000)&lt;300000,0.11*(O70-300000),33000))</f>
        <v>33000</v>
      </c>
      <c r="R70" s="448">
        <f t="shared" ref="R70" si="48">IF((O70-600000)&lt;0,0,IF((O70-600000)&lt;500000,0.15*(O70-600000),75000))</f>
        <v>75000</v>
      </c>
      <c r="S70" s="448">
        <f t="shared" ref="S70" si="49">IF((O70-1100000)&lt;0,0,IF((O70-1100000)&lt;500000,0.19*(O70-1100000),95000))</f>
        <v>95000</v>
      </c>
      <c r="T70" s="448">
        <f t="shared" ref="T70" si="50">IF((O70-1600000)&lt;0,0,IF((O70-1600000)&lt;1600000,0.21*(O70-1600000),336000))</f>
        <v>336000</v>
      </c>
      <c r="U70" s="448">
        <f t="shared" ref="U70" si="51">24%*(O70-3200000)</f>
        <v>2688066.9696</v>
      </c>
      <c r="V70" s="448">
        <f t="shared" ref="V70" si="52">P70+Q70+R70+S70+T70+U70</f>
        <v>3248066.9696</v>
      </c>
      <c r="W70" s="455">
        <v>12</v>
      </c>
      <c r="X70" s="448">
        <f t="shared" ref="X70" si="53">V70/W70</f>
        <v>270672.24746666697</v>
      </c>
      <c r="Y70" s="451"/>
      <c r="Z70" s="459">
        <f t="shared" ref="Z70" si="54">X70</f>
        <v>270672.24746666697</v>
      </c>
      <c r="AA70" s="460">
        <v>180306.806858667</v>
      </c>
      <c r="AB70" s="460">
        <f>Z70-AA70</f>
        <v>90365.440607999597</v>
      </c>
      <c r="AC70" s="460"/>
      <c r="AD70" s="460"/>
      <c r="AE70" s="460"/>
    </row>
    <row r="71" spans="1:31" ht="18.75">
      <c r="A71" s="445">
        <v>62</v>
      </c>
      <c r="B71" s="13" t="s">
        <v>331</v>
      </c>
      <c r="C71" s="448">
        <v>761396.83333333302</v>
      </c>
      <c r="D71" s="447">
        <v>12</v>
      </c>
      <c r="E71" s="448">
        <f t="shared" ref="E71:E76" si="55">C71*D71</f>
        <v>9136762</v>
      </c>
      <c r="F71" s="448"/>
      <c r="G71" s="449">
        <v>0</v>
      </c>
      <c r="H71" s="451"/>
      <c r="I71" s="448">
        <f t="shared" si="41"/>
        <v>9136762</v>
      </c>
      <c r="J71" s="448">
        <v>200000</v>
      </c>
      <c r="K71" s="448">
        <v>0.2</v>
      </c>
      <c r="L71" s="448">
        <f t="shared" si="1"/>
        <v>1827352.4</v>
      </c>
      <c r="M71" s="448">
        <f t="shared" si="2"/>
        <v>2027352.4</v>
      </c>
      <c r="N71" s="448">
        <f t="shared" si="44"/>
        <v>2027352.4</v>
      </c>
      <c r="O71" s="448">
        <f t="shared" si="45"/>
        <v>7109409.5999999996</v>
      </c>
      <c r="P71" s="448">
        <f t="shared" si="5"/>
        <v>21000</v>
      </c>
      <c r="Q71" s="448">
        <f t="shared" si="6"/>
        <v>33000</v>
      </c>
      <c r="R71" s="448">
        <f t="shared" si="7"/>
        <v>75000</v>
      </c>
      <c r="S71" s="448">
        <f t="shared" si="8"/>
        <v>95000</v>
      </c>
      <c r="T71" s="448">
        <f t="shared" si="9"/>
        <v>336000</v>
      </c>
      <c r="U71" s="448">
        <f t="shared" si="10"/>
        <v>938258.30399999896</v>
      </c>
      <c r="V71" s="448">
        <f t="shared" si="11"/>
        <v>1498258.304</v>
      </c>
      <c r="W71" s="455">
        <v>12</v>
      </c>
      <c r="X71" s="448">
        <f t="shared" si="12"/>
        <v>124854.858666667</v>
      </c>
      <c r="Y71" s="451"/>
      <c r="Z71" s="459">
        <f t="shared" si="13"/>
        <v>124854.858666667</v>
      </c>
      <c r="AA71" s="460">
        <v>77764.980266666695</v>
      </c>
      <c r="AB71" s="460">
        <f t="shared" ref="AB71:AB76" si="56">Z71-AA71</f>
        <v>47089.8783999999</v>
      </c>
      <c r="AC71" s="460"/>
      <c r="AD71" s="460"/>
      <c r="AE71" s="460"/>
    </row>
    <row r="72" spans="1:31" ht="37.5">
      <c r="A72" s="445">
        <v>63</v>
      </c>
      <c r="B72" s="17" t="s">
        <v>333</v>
      </c>
      <c r="C72" s="448">
        <f>700675.583333333+80000</f>
        <v>780675.58333333302</v>
      </c>
      <c r="D72" s="447">
        <v>12</v>
      </c>
      <c r="E72" s="448">
        <f t="shared" si="55"/>
        <v>9368107</v>
      </c>
      <c r="F72" s="448"/>
      <c r="G72" s="449">
        <v>0</v>
      </c>
      <c r="H72" s="451"/>
      <c r="I72" s="448">
        <f t="shared" si="41"/>
        <v>9368107</v>
      </c>
      <c r="J72" s="448">
        <v>200000</v>
      </c>
      <c r="K72" s="448">
        <v>0.2</v>
      </c>
      <c r="L72" s="448">
        <f t="shared" si="1"/>
        <v>1873621.4</v>
      </c>
      <c r="M72" s="448">
        <f t="shared" si="2"/>
        <v>2073621.4</v>
      </c>
      <c r="N72" s="448">
        <f t="shared" si="44"/>
        <v>2073621.4</v>
      </c>
      <c r="O72" s="448">
        <f t="shared" si="45"/>
        <v>7294485.5999999996</v>
      </c>
      <c r="P72" s="448">
        <f t="shared" si="5"/>
        <v>21000</v>
      </c>
      <c r="Q72" s="448">
        <f t="shared" si="6"/>
        <v>33000</v>
      </c>
      <c r="R72" s="448">
        <f t="shared" si="7"/>
        <v>75000</v>
      </c>
      <c r="S72" s="448">
        <f t="shared" si="8"/>
        <v>95000</v>
      </c>
      <c r="T72" s="448">
        <f t="shared" si="9"/>
        <v>336000</v>
      </c>
      <c r="U72" s="448">
        <f t="shared" si="10"/>
        <v>982676.54399999895</v>
      </c>
      <c r="V72" s="448">
        <f t="shared" si="11"/>
        <v>1542676.544</v>
      </c>
      <c r="W72" s="455">
        <v>12</v>
      </c>
      <c r="X72" s="448">
        <f t="shared" si="12"/>
        <v>128556.37866666701</v>
      </c>
      <c r="Y72" s="451"/>
      <c r="Z72" s="459">
        <f t="shared" si="13"/>
        <v>128556.37866666701</v>
      </c>
      <c r="AA72" s="460">
        <v>64596.9391466667</v>
      </c>
      <c r="AB72" s="460">
        <f t="shared" si="56"/>
        <v>63959.439519999898</v>
      </c>
      <c r="AC72" s="460"/>
      <c r="AD72" s="460"/>
      <c r="AE72" s="460"/>
    </row>
    <row r="73" spans="1:31" ht="18.75">
      <c r="A73" s="445">
        <v>64</v>
      </c>
      <c r="B73" s="10" t="s">
        <v>448</v>
      </c>
      <c r="C73" s="448">
        <v>596622.25</v>
      </c>
      <c r="D73" s="447">
        <v>12</v>
      </c>
      <c r="E73" s="448">
        <f t="shared" si="55"/>
        <v>7159467</v>
      </c>
      <c r="F73" s="448">
        <f>'[8]JANUARY 2024'!$V$78*12</f>
        <v>8019.7950000000001</v>
      </c>
      <c r="G73" s="449">
        <v>438357.36</v>
      </c>
      <c r="H73" s="451"/>
      <c r="I73" s="448">
        <f t="shared" si="41"/>
        <v>6713089.8449999997</v>
      </c>
      <c r="J73" s="448">
        <v>200000</v>
      </c>
      <c r="K73" s="448">
        <v>0.2</v>
      </c>
      <c r="L73" s="448">
        <f t="shared" si="1"/>
        <v>1342617.969</v>
      </c>
      <c r="M73" s="448">
        <f t="shared" si="2"/>
        <v>1542617.969</v>
      </c>
      <c r="N73" s="448">
        <f t="shared" si="44"/>
        <v>1988995.1240000001</v>
      </c>
      <c r="O73" s="448">
        <f t="shared" si="45"/>
        <v>5170471.8760000002</v>
      </c>
      <c r="P73" s="448">
        <f t="shared" si="5"/>
        <v>21000</v>
      </c>
      <c r="Q73" s="448">
        <f t="shared" si="6"/>
        <v>33000</v>
      </c>
      <c r="R73" s="448">
        <f t="shared" si="7"/>
        <v>75000</v>
      </c>
      <c r="S73" s="448">
        <f t="shared" si="8"/>
        <v>95000</v>
      </c>
      <c r="T73" s="448">
        <f t="shared" si="9"/>
        <v>336000</v>
      </c>
      <c r="U73" s="448">
        <f t="shared" si="10"/>
        <v>472913.25024000002</v>
      </c>
      <c r="V73" s="448">
        <f t="shared" si="11"/>
        <v>1032913.25024</v>
      </c>
      <c r="W73" s="455">
        <v>12</v>
      </c>
      <c r="X73" s="448">
        <f t="shared" si="12"/>
        <v>86076.104186666693</v>
      </c>
      <c r="Y73" s="451"/>
      <c r="Z73" s="459">
        <f t="shared" si="13"/>
        <v>86076.104186666693</v>
      </c>
      <c r="AA73" s="460">
        <v>56350.586186666696</v>
      </c>
      <c r="AB73" s="460">
        <f t="shared" si="56"/>
        <v>29725.518</v>
      </c>
      <c r="AC73" s="460"/>
      <c r="AD73" s="460"/>
      <c r="AE73" s="460"/>
    </row>
    <row r="74" spans="1:31" ht="18.75">
      <c r="A74" s="445">
        <v>65</v>
      </c>
      <c r="B74" s="10" t="s">
        <v>451</v>
      </c>
      <c r="C74" s="448">
        <v>408901.5</v>
      </c>
      <c r="D74" s="447">
        <v>12</v>
      </c>
      <c r="E74" s="448">
        <f t="shared" si="55"/>
        <v>4906818</v>
      </c>
      <c r="F74" s="448"/>
      <c r="G74" s="449">
        <v>296545.44</v>
      </c>
      <c r="H74" s="451"/>
      <c r="I74" s="448">
        <f t="shared" si="41"/>
        <v>4610272.5599999996</v>
      </c>
      <c r="J74" s="448">
        <v>200000</v>
      </c>
      <c r="K74" s="448">
        <v>0.2</v>
      </c>
      <c r="L74" s="448">
        <f t="shared" si="1"/>
        <v>922054.51199999999</v>
      </c>
      <c r="M74" s="448">
        <f t="shared" si="2"/>
        <v>1122054.5120000001</v>
      </c>
      <c r="N74" s="448">
        <f t="shared" si="44"/>
        <v>1418599.952</v>
      </c>
      <c r="O74" s="448">
        <f t="shared" si="45"/>
        <v>3488218.048</v>
      </c>
      <c r="P74" s="448">
        <f t="shared" si="5"/>
        <v>21000</v>
      </c>
      <c r="Q74" s="448">
        <f t="shared" si="6"/>
        <v>33000</v>
      </c>
      <c r="R74" s="448">
        <f t="shared" si="7"/>
        <v>75000</v>
      </c>
      <c r="S74" s="448">
        <f t="shared" si="8"/>
        <v>95000</v>
      </c>
      <c r="T74" s="448">
        <f t="shared" si="9"/>
        <v>336000</v>
      </c>
      <c r="U74" s="448">
        <f>0.24*(O74-3200000)</f>
        <v>69172.331520000007</v>
      </c>
      <c r="V74" s="448">
        <f t="shared" si="11"/>
        <v>629172.33152000001</v>
      </c>
      <c r="W74" s="455">
        <v>12</v>
      </c>
      <c r="X74" s="448">
        <f t="shared" si="12"/>
        <v>52431.027626666699</v>
      </c>
      <c r="Y74" s="451"/>
      <c r="Z74" s="459">
        <f t="shared" si="13"/>
        <v>52431.027626666699</v>
      </c>
      <c r="AA74" s="460">
        <v>17507.548966666702</v>
      </c>
      <c r="AB74" s="460">
        <f t="shared" si="56"/>
        <v>34923.478660000001</v>
      </c>
      <c r="AC74" s="460"/>
      <c r="AD74" s="460"/>
      <c r="AE74" s="460"/>
    </row>
    <row r="75" spans="1:31" ht="24.75" customHeight="1">
      <c r="A75" s="445"/>
      <c r="B75" s="10" t="s">
        <v>454</v>
      </c>
      <c r="C75" s="448">
        <v>363165.33333333302</v>
      </c>
      <c r="D75" s="447">
        <v>12</v>
      </c>
      <c r="E75" s="448">
        <f t="shared" si="55"/>
        <v>4357984</v>
      </c>
      <c r="F75" s="448"/>
      <c r="G75" s="449">
        <v>252638.72</v>
      </c>
      <c r="H75" s="451"/>
      <c r="I75" s="448">
        <f t="shared" si="41"/>
        <v>4105345.28</v>
      </c>
      <c r="J75" s="448">
        <v>200000</v>
      </c>
      <c r="K75" s="448">
        <v>0.2</v>
      </c>
      <c r="L75" s="448">
        <f t="shared" si="1"/>
        <v>821069.05599999905</v>
      </c>
      <c r="M75" s="448">
        <f t="shared" si="2"/>
        <v>1021069.056</v>
      </c>
      <c r="N75" s="448">
        <f t="shared" si="44"/>
        <v>1273707.7760000001</v>
      </c>
      <c r="O75" s="448">
        <f t="shared" si="45"/>
        <v>3084276.2239999999</v>
      </c>
      <c r="P75" s="448">
        <f t="shared" si="5"/>
        <v>21000</v>
      </c>
      <c r="Q75" s="448">
        <f t="shared" si="6"/>
        <v>33000</v>
      </c>
      <c r="R75" s="448">
        <f t="shared" si="7"/>
        <v>75000</v>
      </c>
      <c r="S75" s="448">
        <f t="shared" si="8"/>
        <v>95000</v>
      </c>
      <c r="T75" s="448">
        <f t="shared" si="9"/>
        <v>311698.00703999901</v>
      </c>
      <c r="U75" s="448"/>
      <c r="V75" s="448">
        <f t="shared" si="11"/>
        <v>535698.00703999901</v>
      </c>
      <c r="W75" s="455">
        <v>12</v>
      </c>
      <c r="X75" s="448">
        <f t="shared" si="12"/>
        <v>44641.500586666603</v>
      </c>
      <c r="Y75" s="451"/>
      <c r="Z75" s="459">
        <f t="shared" si="13"/>
        <v>44641.500586666603</v>
      </c>
      <c r="AA75" s="460">
        <v>29058.4826046667</v>
      </c>
      <c r="AB75" s="460">
        <f t="shared" si="56"/>
        <v>15583.017981999899</v>
      </c>
      <c r="AC75" s="460"/>
      <c r="AD75" s="460"/>
      <c r="AE75" s="460"/>
    </row>
    <row r="76" spans="1:31" ht="18.75">
      <c r="A76" s="445"/>
      <c r="B76" s="10" t="s">
        <v>455</v>
      </c>
      <c r="C76" s="448">
        <v>324459.75</v>
      </c>
      <c r="D76" s="447">
        <v>12</v>
      </c>
      <c r="E76" s="448">
        <f t="shared" si="55"/>
        <v>3893517</v>
      </c>
      <c r="F76" s="448"/>
      <c r="G76" s="449">
        <v>215481.36</v>
      </c>
      <c r="H76" s="451"/>
      <c r="I76" s="448">
        <f t="shared" si="41"/>
        <v>3678035.64</v>
      </c>
      <c r="J76" s="448">
        <v>200000</v>
      </c>
      <c r="K76" s="448">
        <v>0.2</v>
      </c>
      <c r="L76" s="448">
        <f t="shared" ref="L76" si="57">I76*K76</f>
        <v>735607.12800000003</v>
      </c>
      <c r="M76" s="448">
        <f t="shared" ref="M76" si="58">J76+L76</f>
        <v>935607.12800000003</v>
      </c>
      <c r="N76" s="448">
        <f t="shared" si="44"/>
        <v>1151088.4879999999</v>
      </c>
      <c r="O76" s="448">
        <f t="shared" si="45"/>
        <v>2742428.5120000001</v>
      </c>
      <c r="P76" s="448">
        <f t="shared" ref="P76" si="59">IF(O76&lt;300000,0.07*O76,21000)</f>
        <v>21000</v>
      </c>
      <c r="Q76" s="448">
        <f t="shared" ref="Q76" si="60">IF((O76-300000)&lt;0,0,IF((O76-300000)&lt;300000,0.11*(O76-300000),33000))</f>
        <v>33000</v>
      </c>
      <c r="R76" s="448">
        <f t="shared" ref="R76" si="61">IF((O76-600000)&lt;0,0,IF((O76-600000)&lt;500000,0.15*(O76-600000),75000))</f>
        <v>75000</v>
      </c>
      <c r="S76" s="448">
        <f t="shared" ref="S76" si="62">IF((O76-1100000)&lt;0,0,IF((O76-1100000)&lt;500000,0.19*(O76-1100000),95000))</f>
        <v>95000</v>
      </c>
      <c r="T76" s="448">
        <f t="shared" ref="T76" si="63">IF((O76-1600000)&lt;0,0,IF((O76-1600000)&lt;1600000,0.21*(O76-1600000),336000))</f>
        <v>239909.98752</v>
      </c>
      <c r="U76" s="448"/>
      <c r="V76" s="448">
        <f t="shared" ref="V76" si="64">P76+Q76+R76+S76+T76+U76</f>
        <v>463909.98752000002</v>
      </c>
      <c r="W76" s="455">
        <v>12</v>
      </c>
      <c r="X76" s="448">
        <f t="shared" ref="X76" si="65">V76/W76</f>
        <v>38659.165626666698</v>
      </c>
      <c r="Y76" s="451"/>
      <c r="Z76" s="459">
        <f t="shared" ref="Z76" si="66">X76</f>
        <v>38659.165626666698</v>
      </c>
      <c r="AA76" s="460">
        <v>24751.170462666701</v>
      </c>
      <c r="AB76" s="460">
        <f t="shared" si="56"/>
        <v>13907.995164</v>
      </c>
      <c r="AC76" s="460"/>
      <c r="AD76" s="460"/>
      <c r="AE76" s="460"/>
    </row>
    <row r="77" spans="1:31" ht="18.75">
      <c r="A77" s="445"/>
      <c r="B77" s="19" t="s">
        <v>42</v>
      </c>
      <c r="C77" s="448"/>
      <c r="D77" s="447"/>
      <c r="E77" s="448"/>
      <c r="F77" s="448"/>
      <c r="G77" s="451"/>
      <c r="H77" s="451"/>
      <c r="I77" s="448"/>
      <c r="J77" s="448"/>
      <c r="K77" s="448"/>
      <c r="L77" s="448"/>
      <c r="M77" s="448"/>
      <c r="N77" s="448"/>
      <c r="O77" s="448"/>
      <c r="P77" s="448"/>
      <c r="Q77" s="448"/>
      <c r="R77" s="448"/>
      <c r="S77" s="448"/>
      <c r="T77" s="448"/>
      <c r="U77" s="448"/>
      <c r="V77" s="448"/>
      <c r="W77" s="455"/>
      <c r="X77" s="448"/>
      <c r="Y77" s="451"/>
      <c r="Z77" s="459"/>
      <c r="AA77" s="460"/>
      <c r="AB77" s="460"/>
      <c r="AC77" s="460"/>
      <c r="AD77" s="460"/>
      <c r="AE77" s="460"/>
    </row>
    <row r="78" spans="1:31" ht="18.75">
      <c r="A78" s="445">
        <v>66</v>
      </c>
      <c r="B78" s="19"/>
      <c r="C78" s="448"/>
      <c r="D78" s="447"/>
      <c r="E78" s="448"/>
      <c r="F78" s="448"/>
      <c r="G78" s="451"/>
      <c r="H78" s="451"/>
      <c r="I78" s="448"/>
      <c r="J78" s="448"/>
      <c r="K78" s="448"/>
      <c r="L78" s="448"/>
      <c r="M78" s="448"/>
      <c r="N78" s="448"/>
      <c r="O78" s="448"/>
      <c r="P78" s="448"/>
      <c r="Q78" s="448"/>
      <c r="R78" s="448"/>
      <c r="S78" s="448"/>
      <c r="T78" s="448"/>
      <c r="U78" s="448"/>
      <c r="V78" s="448"/>
      <c r="W78" s="455"/>
      <c r="X78" s="448"/>
      <c r="Y78" s="451"/>
      <c r="Z78" s="459"/>
      <c r="AA78" s="460"/>
      <c r="AB78" s="460"/>
      <c r="AC78" s="460"/>
      <c r="AD78" s="460"/>
      <c r="AE78" s="460"/>
    </row>
    <row r="79" spans="1:31" ht="37.5">
      <c r="A79" s="445">
        <v>67</v>
      </c>
      <c r="B79" s="19" t="s">
        <v>74</v>
      </c>
      <c r="C79" s="448"/>
      <c r="Z79" s="462"/>
      <c r="AB79" s="276" t="s">
        <v>627</v>
      </c>
      <c r="AC79" s="460"/>
      <c r="AD79" s="460"/>
      <c r="AE79" s="460"/>
    </row>
    <row r="80" spans="1:31" s="596" customFormat="1" ht="18.75">
      <c r="A80" s="597">
        <v>68</v>
      </c>
      <c r="B80" s="598" t="s">
        <v>457</v>
      </c>
      <c r="C80" s="601">
        <f>880675.583333333+100000</f>
        <v>980675.58333333302</v>
      </c>
      <c r="D80" s="600">
        <v>12</v>
      </c>
      <c r="E80" s="601">
        <f>C80*D80</f>
        <v>11768107</v>
      </c>
      <c r="F80" s="601"/>
      <c r="G80" s="606">
        <v>595848.56000000006</v>
      </c>
      <c r="H80" s="607"/>
      <c r="I80" s="601">
        <f t="shared" ref="I80:I89" si="67">E80-F80-G80-H80</f>
        <v>11172258.439999999</v>
      </c>
      <c r="J80" s="601">
        <v>200000</v>
      </c>
      <c r="K80" s="601">
        <v>0.2</v>
      </c>
      <c r="L80" s="601">
        <f t="shared" ref="L80:L89" si="68">I80*K80</f>
        <v>2234451.6880000001</v>
      </c>
      <c r="M80" s="601">
        <f t="shared" ref="M80:M89" si="69">J80+L80</f>
        <v>2434451.6880000001</v>
      </c>
      <c r="N80" s="601">
        <f t="shared" ref="N80:N89" si="70">F80+G80+H80+M80</f>
        <v>3030300.2480000001</v>
      </c>
      <c r="O80" s="601">
        <f t="shared" ref="O80:O89" si="71">E80-N80</f>
        <v>8737806.7520000003</v>
      </c>
      <c r="P80" s="601">
        <f t="shared" ref="P80:P89" si="72">IF(O80&lt;300000,0.07*O80,21000)</f>
        <v>21000</v>
      </c>
      <c r="Q80" s="601">
        <f t="shared" ref="Q80:Q89" si="73">IF((O80-300000)&lt;0,0,IF((O80-300000)&lt;300000,0.11*(O80-300000),33000))</f>
        <v>33000</v>
      </c>
      <c r="R80" s="601">
        <f t="shared" ref="R80:R89" si="74">IF((O80-600000)&lt;0,0,IF((O80-600000)&lt;500000,0.15*(O80-600000),75000))</f>
        <v>75000</v>
      </c>
      <c r="S80" s="601">
        <f t="shared" ref="S80:S89" si="75">IF((O80-1100000)&lt;0,0,IF((O80-1100000)&lt;500000,0.19*(O80-1100000),95000))</f>
        <v>95000</v>
      </c>
      <c r="T80" s="601">
        <f t="shared" ref="T80:T89" si="76">IF((O80-1600000)&lt;0,0,IF((O80-1600000)&lt;1600000,0.21*(O80-1600000),336000))</f>
        <v>336000</v>
      </c>
      <c r="U80" s="601">
        <f t="shared" ref="U80:U88" si="77">24%*(O80-3200000)</f>
        <v>1329073.62048</v>
      </c>
      <c r="V80" s="601">
        <f t="shared" ref="V80:V89" si="78">P80+Q80+R80+S80+T80+U80</f>
        <v>1889073.62048</v>
      </c>
      <c r="W80" s="604">
        <v>12</v>
      </c>
      <c r="X80" s="601">
        <f t="shared" ref="X80:X89" si="79">V80/W80</f>
        <v>157422.801706667</v>
      </c>
      <c r="Y80" s="607"/>
      <c r="Z80" s="601">
        <f t="shared" ref="Z80:Z89" si="80">X80</f>
        <v>157422.801706667</v>
      </c>
      <c r="AA80" s="601">
        <v>99156.9391466667</v>
      </c>
      <c r="AB80" s="605">
        <f>Z80-AA80</f>
        <v>58265.8625599999</v>
      </c>
      <c r="AC80" s="605" t="s">
        <v>457</v>
      </c>
      <c r="AD80" s="605"/>
      <c r="AE80" s="605"/>
    </row>
    <row r="81" spans="1:31" ht="18.75">
      <c r="A81" s="445">
        <v>69</v>
      </c>
      <c r="B81" s="10" t="s">
        <v>458</v>
      </c>
      <c r="C81" s="448">
        <v>780675.58333333302</v>
      </c>
      <c r="D81" s="447">
        <v>12</v>
      </c>
      <c r="E81" s="448">
        <f t="shared" ref="E81:E87" si="81">C81*D81</f>
        <v>9368107</v>
      </c>
      <c r="F81" s="448">
        <f>'[8]JANUARY 2024'!$V$86*12</f>
        <v>10052.25</v>
      </c>
      <c r="G81" s="449">
        <v>595848.56000000006</v>
      </c>
      <c r="H81" s="451"/>
      <c r="I81" s="448">
        <f t="shared" si="67"/>
        <v>8762206.1899999995</v>
      </c>
      <c r="J81" s="448">
        <v>200000</v>
      </c>
      <c r="K81" s="448">
        <v>0.2</v>
      </c>
      <c r="L81" s="448">
        <f t="shared" si="68"/>
        <v>1752441.2379999999</v>
      </c>
      <c r="M81" s="448">
        <f t="shared" si="69"/>
        <v>1952441.2379999999</v>
      </c>
      <c r="N81" s="448">
        <f t="shared" si="70"/>
        <v>2558342.048</v>
      </c>
      <c r="O81" s="448">
        <f t="shared" si="71"/>
        <v>6809764.9519999996</v>
      </c>
      <c r="P81" s="448">
        <f t="shared" si="72"/>
        <v>21000</v>
      </c>
      <c r="Q81" s="448">
        <f t="shared" si="73"/>
        <v>33000</v>
      </c>
      <c r="R81" s="448">
        <f t="shared" si="74"/>
        <v>75000</v>
      </c>
      <c r="S81" s="448">
        <f t="shared" si="75"/>
        <v>95000</v>
      </c>
      <c r="T81" s="448">
        <f t="shared" si="76"/>
        <v>336000</v>
      </c>
      <c r="U81" s="448">
        <f t="shared" si="77"/>
        <v>866343.58847999899</v>
      </c>
      <c r="V81" s="448">
        <f t="shared" si="78"/>
        <v>1426343.5884799999</v>
      </c>
      <c r="W81" s="455">
        <v>12</v>
      </c>
      <c r="X81" s="448">
        <f t="shared" si="79"/>
        <v>118861.965706667</v>
      </c>
      <c r="Y81" s="451"/>
      <c r="Z81" s="459">
        <f t="shared" si="80"/>
        <v>118861.965706667</v>
      </c>
      <c r="AA81" s="448">
        <v>98996.103146666705</v>
      </c>
      <c r="AB81" s="460">
        <f t="shared" ref="AB81:AB87" si="82">Z81-AA81</f>
        <v>19865.8625599999</v>
      </c>
      <c r="AC81" s="460" t="s">
        <v>458</v>
      </c>
      <c r="AD81" s="460"/>
      <c r="AE81" s="460"/>
    </row>
    <row r="82" spans="1:31" ht="37.5">
      <c r="A82" s="445">
        <v>70</v>
      </c>
      <c r="B82" s="10" t="s">
        <v>459</v>
      </c>
      <c r="C82" s="448">
        <v>742118.08333333302</v>
      </c>
      <c r="D82" s="447">
        <v>12</v>
      </c>
      <c r="E82" s="448">
        <f t="shared" si="81"/>
        <v>8905417</v>
      </c>
      <c r="F82" s="448"/>
      <c r="G82" s="449">
        <v>558833.36</v>
      </c>
      <c r="H82" s="451"/>
      <c r="I82" s="448">
        <f t="shared" si="67"/>
        <v>8346583.6399999997</v>
      </c>
      <c r="J82" s="448">
        <v>200000</v>
      </c>
      <c r="K82" s="448">
        <v>0.2</v>
      </c>
      <c r="L82" s="448">
        <f t="shared" si="68"/>
        <v>1669316.7279999999</v>
      </c>
      <c r="M82" s="448">
        <f t="shared" si="69"/>
        <v>1869316.7279999999</v>
      </c>
      <c r="N82" s="448">
        <f t="shared" si="70"/>
        <v>2428150.088</v>
      </c>
      <c r="O82" s="448">
        <f t="shared" si="71"/>
        <v>6477266.9119999995</v>
      </c>
      <c r="P82" s="448">
        <f t="shared" si="72"/>
        <v>21000</v>
      </c>
      <c r="Q82" s="448">
        <f t="shared" si="73"/>
        <v>33000</v>
      </c>
      <c r="R82" s="448">
        <f t="shared" si="74"/>
        <v>75000</v>
      </c>
      <c r="S82" s="448">
        <f t="shared" si="75"/>
        <v>95000</v>
      </c>
      <c r="T82" s="448">
        <f t="shared" si="76"/>
        <v>336000</v>
      </c>
      <c r="U82" s="448">
        <f t="shared" si="77"/>
        <v>786544.05887999898</v>
      </c>
      <c r="V82" s="448">
        <f t="shared" si="78"/>
        <v>1346544.0588799999</v>
      </c>
      <c r="W82" s="455">
        <v>12</v>
      </c>
      <c r="X82" s="448">
        <f t="shared" si="79"/>
        <v>112212.004906667</v>
      </c>
      <c r="Y82" s="451"/>
      <c r="Z82" s="459">
        <f t="shared" si="80"/>
        <v>112212.004906667</v>
      </c>
      <c r="AA82" s="448">
        <v>79956.9391466667</v>
      </c>
      <c r="AB82" s="460">
        <f t="shared" si="82"/>
        <v>32255.065759999899</v>
      </c>
      <c r="AC82" s="460" t="s">
        <v>459</v>
      </c>
      <c r="AD82" s="460"/>
      <c r="AE82" s="460"/>
    </row>
    <row r="83" spans="1:31" ht="18.75">
      <c r="A83" s="445">
        <v>71</v>
      </c>
      <c r="B83" s="10" t="s">
        <v>460</v>
      </c>
      <c r="C83" s="448">
        <v>561804.91666666698</v>
      </c>
      <c r="D83" s="447">
        <v>12</v>
      </c>
      <c r="E83" s="448">
        <f t="shared" si="81"/>
        <v>6741659</v>
      </c>
      <c r="F83" s="448"/>
      <c r="G83" s="449">
        <v>424132.72</v>
      </c>
      <c r="H83" s="451"/>
      <c r="I83" s="448">
        <f t="shared" si="67"/>
        <v>6317526.2800000003</v>
      </c>
      <c r="J83" s="448">
        <v>200000</v>
      </c>
      <c r="K83" s="448">
        <v>0.2</v>
      </c>
      <c r="L83" s="448">
        <f t="shared" si="68"/>
        <v>1263505.2560000001</v>
      </c>
      <c r="M83" s="448">
        <f t="shared" si="69"/>
        <v>1463505.2560000001</v>
      </c>
      <c r="N83" s="448">
        <f t="shared" si="70"/>
        <v>1887637.976</v>
      </c>
      <c r="O83" s="448">
        <f t="shared" si="71"/>
        <v>4854021.0240000002</v>
      </c>
      <c r="P83" s="448">
        <f t="shared" si="72"/>
        <v>21000</v>
      </c>
      <c r="Q83" s="448">
        <f t="shared" si="73"/>
        <v>33000</v>
      </c>
      <c r="R83" s="448">
        <f t="shared" si="74"/>
        <v>75000</v>
      </c>
      <c r="S83" s="448">
        <f t="shared" si="75"/>
        <v>95000</v>
      </c>
      <c r="T83" s="448">
        <f t="shared" si="76"/>
        <v>336000</v>
      </c>
      <c r="U83" s="448">
        <f t="shared" si="77"/>
        <v>396965.045760001</v>
      </c>
      <c r="V83" s="448">
        <f t="shared" si="78"/>
        <v>956965.04576000106</v>
      </c>
      <c r="W83" s="455">
        <v>12</v>
      </c>
      <c r="X83" s="448">
        <f t="shared" si="79"/>
        <v>79747.087146666701</v>
      </c>
      <c r="Y83" s="451"/>
      <c r="Z83" s="459">
        <f t="shared" si="80"/>
        <v>79747.087146666701</v>
      </c>
      <c r="AA83" s="448">
        <v>75574.677290666703</v>
      </c>
      <c r="AB83" s="460">
        <f t="shared" si="82"/>
        <v>4172.4098560000302</v>
      </c>
      <c r="AC83" s="460" t="s">
        <v>460</v>
      </c>
      <c r="AD83" s="460"/>
      <c r="AE83" s="460"/>
    </row>
    <row r="84" spans="1:31" ht="18.75">
      <c r="A84" s="445">
        <v>72</v>
      </c>
      <c r="B84" s="10" t="s">
        <v>462</v>
      </c>
      <c r="C84" s="448">
        <v>548915.91666666698</v>
      </c>
      <c r="D84" s="447">
        <v>12</v>
      </c>
      <c r="E84" s="448">
        <f t="shared" si="81"/>
        <v>6586991</v>
      </c>
      <c r="F84" s="448"/>
      <c r="G84" s="449">
        <v>411759.28</v>
      </c>
      <c r="H84" s="451"/>
      <c r="I84" s="448">
        <f t="shared" si="67"/>
        <v>6175231.7199999997</v>
      </c>
      <c r="J84" s="448">
        <v>200000</v>
      </c>
      <c r="K84" s="448">
        <v>0.2</v>
      </c>
      <c r="L84" s="448">
        <f t="shared" si="68"/>
        <v>1235046.344</v>
      </c>
      <c r="M84" s="448">
        <f t="shared" si="69"/>
        <v>1435046.344</v>
      </c>
      <c r="N84" s="448">
        <f t="shared" si="70"/>
        <v>1846805.6240000001</v>
      </c>
      <c r="O84" s="448">
        <f t="shared" si="71"/>
        <v>4740185.3760000002</v>
      </c>
      <c r="P84" s="448">
        <f t="shared" si="72"/>
        <v>21000</v>
      </c>
      <c r="Q84" s="448">
        <f t="shared" si="73"/>
        <v>33000</v>
      </c>
      <c r="R84" s="448">
        <f t="shared" si="74"/>
        <v>75000</v>
      </c>
      <c r="S84" s="448">
        <f t="shared" si="75"/>
        <v>95000</v>
      </c>
      <c r="T84" s="448">
        <f t="shared" si="76"/>
        <v>336000</v>
      </c>
      <c r="U84" s="448">
        <f t="shared" si="77"/>
        <v>369644.490240001</v>
      </c>
      <c r="V84" s="448">
        <f t="shared" si="78"/>
        <v>929644.490240001</v>
      </c>
      <c r="W84" s="455">
        <v>12</v>
      </c>
      <c r="X84" s="448">
        <f t="shared" si="79"/>
        <v>77470.374186666697</v>
      </c>
      <c r="Y84" s="451"/>
      <c r="Z84" s="459">
        <f t="shared" si="80"/>
        <v>77470.374186666697</v>
      </c>
      <c r="AA84" s="448">
        <v>50985.977546666698</v>
      </c>
      <c r="AB84" s="460">
        <f t="shared" si="82"/>
        <v>26484.396639999999</v>
      </c>
      <c r="AC84" s="460" t="s">
        <v>462</v>
      </c>
      <c r="AD84" s="460"/>
      <c r="AE84" s="460"/>
    </row>
    <row r="85" spans="1:31" ht="37.5">
      <c r="A85" s="445">
        <v>73</v>
      </c>
      <c r="B85" s="10" t="s">
        <v>463</v>
      </c>
      <c r="C85" s="448">
        <v>568870.75</v>
      </c>
      <c r="D85" s="447">
        <v>12</v>
      </c>
      <c r="E85" s="448">
        <f t="shared" si="81"/>
        <v>6826449</v>
      </c>
      <c r="F85" s="448"/>
      <c r="G85" s="449">
        <v>411715.92</v>
      </c>
      <c r="H85" s="451"/>
      <c r="I85" s="448">
        <f t="shared" si="67"/>
        <v>6414733.0800000001</v>
      </c>
      <c r="J85" s="448">
        <v>200000</v>
      </c>
      <c r="K85" s="448">
        <v>0.2</v>
      </c>
      <c r="L85" s="448">
        <f t="shared" si="68"/>
        <v>1282946.6159999999</v>
      </c>
      <c r="M85" s="448">
        <f t="shared" si="69"/>
        <v>1482946.6159999999</v>
      </c>
      <c r="N85" s="448">
        <f t="shared" si="70"/>
        <v>1894662.5360000001</v>
      </c>
      <c r="O85" s="448">
        <f t="shared" si="71"/>
        <v>4931786.4639999997</v>
      </c>
      <c r="P85" s="448">
        <f t="shared" si="72"/>
        <v>21000</v>
      </c>
      <c r="Q85" s="448">
        <f t="shared" si="73"/>
        <v>33000</v>
      </c>
      <c r="R85" s="448">
        <f t="shared" si="74"/>
        <v>75000</v>
      </c>
      <c r="S85" s="448">
        <f t="shared" si="75"/>
        <v>95000</v>
      </c>
      <c r="T85" s="448">
        <f t="shared" si="76"/>
        <v>336000</v>
      </c>
      <c r="U85" s="448">
        <f t="shared" si="77"/>
        <v>415628.75135999999</v>
      </c>
      <c r="V85" s="448">
        <f t="shared" si="78"/>
        <v>975628.75135999999</v>
      </c>
      <c r="W85" s="455">
        <v>12</v>
      </c>
      <c r="X85" s="448">
        <f t="shared" si="79"/>
        <v>81302.3959466667</v>
      </c>
      <c r="Y85" s="451"/>
      <c r="Z85" s="448">
        <f t="shared" si="80"/>
        <v>81302.3959466667</v>
      </c>
      <c r="AA85" s="459">
        <v>49548.776186666699</v>
      </c>
      <c r="AB85" s="460">
        <f t="shared" si="82"/>
        <v>31753.619760000001</v>
      </c>
      <c r="AC85" s="460" t="s">
        <v>463</v>
      </c>
      <c r="AD85" s="460"/>
      <c r="AE85" s="460"/>
    </row>
    <row r="86" spans="1:31" ht="18.75">
      <c r="A86" s="445">
        <v>74</v>
      </c>
      <c r="B86" s="10" t="s">
        <v>464</v>
      </c>
      <c r="C86" s="448">
        <v>475703.83333333302</v>
      </c>
      <c r="D86" s="447">
        <v>12</v>
      </c>
      <c r="E86" s="448">
        <f t="shared" si="81"/>
        <v>5708446</v>
      </c>
      <c r="F86" s="448"/>
      <c r="G86" s="454">
        <f>29256.3066666667*12</f>
        <v>351075.68</v>
      </c>
      <c r="H86" s="451"/>
      <c r="I86" s="448">
        <f t="shared" si="67"/>
        <v>5357370.32</v>
      </c>
      <c r="J86" s="448">
        <v>200000</v>
      </c>
      <c r="K86" s="448">
        <v>0.2</v>
      </c>
      <c r="L86" s="448">
        <f t="shared" si="68"/>
        <v>1071474.064</v>
      </c>
      <c r="M86" s="448">
        <f t="shared" si="69"/>
        <v>1271474.064</v>
      </c>
      <c r="N86" s="448">
        <f t="shared" si="70"/>
        <v>1622549.7439999999</v>
      </c>
      <c r="O86" s="448">
        <f t="shared" si="71"/>
        <v>4085896.2560000001</v>
      </c>
      <c r="P86" s="448">
        <f t="shared" si="72"/>
        <v>21000</v>
      </c>
      <c r="Q86" s="448">
        <f t="shared" si="73"/>
        <v>33000</v>
      </c>
      <c r="R86" s="448">
        <f t="shared" si="74"/>
        <v>75000</v>
      </c>
      <c r="S86" s="448">
        <f t="shared" si="75"/>
        <v>95000</v>
      </c>
      <c r="T86" s="448">
        <f t="shared" si="76"/>
        <v>336000</v>
      </c>
      <c r="U86" s="448">
        <f t="shared" si="77"/>
        <v>212615.10143999901</v>
      </c>
      <c r="V86" s="448">
        <f t="shared" si="78"/>
        <v>772615.10143999895</v>
      </c>
      <c r="W86" s="455">
        <v>12</v>
      </c>
      <c r="X86" s="448">
        <f t="shared" si="79"/>
        <v>64384.591786666599</v>
      </c>
      <c r="Y86" s="451"/>
      <c r="Z86" s="459">
        <f t="shared" si="80"/>
        <v>64384.591786666599</v>
      </c>
      <c r="AA86" s="448">
        <v>53384.053562666697</v>
      </c>
      <c r="AB86" s="460">
        <f t="shared" si="82"/>
        <v>11000.5382239999</v>
      </c>
      <c r="AC86" s="460" t="s">
        <v>464</v>
      </c>
      <c r="AD86" s="460"/>
      <c r="AE86" s="460"/>
    </row>
    <row r="87" spans="1:31" ht="24" customHeight="1">
      <c r="A87" s="445">
        <v>75</v>
      </c>
      <c r="B87" s="10" t="s">
        <v>465</v>
      </c>
      <c r="C87" s="448">
        <v>510248.91666666698</v>
      </c>
      <c r="D87" s="447">
        <v>12</v>
      </c>
      <c r="E87" s="448">
        <f t="shared" si="81"/>
        <v>6122987</v>
      </c>
      <c r="F87" s="448">
        <f>'[8]JANUARY 2024'!$V$92*12</f>
        <v>6922.4970000000003</v>
      </c>
      <c r="G87" s="449">
        <v>374638.96</v>
      </c>
      <c r="H87" s="451"/>
      <c r="I87" s="448">
        <f t="shared" si="67"/>
        <v>5741425.5429999996</v>
      </c>
      <c r="J87" s="448">
        <v>200000</v>
      </c>
      <c r="K87" s="448">
        <v>0.2</v>
      </c>
      <c r="L87" s="448">
        <f t="shared" si="68"/>
        <v>1148285.1085999999</v>
      </c>
      <c r="M87" s="448">
        <f t="shared" si="69"/>
        <v>1348285.1085999999</v>
      </c>
      <c r="N87" s="448">
        <f t="shared" si="70"/>
        <v>1729846.5656000001</v>
      </c>
      <c r="O87" s="448">
        <f t="shared" si="71"/>
        <v>4393140.4343999997</v>
      </c>
      <c r="P87" s="448">
        <f t="shared" si="72"/>
        <v>21000</v>
      </c>
      <c r="Q87" s="448">
        <f t="shared" si="73"/>
        <v>33000</v>
      </c>
      <c r="R87" s="448">
        <f t="shared" si="74"/>
        <v>75000</v>
      </c>
      <c r="S87" s="448">
        <f t="shared" si="75"/>
        <v>95000</v>
      </c>
      <c r="T87" s="448">
        <f t="shared" si="76"/>
        <v>336000</v>
      </c>
      <c r="U87" s="448">
        <f t="shared" si="77"/>
        <v>286353.70425600099</v>
      </c>
      <c r="V87" s="448">
        <f t="shared" si="78"/>
        <v>846353.70425600104</v>
      </c>
      <c r="W87" s="455">
        <v>12</v>
      </c>
      <c r="X87" s="448">
        <f t="shared" si="79"/>
        <v>70529.475354666705</v>
      </c>
      <c r="Y87" s="451"/>
      <c r="Z87" s="448">
        <f t="shared" si="80"/>
        <v>70529.475354666705</v>
      </c>
      <c r="AA87" s="463">
        <v>41242.0361406667</v>
      </c>
      <c r="AB87" s="460">
        <f t="shared" si="82"/>
        <v>29287.439214000002</v>
      </c>
      <c r="AC87" s="460" t="s">
        <v>465</v>
      </c>
      <c r="AD87" s="460"/>
      <c r="AE87" s="460"/>
    </row>
    <row r="88" spans="1:31" ht="18.75">
      <c r="A88" s="445">
        <v>76</v>
      </c>
      <c r="B88" s="10" t="s">
        <v>466</v>
      </c>
      <c r="C88" s="448">
        <v>400965.58333333302</v>
      </c>
      <c r="D88" s="447">
        <v>12</v>
      </c>
      <c r="E88" s="448">
        <f t="shared" ref="E88:E89" si="83">C88*D88</f>
        <v>4811587</v>
      </c>
      <c r="F88" s="448"/>
      <c r="G88" s="449">
        <v>288926.96000000002</v>
      </c>
      <c r="H88" s="451"/>
      <c r="I88" s="448">
        <f t="shared" si="67"/>
        <v>4522660.04</v>
      </c>
      <c r="J88" s="448">
        <v>200000</v>
      </c>
      <c r="K88" s="448">
        <v>0.2</v>
      </c>
      <c r="L88" s="448">
        <f t="shared" si="68"/>
        <v>904532.00799999898</v>
      </c>
      <c r="M88" s="448">
        <f t="shared" si="69"/>
        <v>1104532.0079999999</v>
      </c>
      <c r="N88" s="448">
        <f t="shared" si="70"/>
        <v>1393458.9680000001</v>
      </c>
      <c r="O88" s="448">
        <f t="shared" si="71"/>
        <v>3418128.0320000001</v>
      </c>
      <c r="P88" s="448">
        <f t="shared" si="72"/>
        <v>21000</v>
      </c>
      <c r="Q88" s="448">
        <f t="shared" si="73"/>
        <v>33000</v>
      </c>
      <c r="R88" s="448">
        <f t="shared" si="74"/>
        <v>75000</v>
      </c>
      <c r="S88" s="448">
        <f t="shared" si="75"/>
        <v>95000</v>
      </c>
      <c r="T88" s="448">
        <f t="shared" si="76"/>
        <v>336000</v>
      </c>
      <c r="U88" s="448">
        <f t="shared" si="77"/>
        <v>52350.727679999203</v>
      </c>
      <c r="V88" s="448">
        <f t="shared" si="78"/>
        <v>612350.72767999896</v>
      </c>
      <c r="W88" s="455">
        <v>12</v>
      </c>
      <c r="X88" s="448">
        <f t="shared" si="79"/>
        <v>51029.227306666602</v>
      </c>
      <c r="Y88" s="451"/>
      <c r="Z88" s="459">
        <f t="shared" si="80"/>
        <v>51029.227306666602</v>
      </c>
      <c r="AA88" s="448">
        <v>45414.4562526667</v>
      </c>
      <c r="AB88" s="460">
        <f t="shared" ref="AB88:AB89" si="84">Z88-AA88</f>
        <v>5614.7710539998998</v>
      </c>
      <c r="AC88" s="460" t="s">
        <v>466</v>
      </c>
      <c r="AD88" s="460"/>
      <c r="AE88" s="460"/>
    </row>
    <row r="89" spans="1:31" ht="18.75">
      <c r="A89" s="445"/>
      <c r="B89" s="10" t="s">
        <v>468</v>
      </c>
      <c r="C89" s="448">
        <v>330631.91666666698</v>
      </c>
      <c r="D89" s="447">
        <v>12</v>
      </c>
      <c r="E89" s="448">
        <f t="shared" si="83"/>
        <v>3967583</v>
      </c>
      <c r="F89" s="448"/>
      <c r="G89" s="449">
        <v>221406.64</v>
      </c>
      <c r="H89" s="451"/>
      <c r="I89" s="448">
        <f t="shared" si="67"/>
        <v>3746176.36</v>
      </c>
      <c r="J89" s="448">
        <v>200000</v>
      </c>
      <c r="K89" s="448">
        <v>0.2</v>
      </c>
      <c r="L89" s="448">
        <f t="shared" si="68"/>
        <v>749235.27200000104</v>
      </c>
      <c r="M89" s="448">
        <f t="shared" si="69"/>
        <v>949235.27200000104</v>
      </c>
      <c r="N89" s="448">
        <f t="shared" si="70"/>
        <v>1170641.912</v>
      </c>
      <c r="O89" s="448">
        <f t="shared" si="71"/>
        <v>2796941.088</v>
      </c>
      <c r="P89" s="448">
        <f t="shared" si="72"/>
        <v>21000</v>
      </c>
      <c r="Q89" s="448">
        <f t="shared" si="73"/>
        <v>33000</v>
      </c>
      <c r="R89" s="448">
        <f t="shared" si="74"/>
        <v>75000</v>
      </c>
      <c r="S89" s="448">
        <f t="shared" si="75"/>
        <v>95000</v>
      </c>
      <c r="T89" s="448">
        <f t="shared" si="76"/>
        <v>251357.628480001</v>
      </c>
      <c r="U89" s="448"/>
      <c r="V89" s="448">
        <f t="shared" si="78"/>
        <v>475357.628480001</v>
      </c>
      <c r="W89" s="455">
        <v>12</v>
      </c>
      <c r="X89" s="448">
        <f t="shared" si="79"/>
        <v>39613.135706666697</v>
      </c>
      <c r="Y89" s="451"/>
      <c r="Z89" s="459">
        <f t="shared" si="80"/>
        <v>39613.135706666697</v>
      </c>
      <c r="AA89" s="448">
        <v>33825.986562666702</v>
      </c>
      <c r="AB89" s="460">
        <f t="shared" si="84"/>
        <v>5787.14914400001</v>
      </c>
      <c r="AC89" s="460" t="s">
        <v>468</v>
      </c>
      <c r="AD89" s="460"/>
      <c r="AE89" s="460"/>
    </row>
    <row r="90" spans="1:31" ht="18.75">
      <c r="A90" s="445"/>
      <c r="B90" s="19"/>
      <c r="C90" s="448"/>
      <c r="D90" s="447"/>
      <c r="E90" s="448"/>
      <c r="F90" s="448"/>
      <c r="G90" s="451"/>
      <c r="H90" s="451"/>
      <c r="I90" s="448"/>
      <c r="J90" s="448"/>
      <c r="K90" s="448"/>
      <c r="L90" s="448"/>
      <c r="M90" s="448"/>
      <c r="N90" s="448"/>
      <c r="O90" s="448"/>
      <c r="P90" s="448"/>
      <c r="Q90" s="448"/>
      <c r="R90" s="448"/>
      <c r="S90" s="448"/>
      <c r="T90" s="448"/>
      <c r="U90" s="448"/>
      <c r="V90" s="448"/>
      <c r="W90" s="455"/>
      <c r="X90" s="448"/>
      <c r="Y90" s="451"/>
      <c r="Z90" s="459"/>
      <c r="AA90" s="460"/>
      <c r="AB90" s="460"/>
      <c r="AC90" s="460"/>
      <c r="AD90" s="460"/>
      <c r="AE90" s="460"/>
    </row>
    <row r="91" spans="1:31" ht="18.75">
      <c r="A91" s="445"/>
      <c r="B91" s="21"/>
      <c r="C91" s="448"/>
      <c r="D91" s="447"/>
      <c r="E91" s="448"/>
      <c r="F91" s="448"/>
      <c r="G91" s="451"/>
      <c r="H91" s="451"/>
      <c r="I91" s="448"/>
      <c r="J91" s="448"/>
      <c r="K91" s="448"/>
      <c r="L91" s="448"/>
      <c r="M91" s="448"/>
      <c r="N91" s="448"/>
      <c r="O91" s="448"/>
      <c r="P91" s="448"/>
      <c r="Q91" s="448"/>
      <c r="R91" s="448"/>
      <c r="S91" s="448"/>
      <c r="T91" s="448"/>
      <c r="U91" s="448"/>
      <c r="V91" s="448"/>
      <c r="W91" s="455"/>
      <c r="X91" s="448"/>
      <c r="Y91" s="451"/>
      <c r="Z91" s="459"/>
      <c r="AA91" s="460"/>
      <c r="AB91" s="460"/>
      <c r="AC91" s="460"/>
      <c r="AD91" s="460"/>
      <c r="AE91" s="460"/>
    </row>
    <row r="92" spans="1:31" ht="18.75">
      <c r="A92" s="445">
        <v>78</v>
      </c>
      <c r="B92" s="19" t="s">
        <v>84</v>
      </c>
      <c r="C92" s="448"/>
      <c r="Z92" s="462"/>
      <c r="AC92" s="460"/>
      <c r="AD92" s="460"/>
      <c r="AE92" s="460"/>
    </row>
    <row r="93" spans="1:31" ht="37.5">
      <c r="A93" s="445">
        <v>79</v>
      </c>
      <c r="B93" s="13" t="s">
        <v>470</v>
      </c>
      <c r="C93" s="448">
        <v>1452042.67</v>
      </c>
      <c r="D93" s="447">
        <v>12</v>
      </c>
      <c r="E93" s="448">
        <f>C93*D93</f>
        <v>17424512.039999999</v>
      </c>
      <c r="F93" s="448">
        <f>'[8]JANUARY 2024'!$V$98*12</f>
        <v>12795.950999999999</v>
      </c>
      <c r="G93" s="449">
        <f>(0.08*1352042.67)*12</f>
        <v>1297960.9632000001</v>
      </c>
      <c r="H93" s="451"/>
      <c r="I93" s="448">
        <f>E93-F93-G93-H93</f>
        <v>16113755.125800001</v>
      </c>
      <c r="J93" s="448">
        <v>200000</v>
      </c>
      <c r="K93" s="448">
        <v>0.2</v>
      </c>
      <c r="L93" s="448">
        <f>I93*K93</f>
        <v>3222751.0251600002</v>
      </c>
      <c r="M93" s="448">
        <f>J93+L93</f>
        <v>3422751.0251600002</v>
      </c>
      <c r="N93" s="448">
        <f>F93+G93+H93+M93</f>
        <v>4733507.9393600002</v>
      </c>
      <c r="O93" s="448">
        <f>E93-N93</f>
        <v>12691004.100640001</v>
      </c>
      <c r="P93" s="448">
        <f>IF(O93&lt;300000,0.07*O93,21000)</f>
        <v>21000</v>
      </c>
      <c r="Q93" s="448">
        <f>IF((O93-300000)&lt;0,0,IF((O93-300000)&lt;300000,0.11*(O93-300000),33000))</f>
        <v>33000</v>
      </c>
      <c r="R93" s="448">
        <f>IF((O93-600000)&lt;0,0,IF((O93-600000)&lt;500000,0.15*(O93-600000),75000))</f>
        <v>75000</v>
      </c>
      <c r="S93" s="448">
        <f>IF((O93-1100000)&lt;0,0,IF((O93-1100000)&lt;500000,0.19*(O93-1100000),95000))</f>
        <v>95000</v>
      </c>
      <c r="T93" s="448">
        <f>IF((O93-1600000)&lt;0,0,IF((O93-1600000)&lt;1600000,0.21*(O93-1600000),336000))</f>
        <v>336000</v>
      </c>
      <c r="U93" s="448">
        <f>24%*(O93-3200000)</f>
        <v>2277840.9841535999</v>
      </c>
      <c r="V93" s="448">
        <f>P93+Q93+R93+S93+T93+U93</f>
        <v>2837840.9841535999</v>
      </c>
      <c r="W93" s="455">
        <v>12</v>
      </c>
      <c r="X93" s="448">
        <f>V93/W93</f>
        <v>236486.74867946701</v>
      </c>
      <c r="Y93" s="451"/>
      <c r="Z93" s="459">
        <f>X93</f>
        <v>236486.74867946701</v>
      </c>
      <c r="AA93" s="460">
        <v>82423.216202666707</v>
      </c>
      <c r="AB93" s="460">
        <f>Z93-AA93</f>
        <v>154063.5324768</v>
      </c>
      <c r="AC93" s="460" t="s">
        <v>470</v>
      </c>
      <c r="AD93" s="460"/>
      <c r="AE93" s="460"/>
    </row>
    <row r="94" spans="1:31" ht="18.75">
      <c r="A94" s="445">
        <v>80</v>
      </c>
      <c r="B94" s="10" t="s">
        <v>473</v>
      </c>
      <c r="C94" s="448">
        <v>526622.25</v>
      </c>
      <c r="D94" s="447">
        <v>12</v>
      </c>
      <c r="E94" s="448">
        <f t="shared" ref="E94:E96" si="85">C94*D94</f>
        <v>6319467</v>
      </c>
      <c r="F94" s="448"/>
      <c r="G94" s="449">
        <v>438357.36</v>
      </c>
      <c r="H94" s="451"/>
      <c r="I94" s="448">
        <f>E94-F94-G94-H94</f>
        <v>5881109.6399999997</v>
      </c>
      <c r="J94" s="448">
        <v>200000</v>
      </c>
      <c r="K94" s="448">
        <v>0.2</v>
      </c>
      <c r="L94" s="448">
        <f>I94*K94</f>
        <v>1176221.9280000001</v>
      </c>
      <c r="M94" s="448">
        <f>J94+L94</f>
        <v>1376221.9280000001</v>
      </c>
      <c r="N94" s="448">
        <f>F94+G94+H94+M94</f>
        <v>1814579.2879999999</v>
      </c>
      <c r="O94" s="448">
        <f>E94-N94</f>
        <v>4504887.7120000003</v>
      </c>
      <c r="P94" s="448">
        <f>IF(O94&lt;300000,0.07*O94,21000)</f>
        <v>21000</v>
      </c>
      <c r="Q94" s="448">
        <f>IF((O94-300000)&lt;0,0,IF((O94-300000)&lt;300000,0.11*(O94-300000),33000))</f>
        <v>33000</v>
      </c>
      <c r="R94" s="448">
        <f>IF((O94-600000)&lt;0,0,IF((O94-600000)&lt;500000,0.15*(O94-600000),75000))</f>
        <v>75000</v>
      </c>
      <c r="S94" s="448">
        <f>IF((O94-1100000)&lt;0,0,IF((O94-1100000)&lt;500000,0.19*(O94-1100000),95000))</f>
        <v>95000</v>
      </c>
      <c r="T94" s="448">
        <f>IF((O94-1600000)&lt;0,0,IF((O94-1600000)&lt;1600000,0.21*(O94-1600000),336000))</f>
        <v>336000</v>
      </c>
      <c r="U94" s="448">
        <f t="shared" ref="U94:U95" si="86">24%*(O94-3200000)</f>
        <v>313173.05088</v>
      </c>
      <c r="V94" s="448">
        <f>P94+Q94+R94+S94+T94+U94</f>
        <v>873173.05088</v>
      </c>
      <c r="W94" s="455">
        <v>12</v>
      </c>
      <c r="X94" s="448">
        <f>V94/W94</f>
        <v>72764.420906666695</v>
      </c>
      <c r="Y94" s="451"/>
      <c r="Z94" s="459">
        <f>X94</f>
        <v>72764.420906666695</v>
      </c>
      <c r="AA94" s="460">
        <v>82627.951418666693</v>
      </c>
      <c r="AB94" s="460">
        <f t="shared" ref="AB94:AB96" si="87">Z94-AA94</f>
        <v>-9863.5305120000394</v>
      </c>
      <c r="AC94" s="460" t="s">
        <v>473</v>
      </c>
      <c r="AD94" s="460"/>
      <c r="AE94" s="460"/>
    </row>
    <row r="95" spans="1:31" ht="37.5">
      <c r="A95" s="445">
        <v>81</v>
      </c>
      <c r="B95" s="10" t="s">
        <v>475</v>
      </c>
      <c r="C95" s="448">
        <v>437895.16666666698</v>
      </c>
      <c r="D95" s="447">
        <v>12</v>
      </c>
      <c r="E95" s="448">
        <f t="shared" si="85"/>
        <v>5254742</v>
      </c>
      <c r="F95" s="448"/>
      <c r="G95" s="449">
        <v>362779.36</v>
      </c>
      <c r="H95" s="451"/>
      <c r="I95" s="448">
        <f>E95-F95-G95-H95</f>
        <v>4891962.6399999997</v>
      </c>
      <c r="J95" s="448">
        <v>200000</v>
      </c>
      <c r="K95" s="448">
        <v>0.2</v>
      </c>
      <c r="L95" s="448">
        <f>I95*K95</f>
        <v>978392.52800000098</v>
      </c>
      <c r="M95" s="448">
        <f>J95+L95</f>
        <v>1178392.5279999999</v>
      </c>
      <c r="N95" s="448">
        <f>F95+G95+H95+M95</f>
        <v>1541171.888</v>
      </c>
      <c r="O95" s="448">
        <f>E95-N95</f>
        <v>3713570.1120000002</v>
      </c>
      <c r="P95" s="448">
        <f>IF(O95&lt;300000,0.07*O95,21000)</f>
        <v>21000</v>
      </c>
      <c r="Q95" s="448">
        <f>IF((O95-300000)&lt;0,0,IF((O95-300000)&lt;300000,0.11*(O95-300000),33000))</f>
        <v>33000</v>
      </c>
      <c r="R95" s="448">
        <f>IF((O95-600000)&lt;0,0,IF((O95-600000)&lt;500000,0.15*(O95-600000),75000))</f>
        <v>75000</v>
      </c>
      <c r="S95" s="448">
        <f>IF((O95-1100000)&lt;0,0,IF((O95-1100000)&lt;500000,0.19*(O95-1100000),95000))</f>
        <v>95000</v>
      </c>
      <c r="T95" s="448">
        <f>IF((O95-1600000)&lt;0,0,IF((O95-1600000)&lt;1600000,0.21*(O95-1600000),336000))</f>
        <v>336000</v>
      </c>
      <c r="U95" s="448">
        <f t="shared" si="86"/>
        <v>123256.826880001</v>
      </c>
      <c r="V95" s="448">
        <f>P95+Q95+R95+S95+T95+U95</f>
        <v>683256.826880001</v>
      </c>
      <c r="W95" s="455">
        <v>12</v>
      </c>
      <c r="X95" s="448">
        <f>V95/W95</f>
        <v>56938.068906666696</v>
      </c>
      <c r="Y95" s="451"/>
      <c r="Z95" s="459">
        <f>X95</f>
        <v>56938.068906666696</v>
      </c>
      <c r="AA95" s="460">
        <v>43492.373376666699</v>
      </c>
      <c r="AB95" s="460">
        <f t="shared" si="87"/>
        <v>13445.695530000001</v>
      </c>
      <c r="AC95" s="460" t="s">
        <v>475</v>
      </c>
      <c r="AD95" s="460"/>
      <c r="AE95" s="460"/>
    </row>
    <row r="96" spans="1:31" ht="18.75">
      <c r="A96" s="445"/>
      <c r="B96" s="10" t="s">
        <v>477</v>
      </c>
      <c r="C96" s="448">
        <v>360965.58333333302</v>
      </c>
      <c r="D96" s="447">
        <v>12</v>
      </c>
      <c r="E96" s="448">
        <f t="shared" si="85"/>
        <v>4331587</v>
      </c>
      <c r="F96" s="448"/>
      <c r="G96" s="449">
        <v>288926.96000000002</v>
      </c>
      <c r="H96" s="451"/>
      <c r="I96" s="448">
        <f>E96-F96-G96-H96</f>
        <v>4042660.04</v>
      </c>
      <c r="J96" s="448">
        <v>200000</v>
      </c>
      <c r="K96" s="448">
        <v>0.2</v>
      </c>
      <c r="L96" s="448">
        <f>I96*K96</f>
        <v>808532.00799999898</v>
      </c>
      <c r="M96" s="448">
        <f>J96+L96</f>
        <v>1008532.008</v>
      </c>
      <c r="N96" s="448">
        <f>F96+G96+H96+M96</f>
        <v>1297458.9680000001</v>
      </c>
      <c r="O96" s="448">
        <f>E96-N96</f>
        <v>3034128.0320000001</v>
      </c>
      <c r="P96" s="448">
        <f>IF(O96&lt;300000,0.07*O96,21000)</f>
        <v>21000</v>
      </c>
      <c r="Q96" s="448">
        <f>IF((O96-300000)&lt;0,0,IF((O96-300000)&lt;300000,0.11*(O96-300000),33000))</f>
        <v>33000</v>
      </c>
      <c r="R96" s="448">
        <f>IF((O96-600000)&lt;0,0,IF((O96-600000)&lt;500000,0.15*(O96-600000),75000))</f>
        <v>75000</v>
      </c>
      <c r="S96" s="448">
        <f>IF((O96-1100000)&lt;0,0,IF((O96-1100000)&lt;500000,0.19*(O96-1100000),95000))</f>
        <v>95000</v>
      </c>
      <c r="T96" s="448">
        <f>IF((O96-1600000)&lt;0,0,IF((O96-1600000)&lt;1600000,0.21*(O96-1600000),336000))</f>
        <v>301166.88671999902</v>
      </c>
      <c r="U96" s="448"/>
      <c r="V96" s="448">
        <f>P96+Q96+R96+S96+T96+U96</f>
        <v>525166.88671999902</v>
      </c>
      <c r="W96" s="455">
        <v>12</v>
      </c>
      <c r="X96" s="448">
        <f>V96/W96</f>
        <v>43763.907226666597</v>
      </c>
      <c r="Y96" s="451"/>
      <c r="Z96" s="459">
        <f>X96</f>
        <v>43763.907226666597</v>
      </c>
      <c r="AA96" s="460">
        <v>34968.882414666703</v>
      </c>
      <c r="AB96" s="460">
        <f t="shared" si="87"/>
        <v>8795.0248119999105</v>
      </c>
      <c r="AC96" s="460" t="s">
        <v>477</v>
      </c>
      <c r="AD96" s="460"/>
      <c r="AE96" s="460"/>
    </row>
    <row r="97" spans="1:31" ht="18.75">
      <c r="A97" s="445"/>
      <c r="B97" s="19" t="s">
        <v>42</v>
      </c>
      <c r="C97" s="448"/>
      <c r="D97" s="447"/>
      <c r="E97" s="448"/>
      <c r="F97" s="448"/>
      <c r="G97" s="451">
        <v>0</v>
      </c>
      <c r="H97" s="451"/>
      <c r="I97" s="448"/>
      <c r="J97" s="448"/>
      <c r="K97" s="448"/>
      <c r="L97" s="448"/>
      <c r="M97" s="448"/>
      <c r="N97" s="448"/>
      <c r="O97" s="448"/>
      <c r="P97" s="448"/>
      <c r="Q97" s="448"/>
      <c r="R97" s="448"/>
      <c r="S97" s="448"/>
      <c r="T97" s="448"/>
      <c r="U97" s="448"/>
      <c r="V97" s="448"/>
      <c r="W97" s="455"/>
      <c r="X97" s="448"/>
      <c r="Y97" s="451"/>
      <c r="Z97" s="459"/>
      <c r="AA97" s="460"/>
      <c r="AB97" s="460"/>
      <c r="AC97" s="460"/>
      <c r="AD97" s="460"/>
      <c r="AE97" s="460"/>
    </row>
    <row r="98" spans="1:31" ht="18.75">
      <c r="A98" s="445">
        <v>83</v>
      </c>
      <c r="B98" s="21"/>
      <c r="C98" s="448"/>
      <c r="G98" s="276">
        <v>0</v>
      </c>
      <c r="Z98" s="462"/>
      <c r="AC98" s="460"/>
      <c r="AD98" s="460"/>
      <c r="AE98" s="460"/>
    </row>
    <row r="99" spans="1:31" ht="37.5">
      <c r="A99" s="445">
        <v>84</v>
      </c>
      <c r="B99" s="19" t="s">
        <v>479</v>
      </c>
      <c r="C99" s="448"/>
      <c r="G99" s="276">
        <v>0</v>
      </c>
      <c r="Z99" s="462"/>
      <c r="AB99" s="276" t="s">
        <v>625</v>
      </c>
      <c r="AC99" s="460"/>
      <c r="AD99" s="460"/>
      <c r="AE99" s="460"/>
    </row>
    <row r="100" spans="1:31" ht="18.75">
      <c r="A100" s="445">
        <v>85</v>
      </c>
      <c r="B100" s="10" t="s">
        <v>480</v>
      </c>
      <c r="C100" s="448">
        <v>1635720</v>
      </c>
      <c r="D100" s="447">
        <v>12</v>
      </c>
      <c r="E100" s="448">
        <f>C100*D100</f>
        <v>19628640</v>
      </c>
      <c r="F100" s="448"/>
      <c r="G100" s="449">
        <v>1378291.2</v>
      </c>
      <c r="H100" s="451"/>
      <c r="I100" s="448">
        <f t="shared" ref="I100:I105" si="88">E100-F100-G100-H100</f>
        <v>18250348.800000001</v>
      </c>
      <c r="J100" s="448">
        <v>200000</v>
      </c>
      <c r="K100" s="448">
        <v>0.2</v>
      </c>
      <c r="L100" s="448">
        <f t="shared" ref="L100:L106" si="89">I100*K100</f>
        <v>3650069.76</v>
      </c>
      <c r="M100" s="448">
        <f t="shared" ref="M100:M106" si="90">J100+L100</f>
        <v>3850069.76</v>
      </c>
      <c r="N100" s="448">
        <f t="shared" ref="N100:N105" si="91">F100+G100+H100+M100</f>
        <v>5228360.96</v>
      </c>
      <c r="O100" s="448">
        <f t="shared" ref="O100:O106" si="92">E100-N100</f>
        <v>14400279.039999999</v>
      </c>
      <c r="P100" s="448">
        <f t="shared" ref="P100:P106" si="93">IF(O100&lt;300000,0.07*O100,21000)</f>
        <v>21000</v>
      </c>
      <c r="Q100" s="448">
        <f t="shared" ref="Q100:Q106" si="94">IF((O100-300000)&lt;0,0,IF((O100-300000)&lt;300000,0.11*(O100-300000),33000))</f>
        <v>33000</v>
      </c>
      <c r="R100" s="448">
        <f t="shared" ref="R100:R106" si="95">IF((O100-600000)&lt;0,0,IF((O100-600000)&lt;500000,0.15*(O100-600000),75000))</f>
        <v>75000</v>
      </c>
      <c r="S100" s="448">
        <f t="shared" ref="S100:S106" si="96">IF((O100-1100000)&lt;0,0,IF((O100-1100000)&lt;500000,0.19*(O100-1100000),95000))</f>
        <v>95000</v>
      </c>
      <c r="T100" s="448">
        <f t="shared" ref="T100:T106" si="97">IF((O100-1600000)&lt;0,0,IF((O100-1600000)&lt;1600000,0.21*(O100-1600000),336000))</f>
        <v>336000</v>
      </c>
      <c r="U100" s="448">
        <f>24%*(O100-3200000)</f>
        <v>2688066.9696</v>
      </c>
      <c r="V100" s="448">
        <f t="shared" ref="V100:V106" si="98">P100+Q100+R100+S100+T100+U100</f>
        <v>3248066.9696</v>
      </c>
      <c r="W100" s="455">
        <v>12</v>
      </c>
      <c r="X100" s="448">
        <f t="shared" ref="X100:X106" si="99">V100/W100</f>
        <v>270672.24746666697</v>
      </c>
      <c r="Y100" s="451"/>
      <c r="Z100" s="459">
        <f t="shared" ref="Z100:Z106" si="100">X100</f>
        <v>270672.24746666697</v>
      </c>
      <c r="AA100" s="460">
        <v>180306.806858667</v>
      </c>
      <c r="AB100" s="460">
        <f>Z100-AA100</f>
        <v>90365.440607999597</v>
      </c>
      <c r="AC100" s="460" t="s">
        <v>480</v>
      </c>
      <c r="AD100" s="460"/>
      <c r="AE100" s="460"/>
    </row>
    <row r="101" spans="1:31" ht="18.75">
      <c r="A101" s="445">
        <v>86</v>
      </c>
      <c r="B101" s="10" t="s">
        <v>482</v>
      </c>
      <c r="C101" s="448">
        <v>942373.16666666698</v>
      </c>
      <c r="D101" s="447">
        <v>12</v>
      </c>
      <c r="E101" s="448">
        <f t="shared" ref="E101:E106" si="101">C101*D101</f>
        <v>11308478</v>
      </c>
      <c r="F101" s="448">
        <f>'[8]JANUARY 2024'!$V$106*12</f>
        <v>12795.950999999999</v>
      </c>
      <c r="G101" s="449">
        <v>731878.24</v>
      </c>
      <c r="H101" s="451"/>
      <c r="I101" s="448">
        <f t="shared" si="88"/>
        <v>10563803.809</v>
      </c>
      <c r="J101" s="448">
        <v>200000</v>
      </c>
      <c r="K101" s="448">
        <v>0.2</v>
      </c>
      <c r="L101" s="448">
        <f t="shared" si="89"/>
        <v>2112760.7618</v>
      </c>
      <c r="M101" s="448">
        <f t="shared" si="90"/>
        <v>2312760.7618</v>
      </c>
      <c r="N101" s="448">
        <f t="shared" si="91"/>
        <v>3057434.9528000001</v>
      </c>
      <c r="O101" s="448">
        <f t="shared" si="92"/>
        <v>8251043.0471999999</v>
      </c>
      <c r="P101" s="448">
        <f t="shared" si="93"/>
        <v>21000</v>
      </c>
      <c r="Q101" s="448">
        <f t="shared" si="94"/>
        <v>33000</v>
      </c>
      <c r="R101" s="448">
        <f t="shared" si="95"/>
        <v>75000</v>
      </c>
      <c r="S101" s="448">
        <f t="shared" si="96"/>
        <v>95000</v>
      </c>
      <c r="T101" s="448">
        <f t="shared" si="97"/>
        <v>336000</v>
      </c>
      <c r="U101" s="448">
        <f>24%*(O101-3200000)</f>
        <v>1212250.3313279999</v>
      </c>
      <c r="V101" s="448">
        <f t="shared" si="98"/>
        <v>1772250.3313279999</v>
      </c>
      <c r="W101" s="455">
        <v>12</v>
      </c>
      <c r="X101" s="448">
        <f t="shared" si="99"/>
        <v>147687.52761066699</v>
      </c>
      <c r="Y101" s="451"/>
      <c r="Z101" s="459">
        <f t="shared" si="100"/>
        <v>147687.52761066699</v>
      </c>
      <c r="AA101" s="460">
        <v>99703.216202666707</v>
      </c>
      <c r="AB101" s="460">
        <f t="shared" ref="AB101:AB106" si="102">Z101-AA101</f>
        <v>47984.311408000001</v>
      </c>
      <c r="AC101" s="460" t="s">
        <v>482</v>
      </c>
      <c r="AD101" s="460"/>
      <c r="AE101" s="460"/>
    </row>
    <row r="102" spans="1:31" ht="18.75">
      <c r="A102" s="445">
        <v>87</v>
      </c>
      <c r="B102" s="10" t="s">
        <v>484</v>
      </c>
      <c r="C102" s="448">
        <v>603237.85519166698</v>
      </c>
      <c r="D102" s="447">
        <v>12</v>
      </c>
      <c r="E102" s="448">
        <f t="shared" si="101"/>
        <v>7238854.2622999996</v>
      </c>
      <c r="F102" s="448">
        <f>'[8]JANUARY 2024'!$V$107*12</f>
        <v>7901.79</v>
      </c>
      <c r="G102" s="449">
        <v>424132.72</v>
      </c>
      <c r="H102" s="451"/>
      <c r="I102" s="448">
        <f t="shared" si="88"/>
        <v>6806819.7522999998</v>
      </c>
      <c r="J102" s="448">
        <v>200000</v>
      </c>
      <c r="K102" s="448">
        <v>0.2</v>
      </c>
      <c r="L102" s="448">
        <f t="shared" si="89"/>
        <v>1361363.95046</v>
      </c>
      <c r="M102" s="448">
        <f t="shared" si="90"/>
        <v>1561363.95046</v>
      </c>
      <c r="N102" s="448">
        <f t="shared" si="91"/>
        <v>1993398.46046</v>
      </c>
      <c r="O102" s="448">
        <f t="shared" si="92"/>
        <v>5245455.8018399999</v>
      </c>
      <c r="P102" s="448">
        <f t="shared" si="93"/>
        <v>21000</v>
      </c>
      <c r="Q102" s="448">
        <f t="shared" si="94"/>
        <v>33000</v>
      </c>
      <c r="R102" s="448">
        <f t="shared" si="95"/>
        <v>75000</v>
      </c>
      <c r="S102" s="448">
        <f t="shared" si="96"/>
        <v>95000</v>
      </c>
      <c r="T102" s="448">
        <f t="shared" si="97"/>
        <v>336000</v>
      </c>
      <c r="U102" s="448">
        <f>24%*(O102-3200000)</f>
        <v>490909.39244160103</v>
      </c>
      <c r="V102" s="448">
        <f t="shared" si="98"/>
        <v>1050909.3924416001</v>
      </c>
      <c r="W102" s="455">
        <v>12</v>
      </c>
      <c r="X102" s="448">
        <f t="shared" si="99"/>
        <v>87575.782703466699</v>
      </c>
      <c r="Y102" s="451"/>
      <c r="Z102" s="459">
        <f t="shared" si="100"/>
        <v>87575.782703466699</v>
      </c>
      <c r="AA102" s="460">
        <v>180180.378218667</v>
      </c>
      <c r="AB102" s="460">
        <f t="shared" si="102"/>
        <v>-92604.595515200301</v>
      </c>
      <c r="AC102" s="460" t="s">
        <v>484</v>
      </c>
      <c r="AD102" s="460"/>
      <c r="AE102" s="460"/>
    </row>
    <row r="103" spans="1:31" ht="18.75">
      <c r="A103" s="445">
        <v>88</v>
      </c>
      <c r="B103" s="10" t="s">
        <v>486</v>
      </c>
      <c r="C103" s="448">
        <v>601625.033321667</v>
      </c>
      <c r="D103" s="447">
        <v>12</v>
      </c>
      <c r="E103" s="448">
        <f t="shared" si="101"/>
        <v>7219500.3998600002</v>
      </c>
      <c r="F103" s="448"/>
      <c r="G103" s="449">
        <v>424132.72</v>
      </c>
      <c r="H103" s="451"/>
      <c r="I103" s="448">
        <f t="shared" si="88"/>
        <v>6795367.6798599996</v>
      </c>
      <c r="J103" s="448">
        <v>200000</v>
      </c>
      <c r="K103" s="448">
        <v>0.2</v>
      </c>
      <c r="L103" s="448">
        <f t="shared" si="89"/>
        <v>1359073.5359720001</v>
      </c>
      <c r="M103" s="448">
        <f t="shared" si="90"/>
        <v>1559073.5359720001</v>
      </c>
      <c r="N103" s="448">
        <f t="shared" si="91"/>
        <v>1983206.2559720001</v>
      </c>
      <c r="O103" s="448">
        <f t="shared" si="92"/>
        <v>5236294.1438880004</v>
      </c>
      <c r="P103" s="448">
        <f t="shared" si="93"/>
        <v>21000</v>
      </c>
      <c r="Q103" s="448">
        <f t="shared" si="94"/>
        <v>33000</v>
      </c>
      <c r="R103" s="448">
        <f t="shared" si="95"/>
        <v>75000</v>
      </c>
      <c r="S103" s="448">
        <f t="shared" si="96"/>
        <v>95000</v>
      </c>
      <c r="T103" s="448">
        <f t="shared" si="97"/>
        <v>336000</v>
      </c>
      <c r="U103" s="448">
        <f>0.24*(O103-3200000)</f>
        <v>488710.59453312098</v>
      </c>
      <c r="V103" s="448">
        <f t="shared" si="98"/>
        <v>1048710.59453312</v>
      </c>
      <c r="W103" s="455">
        <v>12</v>
      </c>
      <c r="X103" s="448">
        <f t="shared" si="99"/>
        <v>87392.5495444267</v>
      </c>
      <c r="Y103" s="451"/>
      <c r="Z103" s="459">
        <f t="shared" si="100"/>
        <v>87392.5495444267</v>
      </c>
      <c r="AA103" s="460">
        <v>99907.951418666693</v>
      </c>
      <c r="AB103" s="460">
        <f t="shared" si="102"/>
        <v>-12515.40187424</v>
      </c>
      <c r="AC103" s="460" t="s">
        <v>486</v>
      </c>
      <c r="AD103" s="460"/>
      <c r="AE103" s="460"/>
    </row>
    <row r="104" spans="1:31" ht="18.75">
      <c r="A104" s="445">
        <v>89</v>
      </c>
      <c r="B104" s="10" t="s">
        <v>487</v>
      </c>
      <c r="C104" s="448">
        <v>374481.86414666701</v>
      </c>
      <c r="D104" s="447">
        <v>12</v>
      </c>
      <c r="E104" s="448">
        <f t="shared" si="101"/>
        <v>4493782.3697600001</v>
      </c>
      <c r="F104" s="448"/>
      <c r="G104" s="449">
        <v>239182.48</v>
      </c>
      <c r="H104" s="451"/>
      <c r="I104" s="448">
        <f t="shared" si="88"/>
        <v>4254599.8897599997</v>
      </c>
      <c r="J104" s="448">
        <v>200000</v>
      </c>
      <c r="K104" s="448">
        <v>0.2</v>
      </c>
      <c r="L104" s="448">
        <f t="shared" si="89"/>
        <v>850919.97795200103</v>
      </c>
      <c r="M104" s="448">
        <f t="shared" si="90"/>
        <v>1050919.977952</v>
      </c>
      <c r="N104" s="448">
        <f t="shared" si="91"/>
        <v>1290102.457952</v>
      </c>
      <c r="O104" s="448">
        <f t="shared" si="92"/>
        <v>3203679.9118079999</v>
      </c>
      <c r="P104" s="448">
        <f t="shared" si="93"/>
        <v>21000</v>
      </c>
      <c r="Q104" s="448">
        <f t="shared" si="94"/>
        <v>33000</v>
      </c>
      <c r="R104" s="448">
        <f t="shared" si="95"/>
        <v>75000</v>
      </c>
      <c r="S104" s="448">
        <f t="shared" si="96"/>
        <v>95000</v>
      </c>
      <c r="T104" s="448">
        <f t="shared" si="97"/>
        <v>336000</v>
      </c>
      <c r="U104" s="448">
        <f>0.24*(O104-3200000)</f>
        <v>883.17883392076897</v>
      </c>
      <c r="V104" s="448">
        <f t="shared" si="98"/>
        <v>560883.17883392097</v>
      </c>
      <c r="W104" s="455">
        <v>12</v>
      </c>
      <c r="X104" s="448">
        <f t="shared" si="99"/>
        <v>46740.264902826697</v>
      </c>
      <c r="Y104" s="451"/>
      <c r="Z104" s="459">
        <f t="shared" si="100"/>
        <v>46740.264902826697</v>
      </c>
      <c r="AA104" s="460">
        <v>58941.101743466701</v>
      </c>
      <c r="AB104" s="460">
        <f t="shared" si="102"/>
        <v>-12200.83684064</v>
      </c>
      <c r="AC104" s="460" t="s">
        <v>487</v>
      </c>
      <c r="AD104" s="460"/>
      <c r="AE104" s="460"/>
    </row>
    <row r="105" spans="1:31" ht="37.5">
      <c r="A105" s="445"/>
      <c r="B105" s="17" t="s">
        <v>490</v>
      </c>
      <c r="C105" s="448">
        <v>367926.02100000001</v>
      </c>
      <c r="D105" s="447">
        <v>12</v>
      </c>
      <c r="E105" s="448">
        <f t="shared" si="101"/>
        <v>4415112.2520000003</v>
      </c>
      <c r="F105" s="448"/>
      <c r="G105" s="449">
        <v>233257.2</v>
      </c>
      <c r="H105" s="451"/>
      <c r="I105" s="448">
        <f t="shared" si="88"/>
        <v>4181855.0520000001</v>
      </c>
      <c r="J105" s="448">
        <v>200000</v>
      </c>
      <c r="K105" s="448">
        <v>0.2</v>
      </c>
      <c r="L105" s="448">
        <f t="shared" si="89"/>
        <v>836371.01040000003</v>
      </c>
      <c r="M105" s="448">
        <f t="shared" si="90"/>
        <v>1036371.0104</v>
      </c>
      <c r="N105" s="448">
        <f t="shared" si="91"/>
        <v>1269628.2104</v>
      </c>
      <c r="O105" s="448">
        <f t="shared" si="92"/>
        <v>3145484.0416000001</v>
      </c>
      <c r="P105" s="448">
        <f t="shared" si="93"/>
        <v>21000</v>
      </c>
      <c r="Q105" s="448">
        <f t="shared" si="94"/>
        <v>33000</v>
      </c>
      <c r="R105" s="448">
        <f t="shared" si="95"/>
        <v>75000</v>
      </c>
      <c r="S105" s="448">
        <f t="shared" si="96"/>
        <v>95000</v>
      </c>
      <c r="T105" s="448">
        <f t="shared" si="97"/>
        <v>324551.648736</v>
      </c>
      <c r="U105" s="448"/>
      <c r="V105" s="448">
        <f t="shared" si="98"/>
        <v>548551.64873599994</v>
      </c>
      <c r="W105" s="455">
        <v>12</v>
      </c>
      <c r="X105" s="448">
        <f t="shared" si="99"/>
        <v>45712.637394666701</v>
      </c>
      <c r="Y105" s="451"/>
      <c r="Z105" s="459">
        <f t="shared" si="100"/>
        <v>45712.637394666701</v>
      </c>
      <c r="AA105" s="460">
        <v>58631.439944426696</v>
      </c>
      <c r="AB105" s="460">
        <f t="shared" si="102"/>
        <v>-12918.802549759999</v>
      </c>
      <c r="AC105" s="460" t="s">
        <v>490</v>
      </c>
      <c r="AD105" s="460"/>
      <c r="AE105" s="460"/>
    </row>
    <row r="106" spans="1:31" ht="18.75">
      <c r="A106" s="445"/>
      <c r="B106" s="17" t="s">
        <v>492</v>
      </c>
      <c r="C106" s="448">
        <v>355198.112111667</v>
      </c>
      <c r="D106" s="447">
        <v>12</v>
      </c>
      <c r="E106" s="448">
        <f t="shared" si="101"/>
        <v>4262377.3453400005</v>
      </c>
      <c r="G106" s="449">
        <v>221406.64</v>
      </c>
      <c r="H106" s="451"/>
      <c r="I106" s="448">
        <f>E106-F107-G106-H106</f>
        <v>4040970.7053399999</v>
      </c>
      <c r="J106" s="448">
        <v>200000</v>
      </c>
      <c r="K106" s="448">
        <v>0.2</v>
      </c>
      <c r="L106" s="448">
        <f t="shared" si="89"/>
        <v>808194.14106800104</v>
      </c>
      <c r="M106" s="448">
        <f t="shared" si="90"/>
        <v>1008194.141068</v>
      </c>
      <c r="N106" s="448">
        <f>F107+G106+H106+M106</f>
        <v>1229600.781068</v>
      </c>
      <c r="O106" s="448">
        <f t="shared" si="92"/>
        <v>3032776.564272</v>
      </c>
      <c r="P106" s="448">
        <f t="shared" si="93"/>
        <v>21000</v>
      </c>
      <c r="Q106" s="448">
        <f t="shared" si="94"/>
        <v>33000</v>
      </c>
      <c r="R106" s="448">
        <f t="shared" si="95"/>
        <v>75000</v>
      </c>
      <c r="S106" s="448">
        <f t="shared" si="96"/>
        <v>95000</v>
      </c>
      <c r="T106" s="448">
        <f t="shared" si="97"/>
        <v>300883.07849712099</v>
      </c>
      <c r="U106" s="448"/>
      <c r="V106" s="448">
        <f t="shared" si="98"/>
        <v>524883.07849712099</v>
      </c>
      <c r="W106" s="455">
        <v>12</v>
      </c>
      <c r="X106" s="448">
        <f t="shared" si="99"/>
        <v>43740.256541426701</v>
      </c>
      <c r="Y106" s="451"/>
      <c r="Z106" s="459">
        <f t="shared" si="100"/>
        <v>43740.256541426701</v>
      </c>
      <c r="AA106" s="460">
        <v>31871.335203306699</v>
      </c>
      <c r="AB106" s="460">
        <f t="shared" si="102"/>
        <v>11868.921338120001</v>
      </c>
      <c r="AC106" s="460" t="s">
        <v>492</v>
      </c>
      <c r="AD106" s="460"/>
      <c r="AE106" s="460"/>
    </row>
    <row r="107" spans="1:31" ht="18.75">
      <c r="A107" s="445"/>
      <c r="B107" s="19" t="s">
        <v>42</v>
      </c>
      <c r="C107" s="448"/>
      <c r="D107" s="447"/>
      <c r="E107" s="448"/>
      <c r="F107" s="448"/>
      <c r="G107" s="449"/>
      <c r="H107" s="451"/>
      <c r="I107" s="448"/>
      <c r="J107" s="448"/>
      <c r="K107" s="448"/>
      <c r="L107" s="448"/>
      <c r="M107" s="448"/>
      <c r="N107" s="448"/>
      <c r="O107" s="448"/>
      <c r="P107" s="448"/>
      <c r="Q107" s="448"/>
      <c r="R107" s="448"/>
      <c r="S107" s="448"/>
      <c r="T107" s="448"/>
      <c r="U107" s="448"/>
      <c r="V107" s="448"/>
      <c r="W107" s="455"/>
      <c r="X107" s="448"/>
      <c r="Y107" s="451"/>
      <c r="Z107" s="459"/>
      <c r="AA107" s="460"/>
      <c r="AB107" s="460"/>
      <c r="AC107" s="460"/>
      <c r="AD107" s="460"/>
      <c r="AE107" s="460"/>
    </row>
    <row r="108" spans="1:31" ht="18.75">
      <c r="A108" s="445">
        <v>90</v>
      </c>
      <c r="B108" s="19"/>
      <c r="C108" s="448"/>
      <c r="G108" s="449"/>
      <c r="U108" s="448"/>
      <c r="Z108" s="462"/>
      <c r="AC108" s="460"/>
      <c r="AD108" s="460"/>
      <c r="AE108" s="460"/>
    </row>
    <row r="109" spans="1:31" ht="37.5">
      <c r="A109" s="445">
        <v>91</v>
      </c>
      <c r="B109" s="19" t="s">
        <v>242</v>
      </c>
      <c r="C109" s="448"/>
      <c r="G109" s="449"/>
      <c r="U109" s="448"/>
      <c r="Z109" s="462"/>
      <c r="AC109" s="460"/>
      <c r="AD109" s="460"/>
      <c r="AE109" s="460"/>
    </row>
    <row r="110" spans="1:31" ht="37.5">
      <c r="A110" s="445">
        <v>92</v>
      </c>
      <c r="B110" s="13" t="s">
        <v>493</v>
      </c>
      <c r="C110" s="448">
        <v>761396.83333333302</v>
      </c>
      <c r="D110" s="447">
        <v>12</v>
      </c>
      <c r="E110" s="448">
        <f>C110*D110</f>
        <v>9136762</v>
      </c>
      <c r="F110" s="448">
        <f>'[8]JANUARY 2024'!$V$115*12</f>
        <v>9678.9599999999991</v>
      </c>
      <c r="G110" s="449">
        <v>577340.96</v>
      </c>
      <c r="H110" s="451"/>
      <c r="I110" s="448">
        <f>E110-F110-G110-H110</f>
        <v>8549742.0799999908</v>
      </c>
      <c r="J110" s="448">
        <v>200000</v>
      </c>
      <c r="K110" s="448">
        <v>0.2</v>
      </c>
      <c r="L110" s="448">
        <f>I110*K110</f>
        <v>1709948.416</v>
      </c>
      <c r="M110" s="448">
        <f>J110+L110</f>
        <v>1909948.416</v>
      </c>
      <c r="N110" s="448">
        <f>F110+G110+H110+M110</f>
        <v>2496968.3360000001</v>
      </c>
      <c r="O110" s="448">
        <f>E110-N110</f>
        <v>6639793.6639999999</v>
      </c>
      <c r="P110" s="448">
        <f>IF(O110&lt;300000,0.07*O110,21000)</f>
        <v>21000</v>
      </c>
      <c r="Q110" s="448">
        <f>IF((O110-300000)&lt;0,0,IF((O110-300000)&lt;300000,0.11*(O110-300000),33000))</f>
        <v>33000</v>
      </c>
      <c r="R110" s="448">
        <f>IF((O110-600000)&lt;0,0,IF((O110-600000)&lt;500000,0.15*(O110-600000),75000))</f>
        <v>75000</v>
      </c>
      <c r="S110" s="448">
        <f>IF((O110-1100000)&lt;0,0,IF((O110-1100000)&lt;500000,0.19*(O110-1100000),95000))</f>
        <v>95000</v>
      </c>
      <c r="T110" s="448">
        <f>IF((O110-1600000)&lt;0,0,IF((O110-1600000)&lt;1600000,0.21*(O110-1600000),336000))</f>
        <v>336000</v>
      </c>
      <c r="U110" s="448">
        <f t="shared" ref="U110:U141" si="103">0.24*(O110-3200000)</f>
        <v>825550.47935999895</v>
      </c>
      <c r="V110" s="448">
        <f>P110+Q110+R110+S110+T110+U110</f>
        <v>1385550.47936</v>
      </c>
      <c r="W110" s="455">
        <v>12</v>
      </c>
      <c r="X110" s="448">
        <f>V110/W110</f>
        <v>115462.53994666701</v>
      </c>
      <c r="Y110" s="451"/>
      <c r="Z110" s="459">
        <f>X110</f>
        <v>115462.53994666701</v>
      </c>
      <c r="AA110" s="460">
        <v>77610.116906666706</v>
      </c>
      <c r="AB110" s="460">
        <f>Z110-AA110</f>
        <v>37852.4230399999</v>
      </c>
      <c r="AC110" s="460"/>
      <c r="AD110" s="460"/>
      <c r="AE110" s="460"/>
    </row>
    <row r="111" spans="1:31" ht="18.75">
      <c r="A111" s="445">
        <v>93</v>
      </c>
      <c r="B111" s="10" t="s">
        <v>494</v>
      </c>
      <c r="C111" s="448">
        <v>487895.16666666698</v>
      </c>
      <c r="D111" s="447">
        <v>12</v>
      </c>
      <c r="E111" s="448">
        <f t="shared" ref="E111:E112" si="104">C111*D111</f>
        <v>5854742</v>
      </c>
      <c r="F111" s="448"/>
      <c r="G111" s="449">
        <v>362779.36</v>
      </c>
      <c r="H111" s="451"/>
      <c r="I111" s="448">
        <f>E111-F111-G111-H111</f>
        <v>5491962.6399999997</v>
      </c>
      <c r="J111" s="448">
        <v>200000</v>
      </c>
      <c r="K111" s="448">
        <v>0.2</v>
      </c>
      <c r="L111" s="448">
        <f>I111*K111</f>
        <v>1098392.5279999999</v>
      </c>
      <c r="M111" s="448">
        <f>J111+L111</f>
        <v>1298392.5279999999</v>
      </c>
      <c r="N111" s="448">
        <f>F111+G111+H111+M111</f>
        <v>1661171.888</v>
      </c>
      <c r="O111" s="448">
        <f>E111-N111</f>
        <v>4193570.1120000002</v>
      </c>
      <c r="P111" s="448">
        <f>IF(O111&lt;300000,0.07*O111,21000)</f>
        <v>21000</v>
      </c>
      <c r="Q111" s="448">
        <f>IF((O111-300000)&lt;0,0,IF((O111-300000)&lt;300000,0.11*(O111-300000),33000))</f>
        <v>33000</v>
      </c>
      <c r="R111" s="448">
        <f>IF((O111-600000)&lt;0,0,IF((O111-600000)&lt;500000,0.15*(O111-600000),75000))</f>
        <v>75000</v>
      </c>
      <c r="S111" s="448">
        <f>IF((O111-1100000)&lt;0,0,IF((O111-1100000)&lt;500000,0.19*(O111-1100000),95000))</f>
        <v>95000</v>
      </c>
      <c r="T111" s="448">
        <f>IF((O111-1600000)&lt;0,0,IF((O111-1600000)&lt;1600000,0.21*(O111-1600000),336000))</f>
        <v>336000</v>
      </c>
      <c r="U111" s="448">
        <f t="shared" si="103"/>
        <v>238456.826880001</v>
      </c>
      <c r="V111" s="448">
        <f>P111+Q111+R111+S111+T111+U111</f>
        <v>798456.826880001</v>
      </c>
      <c r="W111" s="455">
        <v>12</v>
      </c>
      <c r="X111" s="448">
        <f>V111/W111</f>
        <v>66538.068906666696</v>
      </c>
      <c r="Y111" s="451"/>
      <c r="Z111" s="459">
        <f>X111</f>
        <v>66538.068906666696</v>
      </c>
      <c r="AA111" s="460">
        <v>43368.882414666703</v>
      </c>
      <c r="AB111" s="460">
        <f t="shared" ref="AB111:AB112" si="105">Z111-AA111</f>
        <v>23169.186492000001</v>
      </c>
      <c r="AC111" s="460"/>
      <c r="AD111" s="460"/>
      <c r="AE111" s="460"/>
    </row>
    <row r="112" spans="1:31" ht="37.5">
      <c r="A112" s="445">
        <v>94</v>
      </c>
      <c r="B112" s="10" t="s">
        <v>496</v>
      </c>
      <c r="C112" s="454">
        <v>450086.5</v>
      </c>
      <c r="D112" s="447">
        <v>12</v>
      </c>
      <c r="E112" s="448">
        <f t="shared" si="104"/>
        <v>5401038</v>
      </c>
      <c r="F112" s="448">
        <f>'[8]JANUARY 2024'!$V$117*12</f>
        <v>6919.4549999999999</v>
      </c>
      <c r="G112" s="449">
        <v>374483.04</v>
      </c>
      <c r="H112" s="451"/>
      <c r="I112" s="448">
        <f>E112-F112-G112-H112</f>
        <v>5019635.5049999999</v>
      </c>
      <c r="J112" s="448">
        <v>200000</v>
      </c>
      <c r="K112" s="448">
        <v>0.2</v>
      </c>
      <c r="L112" s="448">
        <f>I112*K112</f>
        <v>1003927.101</v>
      </c>
      <c r="M112" s="448">
        <f>J112+L112</f>
        <v>1203927.101</v>
      </c>
      <c r="N112" s="448">
        <f>F112+G112+H112+M112</f>
        <v>1585329.5959999999</v>
      </c>
      <c r="O112" s="448">
        <f>E112-N112</f>
        <v>3815708.4040000001</v>
      </c>
      <c r="P112" s="448">
        <f>IF(O112&lt;300000,0.07*O112,21000)</f>
        <v>21000</v>
      </c>
      <c r="Q112" s="448">
        <f>IF((O112-300000)&lt;0,0,IF((O112-300000)&lt;300000,0.11*(O112-300000),33000))</f>
        <v>33000</v>
      </c>
      <c r="R112" s="448">
        <f>IF((O112-600000)&lt;0,0,IF((O112-600000)&lt;500000,0.15*(O112-600000),75000))</f>
        <v>75000</v>
      </c>
      <c r="S112" s="448">
        <f>IF((O112-1100000)&lt;0,0,IF((O112-1100000)&lt;500000,0.19*(O112-1100000),95000))</f>
        <v>95000</v>
      </c>
      <c r="T112" s="448">
        <f>IF((O112-1600000)&lt;0,0,IF((O112-1600000)&lt;1600000,0.21*(O112-1600000),336000))</f>
        <v>336000</v>
      </c>
      <c r="U112" s="448">
        <f t="shared" si="103"/>
        <v>147770.01696000001</v>
      </c>
      <c r="V112" s="448">
        <f>P112+Q112+R112+S112+T112+U112</f>
        <v>707770.01696000004</v>
      </c>
      <c r="W112" s="455">
        <v>12</v>
      </c>
      <c r="X112" s="448">
        <f>V112/W112</f>
        <v>58980.834746666696</v>
      </c>
      <c r="Y112" s="451"/>
      <c r="Z112" s="459">
        <f>X112</f>
        <v>58980.834746666696</v>
      </c>
      <c r="AA112" s="460">
        <v>35221.954086666701</v>
      </c>
      <c r="AB112" s="460">
        <f t="shared" si="105"/>
        <v>23758.880659999999</v>
      </c>
      <c r="AC112" s="460"/>
      <c r="AD112" s="460"/>
      <c r="AE112" s="460"/>
    </row>
    <row r="113" spans="1:31" ht="18.75">
      <c r="A113" s="445">
        <v>95</v>
      </c>
      <c r="B113" s="19"/>
      <c r="C113" s="448"/>
      <c r="D113" s="447"/>
      <c r="E113" s="448"/>
      <c r="F113" s="448"/>
      <c r="G113" s="451"/>
      <c r="H113" s="451"/>
      <c r="I113" s="448"/>
      <c r="J113" s="448"/>
      <c r="K113" s="448"/>
      <c r="L113" s="448"/>
      <c r="M113" s="448"/>
      <c r="N113" s="448"/>
      <c r="O113" s="448"/>
      <c r="P113" s="448"/>
      <c r="Q113" s="448"/>
      <c r="R113" s="448"/>
      <c r="S113" s="448"/>
      <c r="T113" s="448"/>
      <c r="U113" s="448"/>
      <c r="V113" s="448"/>
      <c r="W113" s="455"/>
      <c r="X113" s="448"/>
      <c r="Y113" s="451"/>
      <c r="Z113" s="459"/>
      <c r="AA113" s="460"/>
      <c r="AB113" s="460"/>
      <c r="AC113" s="460"/>
      <c r="AD113" s="460"/>
      <c r="AE113" s="460"/>
    </row>
    <row r="114" spans="1:31" ht="18.75">
      <c r="A114" s="445">
        <v>96</v>
      </c>
      <c r="B114" s="21"/>
      <c r="C114" s="448"/>
      <c r="U114" s="461"/>
      <c r="Z114" s="462"/>
      <c r="AC114" s="460"/>
      <c r="AD114" s="460"/>
      <c r="AE114" s="460"/>
    </row>
    <row r="115" spans="1:31" ht="18.75">
      <c r="A115" s="445">
        <v>97</v>
      </c>
      <c r="B115" s="19" t="s">
        <v>97</v>
      </c>
      <c r="C115" s="448"/>
      <c r="U115" s="461"/>
      <c r="Z115" s="462"/>
      <c r="AC115" s="460"/>
      <c r="AD115" s="460"/>
      <c r="AE115" s="460"/>
    </row>
    <row r="116" spans="1:31" ht="18.75">
      <c r="A116" s="445">
        <v>98</v>
      </c>
      <c r="B116" s="10" t="s">
        <v>499</v>
      </c>
      <c r="C116" s="448">
        <v>1635720</v>
      </c>
      <c r="D116" s="447">
        <v>12</v>
      </c>
      <c r="E116" s="448">
        <f>C116*D116</f>
        <v>19628640</v>
      </c>
      <c r="F116" s="448">
        <f>2043.5005*12</f>
        <v>24522.006000000001</v>
      </c>
      <c r="G116" s="449">
        <v>1378291.2</v>
      </c>
      <c r="H116" s="451"/>
      <c r="I116" s="448">
        <f t="shared" ref="I116:I125" si="106">E116-F116-G116-H116</f>
        <v>18225826.794</v>
      </c>
      <c r="J116" s="448">
        <v>200000</v>
      </c>
      <c r="K116" s="448">
        <v>0.2</v>
      </c>
      <c r="L116" s="448">
        <f>I116*K116</f>
        <v>3645165.3588</v>
      </c>
      <c r="M116" s="448">
        <f>J116+L116</f>
        <v>3845165.3588</v>
      </c>
      <c r="N116" s="448">
        <f t="shared" ref="N116:N125" si="107">F116+G116+H116+M116</f>
        <v>5247978.5647999998</v>
      </c>
      <c r="O116" s="448">
        <f t="shared" ref="O116:O125" si="108">E116-N116</f>
        <v>14380661.4352</v>
      </c>
      <c r="P116" s="448">
        <f>IF(O116&lt;300000,0.07*O116,21000)</f>
        <v>21000</v>
      </c>
      <c r="Q116" s="448">
        <f>IF((O116-300000)&lt;0,0,IF((O116-300000)&lt;300000,0.11*(O116-300000),33000))</f>
        <v>33000</v>
      </c>
      <c r="R116" s="448">
        <f>IF((O116-600000)&lt;0,0,IF((O116-600000)&lt;500000,0.15*(O116-600000),75000))</f>
        <v>75000</v>
      </c>
      <c r="S116" s="448">
        <f>IF((O116-1100000)&lt;0,0,IF((O116-1100000)&lt;500000,0.19*(O116-1100000),95000))</f>
        <v>95000</v>
      </c>
      <c r="T116" s="448">
        <f>IF((O116-1600000)&lt;0,0,IF((O116-1600000)&lt;1600000,0.21*(O116-1600000),336000))</f>
        <v>336000</v>
      </c>
      <c r="U116" s="448">
        <f t="shared" si="103"/>
        <v>2683358.7444480001</v>
      </c>
      <c r="V116" s="448">
        <f>P116+Q116+R116+S116+T116+U116</f>
        <v>3243358.7444480001</v>
      </c>
      <c r="W116" s="455">
        <v>12</v>
      </c>
      <c r="X116" s="448">
        <f>V116/W116</f>
        <v>270279.89537066699</v>
      </c>
      <c r="Y116" s="451"/>
      <c r="Z116" s="459">
        <f>X116</f>
        <v>270279.89537066699</v>
      </c>
      <c r="AA116" s="460">
        <v>179914.45476266701</v>
      </c>
      <c r="AB116" s="460">
        <f>Z116-AA116</f>
        <v>90365.440607999699</v>
      </c>
      <c r="AC116" s="460"/>
      <c r="AD116" s="460"/>
      <c r="AE116" s="460"/>
    </row>
    <row r="117" spans="1:31" ht="18.75">
      <c r="A117" s="445">
        <v>99</v>
      </c>
      <c r="B117" s="10" t="s">
        <v>178</v>
      </c>
      <c r="C117" s="448">
        <v>929203.58333333302</v>
      </c>
      <c r="D117" s="447">
        <v>12</v>
      </c>
      <c r="E117" s="448">
        <f t="shared" ref="E117:E125" si="109">C117*D117</f>
        <v>11150443</v>
      </c>
      <c r="F117" s="448">
        <f>1028.94225*12</f>
        <v>12347.307000000001</v>
      </c>
      <c r="G117" s="449">
        <v>709635.44</v>
      </c>
      <c r="H117" s="451"/>
      <c r="I117" s="448">
        <f t="shared" si="106"/>
        <v>10428460.253</v>
      </c>
      <c r="J117" s="448">
        <v>200000</v>
      </c>
      <c r="K117" s="448">
        <v>0.2</v>
      </c>
      <c r="L117" s="448">
        <f>I117*K117</f>
        <v>2085692.0506</v>
      </c>
      <c r="M117" s="448">
        <f>J117+L117</f>
        <v>2285692.0506000002</v>
      </c>
      <c r="N117" s="448">
        <f t="shared" si="107"/>
        <v>3007674.7976000002</v>
      </c>
      <c r="O117" s="448">
        <f t="shared" si="108"/>
        <v>8142768.2023999998</v>
      </c>
      <c r="P117" s="448">
        <f>IF(O117&lt;300000,0.07*O117,21000)</f>
        <v>21000</v>
      </c>
      <c r="Q117" s="448">
        <f>IF((O117-300000)&lt;0,0,IF((O117-300000)&lt;300000,0.11*(O117-300000),33000))</f>
        <v>33000</v>
      </c>
      <c r="R117" s="448">
        <f>IF((O117-600000)&lt;0,0,IF((O117-600000)&lt;500000,0.15*(O117-600000),75000))</f>
        <v>75000</v>
      </c>
      <c r="S117" s="448">
        <f>IF((O117-1100000)&lt;0,0,IF((O117-1100000)&lt;500000,0.19*(O117-1100000),95000))</f>
        <v>95000</v>
      </c>
      <c r="T117" s="448">
        <f>IF((O117-1600000)&lt;0,0,IF((O117-1600000)&lt;1600000,0.21*(O117-1600000),336000))</f>
        <v>336000</v>
      </c>
      <c r="U117" s="448">
        <f t="shared" si="103"/>
        <v>1186264.368576</v>
      </c>
      <c r="V117" s="448">
        <f>P117+Q117+R117+S117+T117+U117</f>
        <v>1746264.368576</v>
      </c>
      <c r="W117" s="455">
        <v>12</v>
      </c>
      <c r="X117" s="448">
        <f>V117/W117</f>
        <v>145522.03071466699</v>
      </c>
      <c r="Y117" s="451"/>
      <c r="Z117" s="459">
        <f>X117</f>
        <v>145522.03071466699</v>
      </c>
      <c r="AA117" s="460">
        <v>98995.956938666699</v>
      </c>
      <c r="AB117" s="460">
        <f t="shared" ref="AB117:AB125" si="110">Z117-AA117</f>
        <v>46526.073775999903</v>
      </c>
      <c r="AC117" s="460"/>
      <c r="AD117" s="460"/>
      <c r="AE117" s="460"/>
    </row>
    <row r="118" spans="1:31" ht="18.75">
      <c r="A118" s="445"/>
      <c r="B118" s="13" t="s">
        <v>502</v>
      </c>
      <c r="C118" s="448">
        <v>830675.58333333302</v>
      </c>
      <c r="D118" s="447">
        <v>12</v>
      </c>
      <c r="E118" s="448">
        <f t="shared" si="109"/>
        <v>9968107</v>
      </c>
      <c r="F118" s="448">
        <f>837.6875*12</f>
        <v>10052.25</v>
      </c>
      <c r="G118" s="449">
        <v>595848.56000000006</v>
      </c>
      <c r="H118" s="451"/>
      <c r="I118" s="448">
        <f t="shared" si="106"/>
        <v>9362206.1899999995</v>
      </c>
      <c r="J118" s="448">
        <v>200000</v>
      </c>
      <c r="K118" s="448">
        <v>0.2</v>
      </c>
      <c r="L118" s="448">
        <f>I118*K118</f>
        <v>1872441.2379999999</v>
      </c>
      <c r="M118" s="448">
        <f>J118+L118</f>
        <v>2072441.2379999999</v>
      </c>
      <c r="N118" s="448">
        <f t="shared" si="107"/>
        <v>2678342.048</v>
      </c>
      <c r="O118" s="448">
        <f t="shared" si="108"/>
        <v>7289764.9519999996</v>
      </c>
      <c r="P118" s="448">
        <f>IF(O118&lt;300000,0.07*O118,21000)</f>
        <v>21000</v>
      </c>
      <c r="Q118" s="448">
        <f>IF((O118-300000)&lt;0,0,IF((O118-300000)&lt;300000,0.11*(O118-300000),33000))</f>
        <v>33000</v>
      </c>
      <c r="R118" s="448">
        <f>IF((O118-600000)&lt;0,0,IF((O118-600000)&lt;500000,0.15*(O118-600000),75000))</f>
        <v>75000</v>
      </c>
      <c r="S118" s="448">
        <f>IF((O118-1100000)&lt;0,0,IF((O118-1100000)&lt;500000,0.19*(O118-1100000),95000))</f>
        <v>95000</v>
      </c>
      <c r="T118" s="448">
        <f>IF((O118-1600000)&lt;0,0,IF((O118-1600000)&lt;1600000,0.21*(O118-1600000),336000))</f>
        <v>336000</v>
      </c>
      <c r="U118" s="448">
        <f t="shared" si="103"/>
        <v>981543.58847999899</v>
      </c>
      <c r="V118" s="448">
        <f>P118+Q118+R118+S118+T118+U118</f>
        <v>1541543.5884799999</v>
      </c>
      <c r="W118" s="455">
        <v>12</v>
      </c>
      <c r="X118" s="448">
        <f>V118/W118</f>
        <v>128461.965706667</v>
      </c>
      <c r="Y118" s="451"/>
      <c r="Z118" s="459">
        <f>X118</f>
        <v>128461.965706667</v>
      </c>
      <c r="AA118" s="460">
        <v>89396.103146666603</v>
      </c>
      <c r="AB118" s="460">
        <f t="shared" si="110"/>
        <v>39065.862560000001</v>
      </c>
      <c r="AC118" s="460"/>
      <c r="AD118" s="460"/>
      <c r="AE118" s="460"/>
    </row>
    <row r="119" spans="1:31" ht="18.75">
      <c r="A119" s="445"/>
      <c r="B119" s="13" t="s">
        <v>336</v>
      </c>
      <c r="C119" s="448">
        <v>662118.08333333302</v>
      </c>
      <c r="D119" s="447">
        <v>12</v>
      </c>
      <c r="E119" s="448">
        <f t="shared" si="109"/>
        <v>7945417</v>
      </c>
      <c r="F119" s="448"/>
      <c r="G119" s="449">
        <v>0</v>
      </c>
      <c r="H119" s="451"/>
      <c r="I119" s="448">
        <f t="shared" si="106"/>
        <v>7945417</v>
      </c>
      <c r="J119" s="448">
        <v>200000</v>
      </c>
      <c r="K119" s="448">
        <v>0.2</v>
      </c>
      <c r="L119" s="448">
        <f>I119*K119</f>
        <v>1589083.4</v>
      </c>
      <c r="M119" s="448">
        <f>J119+L119</f>
        <v>1789083.4</v>
      </c>
      <c r="N119" s="448">
        <f t="shared" si="107"/>
        <v>1789083.4</v>
      </c>
      <c r="O119" s="448">
        <f t="shared" si="108"/>
        <v>6156333.5999999996</v>
      </c>
      <c r="P119" s="448">
        <f>IF(O119&lt;300000,0.07*O119,21000)</f>
        <v>21000</v>
      </c>
      <c r="Q119" s="448">
        <f>IF((O119-300000)&lt;0,0,IF((O119-300000)&lt;300000,0.11*(O119-300000),33000))</f>
        <v>33000</v>
      </c>
      <c r="R119" s="448">
        <f>IF((O119-600000)&lt;0,0,IF((O119-600000)&lt;500000,0.15*(O119-600000),75000))</f>
        <v>75000</v>
      </c>
      <c r="S119" s="448">
        <f>IF((O119-1100000)&lt;0,0,IF((O119-1100000)&lt;500000,0.19*(O119-1100000),95000))</f>
        <v>95000</v>
      </c>
      <c r="T119" s="448">
        <f>IF((O119-1600000)&lt;0,0,IF((O119-1600000)&lt;1600000,0.21*(O119-1600000),336000))</f>
        <v>336000</v>
      </c>
      <c r="U119" s="448">
        <f t="shared" si="103"/>
        <v>709520.06399999897</v>
      </c>
      <c r="V119" s="448">
        <f>P119+Q119+R119+S119+T119+U119</f>
        <v>1269520.064</v>
      </c>
      <c r="W119" s="455">
        <v>12</v>
      </c>
      <c r="X119" s="448">
        <f>V119/W119</f>
        <v>105793.338666667</v>
      </c>
      <c r="Y119" s="451"/>
      <c r="Z119" s="459">
        <f>X119</f>
        <v>105793.338666667</v>
      </c>
      <c r="AA119" s="460">
        <v>60214.677290666703</v>
      </c>
      <c r="AB119" s="460">
        <f t="shared" si="110"/>
        <v>45578.661375999902</v>
      </c>
      <c r="AC119" s="460"/>
      <c r="AD119" s="460"/>
      <c r="AE119" s="460"/>
    </row>
    <row r="120" spans="1:31" ht="18.75">
      <c r="A120" s="445">
        <v>101</v>
      </c>
      <c r="B120" s="10" t="s">
        <v>503</v>
      </c>
      <c r="C120" s="448">
        <v>540498</v>
      </c>
      <c r="D120" s="447">
        <v>12</v>
      </c>
      <c r="E120" s="448">
        <f t="shared" si="109"/>
        <v>6485976</v>
      </c>
      <c r="F120" s="448"/>
      <c r="G120" s="449">
        <v>451678.08</v>
      </c>
      <c r="H120" s="451"/>
      <c r="I120" s="448">
        <f t="shared" si="106"/>
        <v>6034297.9199999999</v>
      </c>
      <c r="J120" s="448">
        <v>200000</v>
      </c>
      <c r="K120" s="448">
        <v>0.2</v>
      </c>
      <c r="L120" s="448">
        <f t="shared" ref="L120:L125" si="111">I120*K120</f>
        <v>1206859.584</v>
      </c>
      <c r="M120" s="448">
        <f t="shared" ref="M120:M125" si="112">J120+L120</f>
        <v>1406859.584</v>
      </c>
      <c r="N120" s="448">
        <f t="shared" si="107"/>
        <v>1858537.6640000001</v>
      </c>
      <c r="O120" s="448">
        <f t="shared" si="108"/>
        <v>4627438.3360000001</v>
      </c>
      <c r="P120" s="448">
        <f t="shared" ref="P120:P125" si="113">IF(O120&lt;300000,0.07*O120,21000)</f>
        <v>21000</v>
      </c>
      <c r="Q120" s="448">
        <f t="shared" ref="Q120:Q125" si="114">IF((O120-300000)&lt;0,0,IF((O120-300000)&lt;300000,0.11*(O120-300000),33000))</f>
        <v>33000</v>
      </c>
      <c r="R120" s="448">
        <f t="shared" ref="R120:R125" si="115">IF((O120-600000)&lt;0,0,IF((O120-600000)&lt;500000,0.15*(O120-600000),75000))</f>
        <v>75000</v>
      </c>
      <c r="S120" s="448">
        <f t="shared" ref="S120:S125" si="116">IF((O120-1100000)&lt;0,0,IF((O120-1100000)&lt;500000,0.19*(O120-1100000),95000))</f>
        <v>95000</v>
      </c>
      <c r="T120" s="448">
        <f t="shared" ref="T120:T125" si="117">IF((O120-1600000)&lt;0,0,IF((O120-1600000)&lt;1600000,0.21*(O120-1600000),336000))</f>
        <v>336000</v>
      </c>
      <c r="U120" s="448">
        <f t="shared" si="103"/>
        <v>342585.20064</v>
      </c>
      <c r="V120" s="448">
        <f t="shared" ref="V120:V125" si="118">P120+Q120+R120+S120+T120+U120</f>
        <v>902585.20064000005</v>
      </c>
      <c r="W120" s="455">
        <v>12</v>
      </c>
      <c r="X120" s="448">
        <f t="shared" ref="X120:X125" si="119">V120/W120</f>
        <v>75215.4333866667</v>
      </c>
      <c r="Y120" s="451"/>
      <c r="Z120" s="459">
        <f t="shared" ref="Z120:Z125" si="120">X120</f>
        <v>75215.4333866667</v>
      </c>
      <c r="AA120" s="460">
        <v>44846.6165886667</v>
      </c>
      <c r="AB120" s="460">
        <f t="shared" si="110"/>
        <v>30368.816798</v>
      </c>
      <c r="AC120" s="460"/>
      <c r="AD120" s="460"/>
      <c r="AE120" s="460"/>
    </row>
    <row r="121" spans="1:31" ht="18.75">
      <c r="A121" s="445">
        <v>103</v>
      </c>
      <c r="B121" s="10" t="s">
        <v>505</v>
      </c>
      <c r="C121" s="448">
        <v>512746.5</v>
      </c>
      <c r="D121" s="447">
        <v>12</v>
      </c>
      <c r="E121" s="448">
        <f t="shared" si="109"/>
        <v>6152958</v>
      </c>
      <c r="F121" s="454">
        <f>646.3525*12</f>
        <v>7756.23</v>
      </c>
      <c r="G121" s="449">
        <v>425036.64</v>
      </c>
      <c r="H121" s="451"/>
      <c r="I121" s="448">
        <f t="shared" si="106"/>
        <v>5720165.1299999999</v>
      </c>
      <c r="J121" s="448">
        <v>200000</v>
      </c>
      <c r="K121" s="448">
        <v>0.2</v>
      </c>
      <c r="L121" s="448">
        <f t="shared" si="111"/>
        <v>1144033.0260000001</v>
      </c>
      <c r="M121" s="448">
        <f t="shared" si="112"/>
        <v>1344033.0260000001</v>
      </c>
      <c r="N121" s="448">
        <f t="shared" si="107"/>
        <v>1776825.8959999999</v>
      </c>
      <c r="O121" s="448">
        <f t="shared" si="108"/>
        <v>4376132.1040000003</v>
      </c>
      <c r="P121" s="448">
        <f t="shared" si="113"/>
        <v>21000</v>
      </c>
      <c r="Q121" s="448">
        <f t="shared" si="114"/>
        <v>33000</v>
      </c>
      <c r="R121" s="448">
        <f t="shared" si="115"/>
        <v>75000</v>
      </c>
      <c r="S121" s="448">
        <f t="shared" si="116"/>
        <v>95000</v>
      </c>
      <c r="T121" s="448">
        <f t="shared" si="117"/>
        <v>336000</v>
      </c>
      <c r="U121" s="448">
        <f t="shared" si="103"/>
        <v>282271.70496</v>
      </c>
      <c r="V121" s="448">
        <f t="shared" si="118"/>
        <v>842271.70496</v>
      </c>
      <c r="W121" s="455">
        <v>12</v>
      </c>
      <c r="X121" s="448">
        <f t="shared" si="119"/>
        <v>70189.308746666706</v>
      </c>
      <c r="Y121" s="451"/>
      <c r="Z121" s="459">
        <f t="shared" si="120"/>
        <v>70189.308746666706</v>
      </c>
      <c r="AA121" s="460">
        <v>42029.589186666701</v>
      </c>
      <c r="AB121" s="460">
        <f t="shared" si="110"/>
        <v>28159.719560000001</v>
      </c>
      <c r="AC121" s="460"/>
      <c r="AD121" s="460"/>
      <c r="AE121" s="460"/>
    </row>
    <row r="122" spans="1:31" ht="18.75">
      <c r="A122" s="445">
        <v>105</v>
      </c>
      <c r="B122" s="10" t="s">
        <v>507</v>
      </c>
      <c r="C122" s="448">
        <v>526622.25</v>
      </c>
      <c r="D122" s="447">
        <v>12</v>
      </c>
      <c r="E122" s="448">
        <f t="shared" si="109"/>
        <v>6319467</v>
      </c>
      <c r="F122" s="454">
        <f>668.31625*12</f>
        <v>8019.7950000000001</v>
      </c>
      <c r="G122" s="449">
        <v>438357.36</v>
      </c>
      <c r="H122" s="451"/>
      <c r="I122" s="448">
        <f t="shared" si="106"/>
        <v>5873089.8449999997</v>
      </c>
      <c r="J122" s="448">
        <v>200000</v>
      </c>
      <c r="K122" s="448">
        <v>0.2</v>
      </c>
      <c r="L122" s="448">
        <f t="shared" si="111"/>
        <v>1174617.969</v>
      </c>
      <c r="M122" s="448">
        <f t="shared" si="112"/>
        <v>1374617.969</v>
      </c>
      <c r="N122" s="448">
        <f t="shared" si="107"/>
        <v>1820995.1240000001</v>
      </c>
      <c r="O122" s="448">
        <f t="shared" si="108"/>
        <v>4498471.8760000002</v>
      </c>
      <c r="P122" s="448">
        <f t="shared" si="113"/>
        <v>21000</v>
      </c>
      <c r="Q122" s="448">
        <f t="shared" si="114"/>
        <v>33000</v>
      </c>
      <c r="R122" s="448">
        <f t="shared" si="115"/>
        <v>75000</v>
      </c>
      <c r="S122" s="448">
        <f t="shared" si="116"/>
        <v>95000</v>
      </c>
      <c r="T122" s="448">
        <f t="shared" si="117"/>
        <v>336000</v>
      </c>
      <c r="U122" s="448">
        <f t="shared" si="103"/>
        <v>311633.25024000002</v>
      </c>
      <c r="V122" s="448">
        <f t="shared" si="118"/>
        <v>871633.25023999996</v>
      </c>
      <c r="W122" s="455">
        <v>12</v>
      </c>
      <c r="X122" s="448">
        <f t="shared" si="119"/>
        <v>72636.104186666693</v>
      </c>
      <c r="Y122" s="451"/>
      <c r="Z122" s="459">
        <f t="shared" si="120"/>
        <v>72636.104186666693</v>
      </c>
      <c r="AA122" s="460">
        <v>43380.096246666697</v>
      </c>
      <c r="AB122" s="460">
        <f t="shared" si="110"/>
        <v>29256.00794</v>
      </c>
      <c r="AC122" s="460"/>
      <c r="AD122" s="460"/>
      <c r="AE122" s="460"/>
    </row>
    <row r="123" spans="1:31" ht="18.75">
      <c r="A123" s="445">
        <v>106</v>
      </c>
      <c r="B123" s="10" t="s">
        <v>508</v>
      </c>
      <c r="C123" s="448">
        <v>330481.66666666698</v>
      </c>
      <c r="D123" s="447">
        <v>12</v>
      </c>
      <c r="E123" s="448">
        <f t="shared" si="109"/>
        <v>3965780</v>
      </c>
      <c r="F123" s="448"/>
      <c r="G123" s="449">
        <v>259662.4</v>
      </c>
      <c r="H123" s="451"/>
      <c r="I123" s="448">
        <f t="shared" si="106"/>
        <v>3706117.6</v>
      </c>
      <c r="J123" s="448">
        <v>200000</v>
      </c>
      <c r="K123" s="448">
        <v>0.2</v>
      </c>
      <c r="L123" s="448">
        <f t="shared" si="111"/>
        <v>741223.52000000095</v>
      </c>
      <c r="M123" s="448">
        <f t="shared" si="112"/>
        <v>941223.52000000095</v>
      </c>
      <c r="N123" s="448">
        <f t="shared" si="107"/>
        <v>1200885.92</v>
      </c>
      <c r="O123" s="448">
        <f t="shared" si="108"/>
        <v>2764894.08</v>
      </c>
      <c r="P123" s="448">
        <f t="shared" si="113"/>
        <v>21000</v>
      </c>
      <c r="Q123" s="448">
        <f t="shared" si="114"/>
        <v>33000</v>
      </c>
      <c r="R123" s="448">
        <f t="shared" si="115"/>
        <v>75000</v>
      </c>
      <c r="S123" s="448">
        <f t="shared" si="116"/>
        <v>95000</v>
      </c>
      <c r="T123" s="448">
        <f t="shared" si="117"/>
        <v>244627.75680000099</v>
      </c>
      <c r="U123" s="448"/>
      <c r="V123" s="448">
        <f t="shared" si="118"/>
        <v>468627.75680000102</v>
      </c>
      <c r="W123" s="455">
        <v>12</v>
      </c>
      <c r="X123" s="448">
        <f t="shared" si="119"/>
        <v>39052.313066666698</v>
      </c>
      <c r="Y123" s="451"/>
      <c r="Z123" s="459">
        <f t="shared" si="120"/>
        <v>39052.313066666698</v>
      </c>
      <c r="AA123" s="460">
        <v>23036.012346666699</v>
      </c>
      <c r="AB123" s="460">
        <f t="shared" si="110"/>
        <v>16016.300719999999</v>
      </c>
      <c r="AC123" s="460"/>
      <c r="AD123" s="460"/>
      <c r="AE123" s="460"/>
    </row>
    <row r="124" spans="1:31" ht="18.75">
      <c r="A124" s="445">
        <v>107</v>
      </c>
      <c r="B124" s="17" t="s">
        <v>510</v>
      </c>
      <c r="C124" s="448">
        <v>274459.75</v>
      </c>
      <c r="D124" s="447">
        <v>12</v>
      </c>
      <c r="E124" s="448">
        <f t="shared" si="109"/>
        <v>3293517</v>
      </c>
      <c r="F124" s="448"/>
      <c r="G124" s="449">
        <v>215481.36</v>
      </c>
      <c r="H124" s="451"/>
      <c r="I124" s="448">
        <f t="shared" si="106"/>
        <v>3078035.64</v>
      </c>
      <c r="J124" s="448">
        <v>200000</v>
      </c>
      <c r="K124" s="448">
        <v>0.2</v>
      </c>
      <c r="L124" s="448">
        <f t="shared" si="111"/>
        <v>615607.12800000003</v>
      </c>
      <c r="M124" s="448">
        <f t="shared" si="112"/>
        <v>815607.12800000003</v>
      </c>
      <c r="N124" s="448">
        <f t="shared" si="107"/>
        <v>1031088.488</v>
      </c>
      <c r="O124" s="448">
        <f t="shared" si="108"/>
        <v>2262428.5120000001</v>
      </c>
      <c r="P124" s="448">
        <f t="shared" si="113"/>
        <v>21000</v>
      </c>
      <c r="Q124" s="448">
        <f t="shared" si="114"/>
        <v>33000</v>
      </c>
      <c r="R124" s="448">
        <f t="shared" si="115"/>
        <v>75000</v>
      </c>
      <c r="S124" s="448">
        <f t="shared" si="116"/>
        <v>95000</v>
      </c>
      <c r="T124" s="448">
        <f t="shared" si="117"/>
        <v>139109.98752</v>
      </c>
      <c r="U124" s="448"/>
      <c r="V124" s="448">
        <f t="shared" si="118"/>
        <v>363109.98752000002</v>
      </c>
      <c r="W124" s="455">
        <v>12</v>
      </c>
      <c r="X124" s="448">
        <f t="shared" si="119"/>
        <v>30259.165626666701</v>
      </c>
      <c r="Y124" s="451"/>
      <c r="Z124" s="459">
        <f t="shared" si="120"/>
        <v>30259.165626666701</v>
      </c>
      <c r="AA124" s="460">
        <v>17042.713866666702</v>
      </c>
      <c r="AB124" s="460">
        <f t="shared" si="110"/>
        <v>13216.45176</v>
      </c>
      <c r="AC124" s="460"/>
      <c r="AD124" s="460"/>
      <c r="AE124" s="460"/>
    </row>
    <row r="125" spans="1:31" ht="18.75">
      <c r="A125" s="445">
        <v>108</v>
      </c>
      <c r="B125" s="17" t="s">
        <v>512</v>
      </c>
      <c r="C125" s="448">
        <v>274459.75</v>
      </c>
      <c r="D125" s="447">
        <v>12</v>
      </c>
      <c r="E125" s="448">
        <f t="shared" si="109"/>
        <v>3293517</v>
      </c>
      <c r="F125" s="448"/>
      <c r="G125" s="449">
        <v>215481.36</v>
      </c>
      <c r="H125" s="451"/>
      <c r="I125" s="448">
        <f t="shared" si="106"/>
        <v>3078035.64</v>
      </c>
      <c r="J125" s="448">
        <v>200000</v>
      </c>
      <c r="K125" s="448">
        <v>0.2</v>
      </c>
      <c r="L125" s="448">
        <f t="shared" si="111"/>
        <v>615607.12800000003</v>
      </c>
      <c r="M125" s="448">
        <f t="shared" si="112"/>
        <v>815607.12800000003</v>
      </c>
      <c r="N125" s="448">
        <f t="shared" si="107"/>
        <v>1031088.488</v>
      </c>
      <c r="O125" s="448">
        <f t="shared" si="108"/>
        <v>2262428.5120000001</v>
      </c>
      <c r="P125" s="448">
        <f t="shared" si="113"/>
        <v>21000</v>
      </c>
      <c r="Q125" s="448">
        <f t="shared" si="114"/>
        <v>33000</v>
      </c>
      <c r="R125" s="448">
        <f t="shared" si="115"/>
        <v>75000</v>
      </c>
      <c r="S125" s="448">
        <f t="shared" si="116"/>
        <v>95000</v>
      </c>
      <c r="T125" s="448">
        <f t="shared" si="117"/>
        <v>139109.98752</v>
      </c>
      <c r="U125" s="448"/>
      <c r="V125" s="448">
        <f t="shared" si="118"/>
        <v>363109.98752000002</v>
      </c>
      <c r="W125" s="455">
        <v>12</v>
      </c>
      <c r="X125" s="448">
        <f t="shared" si="119"/>
        <v>30259.165626666701</v>
      </c>
      <c r="Y125" s="451"/>
      <c r="Z125" s="459">
        <f t="shared" si="120"/>
        <v>30259.165626666701</v>
      </c>
      <c r="AA125" s="460">
        <v>17042.713866666702</v>
      </c>
      <c r="AB125" s="460">
        <f t="shared" si="110"/>
        <v>13216.45176</v>
      </c>
      <c r="AC125" s="460"/>
      <c r="AD125" s="460"/>
      <c r="AE125" s="460"/>
    </row>
    <row r="126" spans="1:31" ht="18.75">
      <c r="A126" s="445">
        <v>109</v>
      </c>
      <c r="B126" s="19" t="s">
        <v>42</v>
      </c>
      <c r="C126" s="448"/>
      <c r="D126" s="447"/>
      <c r="E126" s="448"/>
      <c r="F126" s="448"/>
      <c r="G126" s="451"/>
      <c r="H126" s="451"/>
      <c r="I126" s="448"/>
      <c r="J126" s="448"/>
      <c r="K126" s="448"/>
      <c r="L126" s="448"/>
      <c r="M126" s="448"/>
      <c r="N126" s="448"/>
      <c r="O126" s="448"/>
      <c r="P126" s="448"/>
      <c r="Q126" s="448"/>
      <c r="R126" s="448"/>
      <c r="S126" s="448"/>
      <c r="T126" s="448"/>
      <c r="U126" s="448"/>
      <c r="V126" s="448"/>
      <c r="W126" s="455"/>
      <c r="X126" s="448"/>
      <c r="Y126" s="451"/>
      <c r="Z126" s="459"/>
      <c r="AA126" s="460"/>
      <c r="AB126" s="460"/>
      <c r="AC126" s="460"/>
      <c r="AD126" s="460"/>
      <c r="AE126" s="460"/>
    </row>
    <row r="127" spans="1:31" ht="18.75">
      <c r="A127" s="445">
        <v>110</v>
      </c>
      <c r="B127" s="21"/>
      <c r="C127" s="448"/>
      <c r="U127" s="461"/>
      <c r="Z127" s="462"/>
      <c r="AC127" s="460"/>
      <c r="AD127" s="460"/>
      <c r="AE127" s="460"/>
    </row>
    <row r="128" spans="1:31" ht="37.5">
      <c r="A128" s="445">
        <v>111</v>
      </c>
      <c r="B128" s="19" t="s">
        <v>103</v>
      </c>
      <c r="C128" s="448"/>
      <c r="U128" s="461"/>
      <c r="Z128" s="462"/>
      <c r="AC128" s="460"/>
      <c r="AD128" s="460"/>
      <c r="AE128" s="460"/>
    </row>
    <row r="129" spans="1:31" ht="18.75">
      <c r="A129" s="445">
        <v>112</v>
      </c>
      <c r="B129" s="10" t="s">
        <v>514</v>
      </c>
      <c r="C129" s="448">
        <v>1535720</v>
      </c>
      <c r="D129" s="447">
        <v>12</v>
      </c>
      <c r="E129" s="448">
        <f>C129*D129</f>
        <v>18428640</v>
      </c>
      <c r="F129" s="448"/>
      <c r="G129" s="449">
        <v>1378291.2</v>
      </c>
      <c r="H129" s="451"/>
      <c r="I129" s="448">
        <f t="shared" ref="I129:I187" si="121">E129-F129-G129-H129</f>
        <v>17050348.800000001</v>
      </c>
      <c r="J129" s="448">
        <v>200000</v>
      </c>
      <c r="K129" s="448">
        <v>0.2</v>
      </c>
      <c r="L129" s="448">
        <f t="shared" ref="L129:L187" si="122">I129*K129</f>
        <v>3410069.76</v>
      </c>
      <c r="M129" s="448">
        <f t="shared" ref="M129:M187" si="123">J129+L129</f>
        <v>3610069.76</v>
      </c>
      <c r="N129" s="448">
        <f t="shared" ref="N129:N187" si="124">F129+G129+H129+M129</f>
        <v>4988360.96</v>
      </c>
      <c r="O129" s="448">
        <f t="shared" ref="O129:O187" si="125">E129-N129</f>
        <v>13440279.039999999</v>
      </c>
      <c r="P129" s="448">
        <f t="shared" ref="P129:P187" si="126">IF(O129&lt;300000,0.07*O129,21000)</f>
        <v>21000</v>
      </c>
      <c r="Q129" s="448">
        <f t="shared" ref="Q129:Q187" si="127">IF((O129-300000)&lt;0,0,IF((O129-300000)&lt;300000,0.11*(O129-300000),33000))</f>
        <v>33000</v>
      </c>
      <c r="R129" s="448">
        <f t="shared" ref="R129:R187" si="128">IF((O129-600000)&lt;0,0,IF((O129-600000)&lt;500000,0.15*(O129-600000),75000))</f>
        <v>75000</v>
      </c>
      <c r="S129" s="448">
        <f t="shared" ref="S129:S187" si="129">IF((O129-1100000)&lt;0,0,IF((O129-1100000)&lt;500000,0.19*(O129-1100000),95000))</f>
        <v>95000</v>
      </c>
      <c r="T129" s="448">
        <f t="shared" ref="T129:T187" si="130">IF((O129-1600000)&lt;0,0,IF((O129-1600000)&lt;1600000,0.21*(O129-1600000),336000))</f>
        <v>336000</v>
      </c>
      <c r="U129" s="448">
        <f t="shared" si="103"/>
        <v>2457666.9696</v>
      </c>
      <c r="V129" s="448">
        <f>P129+Q129+R129+S129+T129+U129</f>
        <v>3017666.9696</v>
      </c>
      <c r="W129" s="455">
        <v>12</v>
      </c>
      <c r="X129" s="448">
        <f t="shared" ref="X129:X187" si="131">V129/W129</f>
        <v>251472.247466667</v>
      </c>
      <c r="Y129" s="451"/>
      <c r="Z129" s="459">
        <f t="shared" ref="Z129:Z187" si="132">X129</f>
        <v>251472.247466667</v>
      </c>
      <c r="AA129" s="460">
        <v>161106.806858667</v>
      </c>
      <c r="AB129" s="460">
        <f>Z129-AA129</f>
        <v>90365.440607999597</v>
      </c>
      <c r="AC129" s="460"/>
      <c r="AD129" s="460"/>
      <c r="AE129" s="460"/>
    </row>
    <row r="130" spans="1:31" ht="18.75">
      <c r="A130" s="445">
        <v>113</v>
      </c>
      <c r="B130" s="10" t="s">
        <v>338</v>
      </c>
      <c r="C130" s="448">
        <v>852373.16666666698</v>
      </c>
      <c r="D130" s="447">
        <v>12</v>
      </c>
      <c r="E130" s="448">
        <f t="shared" ref="E130:E187" si="133">C130*D130</f>
        <v>10228478</v>
      </c>
      <c r="F130" s="448"/>
      <c r="G130" s="449">
        <v>0</v>
      </c>
      <c r="H130" s="451"/>
      <c r="I130" s="448">
        <f t="shared" si="121"/>
        <v>10228478</v>
      </c>
      <c r="J130" s="448">
        <v>200000</v>
      </c>
      <c r="K130" s="448">
        <v>0.2</v>
      </c>
      <c r="L130" s="448">
        <f t="shared" si="122"/>
        <v>2045695.6</v>
      </c>
      <c r="M130" s="448">
        <f t="shared" si="123"/>
        <v>2245695.6</v>
      </c>
      <c r="N130" s="448">
        <f t="shared" si="124"/>
        <v>2245695.6</v>
      </c>
      <c r="O130" s="448">
        <f t="shared" si="125"/>
        <v>7982782.4000000004</v>
      </c>
      <c r="P130" s="448">
        <f t="shared" si="126"/>
        <v>21000</v>
      </c>
      <c r="Q130" s="448">
        <f t="shared" si="127"/>
        <v>33000</v>
      </c>
      <c r="R130" s="448">
        <f t="shared" si="128"/>
        <v>75000</v>
      </c>
      <c r="S130" s="448">
        <f t="shared" si="129"/>
        <v>95000</v>
      </c>
      <c r="T130" s="448">
        <f t="shared" si="130"/>
        <v>336000</v>
      </c>
      <c r="U130" s="448">
        <f t="shared" si="103"/>
        <v>1147867.7760000001</v>
      </c>
      <c r="V130" s="448">
        <f>P130+Q130+R130+S130+T130+U130</f>
        <v>1707867.7760000001</v>
      </c>
      <c r="W130" s="455">
        <v>12</v>
      </c>
      <c r="X130" s="448">
        <f t="shared" si="131"/>
        <v>142322.31466666699</v>
      </c>
      <c r="Y130" s="451"/>
      <c r="Z130" s="459">
        <f t="shared" si="132"/>
        <v>142322.31466666699</v>
      </c>
      <c r="AA130" s="460">
        <v>82627.951418666693</v>
      </c>
      <c r="AB130" s="460">
        <f t="shared" ref="AB130:AB187" si="134">Z130-AA130</f>
        <v>59694.363248000001</v>
      </c>
      <c r="AC130" s="460"/>
      <c r="AD130" s="460"/>
      <c r="AE130" s="460"/>
    </row>
    <row r="131" spans="1:31" ht="18.75">
      <c r="A131" s="445">
        <v>114</v>
      </c>
      <c r="B131" s="13" t="s">
        <v>516</v>
      </c>
      <c r="C131" s="448">
        <v>902373.16666666698</v>
      </c>
      <c r="D131" s="447">
        <v>12</v>
      </c>
      <c r="E131" s="448">
        <f t="shared" si="133"/>
        <v>10828478</v>
      </c>
      <c r="F131" s="448">
        <f>1066.32925*12</f>
        <v>12795.950999999999</v>
      </c>
      <c r="G131" s="449">
        <v>731878.24</v>
      </c>
      <c r="H131" s="451"/>
      <c r="I131" s="448">
        <f t="shared" si="121"/>
        <v>10083803.809</v>
      </c>
      <c r="J131" s="448">
        <v>200000</v>
      </c>
      <c r="K131" s="448">
        <v>0.2</v>
      </c>
      <c r="L131" s="448">
        <f t="shared" si="122"/>
        <v>2016760.7618</v>
      </c>
      <c r="M131" s="448">
        <f t="shared" si="123"/>
        <v>2216760.7618</v>
      </c>
      <c r="N131" s="448">
        <f t="shared" si="124"/>
        <v>2961434.9528000001</v>
      </c>
      <c r="O131" s="448">
        <f t="shared" si="125"/>
        <v>7867043.0471999999</v>
      </c>
      <c r="P131" s="448">
        <f t="shared" si="126"/>
        <v>21000</v>
      </c>
      <c r="Q131" s="448">
        <f t="shared" si="127"/>
        <v>33000</v>
      </c>
      <c r="R131" s="448">
        <f t="shared" si="128"/>
        <v>75000</v>
      </c>
      <c r="S131" s="448">
        <f t="shared" si="129"/>
        <v>95000</v>
      </c>
      <c r="T131" s="448">
        <f t="shared" si="130"/>
        <v>336000</v>
      </c>
      <c r="U131" s="448">
        <f t="shared" si="103"/>
        <v>1120090.3313279999</v>
      </c>
      <c r="V131" s="448">
        <f>P131+Q131+R131+S131+T131+U131</f>
        <v>1680090.3313279999</v>
      </c>
      <c r="W131" s="455">
        <v>12</v>
      </c>
      <c r="X131" s="448">
        <f t="shared" si="131"/>
        <v>140007.52761066699</v>
      </c>
      <c r="Y131" s="451"/>
      <c r="Z131" s="459">
        <f t="shared" si="132"/>
        <v>140007.52761066699</v>
      </c>
      <c r="AA131" s="460">
        <v>92023.216202666707</v>
      </c>
      <c r="AB131" s="460">
        <f t="shared" si="134"/>
        <v>47984.311408000001</v>
      </c>
      <c r="AC131" s="460"/>
      <c r="AD131" s="460"/>
      <c r="AE131" s="460"/>
    </row>
    <row r="132" spans="1:31" ht="18.75">
      <c r="A132" s="445">
        <v>115</v>
      </c>
      <c r="B132" s="10" t="s">
        <v>518</v>
      </c>
      <c r="C132" s="448">
        <v>554373.75</v>
      </c>
      <c r="D132" s="447">
        <v>12</v>
      </c>
      <c r="E132" s="448">
        <f t="shared" si="133"/>
        <v>6652485</v>
      </c>
      <c r="F132" s="448">
        <f>712.24525*12</f>
        <v>8546.9429999999993</v>
      </c>
      <c r="G132" s="449">
        <v>464998.8</v>
      </c>
      <c r="H132" s="451"/>
      <c r="I132" s="448">
        <f t="shared" si="121"/>
        <v>6178939.2570000002</v>
      </c>
      <c r="J132" s="448">
        <v>200000</v>
      </c>
      <c r="K132" s="448">
        <v>0.2</v>
      </c>
      <c r="L132" s="448">
        <f t="shared" si="122"/>
        <v>1235787.8514</v>
      </c>
      <c r="M132" s="448">
        <f t="shared" si="123"/>
        <v>1435787.8514</v>
      </c>
      <c r="N132" s="448">
        <f t="shared" si="124"/>
        <v>1909333.5944000001</v>
      </c>
      <c r="O132" s="448">
        <f t="shared" si="125"/>
        <v>4743151.4056000002</v>
      </c>
      <c r="P132" s="448">
        <f t="shared" si="126"/>
        <v>21000</v>
      </c>
      <c r="Q132" s="448">
        <f t="shared" si="127"/>
        <v>33000</v>
      </c>
      <c r="R132" s="448">
        <f t="shared" si="128"/>
        <v>75000</v>
      </c>
      <c r="S132" s="448">
        <f t="shared" si="129"/>
        <v>95000</v>
      </c>
      <c r="T132" s="448">
        <f t="shared" si="130"/>
        <v>336000</v>
      </c>
      <c r="U132" s="448">
        <f t="shared" si="103"/>
        <v>370356.337344</v>
      </c>
      <c r="V132" s="448">
        <f t="shared" ref="V132:V187" si="135">P132+Q132+R132+S132+T132+U132</f>
        <v>930356.337344</v>
      </c>
      <c r="W132" s="455">
        <v>12</v>
      </c>
      <c r="X132" s="448">
        <f t="shared" si="131"/>
        <v>77529.694778666701</v>
      </c>
      <c r="Y132" s="451"/>
      <c r="Z132" s="459">
        <f t="shared" si="132"/>
        <v>77529.694778666701</v>
      </c>
      <c r="AA132" s="460">
        <v>46081.202598666699</v>
      </c>
      <c r="AB132" s="460">
        <f t="shared" si="134"/>
        <v>31448.492180000001</v>
      </c>
      <c r="AC132" s="460"/>
      <c r="AD132" s="460"/>
      <c r="AE132" s="460"/>
    </row>
    <row r="133" spans="1:31" ht="18.75">
      <c r="A133" s="445">
        <v>116</v>
      </c>
      <c r="B133" s="10" t="s">
        <v>520</v>
      </c>
      <c r="C133" s="448">
        <v>554373.75</v>
      </c>
      <c r="D133" s="447">
        <v>12</v>
      </c>
      <c r="E133" s="448">
        <f t="shared" si="133"/>
        <v>6652485</v>
      </c>
      <c r="F133" s="448">
        <f>712.24525*12</f>
        <v>8546.9429999999993</v>
      </c>
      <c r="G133" s="449">
        <v>464998.8</v>
      </c>
      <c r="H133" s="451"/>
      <c r="I133" s="448">
        <f t="shared" si="121"/>
        <v>6178939.2570000002</v>
      </c>
      <c r="J133" s="448">
        <v>200000</v>
      </c>
      <c r="K133" s="448">
        <v>0.2</v>
      </c>
      <c r="L133" s="448">
        <f t="shared" si="122"/>
        <v>1235787.8514</v>
      </c>
      <c r="M133" s="448">
        <f t="shared" si="123"/>
        <v>1435787.8514</v>
      </c>
      <c r="N133" s="448">
        <f t="shared" si="124"/>
        <v>1909333.5944000001</v>
      </c>
      <c r="O133" s="448">
        <f t="shared" si="125"/>
        <v>4743151.4056000002</v>
      </c>
      <c r="P133" s="448">
        <f t="shared" si="126"/>
        <v>21000</v>
      </c>
      <c r="Q133" s="448">
        <f t="shared" si="127"/>
        <v>33000</v>
      </c>
      <c r="R133" s="448">
        <f t="shared" si="128"/>
        <v>75000</v>
      </c>
      <c r="S133" s="448">
        <f t="shared" si="129"/>
        <v>95000</v>
      </c>
      <c r="T133" s="448">
        <f t="shared" si="130"/>
        <v>336000</v>
      </c>
      <c r="U133" s="448">
        <f t="shared" si="103"/>
        <v>370356.337344</v>
      </c>
      <c r="V133" s="448">
        <f t="shared" si="135"/>
        <v>930356.337344</v>
      </c>
      <c r="W133" s="455">
        <v>12</v>
      </c>
      <c r="X133" s="448">
        <f t="shared" si="131"/>
        <v>77529.694778666701</v>
      </c>
      <c r="Y133" s="451"/>
      <c r="Z133" s="459">
        <f t="shared" si="132"/>
        <v>77529.694778666701</v>
      </c>
      <c r="AA133" s="460">
        <v>46081.202598666699</v>
      </c>
      <c r="AB133" s="460">
        <f t="shared" si="134"/>
        <v>31448.492180000001</v>
      </c>
      <c r="AC133" s="460"/>
      <c r="AD133" s="460"/>
      <c r="AE133" s="460"/>
    </row>
    <row r="134" spans="1:31" ht="18.75">
      <c r="A134" s="445">
        <v>117</v>
      </c>
      <c r="B134" s="10" t="s">
        <v>522</v>
      </c>
      <c r="C134" s="448">
        <v>554373.75</v>
      </c>
      <c r="D134" s="447">
        <v>12</v>
      </c>
      <c r="E134" s="448">
        <f t="shared" si="133"/>
        <v>6652485</v>
      </c>
      <c r="F134" s="448">
        <f>712.24525*12</f>
        <v>8546.9429999999993</v>
      </c>
      <c r="G134" s="449">
        <v>464998.8</v>
      </c>
      <c r="H134" s="451"/>
      <c r="I134" s="448">
        <f t="shared" si="121"/>
        <v>6178939.2570000002</v>
      </c>
      <c r="J134" s="448">
        <v>200000</v>
      </c>
      <c r="K134" s="448">
        <v>0.2</v>
      </c>
      <c r="L134" s="448">
        <f t="shared" si="122"/>
        <v>1235787.8514</v>
      </c>
      <c r="M134" s="448">
        <f t="shared" si="123"/>
        <v>1435787.8514</v>
      </c>
      <c r="N134" s="448">
        <f t="shared" si="124"/>
        <v>1909333.5944000001</v>
      </c>
      <c r="O134" s="448">
        <f t="shared" si="125"/>
        <v>4743151.4056000002</v>
      </c>
      <c r="P134" s="448">
        <f t="shared" si="126"/>
        <v>21000</v>
      </c>
      <c r="Q134" s="448">
        <f t="shared" si="127"/>
        <v>33000</v>
      </c>
      <c r="R134" s="448">
        <f t="shared" si="128"/>
        <v>75000</v>
      </c>
      <c r="S134" s="448">
        <f t="shared" si="129"/>
        <v>95000</v>
      </c>
      <c r="T134" s="448">
        <f t="shared" si="130"/>
        <v>336000</v>
      </c>
      <c r="U134" s="448">
        <f t="shared" si="103"/>
        <v>370356.337344</v>
      </c>
      <c r="V134" s="448">
        <f t="shared" si="135"/>
        <v>930356.337344</v>
      </c>
      <c r="W134" s="455">
        <v>12</v>
      </c>
      <c r="X134" s="448">
        <f t="shared" si="131"/>
        <v>77529.694778666701</v>
      </c>
      <c r="Y134" s="451"/>
      <c r="Z134" s="459">
        <f t="shared" si="132"/>
        <v>77529.694778666701</v>
      </c>
      <c r="AA134" s="460">
        <v>46081.202598666699</v>
      </c>
      <c r="AB134" s="460">
        <f t="shared" si="134"/>
        <v>31448.492180000001</v>
      </c>
      <c r="AC134" s="460"/>
      <c r="AD134" s="460"/>
      <c r="AE134" s="460"/>
    </row>
    <row r="135" spans="1:31" ht="18.75">
      <c r="A135" s="445">
        <v>118</v>
      </c>
      <c r="B135" s="10" t="s">
        <v>523</v>
      </c>
      <c r="C135" s="448">
        <v>450086.5</v>
      </c>
      <c r="D135" s="447">
        <v>12</v>
      </c>
      <c r="E135" s="448">
        <f t="shared" si="133"/>
        <v>5401038</v>
      </c>
      <c r="F135" s="448">
        <f>576.62125*12</f>
        <v>6919.4549999999999</v>
      </c>
      <c r="G135" s="449">
        <v>374483.04</v>
      </c>
      <c r="H135" s="451"/>
      <c r="I135" s="448">
        <f t="shared" si="121"/>
        <v>5019635.5049999999</v>
      </c>
      <c r="J135" s="448">
        <v>200000</v>
      </c>
      <c r="K135" s="448">
        <v>0.2</v>
      </c>
      <c r="L135" s="448">
        <f t="shared" si="122"/>
        <v>1003927.101</v>
      </c>
      <c r="M135" s="448">
        <f t="shared" si="123"/>
        <v>1203927.101</v>
      </c>
      <c r="N135" s="448">
        <f t="shared" si="124"/>
        <v>1585329.5959999999</v>
      </c>
      <c r="O135" s="448">
        <f t="shared" si="125"/>
        <v>3815708.4040000001</v>
      </c>
      <c r="P135" s="448">
        <f t="shared" si="126"/>
        <v>21000</v>
      </c>
      <c r="Q135" s="448">
        <f t="shared" si="127"/>
        <v>33000</v>
      </c>
      <c r="R135" s="448">
        <f t="shared" si="128"/>
        <v>75000</v>
      </c>
      <c r="S135" s="448">
        <f t="shared" si="129"/>
        <v>95000</v>
      </c>
      <c r="T135" s="448">
        <f t="shared" si="130"/>
        <v>336000</v>
      </c>
      <c r="U135" s="448">
        <f t="shared" si="103"/>
        <v>147770.01696000001</v>
      </c>
      <c r="V135" s="448">
        <f t="shared" si="135"/>
        <v>707770.01696000004</v>
      </c>
      <c r="W135" s="455">
        <v>12</v>
      </c>
      <c r="X135" s="448">
        <f t="shared" si="131"/>
        <v>58980.834746666696</v>
      </c>
      <c r="Y135" s="451"/>
      <c r="Z135" s="459">
        <f t="shared" si="132"/>
        <v>58980.834746666696</v>
      </c>
      <c r="AA135" s="460">
        <v>35221.954086666701</v>
      </c>
      <c r="AB135" s="460">
        <f t="shared" si="134"/>
        <v>23758.880659999999</v>
      </c>
      <c r="AC135" s="460"/>
      <c r="AD135" s="460"/>
      <c r="AE135" s="460"/>
    </row>
    <row r="136" spans="1:31" ht="18.75">
      <c r="A136" s="445">
        <v>119</v>
      </c>
      <c r="B136" s="10" t="s">
        <v>525</v>
      </c>
      <c r="C136" s="448">
        <v>450086.5</v>
      </c>
      <c r="D136" s="447">
        <v>12</v>
      </c>
      <c r="E136" s="448">
        <f t="shared" si="133"/>
        <v>5401038</v>
      </c>
      <c r="F136" s="448"/>
      <c r="G136" s="449">
        <v>374483.04</v>
      </c>
      <c r="H136" s="451"/>
      <c r="I136" s="448">
        <f t="shared" si="121"/>
        <v>5026554.96</v>
      </c>
      <c r="J136" s="448">
        <v>200000</v>
      </c>
      <c r="K136" s="448">
        <v>0.2</v>
      </c>
      <c r="L136" s="448">
        <f t="shared" si="122"/>
        <v>1005310.992</v>
      </c>
      <c r="M136" s="448">
        <f t="shared" si="123"/>
        <v>1205310.9920000001</v>
      </c>
      <c r="N136" s="448">
        <f t="shared" si="124"/>
        <v>1579794.0319999999</v>
      </c>
      <c r="O136" s="448">
        <f t="shared" si="125"/>
        <v>3821243.9679999999</v>
      </c>
      <c r="P136" s="448">
        <f t="shared" si="126"/>
        <v>21000</v>
      </c>
      <c r="Q136" s="448">
        <f t="shared" si="127"/>
        <v>33000</v>
      </c>
      <c r="R136" s="448">
        <f t="shared" si="128"/>
        <v>75000</v>
      </c>
      <c r="S136" s="448">
        <f t="shared" si="129"/>
        <v>95000</v>
      </c>
      <c r="T136" s="448">
        <f t="shared" si="130"/>
        <v>336000</v>
      </c>
      <c r="U136" s="448">
        <f t="shared" si="103"/>
        <v>149098.55231999999</v>
      </c>
      <c r="V136" s="448">
        <f t="shared" si="135"/>
        <v>709098.55232000002</v>
      </c>
      <c r="W136" s="455">
        <v>12</v>
      </c>
      <c r="X136" s="448">
        <f t="shared" si="131"/>
        <v>59091.5460266667</v>
      </c>
      <c r="Y136" s="451"/>
      <c r="Z136" s="459">
        <f t="shared" si="132"/>
        <v>59091.5460266667</v>
      </c>
      <c r="AA136" s="460">
        <v>35318.826456666699</v>
      </c>
      <c r="AB136" s="460">
        <f t="shared" si="134"/>
        <v>23772.719570000001</v>
      </c>
      <c r="AC136" s="460"/>
      <c r="AD136" s="460"/>
      <c r="AE136" s="460"/>
    </row>
    <row r="137" spans="1:31" ht="18.75">
      <c r="A137" s="445">
        <v>120</v>
      </c>
      <c r="B137" s="10" t="s">
        <v>526</v>
      </c>
      <c r="C137" s="448">
        <v>450086.5</v>
      </c>
      <c r="D137" s="447">
        <v>12</v>
      </c>
      <c r="E137" s="448">
        <f t="shared" si="133"/>
        <v>5401038</v>
      </c>
      <c r="F137" s="448"/>
      <c r="G137" s="449">
        <v>374483.04</v>
      </c>
      <c r="H137" s="451"/>
      <c r="I137" s="448">
        <f t="shared" si="121"/>
        <v>5026554.96</v>
      </c>
      <c r="J137" s="448">
        <v>200000</v>
      </c>
      <c r="K137" s="448">
        <v>0.2</v>
      </c>
      <c r="L137" s="448">
        <f t="shared" si="122"/>
        <v>1005310.992</v>
      </c>
      <c r="M137" s="448">
        <f t="shared" si="123"/>
        <v>1205310.9920000001</v>
      </c>
      <c r="N137" s="448">
        <f t="shared" si="124"/>
        <v>1579794.0319999999</v>
      </c>
      <c r="O137" s="448">
        <f t="shared" si="125"/>
        <v>3821243.9679999999</v>
      </c>
      <c r="P137" s="448">
        <f t="shared" si="126"/>
        <v>21000</v>
      </c>
      <c r="Q137" s="448">
        <f t="shared" si="127"/>
        <v>33000</v>
      </c>
      <c r="R137" s="448">
        <f t="shared" si="128"/>
        <v>75000</v>
      </c>
      <c r="S137" s="448">
        <f t="shared" si="129"/>
        <v>95000</v>
      </c>
      <c r="T137" s="448">
        <f t="shared" si="130"/>
        <v>336000</v>
      </c>
      <c r="U137" s="448">
        <f t="shared" si="103"/>
        <v>149098.55231999999</v>
      </c>
      <c r="V137" s="448">
        <f t="shared" si="135"/>
        <v>709098.55232000002</v>
      </c>
      <c r="W137" s="455">
        <v>12</v>
      </c>
      <c r="X137" s="448">
        <f t="shared" si="131"/>
        <v>59091.5460266667</v>
      </c>
      <c r="Y137" s="451"/>
      <c r="Z137" s="459">
        <f t="shared" si="132"/>
        <v>59091.5460266667</v>
      </c>
      <c r="AA137" s="460">
        <v>35318.826456666699</v>
      </c>
      <c r="AB137" s="460">
        <f t="shared" si="134"/>
        <v>23772.719570000001</v>
      </c>
      <c r="AC137" s="460"/>
      <c r="AD137" s="460"/>
      <c r="AE137" s="460"/>
    </row>
    <row r="138" spans="1:31" ht="37.5">
      <c r="A138" s="445">
        <v>121</v>
      </c>
      <c r="B138" s="10" t="s">
        <v>528</v>
      </c>
      <c r="C138" s="448">
        <v>437895.16666666698</v>
      </c>
      <c r="D138" s="447">
        <v>12</v>
      </c>
      <c r="E138" s="448">
        <f t="shared" si="133"/>
        <v>5254742</v>
      </c>
      <c r="F138" s="448"/>
      <c r="G138" s="449">
        <v>362779.36</v>
      </c>
      <c r="H138" s="451"/>
      <c r="I138" s="448">
        <f t="shared" si="121"/>
        <v>4891962.6399999997</v>
      </c>
      <c r="J138" s="448">
        <v>200000</v>
      </c>
      <c r="K138" s="448">
        <v>0.2</v>
      </c>
      <c r="L138" s="448">
        <f t="shared" si="122"/>
        <v>978392.52800000098</v>
      </c>
      <c r="M138" s="448">
        <f t="shared" si="123"/>
        <v>1178392.5279999999</v>
      </c>
      <c r="N138" s="448">
        <f t="shared" si="124"/>
        <v>1541171.888</v>
      </c>
      <c r="O138" s="448">
        <f t="shared" si="125"/>
        <v>3713570.1120000002</v>
      </c>
      <c r="P138" s="448">
        <f t="shared" si="126"/>
        <v>21000</v>
      </c>
      <c r="Q138" s="448">
        <f t="shared" si="127"/>
        <v>33000</v>
      </c>
      <c r="R138" s="448">
        <f t="shared" si="128"/>
        <v>75000</v>
      </c>
      <c r="S138" s="448">
        <f t="shared" si="129"/>
        <v>95000</v>
      </c>
      <c r="T138" s="448">
        <f t="shared" si="130"/>
        <v>336000</v>
      </c>
      <c r="U138" s="448">
        <f t="shared" si="103"/>
        <v>123256.826880001</v>
      </c>
      <c r="V138" s="448">
        <f t="shared" si="135"/>
        <v>683256.826880001</v>
      </c>
      <c r="W138" s="455">
        <v>12</v>
      </c>
      <c r="X138" s="448">
        <f t="shared" si="131"/>
        <v>56938.068906666696</v>
      </c>
      <c r="Y138" s="451"/>
      <c r="Z138" s="459">
        <f t="shared" si="132"/>
        <v>56938.068906666696</v>
      </c>
      <c r="AA138" s="460">
        <v>34968.882414666703</v>
      </c>
      <c r="AB138" s="460">
        <f t="shared" si="134"/>
        <v>21969.186492000001</v>
      </c>
      <c r="AC138" s="460"/>
      <c r="AD138" s="460"/>
      <c r="AE138" s="460"/>
    </row>
    <row r="139" spans="1:31" ht="18.75">
      <c r="A139" s="445">
        <v>122</v>
      </c>
      <c r="B139" s="10" t="s">
        <v>530</v>
      </c>
      <c r="C139" s="448">
        <v>425703.83333333302</v>
      </c>
      <c r="D139" s="447">
        <v>12</v>
      </c>
      <c r="E139" s="448">
        <f t="shared" si="133"/>
        <v>5108446</v>
      </c>
      <c r="F139" s="448">
        <f>538.022*12</f>
        <v>6456.2640000000001</v>
      </c>
      <c r="G139" s="449">
        <v>351075.68</v>
      </c>
      <c r="H139" s="451"/>
      <c r="I139" s="448">
        <f t="shared" si="121"/>
        <v>4750914.0559999999</v>
      </c>
      <c r="J139" s="448">
        <v>200000</v>
      </c>
      <c r="K139" s="448">
        <v>0.2</v>
      </c>
      <c r="L139" s="448">
        <f t="shared" si="122"/>
        <v>950182.81119999895</v>
      </c>
      <c r="M139" s="448">
        <f t="shared" si="123"/>
        <v>1150182.8112000001</v>
      </c>
      <c r="N139" s="448">
        <f t="shared" si="124"/>
        <v>1507714.7552</v>
      </c>
      <c r="O139" s="448">
        <f t="shared" si="125"/>
        <v>3600731.2448</v>
      </c>
      <c r="P139" s="448">
        <f t="shared" si="126"/>
        <v>21000</v>
      </c>
      <c r="Q139" s="448">
        <f t="shared" si="127"/>
        <v>33000</v>
      </c>
      <c r="R139" s="448">
        <f t="shared" si="128"/>
        <v>75000</v>
      </c>
      <c r="S139" s="448">
        <f t="shared" si="129"/>
        <v>95000</v>
      </c>
      <c r="T139" s="448">
        <f t="shared" si="130"/>
        <v>336000</v>
      </c>
      <c r="U139" s="448">
        <f t="shared" si="103"/>
        <v>96175.498751999199</v>
      </c>
      <c r="V139" s="448">
        <f t="shared" si="135"/>
        <v>656175.498751999</v>
      </c>
      <c r="W139" s="455">
        <v>12</v>
      </c>
      <c r="X139" s="448">
        <f t="shared" si="131"/>
        <v>54681.2915626666</v>
      </c>
      <c r="Y139" s="451"/>
      <c r="Z139" s="459">
        <f t="shared" si="132"/>
        <v>54681.2915626666</v>
      </c>
      <c r="AA139" s="460">
        <v>32848.563402666703</v>
      </c>
      <c r="AB139" s="460">
        <f t="shared" si="134"/>
        <v>21832.728159999901</v>
      </c>
      <c r="AC139" s="460"/>
      <c r="AD139" s="460"/>
      <c r="AE139" s="460"/>
    </row>
    <row r="140" spans="1:31" ht="37.5">
      <c r="A140" s="445">
        <v>123</v>
      </c>
      <c r="B140" s="10" t="s">
        <v>532</v>
      </c>
      <c r="C140" s="448">
        <v>450086.5</v>
      </c>
      <c r="D140" s="447">
        <v>12</v>
      </c>
      <c r="E140" s="448">
        <f t="shared" si="133"/>
        <v>5401038</v>
      </c>
      <c r="F140" s="448">
        <f>576.62125*12</f>
        <v>6919.4549999999999</v>
      </c>
      <c r="G140" s="449">
        <v>374483.04</v>
      </c>
      <c r="H140" s="451"/>
      <c r="I140" s="448">
        <f t="shared" si="121"/>
        <v>5019635.5049999999</v>
      </c>
      <c r="J140" s="448">
        <v>200000</v>
      </c>
      <c r="K140" s="448">
        <v>0.2</v>
      </c>
      <c r="L140" s="448">
        <f t="shared" si="122"/>
        <v>1003927.101</v>
      </c>
      <c r="M140" s="448">
        <f t="shared" si="123"/>
        <v>1203927.101</v>
      </c>
      <c r="N140" s="448">
        <f t="shared" si="124"/>
        <v>1585329.5959999999</v>
      </c>
      <c r="O140" s="448">
        <f t="shared" si="125"/>
        <v>3815708.4040000001</v>
      </c>
      <c r="P140" s="448">
        <f t="shared" si="126"/>
        <v>21000</v>
      </c>
      <c r="Q140" s="448">
        <f t="shared" si="127"/>
        <v>33000</v>
      </c>
      <c r="R140" s="448">
        <f t="shared" si="128"/>
        <v>75000</v>
      </c>
      <c r="S140" s="448">
        <f t="shared" si="129"/>
        <v>95000</v>
      </c>
      <c r="T140" s="448">
        <f t="shared" si="130"/>
        <v>336000</v>
      </c>
      <c r="U140" s="448">
        <f t="shared" si="103"/>
        <v>147770.01696000001</v>
      </c>
      <c r="V140" s="448">
        <f t="shared" si="135"/>
        <v>707770.01696000004</v>
      </c>
      <c r="W140" s="455">
        <v>12</v>
      </c>
      <c r="X140" s="448">
        <f t="shared" si="131"/>
        <v>58980.834746666696</v>
      </c>
      <c r="Y140" s="451"/>
      <c r="Z140" s="459">
        <f t="shared" si="132"/>
        <v>58980.834746666696</v>
      </c>
      <c r="AA140" s="460">
        <v>35221.954086666701</v>
      </c>
      <c r="AB140" s="460">
        <f t="shared" si="134"/>
        <v>23758.880659999999</v>
      </c>
      <c r="AC140" s="460"/>
      <c r="AD140" s="460"/>
      <c r="AE140" s="460"/>
    </row>
    <row r="141" spans="1:31" ht="18.75">
      <c r="A141" s="445">
        <v>124</v>
      </c>
      <c r="B141" s="17" t="s">
        <v>534</v>
      </c>
      <c r="C141" s="448">
        <v>413512.5</v>
      </c>
      <c r="D141" s="447">
        <v>12</v>
      </c>
      <c r="E141" s="448">
        <f t="shared" si="133"/>
        <v>4962150</v>
      </c>
      <c r="F141" s="448">
        <v>0</v>
      </c>
      <c r="G141" s="449">
        <v>339372</v>
      </c>
      <c r="H141" s="451"/>
      <c r="I141" s="448">
        <f t="shared" si="121"/>
        <v>4622778</v>
      </c>
      <c r="J141" s="448">
        <v>200000</v>
      </c>
      <c r="K141" s="448">
        <v>0.2</v>
      </c>
      <c r="L141" s="448">
        <f t="shared" si="122"/>
        <v>924555.6</v>
      </c>
      <c r="M141" s="448">
        <f t="shared" si="123"/>
        <v>1124555.6000000001</v>
      </c>
      <c r="N141" s="448">
        <f t="shared" si="124"/>
        <v>1463927.6</v>
      </c>
      <c r="O141" s="448">
        <f t="shared" si="125"/>
        <v>3498222.4</v>
      </c>
      <c r="P141" s="448">
        <f t="shared" si="126"/>
        <v>21000</v>
      </c>
      <c r="Q141" s="448">
        <f t="shared" si="127"/>
        <v>33000</v>
      </c>
      <c r="R141" s="448">
        <f t="shared" si="128"/>
        <v>75000</v>
      </c>
      <c r="S141" s="448">
        <f t="shared" si="129"/>
        <v>95000</v>
      </c>
      <c r="T141" s="448">
        <f t="shared" si="130"/>
        <v>336000</v>
      </c>
      <c r="U141" s="448">
        <f t="shared" si="103"/>
        <v>71573.376000000004</v>
      </c>
      <c r="V141" s="448">
        <f t="shared" si="135"/>
        <v>631573.37600000005</v>
      </c>
      <c r="W141" s="455">
        <v>12</v>
      </c>
      <c r="X141" s="448">
        <f t="shared" si="131"/>
        <v>52631.114666666697</v>
      </c>
      <c r="Y141" s="451"/>
      <c r="Z141" s="459">
        <f t="shared" si="132"/>
        <v>52631.114666666697</v>
      </c>
      <c r="AA141" s="460">
        <v>31749.175266666702</v>
      </c>
      <c r="AB141" s="460">
        <f t="shared" si="134"/>
        <v>20881.939399999999</v>
      </c>
      <c r="AC141" s="460"/>
      <c r="AD141" s="460"/>
      <c r="AE141" s="460"/>
    </row>
    <row r="142" spans="1:31" ht="18.75">
      <c r="A142" s="445">
        <v>125</v>
      </c>
      <c r="B142" s="10" t="s">
        <v>536</v>
      </c>
      <c r="C142" s="448">
        <v>368901.5</v>
      </c>
      <c r="D142" s="447">
        <v>12</v>
      </c>
      <c r="E142" s="448">
        <f t="shared" si="133"/>
        <v>4426818</v>
      </c>
      <c r="F142" s="448"/>
      <c r="G142" s="449">
        <v>296545.44</v>
      </c>
      <c r="H142" s="451"/>
      <c r="I142" s="448">
        <f t="shared" si="121"/>
        <v>4130272.56</v>
      </c>
      <c r="J142" s="448">
        <v>200000</v>
      </c>
      <c r="K142" s="448">
        <v>0.2</v>
      </c>
      <c r="L142" s="448">
        <f t="shared" si="122"/>
        <v>826054.51199999999</v>
      </c>
      <c r="M142" s="448">
        <f t="shared" si="123"/>
        <v>1026054.512</v>
      </c>
      <c r="N142" s="448">
        <f t="shared" si="124"/>
        <v>1322599.952</v>
      </c>
      <c r="O142" s="448">
        <f t="shared" si="125"/>
        <v>3104218.048</v>
      </c>
      <c r="P142" s="448">
        <f t="shared" si="126"/>
        <v>21000</v>
      </c>
      <c r="Q142" s="448">
        <f t="shared" si="127"/>
        <v>33000</v>
      </c>
      <c r="R142" s="448">
        <f t="shared" si="128"/>
        <v>75000</v>
      </c>
      <c r="S142" s="448">
        <f t="shared" si="129"/>
        <v>95000</v>
      </c>
      <c r="T142" s="448">
        <f t="shared" si="130"/>
        <v>315885.79008000001</v>
      </c>
      <c r="U142" s="448"/>
      <c r="V142" s="448">
        <f t="shared" si="135"/>
        <v>539885.79007999995</v>
      </c>
      <c r="W142" s="455">
        <v>12</v>
      </c>
      <c r="X142" s="448">
        <f t="shared" si="131"/>
        <v>44990.482506666704</v>
      </c>
      <c r="Y142" s="451"/>
      <c r="Z142" s="459">
        <f t="shared" si="132"/>
        <v>44990.482506666704</v>
      </c>
      <c r="AA142" s="460">
        <v>27105.986562666702</v>
      </c>
      <c r="AB142" s="460">
        <f t="shared" si="134"/>
        <v>17884.495943999998</v>
      </c>
      <c r="AC142" s="460"/>
      <c r="AD142" s="460"/>
      <c r="AE142" s="460"/>
    </row>
    <row r="143" spans="1:31" ht="18.75">
      <c r="A143" s="445">
        <v>126</v>
      </c>
      <c r="B143" s="10" t="s">
        <v>538</v>
      </c>
      <c r="C143" s="448">
        <v>376837.41666666698</v>
      </c>
      <c r="D143" s="447">
        <v>12</v>
      </c>
      <c r="E143" s="448">
        <f t="shared" si="133"/>
        <v>4522049</v>
      </c>
      <c r="F143" s="448">
        <f>469.4825*12</f>
        <v>5633.79</v>
      </c>
      <c r="G143" s="449">
        <v>304163.92</v>
      </c>
      <c r="H143" s="451"/>
      <c r="I143" s="448">
        <f t="shared" si="121"/>
        <v>4212251.29</v>
      </c>
      <c r="J143" s="448">
        <v>200000</v>
      </c>
      <c r="K143" s="448">
        <v>0.2</v>
      </c>
      <c r="L143" s="448">
        <f t="shared" si="122"/>
        <v>842450.25800000096</v>
      </c>
      <c r="M143" s="448">
        <f t="shared" si="123"/>
        <v>1042450.258</v>
      </c>
      <c r="N143" s="448">
        <f t="shared" si="124"/>
        <v>1352247.9680000001</v>
      </c>
      <c r="O143" s="448">
        <f t="shared" si="125"/>
        <v>3169801.0320000001</v>
      </c>
      <c r="P143" s="448">
        <f t="shared" si="126"/>
        <v>21000</v>
      </c>
      <c r="Q143" s="448">
        <f t="shared" si="127"/>
        <v>33000</v>
      </c>
      <c r="R143" s="448">
        <f t="shared" si="128"/>
        <v>75000</v>
      </c>
      <c r="S143" s="448">
        <f t="shared" si="129"/>
        <v>95000</v>
      </c>
      <c r="T143" s="448">
        <f t="shared" si="130"/>
        <v>329658.21672000102</v>
      </c>
      <c r="U143" s="448"/>
      <c r="V143" s="448">
        <f t="shared" si="135"/>
        <v>553658.21672000096</v>
      </c>
      <c r="W143" s="455">
        <v>12</v>
      </c>
      <c r="X143" s="448">
        <f t="shared" si="131"/>
        <v>46138.184726666703</v>
      </c>
      <c r="Y143" s="451"/>
      <c r="Z143" s="459">
        <f t="shared" si="132"/>
        <v>46138.184726666703</v>
      </c>
      <c r="AA143" s="460">
        <v>27794.206626666699</v>
      </c>
      <c r="AB143" s="460">
        <f t="shared" si="134"/>
        <v>18343.9781</v>
      </c>
      <c r="AC143" s="460"/>
      <c r="AD143" s="460"/>
      <c r="AE143" s="460"/>
    </row>
    <row r="144" spans="1:31" ht="18.75">
      <c r="A144" s="445">
        <v>127</v>
      </c>
      <c r="B144" s="10" t="s">
        <v>540</v>
      </c>
      <c r="C144" s="448">
        <v>376837.41666666698</v>
      </c>
      <c r="D144" s="447">
        <v>12</v>
      </c>
      <c r="E144" s="448">
        <f t="shared" si="133"/>
        <v>4522049</v>
      </c>
      <c r="F144" s="448"/>
      <c r="G144" s="449">
        <v>304163.92</v>
      </c>
      <c r="H144" s="451"/>
      <c r="I144" s="448">
        <f t="shared" si="121"/>
        <v>4217885.08</v>
      </c>
      <c r="J144" s="448">
        <v>200000</v>
      </c>
      <c r="K144" s="448">
        <v>0.2</v>
      </c>
      <c r="L144" s="448">
        <f t="shared" si="122"/>
        <v>843577.01600000099</v>
      </c>
      <c r="M144" s="448">
        <f t="shared" si="123"/>
        <v>1043577.0159999999</v>
      </c>
      <c r="N144" s="448">
        <f t="shared" si="124"/>
        <v>1347740.936</v>
      </c>
      <c r="O144" s="448">
        <f t="shared" si="125"/>
        <v>3174308.0639999998</v>
      </c>
      <c r="P144" s="448">
        <f t="shared" si="126"/>
        <v>21000</v>
      </c>
      <c r="Q144" s="448">
        <f t="shared" si="127"/>
        <v>33000</v>
      </c>
      <c r="R144" s="448">
        <f t="shared" si="128"/>
        <v>75000</v>
      </c>
      <c r="S144" s="448">
        <f t="shared" si="129"/>
        <v>95000</v>
      </c>
      <c r="T144" s="448">
        <f t="shared" si="130"/>
        <v>330604.69344000099</v>
      </c>
      <c r="U144" s="448"/>
      <c r="V144" s="448">
        <f t="shared" si="135"/>
        <v>554604.69344000099</v>
      </c>
      <c r="W144" s="455">
        <v>12</v>
      </c>
      <c r="X144" s="448">
        <f t="shared" si="131"/>
        <v>46217.057786666701</v>
      </c>
      <c r="Y144" s="451"/>
      <c r="Z144" s="459">
        <f t="shared" si="132"/>
        <v>46217.057786666701</v>
      </c>
      <c r="AA144" s="460">
        <v>27873.079686666701</v>
      </c>
      <c r="AB144" s="460">
        <f t="shared" si="134"/>
        <v>18343.9781</v>
      </c>
      <c r="AC144" s="460"/>
      <c r="AD144" s="460"/>
      <c r="AE144" s="460"/>
    </row>
    <row r="145" spans="1:31" ht="18.75">
      <c r="A145" s="445">
        <v>128</v>
      </c>
      <c r="B145" s="10" t="s">
        <v>541</v>
      </c>
      <c r="C145" s="448">
        <v>360965.58333333302</v>
      </c>
      <c r="D145" s="447">
        <v>12</v>
      </c>
      <c r="E145" s="448">
        <f t="shared" si="133"/>
        <v>4331587</v>
      </c>
      <c r="F145" s="448"/>
      <c r="G145" s="449">
        <v>288926.96000000002</v>
      </c>
      <c r="H145" s="451"/>
      <c r="I145" s="448">
        <f t="shared" si="121"/>
        <v>4042660.04</v>
      </c>
      <c r="J145" s="448">
        <v>200000</v>
      </c>
      <c r="K145" s="448">
        <v>0.2</v>
      </c>
      <c r="L145" s="448">
        <f t="shared" si="122"/>
        <v>808532.00799999898</v>
      </c>
      <c r="M145" s="448">
        <f t="shared" si="123"/>
        <v>1008532.008</v>
      </c>
      <c r="N145" s="448">
        <f t="shared" si="124"/>
        <v>1297458.9680000001</v>
      </c>
      <c r="O145" s="448">
        <f t="shared" si="125"/>
        <v>3034128.0320000001</v>
      </c>
      <c r="P145" s="448">
        <f t="shared" si="126"/>
        <v>21000</v>
      </c>
      <c r="Q145" s="448">
        <f t="shared" si="127"/>
        <v>33000</v>
      </c>
      <c r="R145" s="448">
        <f t="shared" si="128"/>
        <v>75000</v>
      </c>
      <c r="S145" s="448">
        <f t="shared" si="129"/>
        <v>95000</v>
      </c>
      <c r="T145" s="448">
        <f t="shared" si="130"/>
        <v>301166.88671999902</v>
      </c>
      <c r="U145" s="448"/>
      <c r="V145" s="448">
        <f t="shared" si="135"/>
        <v>525166.88671999902</v>
      </c>
      <c r="W145" s="455">
        <v>12</v>
      </c>
      <c r="X145" s="448">
        <f t="shared" si="131"/>
        <v>43763.907226666597</v>
      </c>
      <c r="Y145" s="451"/>
      <c r="Z145" s="459">
        <f t="shared" si="132"/>
        <v>43763.907226666597</v>
      </c>
      <c r="AA145" s="460">
        <v>27105.986562666702</v>
      </c>
      <c r="AB145" s="460">
        <f t="shared" si="134"/>
        <v>16657.920663999899</v>
      </c>
      <c r="AC145" s="460"/>
      <c r="AD145" s="460"/>
      <c r="AE145" s="460"/>
    </row>
    <row r="146" spans="1:31" ht="37.5">
      <c r="A146" s="445">
        <v>129</v>
      </c>
      <c r="B146" s="10" t="s">
        <v>543</v>
      </c>
      <c r="C146" s="448">
        <v>323165.33333333302</v>
      </c>
      <c r="D146" s="447">
        <v>12</v>
      </c>
      <c r="E146" s="448">
        <f t="shared" si="133"/>
        <v>3877984</v>
      </c>
      <c r="F146" s="448"/>
      <c r="G146" s="449">
        <v>252638.72</v>
      </c>
      <c r="H146" s="451"/>
      <c r="I146" s="448">
        <f t="shared" si="121"/>
        <v>3625345.28</v>
      </c>
      <c r="J146" s="448">
        <v>200000</v>
      </c>
      <c r="K146" s="448">
        <v>0.2</v>
      </c>
      <c r="L146" s="448">
        <f t="shared" si="122"/>
        <v>725069.05599999905</v>
      </c>
      <c r="M146" s="448">
        <f t="shared" si="123"/>
        <v>925069.05599999905</v>
      </c>
      <c r="N146" s="448">
        <f t="shared" si="124"/>
        <v>1177707.7760000001</v>
      </c>
      <c r="O146" s="448">
        <f t="shared" si="125"/>
        <v>2700276.2239999999</v>
      </c>
      <c r="P146" s="448">
        <f t="shared" si="126"/>
        <v>21000</v>
      </c>
      <c r="Q146" s="448">
        <f t="shared" si="127"/>
        <v>33000</v>
      </c>
      <c r="R146" s="448">
        <f t="shared" si="128"/>
        <v>75000</v>
      </c>
      <c r="S146" s="448">
        <f t="shared" si="129"/>
        <v>95000</v>
      </c>
      <c r="T146" s="448">
        <f t="shared" si="130"/>
        <v>231058.00703999901</v>
      </c>
      <c r="U146" s="448"/>
      <c r="V146" s="448">
        <f t="shared" si="135"/>
        <v>455058.00703999901</v>
      </c>
      <c r="W146" s="455">
        <v>12</v>
      </c>
      <c r="X146" s="448">
        <f t="shared" si="131"/>
        <v>37921.500586666603</v>
      </c>
      <c r="Y146" s="451"/>
      <c r="Z146" s="459">
        <f t="shared" si="132"/>
        <v>37921.500586666603</v>
      </c>
      <c r="AA146" s="460">
        <v>22338.4826046667</v>
      </c>
      <c r="AB146" s="460">
        <f t="shared" si="134"/>
        <v>15583.017981999899</v>
      </c>
      <c r="AC146" s="460"/>
      <c r="AD146" s="460"/>
      <c r="AE146" s="460"/>
    </row>
    <row r="147" spans="1:31" ht="18.75">
      <c r="A147" s="445">
        <v>130</v>
      </c>
      <c r="B147" s="10" t="s">
        <v>545</v>
      </c>
      <c r="C147" s="448">
        <v>368901.5</v>
      </c>
      <c r="D147" s="447">
        <v>12</v>
      </c>
      <c r="E147" s="448">
        <f t="shared" si="133"/>
        <v>4426818</v>
      </c>
      <c r="F147" s="448"/>
      <c r="G147" s="449">
        <v>296545.44</v>
      </c>
      <c r="H147" s="451"/>
      <c r="I147" s="448">
        <f t="shared" si="121"/>
        <v>4130272.56</v>
      </c>
      <c r="J147" s="448">
        <v>200000</v>
      </c>
      <c r="K147" s="448">
        <v>0.2</v>
      </c>
      <c r="L147" s="448">
        <f t="shared" si="122"/>
        <v>826054.51199999999</v>
      </c>
      <c r="M147" s="448">
        <f t="shared" si="123"/>
        <v>1026054.512</v>
      </c>
      <c r="N147" s="448">
        <f t="shared" si="124"/>
        <v>1322599.952</v>
      </c>
      <c r="O147" s="448">
        <f t="shared" si="125"/>
        <v>3104218.048</v>
      </c>
      <c r="P147" s="448">
        <f t="shared" si="126"/>
        <v>21000</v>
      </c>
      <c r="Q147" s="448">
        <f t="shared" si="127"/>
        <v>33000</v>
      </c>
      <c r="R147" s="448">
        <f t="shared" si="128"/>
        <v>75000</v>
      </c>
      <c r="S147" s="448">
        <f t="shared" si="129"/>
        <v>95000</v>
      </c>
      <c r="T147" s="448">
        <f t="shared" si="130"/>
        <v>315885.79008000001</v>
      </c>
      <c r="U147" s="448"/>
      <c r="V147" s="448">
        <f t="shared" si="135"/>
        <v>539885.79007999995</v>
      </c>
      <c r="W147" s="455">
        <v>12</v>
      </c>
      <c r="X147" s="448">
        <f t="shared" si="131"/>
        <v>44990.482506666704</v>
      </c>
      <c r="Y147" s="451"/>
      <c r="Z147" s="459">
        <f t="shared" si="132"/>
        <v>44990.482506666704</v>
      </c>
      <c r="AA147" s="460">
        <v>27105.986562666702</v>
      </c>
      <c r="AB147" s="460">
        <f t="shared" si="134"/>
        <v>17884.495943999998</v>
      </c>
      <c r="AC147" s="460"/>
      <c r="AD147" s="460"/>
      <c r="AE147" s="460"/>
    </row>
    <row r="148" spans="1:31" ht="18.75">
      <c r="A148" s="445">
        <v>131</v>
      </c>
      <c r="B148" s="10" t="s">
        <v>547</v>
      </c>
      <c r="C148" s="448">
        <v>330481.66666666698</v>
      </c>
      <c r="D148" s="447">
        <v>12</v>
      </c>
      <c r="E148" s="448">
        <f t="shared" si="133"/>
        <v>3965780</v>
      </c>
      <c r="F148" s="448"/>
      <c r="G148" s="449">
        <v>259662.4</v>
      </c>
      <c r="H148" s="451"/>
      <c r="I148" s="448">
        <f t="shared" si="121"/>
        <v>3706117.6</v>
      </c>
      <c r="J148" s="448">
        <v>200000</v>
      </c>
      <c r="K148" s="448">
        <v>0.2</v>
      </c>
      <c r="L148" s="448">
        <f t="shared" si="122"/>
        <v>741223.52000000095</v>
      </c>
      <c r="M148" s="448">
        <f t="shared" si="123"/>
        <v>941223.52000000095</v>
      </c>
      <c r="N148" s="448">
        <f t="shared" si="124"/>
        <v>1200885.92</v>
      </c>
      <c r="O148" s="448">
        <f t="shared" si="125"/>
        <v>2764894.08</v>
      </c>
      <c r="P148" s="448">
        <f t="shared" si="126"/>
        <v>21000</v>
      </c>
      <c r="Q148" s="448">
        <f t="shared" si="127"/>
        <v>33000</v>
      </c>
      <c r="R148" s="448">
        <f t="shared" si="128"/>
        <v>75000</v>
      </c>
      <c r="S148" s="448">
        <f t="shared" si="129"/>
        <v>95000</v>
      </c>
      <c r="T148" s="448">
        <f t="shared" si="130"/>
        <v>244627.75680000099</v>
      </c>
      <c r="U148" s="448"/>
      <c r="V148" s="448">
        <f t="shared" si="135"/>
        <v>468627.75680000102</v>
      </c>
      <c r="W148" s="455">
        <v>12</v>
      </c>
      <c r="X148" s="448">
        <f t="shared" si="131"/>
        <v>39052.313066666698</v>
      </c>
      <c r="Y148" s="451"/>
      <c r="Z148" s="459">
        <f t="shared" si="132"/>
        <v>39052.313066666698</v>
      </c>
      <c r="AA148" s="460">
        <v>23036.012346666699</v>
      </c>
      <c r="AB148" s="460">
        <f t="shared" si="134"/>
        <v>16016.300719999999</v>
      </c>
      <c r="AC148" s="460"/>
      <c r="AD148" s="460"/>
      <c r="AE148" s="460"/>
    </row>
    <row r="149" spans="1:31" ht="18.75">
      <c r="A149" s="445">
        <v>132</v>
      </c>
      <c r="B149" s="10" t="s">
        <v>549</v>
      </c>
      <c r="C149" s="448">
        <v>368901.5</v>
      </c>
      <c r="D149" s="447">
        <v>12</v>
      </c>
      <c r="E149" s="448">
        <f t="shared" si="133"/>
        <v>4426818</v>
      </c>
      <c r="F149" s="448">
        <f>457.041*12</f>
        <v>5484.4920000000002</v>
      </c>
      <c r="G149" s="449">
        <v>296545.44</v>
      </c>
      <c r="H149" s="451"/>
      <c r="I149" s="448">
        <f t="shared" si="121"/>
        <v>4124788.068</v>
      </c>
      <c r="J149" s="448">
        <v>200000</v>
      </c>
      <c r="K149" s="448">
        <v>0.2</v>
      </c>
      <c r="L149" s="448">
        <f t="shared" si="122"/>
        <v>824957.61360000004</v>
      </c>
      <c r="M149" s="448">
        <f t="shared" si="123"/>
        <v>1024957.6136</v>
      </c>
      <c r="N149" s="448">
        <f t="shared" si="124"/>
        <v>1326987.5456000001</v>
      </c>
      <c r="O149" s="448">
        <f t="shared" si="125"/>
        <v>3099830.4544000002</v>
      </c>
      <c r="P149" s="448">
        <f t="shared" si="126"/>
        <v>21000</v>
      </c>
      <c r="Q149" s="448">
        <f t="shared" si="127"/>
        <v>33000</v>
      </c>
      <c r="R149" s="448">
        <f t="shared" si="128"/>
        <v>75000</v>
      </c>
      <c r="S149" s="448">
        <f t="shared" si="129"/>
        <v>95000</v>
      </c>
      <c r="T149" s="448">
        <f t="shared" si="130"/>
        <v>314964.39542399999</v>
      </c>
      <c r="U149" s="448"/>
      <c r="V149" s="448">
        <f t="shared" si="135"/>
        <v>538964.39542399999</v>
      </c>
      <c r="W149" s="455">
        <v>12</v>
      </c>
      <c r="X149" s="448">
        <f t="shared" si="131"/>
        <v>44913.699618666702</v>
      </c>
      <c r="Y149" s="451"/>
      <c r="Z149" s="459">
        <f t="shared" si="132"/>
        <v>44913.699618666702</v>
      </c>
      <c r="AA149" s="460">
        <v>27029.2036746667</v>
      </c>
      <c r="AB149" s="460">
        <f t="shared" si="134"/>
        <v>17884.495943999998</v>
      </c>
      <c r="AC149" s="460"/>
      <c r="AD149" s="460"/>
      <c r="AE149" s="460"/>
    </row>
    <row r="150" spans="1:31" ht="18.75">
      <c r="A150" s="445">
        <v>133</v>
      </c>
      <c r="B150" s="10" t="s">
        <v>551</v>
      </c>
      <c r="C150" s="448">
        <v>330481.66666666698</v>
      </c>
      <c r="D150" s="447">
        <v>12</v>
      </c>
      <c r="E150" s="448">
        <f t="shared" si="133"/>
        <v>3965780</v>
      </c>
      <c r="F150" s="448"/>
      <c r="G150" s="449">
        <v>259662.4</v>
      </c>
      <c r="H150" s="451"/>
      <c r="I150" s="448">
        <f t="shared" si="121"/>
        <v>3706117.6</v>
      </c>
      <c r="J150" s="448">
        <v>200000</v>
      </c>
      <c r="K150" s="448">
        <v>0.2</v>
      </c>
      <c r="L150" s="448">
        <f t="shared" si="122"/>
        <v>741223.52000000095</v>
      </c>
      <c r="M150" s="448">
        <f t="shared" si="123"/>
        <v>941223.52000000095</v>
      </c>
      <c r="N150" s="448">
        <f t="shared" si="124"/>
        <v>1200885.92</v>
      </c>
      <c r="O150" s="448">
        <f t="shared" si="125"/>
        <v>2764894.08</v>
      </c>
      <c r="P150" s="448">
        <f t="shared" si="126"/>
        <v>21000</v>
      </c>
      <c r="Q150" s="448">
        <f t="shared" si="127"/>
        <v>33000</v>
      </c>
      <c r="R150" s="448">
        <f t="shared" si="128"/>
        <v>75000</v>
      </c>
      <c r="S150" s="448">
        <f t="shared" si="129"/>
        <v>95000</v>
      </c>
      <c r="T150" s="448">
        <f t="shared" si="130"/>
        <v>244627.75680000099</v>
      </c>
      <c r="U150" s="448"/>
      <c r="V150" s="448">
        <f t="shared" si="135"/>
        <v>468627.75680000102</v>
      </c>
      <c r="W150" s="455">
        <v>12</v>
      </c>
      <c r="X150" s="448">
        <f t="shared" si="131"/>
        <v>39052.313066666698</v>
      </c>
      <c r="Y150" s="451"/>
      <c r="Z150" s="459">
        <f t="shared" si="132"/>
        <v>39052.313066666698</v>
      </c>
      <c r="AA150" s="460">
        <v>22338.4826046667</v>
      </c>
      <c r="AB150" s="460">
        <f t="shared" si="134"/>
        <v>16713.830462000002</v>
      </c>
      <c r="AC150" s="460"/>
      <c r="AD150" s="460"/>
      <c r="AE150" s="460"/>
    </row>
    <row r="151" spans="1:31" ht="18.75">
      <c r="A151" s="445">
        <v>134</v>
      </c>
      <c r="B151" s="17" t="s">
        <v>553</v>
      </c>
      <c r="C151" s="448">
        <v>315849</v>
      </c>
      <c r="D151" s="447">
        <v>12</v>
      </c>
      <c r="E151" s="448">
        <f t="shared" si="133"/>
        <v>3790188</v>
      </c>
      <c r="F151" s="448"/>
      <c r="G151" s="449">
        <v>245615.04</v>
      </c>
      <c r="H151" s="451"/>
      <c r="I151" s="448">
        <f t="shared" si="121"/>
        <v>3544572.96</v>
      </c>
      <c r="J151" s="448">
        <v>200000</v>
      </c>
      <c r="K151" s="448">
        <v>0.2</v>
      </c>
      <c r="L151" s="448">
        <f t="shared" si="122"/>
        <v>708914.59199999995</v>
      </c>
      <c r="M151" s="448">
        <f t="shared" si="123"/>
        <v>908914.59199999995</v>
      </c>
      <c r="N151" s="448">
        <f t="shared" si="124"/>
        <v>1154529.632</v>
      </c>
      <c r="O151" s="448">
        <f t="shared" si="125"/>
        <v>2635658.3679999998</v>
      </c>
      <c r="P151" s="448">
        <f t="shared" si="126"/>
        <v>21000</v>
      </c>
      <c r="Q151" s="448">
        <f t="shared" si="127"/>
        <v>33000</v>
      </c>
      <c r="R151" s="448">
        <f t="shared" si="128"/>
        <v>75000</v>
      </c>
      <c r="S151" s="448">
        <f t="shared" si="129"/>
        <v>95000</v>
      </c>
      <c r="T151" s="448">
        <f t="shared" si="130"/>
        <v>217488.25727999999</v>
      </c>
      <c r="U151" s="448"/>
      <c r="V151" s="448">
        <f t="shared" si="135"/>
        <v>441488.25728000002</v>
      </c>
      <c r="W151" s="455">
        <v>12</v>
      </c>
      <c r="X151" s="448">
        <f t="shared" si="131"/>
        <v>36790.688106666697</v>
      </c>
      <c r="Y151" s="451"/>
      <c r="Z151" s="459">
        <f t="shared" si="132"/>
        <v>36790.688106666697</v>
      </c>
      <c r="AA151" s="460">
        <v>21640.952862666702</v>
      </c>
      <c r="AB151" s="460">
        <f t="shared" si="134"/>
        <v>15149.735244</v>
      </c>
      <c r="AC151" s="460"/>
      <c r="AD151" s="460"/>
      <c r="AE151" s="460"/>
    </row>
    <row r="152" spans="1:31" ht="18.75">
      <c r="A152" s="445">
        <v>135</v>
      </c>
      <c r="B152" s="17" t="s">
        <v>555</v>
      </c>
      <c r="C152" s="448">
        <v>274459.75</v>
      </c>
      <c r="D152" s="447">
        <v>12</v>
      </c>
      <c r="E152" s="448">
        <f t="shared" si="133"/>
        <v>3293517</v>
      </c>
      <c r="F152" s="448">
        <v>0</v>
      </c>
      <c r="G152" s="449">
        <v>215481.36</v>
      </c>
      <c r="H152" s="451"/>
      <c r="I152" s="448">
        <f t="shared" si="121"/>
        <v>3078035.64</v>
      </c>
      <c r="J152" s="448">
        <v>200000</v>
      </c>
      <c r="K152" s="448">
        <v>0.2</v>
      </c>
      <c r="L152" s="448">
        <f t="shared" si="122"/>
        <v>615607.12800000003</v>
      </c>
      <c r="M152" s="448">
        <f t="shared" si="123"/>
        <v>815607.12800000003</v>
      </c>
      <c r="N152" s="448">
        <f t="shared" si="124"/>
        <v>1031088.488</v>
      </c>
      <c r="O152" s="448">
        <f t="shared" si="125"/>
        <v>2262428.5120000001</v>
      </c>
      <c r="P152" s="448">
        <f t="shared" si="126"/>
        <v>21000</v>
      </c>
      <c r="Q152" s="448">
        <f t="shared" si="127"/>
        <v>33000</v>
      </c>
      <c r="R152" s="448">
        <f t="shared" si="128"/>
        <v>75000</v>
      </c>
      <c r="S152" s="448">
        <f t="shared" si="129"/>
        <v>95000</v>
      </c>
      <c r="T152" s="448">
        <f t="shared" si="130"/>
        <v>139109.98752</v>
      </c>
      <c r="U152" s="448"/>
      <c r="V152" s="448">
        <f t="shared" si="135"/>
        <v>363109.98752000002</v>
      </c>
      <c r="W152" s="455">
        <v>12</v>
      </c>
      <c r="X152" s="448">
        <f t="shared" si="131"/>
        <v>30259.165626666701</v>
      </c>
      <c r="Y152" s="451"/>
      <c r="Z152" s="459">
        <f t="shared" si="132"/>
        <v>30259.165626666701</v>
      </c>
      <c r="AA152" s="460">
        <v>17042.713866666702</v>
      </c>
      <c r="AB152" s="460">
        <f t="shared" si="134"/>
        <v>13216.45176</v>
      </c>
      <c r="AC152" s="460"/>
      <c r="AD152" s="460"/>
      <c r="AE152" s="460"/>
    </row>
    <row r="153" spans="1:31" ht="18.75">
      <c r="A153" s="445">
        <v>136</v>
      </c>
      <c r="B153" s="17" t="s">
        <v>557</v>
      </c>
      <c r="C153" s="448">
        <v>274459.75</v>
      </c>
      <c r="D153" s="447">
        <v>12</v>
      </c>
      <c r="E153" s="448">
        <f t="shared" si="133"/>
        <v>3293517</v>
      </c>
      <c r="F153" s="448">
        <v>0</v>
      </c>
      <c r="G153" s="449">
        <v>215481.36</v>
      </c>
      <c r="H153" s="451"/>
      <c r="I153" s="448">
        <f t="shared" si="121"/>
        <v>3078035.64</v>
      </c>
      <c r="J153" s="448">
        <v>200000</v>
      </c>
      <c r="K153" s="448">
        <v>0.2</v>
      </c>
      <c r="L153" s="448">
        <f t="shared" si="122"/>
        <v>615607.12800000003</v>
      </c>
      <c r="M153" s="448">
        <f t="shared" si="123"/>
        <v>815607.12800000003</v>
      </c>
      <c r="N153" s="448">
        <f t="shared" si="124"/>
        <v>1031088.488</v>
      </c>
      <c r="O153" s="448">
        <f t="shared" si="125"/>
        <v>2262428.5120000001</v>
      </c>
      <c r="P153" s="448">
        <f t="shared" si="126"/>
        <v>21000</v>
      </c>
      <c r="Q153" s="448">
        <f t="shared" si="127"/>
        <v>33000</v>
      </c>
      <c r="R153" s="448">
        <f t="shared" si="128"/>
        <v>75000</v>
      </c>
      <c r="S153" s="448">
        <f t="shared" si="129"/>
        <v>95000</v>
      </c>
      <c r="T153" s="448">
        <f t="shared" si="130"/>
        <v>139109.98752</v>
      </c>
      <c r="U153" s="448"/>
      <c r="V153" s="448">
        <f t="shared" si="135"/>
        <v>363109.98752000002</v>
      </c>
      <c r="W153" s="455">
        <v>12</v>
      </c>
      <c r="X153" s="448">
        <f t="shared" si="131"/>
        <v>30259.165626666701</v>
      </c>
      <c r="Y153" s="451"/>
      <c r="Z153" s="459">
        <f t="shared" si="132"/>
        <v>30259.165626666701</v>
      </c>
      <c r="AA153" s="460">
        <v>17042.713866666702</v>
      </c>
      <c r="AB153" s="460">
        <f t="shared" si="134"/>
        <v>13216.45176</v>
      </c>
      <c r="AC153" s="460"/>
      <c r="AD153" s="460"/>
      <c r="AE153" s="460"/>
    </row>
    <row r="154" spans="1:31" ht="37.5">
      <c r="A154" s="445">
        <v>137</v>
      </c>
      <c r="B154" s="17" t="s">
        <v>559</v>
      </c>
      <c r="C154" s="448">
        <v>274459.75</v>
      </c>
      <c r="D154" s="447">
        <v>12</v>
      </c>
      <c r="E154" s="448">
        <f t="shared" si="133"/>
        <v>3293517</v>
      </c>
      <c r="F154" s="448">
        <v>0</v>
      </c>
      <c r="G154" s="449">
        <v>215481.36</v>
      </c>
      <c r="H154" s="451"/>
      <c r="I154" s="448">
        <f t="shared" si="121"/>
        <v>3078035.64</v>
      </c>
      <c r="J154" s="448">
        <v>200000</v>
      </c>
      <c r="K154" s="448">
        <v>0.2</v>
      </c>
      <c r="L154" s="448">
        <f t="shared" si="122"/>
        <v>615607.12800000003</v>
      </c>
      <c r="M154" s="448">
        <f t="shared" si="123"/>
        <v>815607.12800000003</v>
      </c>
      <c r="N154" s="448">
        <f t="shared" si="124"/>
        <v>1031088.488</v>
      </c>
      <c r="O154" s="448">
        <f t="shared" si="125"/>
        <v>2262428.5120000001</v>
      </c>
      <c r="P154" s="448">
        <f t="shared" si="126"/>
        <v>21000</v>
      </c>
      <c r="Q154" s="448">
        <f t="shared" si="127"/>
        <v>33000</v>
      </c>
      <c r="R154" s="448">
        <f t="shared" si="128"/>
        <v>75000</v>
      </c>
      <c r="S154" s="448">
        <f t="shared" si="129"/>
        <v>95000</v>
      </c>
      <c r="T154" s="448">
        <f t="shared" si="130"/>
        <v>139109.98752</v>
      </c>
      <c r="U154" s="448"/>
      <c r="V154" s="448">
        <f t="shared" si="135"/>
        <v>363109.98752000002</v>
      </c>
      <c r="W154" s="455">
        <v>12</v>
      </c>
      <c r="X154" s="448">
        <f t="shared" si="131"/>
        <v>30259.165626666701</v>
      </c>
      <c r="Y154" s="451"/>
      <c r="Z154" s="459">
        <f t="shared" si="132"/>
        <v>30259.165626666701</v>
      </c>
      <c r="AA154" s="460">
        <v>17042.713866666702</v>
      </c>
      <c r="AB154" s="460">
        <f t="shared" si="134"/>
        <v>13216.45176</v>
      </c>
      <c r="AC154" s="460"/>
      <c r="AD154" s="460"/>
      <c r="AE154" s="460"/>
    </row>
    <row r="155" spans="1:31" ht="18.75">
      <c r="A155" s="445">
        <v>138</v>
      </c>
      <c r="B155" s="17" t="s">
        <v>561</v>
      </c>
      <c r="C155" s="448">
        <v>280631.91666666698</v>
      </c>
      <c r="D155" s="447">
        <v>12</v>
      </c>
      <c r="E155" s="448">
        <f t="shared" si="133"/>
        <v>3367583</v>
      </c>
      <c r="F155" s="448">
        <v>0</v>
      </c>
      <c r="G155" s="449">
        <v>221406.64</v>
      </c>
      <c r="H155" s="451"/>
      <c r="I155" s="448">
        <f t="shared" si="121"/>
        <v>3146176.36</v>
      </c>
      <c r="J155" s="448">
        <v>200000</v>
      </c>
      <c r="K155" s="448">
        <v>0.2</v>
      </c>
      <c r="L155" s="448">
        <f t="shared" si="122"/>
        <v>629235.27200000104</v>
      </c>
      <c r="M155" s="448">
        <f t="shared" si="123"/>
        <v>829235.27200000104</v>
      </c>
      <c r="N155" s="448">
        <f t="shared" si="124"/>
        <v>1050641.912</v>
      </c>
      <c r="O155" s="448">
        <f t="shared" si="125"/>
        <v>2316941.088</v>
      </c>
      <c r="P155" s="448">
        <f t="shared" si="126"/>
        <v>21000</v>
      </c>
      <c r="Q155" s="448">
        <f t="shared" si="127"/>
        <v>33000</v>
      </c>
      <c r="R155" s="448">
        <f t="shared" si="128"/>
        <v>75000</v>
      </c>
      <c r="S155" s="448">
        <f t="shared" si="129"/>
        <v>95000</v>
      </c>
      <c r="T155" s="448">
        <f t="shared" si="130"/>
        <v>150557.628480001</v>
      </c>
      <c r="U155" s="448"/>
      <c r="V155" s="448">
        <f t="shared" si="135"/>
        <v>374557.628480001</v>
      </c>
      <c r="W155" s="455">
        <v>12</v>
      </c>
      <c r="X155" s="448">
        <f t="shared" si="131"/>
        <v>31213.135706666701</v>
      </c>
      <c r="Y155" s="451"/>
      <c r="Z155" s="459">
        <f t="shared" si="132"/>
        <v>31213.135706666701</v>
      </c>
      <c r="AA155" s="460">
        <v>17572.885002666699</v>
      </c>
      <c r="AB155" s="460">
        <f t="shared" si="134"/>
        <v>13640.250704</v>
      </c>
      <c r="AC155" s="460"/>
      <c r="AD155" s="460"/>
      <c r="AE155" s="460"/>
    </row>
    <row r="156" spans="1:31" ht="18.75">
      <c r="A156" s="445">
        <v>139</v>
      </c>
      <c r="B156" s="17" t="s">
        <v>563</v>
      </c>
      <c r="C156" s="448">
        <v>274459.75</v>
      </c>
      <c r="D156" s="447">
        <v>12</v>
      </c>
      <c r="E156" s="448">
        <f t="shared" si="133"/>
        <v>3293517</v>
      </c>
      <c r="F156" s="448">
        <v>0</v>
      </c>
      <c r="G156" s="449">
        <v>215481.36</v>
      </c>
      <c r="H156" s="451"/>
      <c r="I156" s="448">
        <f t="shared" si="121"/>
        <v>3078035.64</v>
      </c>
      <c r="J156" s="448">
        <v>200000</v>
      </c>
      <c r="K156" s="448">
        <v>0.2</v>
      </c>
      <c r="L156" s="448">
        <f t="shared" si="122"/>
        <v>615607.12800000003</v>
      </c>
      <c r="M156" s="448">
        <f t="shared" si="123"/>
        <v>815607.12800000003</v>
      </c>
      <c r="N156" s="448">
        <f t="shared" si="124"/>
        <v>1031088.488</v>
      </c>
      <c r="O156" s="448">
        <f t="shared" si="125"/>
        <v>2262428.5120000001</v>
      </c>
      <c r="P156" s="448">
        <f t="shared" si="126"/>
        <v>21000</v>
      </c>
      <c r="Q156" s="448">
        <f t="shared" si="127"/>
        <v>33000</v>
      </c>
      <c r="R156" s="448">
        <f t="shared" si="128"/>
        <v>75000</v>
      </c>
      <c r="S156" s="448">
        <f t="shared" si="129"/>
        <v>95000</v>
      </c>
      <c r="T156" s="448">
        <f t="shared" si="130"/>
        <v>139109.98752</v>
      </c>
      <c r="U156" s="448"/>
      <c r="V156" s="448">
        <f t="shared" si="135"/>
        <v>363109.98752000002</v>
      </c>
      <c r="W156" s="455">
        <v>12</v>
      </c>
      <c r="X156" s="448">
        <f t="shared" si="131"/>
        <v>30259.165626666701</v>
      </c>
      <c r="Y156" s="451"/>
      <c r="Z156" s="459">
        <f t="shared" si="132"/>
        <v>30259.165626666701</v>
      </c>
      <c r="AA156" s="460">
        <v>17042.713866666702</v>
      </c>
      <c r="AB156" s="460">
        <f t="shared" si="134"/>
        <v>13216.45176</v>
      </c>
      <c r="AC156" s="460"/>
      <c r="AD156" s="460"/>
      <c r="AE156" s="460"/>
    </row>
    <row r="157" spans="1:31" ht="18.75">
      <c r="A157" s="445">
        <v>140</v>
      </c>
      <c r="B157" s="10" t="s">
        <v>564</v>
      </c>
      <c r="C157" s="448">
        <v>202598.16666666701</v>
      </c>
      <c r="D157" s="447">
        <v>12</v>
      </c>
      <c r="E157" s="448">
        <f t="shared" si="133"/>
        <v>2431178</v>
      </c>
      <c r="F157" s="448">
        <f>263.19*12</f>
        <v>3158.28</v>
      </c>
      <c r="G157" s="449">
        <v>161854.24</v>
      </c>
      <c r="H157" s="451"/>
      <c r="I157" s="448">
        <f t="shared" si="121"/>
        <v>2266165.48</v>
      </c>
      <c r="J157" s="448">
        <v>200000</v>
      </c>
      <c r="K157" s="448">
        <v>0.2</v>
      </c>
      <c r="L157" s="448">
        <f t="shared" si="122"/>
        <v>453233.09600000101</v>
      </c>
      <c r="M157" s="448">
        <f t="shared" si="123"/>
        <v>653233.09600000095</v>
      </c>
      <c r="N157" s="448">
        <f t="shared" si="124"/>
        <v>818245.61600000097</v>
      </c>
      <c r="O157" s="448">
        <f t="shared" si="125"/>
        <v>1612932.3840000001</v>
      </c>
      <c r="P157" s="448">
        <f t="shared" si="126"/>
        <v>21000</v>
      </c>
      <c r="Q157" s="448">
        <f t="shared" si="127"/>
        <v>33000</v>
      </c>
      <c r="R157" s="448">
        <f t="shared" si="128"/>
        <v>75000</v>
      </c>
      <c r="S157" s="448">
        <f t="shared" si="129"/>
        <v>95000</v>
      </c>
      <c r="T157" s="448">
        <f t="shared" si="130"/>
        <v>2715.8006400006998</v>
      </c>
      <c r="U157" s="448"/>
      <c r="V157" s="448">
        <f t="shared" si="135"/>
        <v>226715.80064000099</v>
      </c>
      <c r="W157" s="455">
        <v>12</v>
      </c>
      <c r="X157" s="448">
        <f t="shared" si="131"/>
        <v>18892.9833866667</v>
      </c>
      <c r="Y157" s="451"/>
      <c r="Z157" s="459">
        <f t="shared" si="132"/>
        <v>18892.9833866667</v>
      </c>
      <c r="AA157" s="460">
        <v>10739.3048</v>
      </c>
      <c r="AB157" s="460">
        <f t="shared" si="134"/>
        <v>8153.6785866667296</v>
      </c>
      <c r="AC157" s="460"/>
      <c r="AD157" s="460"/>
      <c r="AE157" s="460"/>
    </row>
    <row r="158" spans="1:31" ht="18.75">
      <c r="A158" s="445">
        <v>141</v>
      </c>
      <c r="B158" s="10" t="s">
        <v>567</v>
      </c>
      <c r="C158" s="448">
        <v>205598.16666666701</v>
      </c>
      <c r="D158" s="447">
        <v>12</v>
      </c>
      <c r="E158" s="448">
        <f t="shared" si="133"/>
        <v>2467178</v>
      </c>
      <c r="F158" s="448"/>
      <c r="G158" s="449">
        <v>161854.24</v>
      </c>
      <c r="H158" s="451"/>
      <c r="I158" s="448">
        <f t="shared" si="121"/>
        <v>2305323.7599999998</v>
      </c>
      <c r="J158" s="448">
        <v>200000</v>
      </c>
      <c r="K158" s="448">
        <v>0.2</v>
      </c>
      <c r="L158" s="448">
        <f t="shared" si="122"/>
        <v>461064.75200000103</v>
      </c>
      <c r="M158" s="448">
        <f t="shared" si="123"/>
        <v>661064.75200000103</v>
      </c>
      <c r="N158" s="448">
        <f t="shared" si="124"/>
        <v>822918.99200000102</v>
      </c>
      <c r="O158" s="448">
        <f t="shared" si="125"/>
        <v>1644259.0079999999</v>
      </c>
      <c r="P158" s="448">
        <f t="shared" si="126"/>
        <v>21000</v>
      </c>
      <c r="Q158" s="448">
        <f t="shared" si="127"/>
        <v>33000</v>
      </c>
      <c r="R158" s="448">
        <f t="shared" si="128"/>
        <v>75000</v>
      </c>
      <c r="S158" s="448">
        <f t="shared" si="129"/>
        <v>95000</v>
      </c>
      <c r="T158" s="448">
        <f t="shared" si="130"/>
        <v>9294.39168000067</v>
      </c>
      <c r="U158" s="448"/>
      <c r="V158" s="448">
        <f t="shared" si="135"/>
        <v>233294.39168000099</v>
      </c>
      <c r="W158" s="455">
        <v>12</v>
      </c>
      <c r="X158" s="448">
        <f t="shared" si="131"/>
        <v>19441.199306666698</v>
      </c>
      <c r="Y158" s="451"/>
      <c r="Z158" s="459">
        <f t="shared" si="132"/>
        <v>19441.199306666698</v>
      </c>
      <c r="AA158" s="460">
        <v>11232.457626666701</v>
      </c>
      <c r="AB158" s="460">
        <f t="shared" si="134"/>
        <v>8208.7416800000192</v>
      </c>
      <c r="AC158" s="460"/>
      <c r="AD158" s="460"/>
      <c r="AE158" s="460"/>
    </row>
    <row r="159" spans="1:31" ht="15.75" customHeight="1">
      <c r="A159" s="445">
        <v>142</v>
      </c>
      <c r="B159" s="10" t="s">
        <v>568</v>
      </c>
      <c r="C159" s="448">
        <v>202598.16666666701</v>
      </c>
      <c r="D159" s="447">
        <v>12</v>
      </c>
      <c r="E159" s="448">
        <f t="shared" si="133"/>
        <v>2431178</v>
      </c>
      <c r="F159" s="448"/>
      <c r="G159" s="449">
        <v>161854.24</v>
      </c>
      <c r="H159" s="451"/>
      <c r="I159" s="448">
        <f t="shared" si="121"/>
        <v>2269323.7599999998</v>
      </c>
      <c r="J159" s="448">
        <v>200000</v>
      </c>
      <c r="K159" s="448">
        <v>0.2</v>
      </c>
      <c r="L159" s="448">
        <f t="shared" si="122"/>
        <v>453864.75200000103</v>
      </c>
      <c r="M159" s="448">
        <f t="shared" si="123"/>
        <v>653864.75200000103</v>
      </c>
      <c r="N159" s="448">
        <f t="shared" si="124"/>
        <v>815718.99200000102</v>
      </c>
      <c r="O159" s="448">
        <f t="shared" si="125"/>
        <v>1615459.0079999999</v>
      </c>
      <c r="P159" s="448">
        <f t="shared" si="126"/>
        <v>21000</v>
      </c>
      <c r="Q159" s="448">
        <f t="shared" si="127"/>
        <v>33000</v>
      </c>
      <c r="R159" s="448">
        <f t="shared" si="128"/>
        <v>75000</v>
      </c>
      <c r="S159" s="448">
        <f t="shared" si="129"/>
        <v>95000</v>
      </c>
      <c r="T159" s="448">
        <f t="shared" si="130"/>
        <v>3246.39168000067</v>
      </c>
      <c r="U159" s="448"/>
      <c r="V159" s="448">
        <f t="shared" si="135"/>
        <v>227246.39168000099</v>
      </c>
      <c r="W159" s="455">
        <v>12</v>
      </c>
      <c r="X159" s="448">
        <f t="shared" si="131"/>
        <v>18937.199306666698</v>
      </c>
      <c r="Y159" s="451"/>
      <c r="Z159" s="459">
        <f t="shared" si="132"/>
        <v>18937.199306666698</v>
      </c>
      <c r="AA159" s="460">
        <v>10776.457626666701</v>
      </c>
      <c r="AB159" s="460">
        <f t="shared" si="134"/>
        <v>8160.7416800000201</v>
      </c>
      <c r="AC159" s="460"/>
      <c r="AD159" s="460"/>
      <c r="AE159" s="460"/>
    </row>
    <row r="160" spans="1:31" ht="18.75">
      <c r="A160" s="445">
        <v>143</v>
      </c>
      <c r="B160" s="10" t="s">
        <v>569</v>
      </c>
      <c r="C160" s="448">
        <v>202598.16666666701</v>
      </c>
      <c r="D160" s="447">
        <v>12</v>
      </c>
      <c r="E160" s="448">
        <f t="shared" si="133"/>
        <v>2431178</v>
      </c>
      <c r="F160" s="448">
        <f>263.19*12</f>
        <v>3158.28</v>
      </c>
      <c r="G160" s="449">
        <v>161854.24</v>
      </c>
      <c r="H160" s="451"/>
      <c r="I160" s="448">
        <f t="shared" si="121"/>
        <v>2266165.48</v>
      </c>
      <c r="J160" s="448">
        <v>200000</v>
      </c>
      <c r="K160" s="448">
        <v>0.2</v>
      </c>
      <c r="L160" s="448">
        <f t="shared" si="122"/>
        <v>453233.09600000101</v>
      </c>
      <c r="M160" s="448">
        <f t="shared" si="123"/>
        <v>653233.09600000095</v>
      </c>
      <c r="N160" s="448">
        <f t="shared" si="124"/>
        <v>818245.61600000097</v>
      </c>
      <c r="O160" s="448">
        <f t="shared" si="125"/>
        <v>1612932.3840000001</v>
      </c>
      <c r="P160" s="448">
        <f t="shared" si="126"/>
        <v>21000</v>
      </c>
      <c r="Q160" s="448">
        <f t="shared" si="127"/>
        <v>33000</v>
      </c>
      <c r="R160" s="448">
        <f t="shared" si="128"/>
        <v>75000</v>
      </c>
      <c r="S160" s="448">
        <f t="shared" si="129"/>
        <v>95000</v>
      </c>
      <c r="T160" s="448">
        <f t="shared" si="130"/>
        <v>2715.8006400006998</v>
      </c>
      <c r="U160" s="448"/>
      <c r="V160" s="448">
        <f t="shared" si="135"/>
        <v>226715.80064000099</v>
      </c>
      <c r="W160" s="455">
        <v>12</v>
      </c>
      <c r="X160" s="448">
        <f t="shared" si="131"/>
        <v>18892.9833866667</v>
      </c>
      <c r="Y160" s="451"/>
      <c r="Z160" s="459">
        <f t="shared" si="132"/>
        <v>18892.9833866667</v>
      </c>
      <c r="AA160" s="460">
        <v>10739.3048</v>
      </c>
      <c r="AB160" s="460">
        <f t="shared" si="134"/>
        <v>8153.6785866667296</v>
      </c>
      <c r="AC160" s="460"/>
      <c r="AD160" s="460"/>
      <c r="AE160" s="460"/>
    </row>
    <row r="161" spans="1:31" ht="18.75">
      <c r="A161" s="445">
        <v>144</v>
      </c>
      <c r="B161" s="10" t="s">
        <v>570</v>
      </c>
      <c r="C161" s="448">
        <v>202598.16666666701</v>
      </c>
      <c r="D161" s="447">
        <v>12</v>
      </c>
      <c r="E161" s="448">
        <f t="shared" si="133"/>
        <v>2431178</v>
      </c>
      <c r="F161" s="448"/>
      <c r="G161" s="449">
        <v>161854.24</v>
      </c>
      <c r="H161" s="451"/>
      <c r="I161" s="448">
        <f t="shared" si="121"/>
        <v>2269323.7599999998</v>
      </c>
      <c r="J161" s="448">
        <v>200000</v>
      </c>
      <c r="K161" s="448">
        <v>0.2</v>
      </c>
      <c r="L161" s="448">
        <f t="shared" si="122"/>
        <v>453864.75200000103</v>
      </c>
      <c r="M161" s="448">
        <f t="shared" si="123"/>
        <v>653864.75200000103</v>
      </c>
      <c r="N161" s="448">
        <f t="shared" si="124"/>
        <v>815718.99200000102</v>
      </c>
      <c r="O161" s="448">
        <f t="shared" si="125"/>
        <v>1615459.0079999999</v>
      </c>
      <c r="P161" s="448">
        <f t="shared" si="126"/>
        <v>21000</v>
      </c>
      <c r="Q161" s="448">
        <f t="shared" si="127"/>
        <v>33000</v>
      </c>
      <c r="R161" s="448">
        <f t="shared" si="128"/>
        <v>75000</v>
      </c>
      <c r="S161" s="448">
        <f t="shared" si="129"/>
        <v>95000</v>
      </c>
      <c r="T161" s="448">
        <f t="shared" si="130"/>
        <v>3246.39168000067</v>
      </c>
      <c r="U161" s="448"/>
      <c r="V161" s="448">
        <f t="shared" si="135"/>
        <v>227246.39168000099</v>
      </c>
      <c r="W161" s="455">
        <v>12</v>
      </c>
      <c r="X161" s="448">
        <f t="shared" si="131"/>
        <v>18937.199306666698</v>
      </c>
      <c r="Y161" s="451"/>
      <c r="Z161" s="459">
        <f t="shared" si="132"/>
        <v>18937.199306666698</v>
      </c>
      <c r="AA161" s="460">
        <v>10776.457626666701</v>
      </c>
      <c r="AB161" s="460">
        <f t="shared" si="134"/>
        <v>8160.7416800000201</v>
      </c>
      <c r="AC161" s="460"/>
      <c r="AD161" s="460"/>
      <c r="AE161" s="460"/>
    </row>
    <row r="162" spans="1:31" ht="18.75">
      <c r="A162" s="445">
        <v>145</v>
      </c>
      <c r="B162" s="10" t="s">
        <v>571</v>
      </c>
      <c r="C162" s="448">
        <v>200336.83333333299</v>
      </c>
      <c r="D162" s="447">
        <v>12</v>
      </c>
      <c r="E162" s="448">
        <f t="shared" si="133"/>
        <v>2404042</v>
      </c>
      <c r="F162" s="448"/>
      <c r="G162" s="449">
        <v>156803.35999999999</v>
      </c>
      <c r="H162" s="451"/>
      <c r="I162" s="448">
        <f t="shared" si="121"/>
        <v>2247238.64</v>
      </c>
      <c r="J162" s="448">
        <v>200000</v>
      </c>
      <c r="K162" s="448">
        <v>0.2</v>
      </c>
      <c r="L162" s="448">
        <f t="shared" si="122"/>
        <v>449447.72799999901</v>
      </c>
      <c r="M162" s="448">
        <f t="shared" si="123"/>
        <v>649447.72799999896</v>
      </c>
      <c r="N162" s="448">
        <f t="shared" si="124"/>
        <v>806251.08799999906</v>
      </c>
      <c r="O162" s="448">
        <f t="shared" si="125"/>
        <v>1597790.912</v>
      </c>
      <c r="P162" s="448">
        <f t="shared" si="126"/>
        <v>21000</v>
      </c>
      <c r="Q162" s="448">
        <f t="shared" si="127"/>
        <v>33000</v>
      </c>
      <c r="R162" s="448">
        <f t="shared" si="128"/>
        <v>75000</v>
      </c>
      <c r="S162" s="448">
        <f t="shared" si="129"/>
        <v>94580.273279999397</v>
      </c>
      <c r="T162" s="448">
        <f t="shared" si="130"/>
        <v>0</v>
      </c>
      <c r="U162" s="448"/>
      <c r="V162" s="448">
        <f t="shared" si="135"/>
        <v>223580.273279999</v>
      </c>
      <c r="W162" s="455">
        <v>12</v>
      </c>
      <c r="X162" s="448">
        <f t="shared" si="131"/>
        <v>18631.6894399999</v>
      </c>
      <c r="Y162" s="451"/>
      <c r="Z162" s="459">
        <f t="shared" si="132"/>
        <v>18631.6894399999</v>
      </c>
      <c r="AA162" s="460">
        <v>11232.457626666701</v>
      </c>
      <c r="AB162" s="460">
        <f t="shared" si="134"/>
        <v>7399.2318133332501</v>
      </c>
      <c r="AC162" s="460"/>
      <c r="AD162" s="460"/>
      <c r="AE162" s="460"/>
    </row>
    <row r="163" spans="1:31" ht="18.75">
      <c r="A163" s="445">
        <v>146</v>
      </c>
      <c r="B163" s="10" t="s">
        <v>573</v>
      </c>
      <c r="C163" s="448">
        <v>197336.83333333299</v>
      </c>
      <c r="D163" s="447">
        <v>12</v>
      </c>
      <c r="E163" s="448">
        <f t="shared" si="133"/>
        <v>2368042</v>
      </c>
      <c r="F163" s="448"/>
      <c r="G163" s="449">
        <v>156803.35999999999</v>
      </c>
      <c r="H163" s="451"/>
      <c r="I163" s="448">
        <f t="shared" si="121"/>
        <v>2211238.64</v>
      </c>
      <c r="J163" s="448">
        <v>200000</v>
      </c>
      <c r="K163" s="448">
        <v>0.2</v>
      </c>
      <c r="L163" s="448">
        <f t="shared" si="122"/>
        <v>442247.72799999901</v>
      </c>
      <c r="M163" s="448">
        <f t="shared" si="123"/>
        <v>642247.72799999896</v>
      </c>
      <c r="N163" s="448">
        <f t="shared" si="124"/>
        <v>799051.08799999906</v>
      </c>
      <c r="O163" s="448">
        <f t="shared" si="125"/>
        <v>1568990.912</v>
      </c>
      <c r="P163" s="448">
        <f t="shared" si="126"/>
        <v>21000</v>
      </c>
      <c r="Q163" s="448">
        <f t="shared" si="127"/>
        <v>33000</v>
      </c>
      <c r="R163" s="448">
        <f t="shared" si="128"/>
        <v>75000</v>
      </c>
      <c r="S163" s="448">
        <f t="shared" si="129"/>
        <v>89108.273279999397</v>
      </c>
      <c r="T163" s="448">
        <f t="shared" si="130"/>
        <v>0</v>
      </c>
      <c r="U163" s="448"/>
      <c r="V163" s="448">
        <f t="shared" si="135"/>
        <v>218108.273279999</v>
      </c>
      <c r="W163" s="455">
        <v>12</v>
      </c>
      <c r="X163" s="448">
        <f t="shared" si="131"/>
        <v>18175.6894399999</v>
      </c>
      <c r="Y163" s="451"/>
      <c r="Z163" s="459">
        <f t="shared" si="132"/>
        <v>18175.6894399999</v>
      </c>
      <c r="AA163" s="460">
        <v>10776.457626666701</v>
      </c>
      <c r="AB163" s="460">
        <f t="shared" si="134"/>
        <v>7399.2318133332501</v>
      </c>
      <c r="AC163" s="460"/>
      <c r="AD163" s="460"/>
      <c r="AE163" s="460"/>
    </row>
    <row r="164" spans="1:31" ht="18.75">
      <c r="A164" s="445">
        <v>147</v>
      </c>
      <c r="B164" s="13" t="s">
        <v>574</v>
      </c>
      <c r="C164" s="448">
        <v>200336.83333333299</v>
      </c>
      <c r="D164" s="447">
        <v>12</v>
      </c>
      <c r="E164" s="448">
        <f t="shared" si="133"/>
        <v>2404042</v>
      </c>
      <c r="F164" s="448"/>
      <c r="G164" s="449">
        <v>156803.35999999999</v>
      </c>
      <c r="H164" s="451"/>
      <c r="I164" s="448">
        <f t="shared" si="121"/>
        <v>2247238.64</v>
      </c>
      <c r="J164" s="448">
        <v>200000</v>
      </c>
      <c r="K164" s="448">
        <v>0.2</v>
      </c>
      <c r="L164" s="448">
        <f t="shared" si="122"/>
        <v>449447.72799999901</v>
      </c>
      <c r="M164" s="448">
        <f t="shared" si="123"/>
        <v>649447.72799999896</v>
      </c>
      <c r="N164" s="448">
        <f t="shared" si="124"/>
        <v>806251.08799999906</v>
      </c>
      <c r="O164" s="448">
        <f t="shared" si="125"/>
        <v>1597790.912</v>
      </c>
      <c r="P164" s="448">
        <f t="shared" si="126"/>
        <v>21000</v>
      </c>
      <c r="Q164" s="448">
        <f t="shared" si="127"/>
        <v>33000</v>
      </c>
      <c r="R164" s="448">
        <f t="shared" si="128"/>
        <v>75000</v>
      </c>
      <c r="S164" s="448">
        <f t="shared" si="129"/>
        <v>94580.273279999397</v>
      </c>
      <c r="T164" s="448">
        <f t="shared" si="130"/>
        <v>0</v>
      </c>
      <c r="U164" s="448"/>
      <c r="V164" s="448">
        <f t="shared" si="135"/>
        <v>223580.273279999</v>
      </c>
      <c r="W164" s="455">
        <v>12</v>
      </c>
      <c r="X164" s="448">
        <f t="shared" si="131"/>
        <v>18631.6894399999</v>
      </c>
      <c r="Y164" s="451"/>
      <c r="Z164" s="459">
        <f t="shared" si="132"/>
        <v>18631.6894399999</v>
      </c>
      <c r="AA164" s="460">
        <v>11232.457626666701</v>
      </c>
      <c r="AB164" s="460">
        <f t="shared" si="134"/>
        <v>7399.2318133332501</v>
      </c>
      <c r="AC164" s="460"/>
      <c r="AD164" s="460"/>
      <c r="AE164" s="460"/>
    </row>
    <row r="165" spans="1:31" ht="18.75">
      <c r="A165" s="445">
        <v>148</v>
      </c>
      <c r="B165" s="10" t="s">
        <v>575</v>
      </c>
      <c r="C165" s="448">
        <v>197336.83333333299</v>
      </c>
      <c r="D165" s="447">
        <v>12</v>
      </c>
      <c r="E165" s="448">
        <f t="shared" si="133"/>
        <v>2368042</v>
      </c>
      <c r="F165" s="448"/>
      <c r="G165" s="449">
        <v>156803.35999999999</v>
      </c>
      <c r="H165" s="451"/>
      <c r="I165" s="448">
        <f t="shared" si="121"/>
        <v>2211238.64</v>
      </c>
      <c r="J165" s="448">
        <v>200000</v>
      </c>
      <c r="K165" s="448">
        <v>0.2</v>
      </c>
      <c r="L165" s="448">
        <f t="shared" si="122"/>
        <v>442247.72799999901</v>
      </c>
      <c r="M165" s="448">
        <f t="shared" si="123"/>
        <v>642247.72799999896</v>
      </c>
      <c r="N165" s="448">
        <f t="shared" si="124"/>
        <v>799051.08799999906</v>
      </c>
      <c r="O165" s="448">
        <f t="shared" si="125"/>
        <v>1568990.912</v>
      </c>
      <c r="P165" s="448">
        <f t="shared" si="126"/>
        <v>21000</v>
      </c>
      <c r="Q165" s="448">
        <f t="shared" si="127"/>
        <v>33000</v>
      </c>
      <c r="R165" s="448">
        <f t="shared" si="128"/>
        <v>75000</v>
      </c>
      <c r="S165" s="448">
        <f t="shared" si="129"/>
        <v>89108.273279999397</v>
      </c>
      <c r="T165" s="448">
        <f t="shared" si="130"/>
        <v>0</v>
      </c>
      <c r="U165" s="448"/>
      <c r="V165" s="448">
        <f t="shared" si="135"/>
        <v>218108.273279999</v>
      </c>
      <c r="W165" s="455">
        <v>12</v>
      </c>
      <c r="X165" s="448">
        <f t="shared" si="131"/>
        <v>18175.6894399999</v>
      </c>
      <c r="Y165" s="451"/>
      <c r="Z165" s="459">
        <f t="shared" si="132"/>
        <v>18175.6894399999</v>
      </c>
      <c r="AA165" s="460">
        <v>10776.457626666701</v>
      </c>
      <c r="AB165" s="460">
        <f t="shared" si="134"/>
        <v>7399.2318133332501</v>
      </c>
      <c r="AC165" s="460"/>
      <c r="AD165" s="460"/>
      <c r="AE165" s="460"/>
    </row>
    <row r="166" spans="1:31" ht="18.75">
      <c r="A166" s="445">
        <v>149</v>
      </c>
      <c r="B166" s="17" t="s">
        <v>576</v>
      </c>
      <c r="C166" s="448">
        <v>197336.83333333299</v>
      </c>
      <c r="D166" s="447">
        <v>12</v>
      </c>
      <c r="E166" s="448">
        <f t="shared" si="133"/>
        <v>2368042</v>
      </c>
      <c r="F166" s="448"/>
      <c r="G166" s="449">
        <v>156803.35999999999</v>
      </c>
      <c r="H166" s="451"/>
      <c r="I166" s="448">
        <f t="shared" si="121"/>
        <v>2211238.64</v>
      </c>
      <c r="J166" s="448">
        <v>200000</v>
      </c>
      <c r="K166" s="448">
        <v>0.2</v>
      </c>
      <c r="L166" s="448">
        <f t="shared" si="122"/>
        <v>442247.72799999901</v>
      </c>
      <c r="M166" s="448">
        <f t="shared" si="123"/>
        <v>642247.72799999896</v>
      </c>
      <c r="N166" s="448">
        <f t="shared" si="124"/>
        <v>799051.08799999906</v>
      </c>
      <c r="O166" s="448">
        <f t="shared" si="125"/>
        <v>1568990.912</v>
      </c>
      <c r="P166" s="448">
        <f t="shared" si="126"/>
        <v>21000</v>
      </c>
      <c r="Q166" s="448">
        <f t="shared" si="127"/>
        <v>33000</v>
      </c>
      <c r="R166" s="448">
        <f t="shared" si="128"/>
        <v>75000</v>
      </c>
      <c r="S166" s="448">
        <f t="shared" si="129"/>
        <v>89108.273279999397</v>
      </c>
      <c r="T166" s="448">
        <f t="shared" si="130"/>
        <v>0</v>
      </c>
      <c r="U166" s="448"/>
      <c r="V166" s="448">
        <f t="shared" si="135"/>
        <v>218108.273279999</v>
      </c>
      <c r="W166" s="455">
        <v>12</v>
      </c>
      <c r="X166" s="448">
        <f t="shared" si="131"/>
        <v>18175.6894399999</v>
      </c>
      <c r="Y166" s="451"/>
      <c r="Z166" s="459">
        <f t="shared" si="132"/>
        <v>18175.6894399999</v>
      </c>
      <c r="AA166" s="460">
        <v>10776.457626666701</v>
      </c>
      <c r="AB166" s="460">
        <f t="shared" si="134"/>
        <v>7399.2318133332501</v>
      </c>
      <c r="AC166" s="460"/>
      <c r="AD166" s="460"/>
      <c r="AE166" s="460"/>
    </row>
    <row r="167" spans="1:31" ht="18.75">
      <c r="A167" s="445">
        <v>150</v>
      </c>
      <c r="B167" s="17" t="s">
        <v>577</v>
      </c>
      <c r="C167" s="448">
        <v>200336.83333333299</v>
      </c>
      <c r="D167" s="447">
        <v>12</v>
      </c>
      <c r="E167" s="448">
        <f t="shared" si="133"/>
        <v>2404042</v>
      </c>
      <c r="F167" s="448"/>
      <c r="G167" s="449">
        <v>156803.35999999999</v>
      </c>
      <c r="H167" s="451"/>
      <c r="I167" s="448">
        <f t="shared" si="121"/>
        <v>2247238.64</v>
      </c>
      <c r="J167" s="448">
        <v>200000</v>
      </c>
      <c r="K167" s="448">
        <v>0.2</v>
      </c>
      <c r="L167" s="448">
        <f t="shared" si="122"/>
        <v>449447.72799999901</v>
      </c>
      <c r="M167" s="448">
        <f t="shared" si="123"/>
        <v>649447.72799999896</v>
      </c>
      <c r="N167" s="448">
        <f t="shared" si="124"/>
        <v>806251.08799999906</v>
      </c>
      <c r="O167" s="448">
        <f t="shared" si="125"/>
        <v>1597790.912</v>
      </c>
      <c r="P167" s="448">
        <f t="shared" si="126"/>
        <v>21000</v>
      </c>
      <c r="Q167" s="448">
        <f t="shared" si="127"/>
        <v>33000</v>
      </c>
      <c r="R167" s="448">
        <f t="shared" si="128"/>
        <v>75000</v>
      </c>
      <c r="S167" s="448">
        <f t="shared" si="129"/>
        <v>94580.273279999397</v>
      </c>
      <c r="T167" s="448">
        <f t="shared" si="130"/>
        <v>0</v>
      </c>
      <c r="U167" s="448"/>
      <c r="V167" s="448">
        <f t="shared" si="135"/>
        <v>223580.273279999</v>
      </c>
      <c r="W167" s="455">
        <v>12</v>
      </c>
      <c r="X167" s="448">
        <f t="shared" si="131"/>
        <v>18631.6894399999</v>
      </c>
      <c r="Y167" s="451"/>
      <c r="Z167" s="459">
        <f t="shared" si="132"/>
        <v>18631.6894399999</v>
      </c>
      <c r="AA167" s="460">
        <v>11232.457626666701</v>
      </c>
      <c r="AB167" s="460">
        <f t="shared" si="134"/>
        <v>7399.2318133332501</v>
      </c>
      <c r="AC167" s="460"/>
      <c r="AD167" s="460"/>
      <c r="AE167" s="460"/>
    </row>
    <row r="168" spans="1:31" ht="37.5">
      <c r="A168" s="445">
        <v>151</v>
      </c>
      <c r="B168" s="10" t="s">
        <v>578</v>
      </c>
      <c r="C168" s="448">
        <v>189814.16666666701</v>
      </c>
      <c r="D168" s="447">
        <v>12</v>
      </c>
      <c r="E168" s="448">
        <f t="shared" si="133"/>
        <v>2277770</v>
      </c>
      <c r="F168" s="448"/>
      <c r="G168" s="449">
        <v>146701.6</v>
      </c>
      <c r="H168" s="451"/>
      <c r="I168" s="448">
        <f t="shared" si="121"/>
        <v>2131068.4</v>
      </c>
      <c r="J168" s="448">
        <v>200000</v>
      </c>
      <c r="K168" s="448">
        <v>0.2</v>
      </c>
      <c r="L168" s="448">
        <f t="shared" si="122"/>
        <v>426213.68000000098</v>
      </c>
      <c r="M168" s="448">
        <f t="shared" si="123"/>
        <v>626213.68000000098</v>
      </c>
      <c r="N168" s="448">
        <f t="shared" si="124"/>
        <v>772915.28000000096</v>
      </c>
      <c r="O168" s="448">
        <f t="shared" si="125"/>
        <v>1504854.72</v>
      </c>
      <c r="P168" s="448">
        <f t="shared" si="126"/>
        <v>21000</v>
      </c>
      <c r="Q168" s="448">
        <f t="shared" si="127"/>
        <v>33000</v>
      </c>
      <c r="R168" s="448">
        <f t="shared" si="128"/>
        <v>75000</v>
      </c>
      <c r="S168" s="448">
        <f t="shared" si="129"/>
        <v>76922.396800000701</v>
      </c>
      <c r="T168" s="448">
        <f t="shared" si="130"/>
        <v>0</v>
      </c>
      <c r="U168" s="448"/>
      <c r="V168" s="448">
        <f t="shared" si="135"/>
        <v>205922.39680000101</v>
      </c>
      <c r="W168" s="455">
        <v>12</v>
      </c>
      <c r="X168" s="448">
        <f t="shared" si="131"/>
        <v>17160.1997333334</v>
      </c>
      <c r="Y168" s="451"/>
      <c r="Z168" s="459">
        <f t="shared" si="132"/>
        <v>17160.1997333334</v>
      </c>
      <c r="AA168" s="460">
        <v>9152.5997900000002</v>
      </c>
      <c r="AB168" s="460">
        <f t="shared" si="134"/>
        <v>8007.59994333339</v>
      </c>
      <c r="AC168" s="460"/>
      <c r="AD168" s="460"/>
      <c r="AE168" s="460"/>
    </row>
    <row r="169" spans="1:31" ht="18.75">
      <c r="A169" s="445">
        <v>152</v>
      </c>
      <c r="B169" s="10" t="s">
        <v>581</v>
      </c>
      <c r="C169" s="448">
        <v>189814.16666666701</v>
      </c>
      <c r="D169" s="447">
        <v>12</v>
      </c>
      <c r="E169" s="448">
        <f t="shared" si="133"/>
        <v>2277770</v>
      </c>
      <c r="F169" s="448"/>
      <c r="G169" s="449">
        <v>146701.6</v>
      </c>
      <c r="H169" s="451"/>
      <c r="I169" s="448">
        <f t="shared" si="121"/>
        <v>2131068.4</v>
      </c>
      <c r="J169" s="448">
        <v>200000</v>
      </c>
      <c r="K169" s="448">
        <v>0.2</v>
      </c>
      <c r="L169" s="448">
        <f t="shared" si="122"/>
        <v>426213.68000000098</v>
      </c>
      <c r="M169" s="448">
        <f t="shared" si="123"/>
        <v>626213.68000000098</v>
      </c>
      <c r="N169" s="448">
        <f t="shared" si="124"/>
        <v>772915.28000000096</v>
      </c>
      <c r="O169" s="448">
        <f t="shared" si="125"/>
        <v>1504854.72</v>
      </c>
      <c r="P169" s="448">
        <f t="shared" si="126"/>
        <v>21000</v>
      </c>
      <c r="Q169" s="448">
        <f t="shared" si="127"/>
        <v>33000</v>
      </c>
      <c r="R169" s="448">
        <f t="shared" si="128"/>
        <v>75000</v>
      </c>
      <c r="S169" s="448">
        <f t="shared" si="129"/>
        <v>76922.396800000701</v>
      </c>
      <c r="T169" s="448">
        <f t="shared" si="130"/>
        <v>0</v>
      </c>
      <c r="U169" s="448"/>
      <c r="V169" s="448">
        <f t="shared" si="135"/>
        <v>205922.39680000101</v>
      </c>
      <c r="W169" s="455">
        <v>12</v>
      </c>
      <c r="X169" s="448">
        <f t="shared" si="131"/>
        <v>17160.1997333334</v>
      </c>
      <c r="Y169" s="451"/>
      <c r="Z169" s="459">
        <f t="shared" si="132"/>
        <v>17160.1997333334</v>
      </c>
      <c r="AA169" s="460">
        <v>9152.5997900000002</v>
      </c>
      <c r="AB169" s="460">
        <f t="shared" si="134"/>
        <v>8007.59994333339</v>
      </c>
      <c r="AC169" s="460"/>
      <c r="AD169" s="460"/>
      <c r="AE169" s="460"/>
    </row>
    <row r="170" spans="1:31" ht="18.75">
      <c r="A170" s="445">
        <v>153</v>
      </c>
      <c r="B170" s="17" t="s">
        <v>582</v>
      </c>
      <c r="C170" s="448">
        <v>195075.5</v>
      </c>
      <c r="D170" s="447">
        <v>12</v>
      </c>
      <c r="E170" s="448">
        <f t="shared" si="133"/>
        <v>2340906</v>
      </c>
      <c r="F170" s="448"/>
      <c r="G170" s="449">
        <v>151752.48000000001</v>
      </c>
      <c r="H170" s="451"/>
      <c r="I170" s="448">
        <f t="shared" si="121"/>
        <v>2189153.52</v>
      </c>
      <c r="J170" s="448">
        <v>200000</v>
      </c>
      <c r="K170" s="448">
        <v>0.2</v>
      </c>
      <c r="L170" s="448">
        <f t="shared" si="122"/>
        <v>437830.70400000003</v>
      </c>
      <c r="M170" s="448">
        <f t="shared" si="123"/>
        <v>637830.70400000003</v>
      </c>
      <c r="N170" s="448">
        <f t="shared" si="124"/>
        <v>789583.18400000001</v>
      </c>
      <c r="O170" s="448">
        <f t="shared" si="125"/>
        <v>1551322.8160000001</v>
      </c>
      <c r="P170" s="448">
        <f t="shared" si="126"/>
        <v>21000</v>
      </c>
      <c r="Q170" s="448">
        <f t="shared" si="127"/>
        <v>33000</v>
      </c>
      <c r="R170" s="448">
        <f t="shared" si="128"/>
        <v>75000</v>
      </c>
      <c r="S170" s="448">
        <f t="shared" si="129"/>
        <v>85751.335040000005</v>
      </c>
      <c r="T170" s="448">
        <f t="shared" si="130"/>
        <v>0</v>
      </c>
      <c r="U170" s="448"/>
      <c r="V170" s="448">
        <f t="shared" si="135"/>
        <v>214751.33504000001</v>
      </c>
      <c r="W170" s="455">
        <v>12</v>
      </c>
      <c r="X170" s="448">
        <f t="shared" si="131"/>
        <v>17895.944586666701</v>
      </c>
      <c r="Y170" s="451"/>
      <c r="Z170" s="459">
        <f t="shared" si="132"/>
        <v>17895.944586666701</v>
      </c>
      <c r="AA170" s="460">
        <v>9504.2041399999998</v>
      </c>
      <c r="AB170" s="460">
        <f t="shared" si="134"/>
        <v>8391.7404466666703</v>
      </c>
      <c r="AC170" s="460"/>
      <c r="AD170" s="460"/>
      <c r="AE170" s="460"/>
    </row>
    <row r="171" spans="1:31" ht="29.25" customHeight="1">
      <c r="A171" s="445">
        <v>154</v>
      </c>
      <c r="B171" s="10" t="s">
        <v>584</v>
      </c>
      <c r="C171" s="448">
        <v>121145.75</v>
      </c>
      <c r="D171" s="447">
        <v>12</v>
      </c>
      <c r="E171" s="448">
        <f t="shared" si="133"/>
        <v>1453749</v>
      </c>
      <c r="F171" s="448"/>
      <c r="G171" s="449">
        <v>90379.92</v>
      </c>
      <c r="H171" s="451"/>
      <c r="I171" s="448">
        <f t="shared" si="121"/>
        <v>1363369.08</v>
      </c>
      <c r="J171" s="448">
        <v>200000</v>
      </c>
      <c r="K171" s="448">
        <v>0.2</v>
      </c>
      <c r="L171" s="448">
        <f t="shared" si="122"/>
        <v>272673.81599999999</v>
      </c>
      <c r="M171" s="448">
        <f t="shared" si="123"/>
        <v>472673.81599999999</v>
      </c>
      <c r="N171" s="448">
        <f t="shared" si="124"/>
        <v>563053.73600000003</v>
      </c>
      <c r="O171" s="448">
        <f t="shared" si="125"/>
        <v>890695.26399999997</v>
      </c>
      <c r="P171" s="448">
        <f t="shared" si="126"/>
        <v>21000</v>
      </c>
      <c r="Q171" s="448">
        <f t="shared" si="127"/>
        <v>33000</v>
      </c>
      <c r="R171" s="448">
        <f t="shared" si="128"/>
        <v>43604.289599999996</v>
      </c>
      <c r="S171" s="448">
        <f t="shared" si="129"/>
        <v>0</v>
      </c>
      <c r="T171" s="448">
        <f t="shared" si="130"/>
        <v>0</v>
      </c>
      <c r="U171" s="448"/>
      <c r="V171" s="448">
        <f t="shared" si="135"/>
        <v>97604.289600000004</v>
      </c>
      <c r="W171" s="455">
        <v>12</v>
      </c>
      <c r="X171" s="448">
        <f t="shared" si="131"/>
        <v>8133.6908000000003</v>
      </c>
      <c r="Y171" s="451"/>
      <c r="Z171" s="459">
        <f t="shared" si="132"/>
        <v>8133.6908000000003</v>
      </c>
      <c r="AA171" s="460">
        <v>4365.3307546666701</v>
      </c>
      <c r="AB171" s="460">
        <f t="shared" si="134"/>
        <v>3768.3600453333302</v>
      </c>
      <c r="AC171" s="460"/>
      <c r="AD171" s="460"/>
      <c r="AE171" s="460"/>
    </row>
    <row r="172" spans="1:31" ht="18.75">
      <c r="A172" s="445">
        <v>155</v>
      </c>
      <c r="B172" s="10" t="s">
        <v>587</v>
      </c>
      <c r="C172" s="448">
        <v>118598</v>
      </c>
      <c r="D172" s="447">
        <v>12</v>
      </c>
      <c r="E172" s="448">
        <f t="shared" si="133"/>
        <v>1423176</v>
      </c>
      <c r="F172" s="448"/>
      <c r="G172" s="449">
        <v>87934.080000000002</v>
      </c>
      <c r="H172" s="451"/>
      <c r="I172" s="448">
        <f t="shared" si="121"/>
        <v>1335241.92</v>
      </c>
      <c r="J172" s="448">
        <v>200000</v>
      </c>
      <c r="K172" s="448">
        <v>0.2</v>
      </c>
      <c r="L172" s="448">
        <f t="shared" si="122"/>
        <v>267048.38400000002</v>
      </c>
      <c r="M172" s="448">
        <f t="shared" si="123"/>
        <v>467048.38400000002</v>
      </c>
      <c r="N172" s="448">
        <f t="shared" si="124"/>
        <v>554982.46400000004</v>
      </c>
      <c r="O172" s="448">
        <f t="shared" si="125"/>
        <v>868193.53599999996</v>
      </c>
      <c r="P172" s="448">
        <f t="shared" si="126"/>
        <v>21000</v>
      </c>
      <c r="Q172" s="448">
        <f t="shared" si="127"/>
        <v>33000</v>
      </c>
      <c r="R172" s="448">
        <f t="shared" si="128"/>
        <v>40229.030400000003</v>
      </c>
      <c r="S172" s="448">
        <f t="shared" si="129"/>
        <v>0</v>
      </c>
      <c r="T172" s="448">
        <f t="shared" si="130"/>
        <v>0</v>
      </c>
      <c r="U172" s="448"/>
      <c r="V172" s="448">
        <f t="shared" si="135"/>
        <v>94229.030400000003</v>
      </c>
      <c r="W172" s="455">
        <v>12</v>
      </c>
      <c r="X172" s="448">
        <f t="shared" si="131"/>
        <v>7852.4192000000003</v>
      </c>
      <c r="Y172" s="451"/>
      <c r="Z172" s="459">
        <f t="shared" si="132"/>
        <v>7852.4192000000003</v>
      </c>
      <c r="AA172" s="460">
        <v>4227.5237226666704</v>
      </c>
      <c r="AB172" s="460">
        <f t="shared" si="134"/>
        <v>3624.8954773333298</v>
      </c>
      <c r="AC172" s="460"/>
      <c r="AD172" s="460"/>
      <c r="AE172" s="460"/>
    </row>
    <row r="173" spans="1:31" ht="18.75">
      <c r="A173" s="445">
        <v>156</v>
      </c>
      <c r="B173" s="10" t="s">
        <v>590</v>
      </c>
      <c r="C173" s="448">
        <v>115598</v>
      </c>
      <c r="D173" s="447">
        <v>12</v>
      </c>
      <c r="E173" s="448">
        <f t="shared" si="133"/>
        <v>1387176</v>
      </c>
      <c r="F173" s="448"/>
      <c r="G173" s="449">
        <v>87934.080000000002</v>
      </c>
      <c r="H173" s="451"/>
      <c r="I173" s="448">
        <f t="shared" si="121"/>
        <v>1299241.92</v>
      </c>
      <c r="J173" s="448">
        <v>200000</v>
      </c>
      <c r="K173" s="448">
        <v>0.2</v>
      </c>
      <c r="L173" s="448">
        <f t="shared" si="122"/>
        <v>259848.38399999999</v>
      </c>
      <c r="M173" s="448">
        <f t="shared" si="123"/>
        <v>459848.38400000002</v>
      </c>
      <c r="N173" s="448">
        <f t="shared" si="124"/>
        <v>547782.46400000004</v>
      </c>
      <c r="O173" s="448">
        <f t="shared" si="125"/>
        <v>839393.53599999996</v>
      </c>
      <c r="P173" s="448">
        <f t="shared" si="126"/>
        <v>21000</v>
      </c>
      <c r="Q173" s="448">
        <f t="shared" si="127"/>
        <v>33000</v>
      </c>
      <c r="R173" s="448">
        <f t="shared" si="128"/>
        <v>35909.030400000003</v>
      </c>
      <c r="S173" s="448">
        <f t="shared" si="129"/>
        <v>0</v>
      </c>
      <c r="T173" s="448">
        <f t="shared" si="130"/>
        <v>0</v>
      </c>
      <c r="U173" s="448"/>
      <c r="V173" s="448">
        <f t="shared" si="135"/>
        <v>89909.030400000003</v>
      </c>
      <c r="W173" s="455">
        <v>12</v>
      </c>
      <c r="X173" s="448">
        <f t="shared" si="131"/>
        <v>7492.4192000000003</v>
      </c>
      <c r="Y173" s="451"/>
      <c r="Z173" s="459">
        <f t="shared" si="132"/>
        <v>7492.4192000000003</v>
      </c>
      <c r="AA173" s="460">
        <v>3963.52372266667</v>
      </c>
      <c r="AB173" s="460">
        <f t="shared" si="134"/>
        <v>3528.8954773333298</v>
      </c>
      <c r="AC173" s="460"/>
      <c r="AD173" s="460"/>
      <c r="AE173" s="460"/>
    </row>
    <row r="174" spans="1:31" ht="18.75">
      <c r="A174" s="445">
        <v>157</v>
      </c>
      <c r="B174" s="10" t="s">
        <v>591</v>
      </c>
      <c r="C174" s="448">
        <v>118598</v>
      </c>
      <c r="D174" s="447">
        <v>12</v>
      </c>
      <c r="E174" s="448">
        <f t="shared" si="133"/>
        <v>1423176</v>
      </c>
      <c r="F174" s="448"/>
      <c r="G174" s="449">
        <v>87934.080000000002</v>
      </c>
      <c r="H174" s="451"/>
      <c r="I174" s="448">
        <f t="shared" si="121"/>
        <v>1335241.92</v>
      </c>
      <c r="J174" s="448">
        <v>200000</v>
      </c>
      <c r="K174" s="448">
        <v>0.2</v>
      </c>
      <c r="L174" s="448">
        <f t="shared" si="122"/>
        <v>267048.38400000002</v>
      </c>
      <c r="M174" s="448">
        <f t="shared" si="123"/>
        <v>467048.38400000002</v>
      </c>
      <c r="N174" s="448">
        <f t="shared" si="124"/>
        <v>554982.46400000004</v>
      </c>
      <c r="O174" s="448">
        <f t="shared" si="125"/>
        <v>868193.53599999996</v>
      </c>
      <c r="P174" s="448">
        <f t="shared" si="126"/>
        <v>21000</v>
      </c>
      <c r="Q174" s="448">
        <f t="shared" si="127"/>
        <v>33000</v>
      </c>
      <c r="R174" s="448">
        <f t="shared" si="128"/>
        <v>40229.030400000003</v>
      </c>
      <c r="S174" s="448">
        <f t="shared" si="129"/>
        <v>0</v>
      </c>
      <c r="T174" s="448">
        <f t="shared" si="130"/>
        <v>0</v>
      </c>
      <c r="U174" s="448"/>
      <c r="V174" s="448">
        <f t="shared" si="135"/>
        <v>94229.030400000003</v>
      </c>
      <c r="W174" s="455">
        <v>12</v>
      </c>
      <c r="X174" s="448">
        <f t="shared" si="131"/>
        <v>7852.4192000000003</v>
      </c>
      <c r="Y174" s="451"/>
      <c r="Z174" s="459">
        <f t="shared" si="132"/>
        <v>7852.4192000000003</v>
      </c>
      <c r="AA174" s="460">
        <v>4227.5237226666704</v>
      </c>
      <c r="AB174" s="460">
        <f t="shared" si="134"/>
        <v>3624.8954773333298</v>
      </c>
      <c r="AC174" s="460"/>
      <c r="AD174" s="460"/>
      <c r="AE174" s="460"/>
    </row>
    <row r="175" spans="1:31" ht="18.75">
      <c r="A175" s="456"/>
      <c r="B175" s="10" t="s">
        <v>592</v>
      </c>
      <c r="C175" s="464">
        <v>115598</v>
      </c>
      <c r="D175" s="447">
        <v>12</v>
      </c>
      <c r="E175" s="448">
        <f t="shared" si="133"/>
        <v>1387176</v>
      </c>
      <c r="F175" s="448"/>
      <c r="G175" s="449">
        <v>87934.080000000002</v>
      </c>
      <c r="H175" s="451"/>
      <c r="I175" s="448">
        <f t="shared" si="121"/>
        <v>1299241.92</v>
      </c>
      <c r="J175" s="448">
        <v>200000</v>
      </c>
      <c r="K175" s="448">
        <v>0.2</v>
      </c>
      <c r="L175" s="448">
        <f t="shared" si="122"/>
        <v>259848.38399999999</v>
      </c>
      <c r="M175" s="448">
        <f t="shared" si="123"/>
        <v>459848.38400000002</v>
      </c>
      <c r="N175" s="448">
        <f t="shared" si="124"/>
        <v>547782.46400000004</v>
      </c>
      <c r="O175" s="448">
        <f t="shared" si="125"/>
        <v>839393.53599999996</v>
      </c>
      <c r="P175" s="448">
        <f t="shared" si="126"/>
        <v>21000</v>
      </c>
      <c r="Q175" s="448">
        <f t="shared" si="127"/>
        <v>33000</v>
      </c>
      <c r="R175" s="448">
        <f t="shared" si="128"/>
        <v>35909.030400000003</v>
      </c>
      <c r="S175" s="448">
        <f t="shared" si="129"/>
        <v>0</v>
      </c>
      <c r="T175" s="448">
        <f t="shared" si="130"/>
        <v>0</v>
      </c>
      <c r="U175" s="448"/>
      <c r="V175" s="448">
        <f t="shared" si="135"/>
        <v>89909.030400000003</v>
      </c>
      <c r="W175" s="455">
        <v>12</v>
      </c>
      <c r="X175" s="448">
        <f t="shared" si="131"/>
        <v>7492.4192000000003</v>
      </c>
      <c r="Y175" s="451"/>
      <c r="Z175" s="459">
        <f t="shared" si="132"/>
        <v>7492.4192000000003</v>
      </c>
      <c r="AA175" s="460">
        <v>3963.52372266667</v>
      </c>
      <c r="AB175" s="460">
        <f t="shared" si="134"/>
        <v>3528.8954773333298</v>
      </c>
      <c r="AC175" s="460"/>
      <c r="AD175" s="460"/>
      <c r="AE175" s="460"/>
    </row>
    <row r="176" spans="1:31" ht="18.75">
      <c r="A176" s="456"/>
      <c r="B176" s="10" t="s">
        <v>593</v>
      </c>
      <c r="C176" s="464">
        <v>118598</v>
      </c>
      <c r="D176" s="447">
        <v>12</v>
      </c>
      <c r="E176" s="448">
        <f t="shared" si="133"/>
        <v>1423176</v>
      </c>
      <c r="F176" s="448"/>
      <c r="G176" s="449">
        <v>87934.080000000002</v>
      </c>
      <c r="H176" s="451"/>
      <c r="I176" s="448">
        <f t="shared" si="121"/>
        <v>1335241.92</v>
      </c>
      <c r="J176" s="448">
        <v>200000</v>
      </c>
      <c r="K176" s="448">
        <v>0.2</v>
      </c>
      <c r="L176" s="448">
        <f t="shared" si="122"/>
        <v>267048.38400000002</v>
      </c>
      <c r="M176" s="448">
        <f t="shared" si="123"/>
        <v>467048.38400000002</v>
      </c>
      <c r="N176" s="448">
        <f t="shared" si="124"/>
        <v>554982.46400000004</v>
      </c>
      <c r="O176" s="448">
        <f t="shared" si="125"/>
        <v>868193.53599999996</v>
      </c>
      <c r="P176" s="448">
        <f t="shared" si="126"/>
        <v>21000</v>
      </c>
      <c r="Q176" s="448">
        <f t="shared" si="127"/>
        <v>33000</v>
      </c>
      <c r="R176" s="448">
        <f t="shared" si="128"/>
        <v>40229.030400000003</v>
      </c>
      <c r="S176" s="448">
        <f t="shared" si="129"/>
        <v>0</v>
      </c>
      <c r="T176" s="448">
        <f t="shared" si="130"/>
        <v>0</v>
      </c>
      <c r="U176" s="448"/>
      <c r="V176" s="448">
        <f t="shared" si="135"/>
        <v>94229.030400000003</v>
      </c>
      <c r="W176" s="455">
        <v>12</v>
      </c>
      <c r="X176" s="448">
        <f t="shared" si="131"/>
        <v>7852.4192000000003</v>
      </c>
      <c r="Y176" s="451"/>
      <c r="Z176" s="459">
        <f t="shared" si="132"/>
        <v>7852.4192000000003</v>
      </c>
      <c r="AA176" s="460">
        <v>4227.5237226666704</v>
      </c>
      <c r="AB176" s="460">
        <f t="shared" si="134"/>
        <v>3624.8954773333298</v>
      </c>
    </row>
    <row r="177" spans="2:28" ht="18.75">
      <c r="B177" s="17" t="s">
        <v>594</v>
      </c>
      <c r="C177" s="460">
        <v>115598</v>
      </c>
      <c r="D177" s="447">
        <v>12</v>
      </c>
      <c r="E177" s="448">
        <f t="shared" si="133"/>
        <v>1387176</v>
      </c>
      <c r="G177" s="449">
        <v>87934.080000000002</v>
      </c>
      <c r="I177" s="448">
        <f t="shared" si="121"/>
        <v>1299241.92</v>
      </c>
      <c r="J177" s="448">
        <v>200000</v>
      </c>
      <c r="K177" s="448">
        <v>0.2</v>
      </c>
      <c r="L177" s="448">
        <f t="shared" si="122"/>
        <v>259848.38399999999</v>
      </c>
      <c r="M177" s="448">
        <f t="shared" si="123"/>
        <v>459848.38400000002</v>
      </c>
      <c r="N177" s="448">
        <f t="shared" si="124"/>
        <v>547782.46400000004</v>
      </c>
      <c r="O177" s="448">
        <f t="shared" si="125"/>
        <v>839393.53599999996</v>
      </c>
      <c r="P177" s="448">
        <f t="shared" si="126"/>
        <v>21000</v>
      </c>
      <c r="Q177" s="448">
        <f t="shared" si="127"/>
        <v>33000</v>
      </c>
      <c r="R177" s="448">
        <f t="shared" si="128"/>
        <v>35909.030400000003</v>
      </c>
      <c r="S177" s="448">
        <f t="shared" si="129"/>
        <v>0</v>
      </c>
      <c r="T177" s="448">
        <f t="shared" si="130"/>
        <v>0</v>
      </c>
      <c r="U177" s="448"/>
      <c r="V177" s="448">
        <f t="shared" si="135"/>
        <v>89909.030400000003</v>
      </c>
      <c r="W177" s="455">
        <v>12</v>
      </c>
      <c r="X177" s="448">
        <f t="shared" si="131"/>
        <v>7492.4192000000003</v>
      </c>
      <c r="Z177" s="459">
        <f t="shared" si="132"/>
        <v>7492.4192000000003</v>
      </c>
      <c r="AA177" s="460">
        <v>3963.52372266667</v>
      </c>
      <c r="AB177" s="460">
        <f t="shared" si="134"/>
        <v>3528.8954773333298</v>
      </c>
    </row>
    <row r="178" spans="2:28" ht="18.75">
      <c r="B178" s="17" t="s">
        <v>595</v>
      </c>
      <c r="C178" s="460">
        <v>118598</v>
      </c>
      <c r="D178" s="447">
        <v>12</v>
      </c>
      <c r="E178" s="448">
        <f t="shared" si="133"/>
        <v>1423176</v>
      </c>
      <c r="G178" s="449">
        <v>87934.080000000002</v>
      </c>
      <c r="I178" s="448">
        <f t="shared" si="121"/>
        <v>1335241.92</v>
      </c>
      <c r="J178" s="448">
        <v>200000</v>
      </c>
      <c r="K178" s="448">
        <v>0.2</v>
      </c>
      <c r="L178" s="448">
        <f t="shared" si="122"/>
        <v>267048.38400000002</v>
      </c>
      <c r="M178" s="448">
        <f t="shared" si="123"/>
        <v>467048.38400000002</v>
      </c>
      <c r="N178" s="448">
        <f t="shared" si="124"/>
        <v>554982.46400000004</v>
      </c>
      <c r="O178" s="448">
        <f t="shared" si="125"/>
        <v>868193.53599999996</v>
      </c>
      <c r="P178" s="448">
        <f t="shared" si="126"/>
        <v>21000</v>
      </c>
      <c r="Q178" s="448">
        <f t="shared" si="127"/>
        <v>33000</v>
      </c>
      <c r="R178" s="448">
        <f t="shared" si="128"/>
        <v>40229.030400000003</v>
      </c>
      <c r="S178" s="448">
        <f t="shared" si="129"/>
        <v>0</v>
      </c>
      <c r="T178" s="448">
        <f t="shared" si="130"/>
        <v>0</v>
      </c>
      <c r="U178" s="448"/>
      <c r="V178" s="448">
        <f t="shared" si="135"/>
        <v>94229.030400000003</v>
      </c>
      <c r="W178" s="455">
        <v>12</v>
      </c>
      <c r="X178" s="448">
        <f t="shared" si="131"/>
        <v>7852.4192000000003</v>
      </c>
      <c r="Z178" s="459">
        <f t="shared" si="132"/>
        <v>7852.4192000000003</v>
      </c>
      <c r="AA178" s="460">
        <v>4227.5237226666704</v>
      </c>
      <c r="AB178" s="460">
        <f t="shared" si="134"/>
        <v>3624.8954773333298</v>
      </c>
    </row>
    <row r="179" spans="2:28" ht="18.75">
      <c r="B179" s="10" t="s">
        <v>596</v>
      </c>
      <c r="C179" s="460">
        <v>118598</v>
      </c>
      <c r="D179" s="447">
        <v>12</v>
      </c>
      <c r="E179" s="448">
        <f t="shared" si="133"/>
        <v>1423176</v>
      </c>
      <c r="G179" s="449">
        <v>87934.080000000002</v>
      </c>
      <c r="I179" s="448">
        <f t="shared" si="121"/>
        <v>1335241.92</v>
      </c>
      <c r="J179" s="448">
        <v>200000</v>
      </c>
      <c r="K179" s="448">
        <v>0.2</v>
      </c>
      <c r="L179" s="448">
        <f t="shared" si="122"/>
        <v>267048.38400000002</v>
      </c>
      <c r="M179" s="448">
        <f t="shared" si="123"/>
        <v>467048.38400000002</v>
      </c>
      <c r="N179" s="448">
        <f t="shared" si="124"/>
        <v>554982.46400000004</v>
      </c>
      <c r="O179" s="448">
        <f t="shared" si="125"/>
        <v>868193.53599999996</v>
      </c>
      <c r="P179" s="448">
        <f t="shared" si="126"/>
        <v>21000</v>
      </c>
      <c r="Q179" s="448">
        <f t="shared" si="127"/>
        <v>33000</v>
      </c>
      <c r="R179" s="448">
        <f t="shared" si="128"/>
        <v>40229.030400000003</v>
      </c>
      <c r="S179" s="448">
        <f t="shared" si="129"/>
        <v>0</v>
      </c>
      <c r="T179" s="448">
        <f t="shared" si="130"/>
        <v>0</v>
      </c>
      <c r="V179" s="448">
        <f t="shared" si="135"/>
        <v>94229.030400000003</v>
      </c>
      <c r="W179" s="455">
        <v>12</v>
      </c>
      <c r="X179" s="448">
        <f t="shared" si="131"/>
        <v>7852.4192000000003</v>
      </c>
      <c r="Z179" s="459">
        <f t="shared" si="132"/>
        <v>7852.4192000000003</v>
      </c>
      <c r="AA179" s="460">
        <v>4089.7166906666698</v>
      </c>
      <c r="AB179" s="460">
        <f t="shared" si="134"/>
        <v>3762.70250933333</v>
      </c>
    </row>
    <row r="180" spans="2:28" ht="18.75">
      <c r="B180" s="10" t="s">
        <v>597</v>
      </c>
      <c r="C180" s="460">
        <v>118598</v>
      </c>
      <c r="D180" s="447">
        <v>12</v>
      </c>
      <c r="E180" s="448">
        <f t="shared" si="133"/>
        <v>1423176</v>
      </c>
      <c r="G180" s="449">
        <v>87934.080000000002</v>
      </c>
      <c r="I180" s="448">
        <f t="shared" si="121"/>
        <v>1335241.92</v>
      </c>
      <c r="J180" s="448">
        <v>200000</v>
      </c>
      <c r="K180" s="448">
        <v>0.2</v>
      </c>
      <c r="L180" s="448">
        <f t="shared" si="122"/>
        <v>267048.38400000002</v>
      </c>
      <c r="M180" s="448">
        <f t="shared" si="123"/>
        <v>467048.38400000002</v>
      </c>
      <c r="N180" s="448">
        <f t="shared" si="124"/>
        <v>554982.46400000004</v>
      </c>
      <c r="O180" s="448">
        <f t="shared" si="125"/>
        <v>868193.53599999996</v>
      </c>
      <c r="P180" s="448">
        <f t="shared" si="126"/>
        <v>21000</v>
      </c>
      <c r="Q180" s="448">
        <f t="shared" si="127"/>
        <v>33000</v>
      </c>
      <c r="R180" s="448">
        <f t="shared" si="128"/>
        <v>40229.030400000003</v>
      </c>
      <c r="S180" s="448">
        <f t="shared" si="129"/>
        <v>0</v>
      </c>
      <c r="T180" s="448">
        <f t="shared" si="130"/>
        <v>0</v>
      </c>
      <c r="V180" s="448">
        <f t="shared" si="135"/>
        <v>94229.030400000003</v>
      </c>
      <c r="W180" s="455">
        <v>12</v>
      </c>
      <c r="X180" s="448">
        <f t="shared" si="131"/>
        <v>7852.4192000000003</v>
      </c>
      <c r="Z180" s="459">
        <f t="shared" si="132"/>
        <v>7852.4192000000003</v>
      </c>
      <c r="AA180" s="460">
        <v>4227.5237226666704</v>
      </c>
      <c r="AB180" s="460">
        <f t="shared" si="134"/>
        <v>3624.8954773333298</v>
      </c>
    </row>
    <row r="181" spans="2:28" ht="18.75">
      <c r="B181" s="17" t="s">
        <v>598</v>
      </c>
      <c r="C181" s="460">
        <v>116050.25</v>
      </c>
      <c r="D181" s="447">
        <v>12</v>
      </c>
      <c r="E181" s="448">
        <f t="shared" si="133"/>
        <v>1392603</v>
      </c>
      <c r="G181" s="449">
        <v>85488.24</v>
      </c>
      <c r="I181" s="448">
        <f t="shared" si="121"/>
        <v>1307114.76</v>
      </c>
      <c r="J181" s="448">
        <v>200000</v>
      </c>
      <c r="K181" s="448">
        <v>0.2</v>
      </c>
      <c r="L181" s="448">
        <f t="shared" si="122"/>
        <v>261422.95199999999</v>
      </c>
      <c r="M181" s="448">
        <f t="shared" si="123"/>
        <v>461422.95199999999</v>
      </c>
      <c r="N181" s="448">
        <f t="shared" si="124"/>
        <v>546911.19200000004</v>
      </c>
      <c r="O181" s="448">
        <f t="shared" si="125"/>
        <v>845691.80799999996</v>
      </c>
      <c r="P181" s="448">
        <f t="shared" si="126"/>
        <v>21000</v>
      </c>
      <c r="Q181" s="448">
        <f t="shared" si="127"/>
        <v>33000</v>
      </c>
      <c r="R181" s="448">
        <f t="shared" si="128"/>
        <v>36853.771200000003</v>
      </c>
      <c r="S181" s="448">
        <f t="shared" si="129"/>
        <v>0</v>
      </c>
      <c r="T181" s="448">
        <f t="shared" si="130"/>
        <v>0</v>
      </c>
      <c r="V181" s="448">
        <f t="shared" si="135"/>
        <v>90853.771200000003</v>
      </c>
      <c r="W181" s="455">
        <v>12</v>
      </c>
      <c r="X181" s="448">
        <f t="shared" si="131"/>
        <v>7571.1476000000002</v>
      </c>
      <c r="Z181" s="459">
        <f t="shared" si="132"/>
        <v>7571.1476000000002</v>
      </c>
      <c r="AA181" s="460">
        <v>4089.7166906666698</v>
      </c>
      <c r="AB181" s="460">
        <f t="shared" si="134"/>
        <v>3481.43090933333</v>
      </c>
    </row>
    <row r="182" spans="2:28" ht="18.75">
      <c r="B182" s="17" t="s">
        <v>600</v>
      </c>
      <c r="C182" s="460">
        <v>102926.91666666701</v>
      </c>
      <c r="D182" s="447">
        <v>12</v>
      </c>
      <c r="E182" s="448">
        <f t="shared" si="133"/>
        <v>1235123</v>
      </c>
      <c r="G182" s="449">
        <v>77689.84</v>
      </c>
      <c r="I182" s="448">
        <f t="shared" si="121"/>
        <v>1157433.1599999999</v>
      </c>
      <c r="J182" s="448">
        <v>200000</v>
      </c>
      <c r="K182" s="448">
        <v>0.2</v>
      </c>
      <c r="L182" s="448">
        <f t="shared" si="122"/>
        <v>231486.632000001</v>
      </c>
      <c r="M182" s="448">
        <f t="shared" si="123"/>
        <v>431486.63200000097</v>
      </c>
      <c r="N182" s="448">
        <f t="shared" si="124"/>
        <v>509176.472000001</v>
      </c>
      <c r="O182" s="448">
        <f t="shared" si="125"/>
        <v>725946.52800000296</v>
      </c>
      <c r="P182" s="448">
        <f t="shared" si="126"/>
        <v>21000</v>
      </c>
      <c r="Q182" s="448">
        <f t="shared" si="127"/>
        <v>33000</v>
      </c>
      <c r="R182" s="448">
        <f t="shared" si="128"/>
        <v>18891.9792000005</v>
      </c>
      <c r="S182" s="448">
        <f t="shared" si="129"/>
        <v>0</v>
      </c>
      <c r="T182" s="448">
        <f t="shared" si="130"/>
        <v>0</v>
      </c>
      <c r="V182" s="448">
        <f t="shared" si="135"/>
        <v>72891.979200000496</v>
      </c>
      <c r="W182" s="455">
        <v>12</v>
      </c>
      <c r="X182" s="448">
        <f t="shared" si="131"/>
        <v>6074.3316000000405</v>
      </c>
      <c r="Z182" s="459">
        <f t="shared" si="132"/>
        <v>6074.3316000000405</v>
      </c>
      <c r="AA182" s="460">
        <v>3210.1544048666701</v>
      </c>
      <c r="AB182" s="460">
        <f t="shared" si="134"/>
        <v>2864.1771951333699</v>
      </c>
    </row>
    <row r="183" spans="2:28" ht="18.75">
      <c r="B183" s="17" t="s">
        <v>602</v>
      </c>
      <c r="C183" s="460">
        <v>95540.75</v>
      </c>
      <c r="D183" s="447">
        <v>12</v>
      </c>
      <c r="E183" s="448">
        <f t="shared" si="133"/>
        <v>1146489</v>
      </c>
      <c r="G183" s="449">
        <f>6123.26*12</f>
        <v>73479.12</v>
      </c>
      <c r="I183" s="448">
        <f t="shared" si="121"/>
        <v>1073009.8799999999</v>
      </c>
      <c r="J183" s="448">
        <v>200000</v>
      </c>
      <c r="K183" s="448">
        <v>0.2</v>
      </c>
      <c r="L183" s="448">
        <f t="shared" si="122"/>
        <v>214601.976</v>
      </c>
      <c r="M183" s="448">
        <f t="shared" si="123"/>
        <v>414601.97600000002</v>
      </c>
      <c r="N183" s="448">
        <f t="shared" si="124"/>
        <v>488081.09600000002</v>
      </c>
      <c r="O183" s="448">
        <f t="shared" si="125"/>
        <v>658407.90399999998</v>
      </c>
      <c r="P183" s="448">
        <f t="shared" si="126"/>
        <v>21000</v>
      </c>
      <c r="Q183" s="448">
        <f t="shared" si="127"/>
        <v>33000</v>
      </c>
      <c r="R183" s="448">
        <f t="shared" si="128"/>
        <v>8761.1856000000007</v>
      </c>
      <c r="S183" s="448">
        <f t="shared" si="129"/>
        <v>0</v>
      </c>
      <c r="T183" s="448">
        <f t="shared" si="130"/>
        <v>0</v>
      </c>
      <c r="V183" s="448">
        <f t="shared" si="135"/>
        <v>62761.185599999997</v>
      </c>
      <c r="W183" s="455">
        <v>12</v>
      </c>
      <c r="X183" s="448">
        <f t="shared" si="131"/>
        <v>5230.0987999999998</v>
      </c>
      <c r="Z183" s="459">
        <f t="shared" si="132"/>
        <v>5230.0987999999998</v>
      </c>
      <c r="AA183" s="460">
        <v>2708.9136406666698</v>
      </c>
      <c r="AB183" s="460">
        <f t="shared" si="134"/>
        <v>2521.1851593333299</v>
      </c>
    </row>
    <row r="184" spans="2:28" ht="18.75">
      <c r="B184" s="17" t="s">
        <v>605</v>
      </c>
      <c r="C184" s="460">
        <v>95540.75</v>
      </c>
      <c r="D184" s="447">
        <v>12</v>
      </c>
      <c r="E184" s="448">
        <f t="shared" si="133"/>
        <v>1146489</v>
      </c>
      <c r="G184" s="449">
        <f t="shared" ref="G184:G185" si="136">6123.26*12</f>
        <v>73479.12</v>
      </c>
      <c r="I184" s="448">
        <f t="shared" si="121"/>
        <v>1073009.8799999999</v>
      </c>
      <c r="J184" s="448">
        <v>200000</v>
      </c>
      <c r="K184" s="448">
        <v>0.2</v>
      </c>
      <c r="L184" s="448">
        <f t="shared" si="122"/>
        <v>214601.976</v>
      </c>
      <c r="M184" s="448">
        <f t="shared" si="123"/>
        <v>414601.97600000002</v>
      </c>
      <c r="N184" s="448">
        <f t="shared" si="124"/>
        <v>488081.09600000002</v>
      </c>
      <c r="O184" s="448">
        <f t="shared" si="125"/>
        <v>658407.90399999998</v>
      </c>
      <c r="P184" s="448">
        <f t="shared" si="126"/>
        <v>21000</v>
      </c>
      <c r="Q184" s="448">
        <f t="shared" si="127"/>
        <v>33000</v>
      </c>
      <c r="R184" s="448">
        <f t="shared" si="128"/>
        <v>8761.1856000000007</v>
      </c>
      <c r="S184" s="448">
        <f t="shared" si="129"/>
        <v>0</v>
      </c>
      <c r="T184" s="448">
        <f t="shared" si="130"/>
        <v>0</v>
      </c>
      <c r="V184" s="448">
        <f t="shared" si="135"/>
        <v>62761.185599999997</v>
      </c>
      <c r="W184" s="455">
        <v>12</v>
      </c>
      <c r="X184" s="448">
        <f t="shared" si="131"/>
        <v>5230.0987999999998</v>
      </c>
      <c r="Z184" s="459">
        <f t="shared" si="132"/>
        <v>5230.0987999999998</v>
      </c>
      <c r="AA184" s="460">
        <v>2708.9136406666698</v>
      </c>
      <c r="AB184" s="460">
        <f t="shared" si="134"/>
        <v>2521.1851593333299</v>
      </c>
    </row>
    <row r="185" spans="2:28" ht="18.75">
      <c r="B185" s="17" t="s">
        <v>606</v>
      </c>
      <c r="C185" s="460">
        <v>95540.75</v>
      </c>
      <c r="D185" s="447">
        <v>12</v>
      </c>
      <c r="E185" s="448">
        <f t="shared" si="133"/>
        <v>1146489</v>
      </c>
      <c r="G185" s="449">
        <f t="shared" si="136"/>
        <v>73479.12</v>
      </c>
      <c r="I185" s="448">
        <f t="shared" si="121"/>
        <v>1073009.8799999999</v>
      </c>
      <c r="J185" s="448">
        <v>200000</v>
      </c>
      <c r="K185" s="448">
        <v>0.2</v>
      </c>
      <c r="L185" s="448">
        <f t="shared" si="122"/>
        <v>214601.976</v>
      </c>
      <c r="M185" s="448">
        <f t="shared" si="123"/>
        <v>414601.97600000002</v>
      </c>
      <c r="N185" s="448">
        <f t="shared" si="124"/>
        <v>488081.09600000002</v>
      </c>
      <c r="O185" s="448">
        <f t="shared" si="125"/>
        <v>658407.90399999998</v>
      </c>
      <c r="P185" s="448">
        <f t="shared" si="126"/>
        <v>21000</v>
      </c>
      <c r="Q185" s="448">
        <f t="shared" si="127"/>
        <v>33000</v>
      </c>
      <c r="R185" s="448">
        <f t="shared" si="128"/>
        <v>8761.1856000000007</v>
      </c>
      <c r="S185" s="448">
        <f t="shared" si="129"/>
        <v>0</v>
      </c>
      <c r="T185" s="448">
        <f t="shared" si="130"/>
        <v>0</v>
      </c>
      <c r="V185" s="448">
        <f t="shared" si="135"/>
        <v>62761.185599999997</v>
      </c>
      <c r="W185" s="455">
        <v>12</v>
      </c>
      <c r="X185" s="448">
        <f t="shared" si="131"/>
        <v>5230.0987999999998</v>
      </c>
      <c r="Z185" s="459">
        <f t="shared" si="132"/>
        <v>5230.0987999999998</v>
      </c>
      <c r="AA185" s="460">
        <v>2708.9136406666698</v>
      </c>
      <c r="AB185" s="460">
        <f t="shared" si="134"/>
        <v>2521.1851593333299</v>
      </c>
    </row>
    <row r="186" spans="2:28" ht="18.75">
      <c r="B186" s="465" t="s">
        <v>607</v>
      </c>
      <c r="C186" s="460">
        <v>108502.5</v>
      </c>
      <c r="D186" s="466">
        <v>12</v>
      </c>
      <c r="E186" s="467">
        <f t="shared" si="133"/>
        <v>1302030</v>
      </c>
      <c r="G186" s="468">
        <f>6920.2*12</f>
        <v>83042.399999999994</v>
      </c>
      <c r="I186" s="467">
        <f t="shared" si="121"/>
        <v>1218987.6000000001</v>
      </c>
      <c r="J186" s="448">
        <v>200000</v>
      </c>
      <c r="K186" s="448">
        <v>0.2</v>
      </c>
      <c r="L186" s="448">
        <f t="shared" si="122"/>
        <v>243797.52</v>
      </c>
      <c r="M186" s="448">
        <f t="shared" si="123"/>
        <v>443797.52</v>
      </c>
      <c r="N186" s="448">
        <f t="shared" si="124"/>
        <v>526839.92000000004</v>
      </c>
      <c r="O186" s="448">
        <f t="shared" si="125"/>
        <v>775190.08</v>
      </c>
      <c r="P186" s="448">
        <f t="shared" si="126"/>
        <v>21000</v>
      </c>
      <c r="Q186" s="448">
        <f t="shared" si="127"/>
        <v>33000</v>
      </c>
      <c r="R186" s="448">
        <f t="shared" si="128"/>
        <v>26278.511999999999</v>
      </c>
      <c r="S186" s="448">
        <f t="shared" si="129"/>
        <v>0</v>
      </c>
      <c r="T186" s="448">
        <f t="shared" si="130"/>
        <v>0</v>
      </c>
      <c r="V186" s="448">
        <f t="shared" si="135"/>
        <v>80278.512000000002</v>
      </c>
      <c r="W186" s="455">
        <v>12</v>
      </c>
      <c r="X186" s="448">
        <f t="shared" si="131"/>
        <v>6689.8760000000002</v>
      </c>
      <c r="Z186" s="459">
        <f t="shared" si="132"/>
        <v>6689.8760000000002</v>
      </c>
      <c r="AA186" s="460">
        <v>3511.7966226666699</v>
      </c>
      <c r="AB186" s="460">
        <f t="shared" si="134"/>
        <v>3178.0793773333298</v>
      </c>
    </row>
    <row r="187" spans="2:28" ht="18.75">
      <c r="B187" s="465" t="s">
        <v>610</v>
      </c>
      <c r="C187" s="469">
        <v>108502.5</v>
      </c>
      <c r="D187" s="466">
        <v>12</v>
      </c>
      <c r="E187" s="467">
        <f t="shared" si="133"/>
        <v>1302030</v>
      </c>
      <c r="F187" s="470"/>
      <c r="G187" s="468">
        <f>6920.2*12</f>
        <v>83042.399999999994</v>
      </c>
      <c r="H187" s="470"/>
      <c r="I187" s="467">
        <f t="shared" si="121"/>
        <v>1218987.6000000001</v>
      </c>
      <c r="J187" s="467">
        <v>200000</v>
      </c>
      <c r="K187" s="467">
        <v>0.2</v>
      </c>
      <c r="L187" s="467">
        <f t="shared" si="122"/>
        <v>243797.52</v>
      </c>
      <c r="M187" s="467">
        <f t="shared" si="123"/>
        <v>443797.52</v>
      </c>
      <c r="N187" s="467">
        <f t="shared" si="124"/>
        <v>526839.92000000004</v>
      </c>
      <c r="O187" s="467">
        <f t="shared" si="125"/>
        <v>775190.08</v>
      </c>
      <c r="P187" s="467">
        <f t="shared" si="126"/>
        <v>21000</v>
      </c>
      <c r="Q187" s="467">
        <f t="shared" si="127"/>
        <v>33000</v>
      </c>
      <c r="R187" s="467">
        <f t="shared" si="128"/>
        <v>26278.511999999999</v>
      </c>
      <c r="S187" s="467">
        <f t="shared" si="129"/>
        <v>0</v>
      </c>
      <c r="T187" s="467">
        <f t="shared" si="130"/>
        <v>0</v>
      </c>
      <c r="V187" s="467">
        <f t="shared" si="135"/>
        <v>80278.512000000002</v>
      </c>
      <c r="W187" s="481">
        <v>12</v>
      </c>
      <c r="X187" s="467">
        <f t="shared" si="131"/>
        <v>6689.8760000000002</v>
      </c>
      <c r="Z187" s="482">
        <f t="shared" si="132"/>
        <v>6689.8760000000002</v>
      </c>
      <c r="AA187" s="460">
        <v>3511.7966226666699</v>
      </c>
      <c r="AB187" s="460">
        <f t="shared" si="134"/>
        <v>3178.0793773333298</v>
      </c>
    </row>
    <row r="188" spans="2:28" ht="35.25" customHeight="1">
      <c r="B188" s="471" t="s">
        <v>628</v>
      </c>
      <c r="C188" s="472">
        <f>SUM(C6:C187)</f>
        <v>80811797.389438406</v>
      </c>
      <c r="D188" s="473"/>
      <c r="E188" s="474"/>
      <c r="F188" s="475">
        <f>SUM(F6:F187)</f>
        <v>276375.74699999997</v>
      </c>
      <c r="G188" s="475">
        <f>SUM(G6:G187)</f>
        <v>55339851.603200004</v>
      </c>
      <c r="H188" s="476"/>
      <c r="I188" s="476"/>
      <c r="J188" s="476"/>
      <c r="K188" s="476"/>
      <c r="L188" s="476"/>
      <c r="M188" s="476"/>
      <c r="N188" s="476"/>
      <c r="O188" s="476"/>
      <c r="P188" s="476"/>
      <c r="Q188" s="476"/>
      <c r="R188" s="476"/>
      <c r="S188" s="476"/>
      <c r="T188" s="476"/>
      <c r="U188" s="476"/>
      <c r="V188" s="475">
        <f>SUM(V6:V187)</f>
        <v>139208884.235259</v>
      </c>
      <c r="W188" s="475"/>
      <c r="X188" s="475">
        <f t="shared" ref="X188" si="137">SUM(X6:X187)</f>
        <v>11600740.3529383</v>
      </c>
      <c r="Y188" s="475"/>
      <c r="Z188" s="475">
        <f t="shared" ref="Z188" si="138">SUM(Z6:Z187)</f>
        <v>11600740.3529383</v>
      </c>
      <c r="AA188" s="476"/>
      <c r="AB188" s="476"/>
    </row>
    <row r="189" spans="2:28" ht="26.25" customHeight="1">
      <c r="B189" s="477" t="s">
        <v>326</v>
      </c>
      <c r="C189" s="472"/>
      <c r="D189" s="473"/>
      <c r="E189" s="473"/>
      <c r="F189" s="478">
        <f>F188/12</f>
        <v>23031.312249999999</v>
      </c>
      <c r="G189" s="478">
        <f>G188/12</f>
        <v>4611654.3002666598</v>
      </c>
      <c r="H189" s="476"/>
      <c r="I189" s="476"/>
      <c r="J189" s="476"/>
      <c r="K189" s="476"/>
      <c r="L189" s="476"/>
      <c r="M189" s="476"/>
      <c r="N189" s="476"/>
      <c r="O189" s="476"/>
      <c r="P189" s="476"/>
      <c r="Q189" s="476"/>
      <c r="R189" s="476"/>
      <c r="S189" s="476"/>
      <c r="T189" s="476"/>
      <c r="U189" s="476"/>
      <c r="V189" s="478">
        <f>V188/12</f>
        <v>11600740.3529383</v>
      </c>
      <c r="W189" s="473"/>
      <c r="X189" s="473"/>
      <c r="Y189" s="473"/>
      <c r="Z189" s="473"/>
      <c r="AA189" s="476"/>
      <c r="AB189" s="476"/>
    </row>
    <row r="190" spans="2:28" ht="18.75">
      <c r="B190" s="32"/>
      <c r="C190" s="460"/>
      <c r="F190" s="479"/>
    </row>
    <row r="191" spans="2:28">
      <c r="F191" s="480"/>
      <c r="Z191" s="475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"/>
  <sheetViews>
    <sheetView zoomScaleSheetLayoutView="50" workbookViewId="0">
      <pane xSplit="3" ySplit="5" topLeftCell="P6" activePane="bottomRight" state="frozen"/>
      <selection pane="topRight"/>
      <selection pane="bottomLeft"/>
      <selection pane="bottomRight" activeCell="P9" sqref="P9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6" width="19.28515625" style="1" customWidth="1"/>
    <col min="7" max="7" width="18.28515625" style="1" customWidth="1"/>
    <col min="8" max="8" width="18.140625" style="1" customWidth="1"/>
    <col min="9" max="9" width="17.85546875" style="1" customWidth="1"/>
    <col min="10" max="10" width="21.5703125" style="1" customWidth="1"/>
    <col min="11" max="11" width="9.140625" style="1" customWidth="1"/>
    <col min="12" max="12" width="18.42578125" style="1" customWidth="1"/>
    <col min="13" max="13" width="17.7109375" style="1" customWidth="1"/>
    <col min="14" max="14" width="16" style="1" customWidth="1"/>
    <col min="15" max="15" width="19.85546875" style="1" customWidth="1"/>
    <col min="16" max="16" width="18.140625" style="1" customWidth="1"/>
    <col min="17" max="18" width="19.28515625" style="1" customWidth="1"/>
    <col min="19" max="19" width="19.5703125" style="1" customWidth="1"/>
    <col min="20" max="20" width="21.7109375" style="1" customWidth="1"/>
    <col min="21" max="16384" width="9.140625" style="1"/>
  </cols>
  <sheetData>
    <row r="1" spans="1:20" ht="27" customHeight="1">
      <c r="A1" s="838" t="s">
        <v>0</v>
      </c>
      <c r="B1" s="838"/>
      <c r="C1" s="838"/>
      <c r="D1" s="838"/>
      <c r="E1" s="838"/>
      <c r="F1" s="838"/>
      <c r="G1" s="199"/>
      <c r="H1" s="199"/>
      <c r="I1" s="199"/>
    </row>
    <row r="2" spans="1:20" ht="33.75" customHeight="1">
      <c r="A2" s="63" t="s">
        <v>629</v>
      </c>
      <c r="B2" s="64"/>
      <c r="C2" s="63"/>
      <c r="D2" s="63"/>
      <c r="E2" s="198"/>
      <c r="F2" s="198"/>
      <c r="G2" s="279"/>
      <c r="H2" s="279"/>
      <c r="I2" s="279"/>
      <c r="J2" s="65"/>
      <c r="K2" s="65"/>
      <c r="L2" s="65"/>
      <c r="M2" s="65"/>
      <c r="N2" s="65"/>
      <c r="O2" s="65"/>
      <c r="P2" s="65"/>
      <c r="Q2" s="65"/>
      <c r="R2" s="65"/>
      <c r="S2" s="65"/>
    </row>
    <row r="3" spans="1:20" ht="9.75" customHeight="1">
      <c r="A3" s="2"/>
      <c r="B3" s="2"/>
      <c r="C3" s="2"/>
      <c r="D3" s="2"/>
      <c r="E3" s="199" t="e">
        <f>'[1]FEB 08'!E11/'[1]FEB 08'!M11</f>
        <v>#REF!</v>
      </c>
      <c r="F3" s="199"/>
      <c r="G3" s="199"/>
      <c r="H3" s="199"/>
      <c r="I3" s="199"/>
    </row>
    <row r="4" spans="1:20" ht="49.5" customHeight="1">
      <c r="A4" s="3"/>
      <c r="B4" s="4" t="s">
        <v>2</v>
      </c>
      <c r="C4" s="5" t="s">
        <v>3</v>
      </c>
      <c r="D4" s="6" t="s">
        <v>4</v>
      </c>
      <c r="E4" s="200" t="s">
        <v>5</v>
      </c>
      <c r="F4" s="200" t="s">
        <v>6</v>
      </c>
      <c r="G4" s="200" t="s">
        <v>7</v>
      </c>
      <c r="H4" s="200" t="s">
        <v>7</v>
      </c>
      <c r="I4" s="200" t="s">
        <v>8</v>
      </c>
      <c r="J4" s="314" t="s">
        <v>9</v>
      </c>
      <c r="K4" s="200" t="s">
        <v>10</v>
      </c>
      <c r="L4" s="200" t="s">
        <v>195</v>
      </c>
      <c r="M4" s="200" t="s">
        <v>196</v>
      </c>
      <c r="N4" s="200" t="s">
        <v>14</v>
      </c>
      <c r="O4" s="23" t="s">
        <v>15</v>
      </c>
      <c r="P4" s="200" t="s">
        <v>16</v>
      </c>
      <c r="Q4" s="327" t="s">
        <v>17</v>
      </c>
      <c r="R4" s="67" t="s">
        <v>622</v>
      </c>
      <c r="S4" s="301" t="s">
        <v>623</v>
      </c>
    </row>
    <row r="5" spans="1:20" ht="17.25" customHeight="1">
      <c r="C5" s="7"/>
      <c r="D5" s="7"/>
      <c r="E5" s="69" t="s">
        <v>20</v>
      </c>
      <c r="F5" s="20"/>
      <c r="G5" s="69" t="s">
        <v>20</v>
      </c>
      <c r="H5" s="69" t="s">
        <v>20</v>
      </c>
      <c r="I5" s="69" t="s">
        <v>20</v>
      </c>
      <c r="J5" s="287" t="s">
        <v>20</v>
      </c>
      <c r="K5" s="69" t="s">
        <v>20</v>
      </c>
      <c r="L5" s="69" t="s">
        <v>20</v>
      </c>
      <c r="M5" s="69" t="s">
        <v>20</v>
      </c>
      <c r="N5" s="69" t="s">
        <v>20</v>
      </c>
      <c r="O5" s="69" t="s">
        <v>20</v>
      </c>
      <c r="P5" s="69" t="s">
        <v>20</v>
      </c>
      <c r="Q5" s="433" t="s">
        <v>20</v>
      </c>
      <c r="R5" s="69" t="s">
        <v>20</v>
      </c>
      <c r="S5" s="212" t="s">
        <v>20</v>
      </c>
    </row>
    <row r="6" spans="1:20" ht="20.100000000000001" customHeight="1">
      <c r="A6" s="9"/>
      <c r="B6" s="19" t="s">
        <v>84</v>
      </c>
      <c r="C6" s="20"/>
      <c r="D6" s="20"/>
      <c r="E6" s="134"/>
      <c r="F6" s="134"/>
      <c r="G6" s="202"/>
      <c r="H6" s="202"/>
      <c r="I6" s="134"/>
      <c r="J6" s="134"/>
      <c r="K6" s="134"/>
      <c r="L6" s="134"/>
      <c r="M6" s="134"/>
      <c r="N6" s="134"/>
      <c r="O6" s="134"/>
      <c r="P6" s="134"/>
      <c r="Q6" s="434"/>
      <c r="R6" s="134"/>
      <c r="S6" s="215"/>
      <c r="T6" s="12"/>
    </row>
    <row r="7" spans="1:20" ht="20.100000000000001" customHeight="1">
      <c r="A7" s="9">
        <v>1</v>
      </c>
      <c r="B7" s="13" t="s">
        <v>470</v>
      </c>
      <c r="C7" s="3" t="s">
        <v>471</v>
      </c>
      <c r="D7" s="15" t="s">
        <v>340</v>
      </c>
      <c r="E7" s="72">
        <v>762373.16666666698</v>
      </c>
      <c r="F7" s="72"/>
      <c r="G7" s="202"/>
      <c r="H7" s="202">
        <f>80000+10000</f>
        <v>90000</v>
      </c>
      <c r="I7" s="72"/>
      <c r="J7" s="201">
        <f>E7+F7+G7+H7+I7</f>
        <v>852373.16666666698</v>
      </c>
      <c r="K7" s="72"/>
      <c r="L7" s="72">
        <f>0</f>
        <v>0</v>
      </c>
      <c r="M7" s="72">
        <v>0</v>
      </c>
      <c r="N7" s="72">
        <v>1066.32925</v>
      </c>
      <c r="O7" s="72">
        <v>130407.52761066701</v>
      </c>
      <c r="P7" s="72">
        <v>60989.853333333303</v>
      </c>
      <c r="Q7" s="319">
        <f>O7+N7+M7+L7+K7+P7</f>
        <v>192463.71019400001</v>
      </c>
      <c r="R7" s="72">
        <v>659909.45647266705</v>
      </c>
      <c r="S7" s="213">
        <f>J7-Q7</f>
        <v>659909.45647266705</v>
      </c>
      <c r="T7" s="12"/>
    </row>
    <row r="8" spans="1:20" ht="20.100000000000001" customHeight="1">
      <c r="A8" s="26">
        <v>1</v>
      </c>
      <c r="B8" s="13" t="s">
        <v>470</v>
      </c>
      <c r="C8" s="3" t="s">
        <v>471</v>
      </c>
      <c r="D8" s="14" t="s">
        <v>472</v>
      </c>
      <c r="E8" s="72">
        <f>'[5]Annual &amp; Monthly'!$H$44</f>
        <v>1352042.66666667</v>
      </c>
      <c r="F8" s="72"/>
      <c r="G8" s="202"/>
      <c r="H8" s="202">
        <f>100000</f>
        <v>100000</v>
      </c>
      <c r="I8" s="72">
        <v>0</v>
      </c>
      <c r="J8" s="201">
        <f>SUM(E8:I8)</f>
        <v>1452042.66666667</v>
      </c>
      <c r="K8" s="72"/>
      <c r="L8" s="72"/>
      <c r="M8" s="72"/>
      <c r="N8" s="72">
        <v>1066.32925</v>
      </c>
      <c r="O8" s="72">
        <f>'March New PAYE '!Z93</f>
        <v>236486.74867946701</v>
      </c>
      <c r="P8" s="72">
        <v>114857.60000000001</v>
      </c>
      <c r="Q8" s="319">
        <f>O8+N8+M8+L8+K8+P8</f>
        <v>352410.677929467</v>
      </c>
      <c r="R8" s="72">
        <v>659909.45647266705</v>
      </c>
      <c r="S8" s="213">
        <f t="shared" ref="S8" si="0">J8-Q8</f>
        <v>1099631.9887371999</v>
      </c>
      <c r="T8" s="595">
        <f>R8-S8</f>
        <v>-439722.53226453299</v>
      </c>
    </row>
    <row r="9" spans="1:20" ht="35.25" customHeight="1">
      <c r="A9" s="3"/>
      <c r="B9" s="29" t="s">
        <v>616</v>
      </c>
      <c r="C9" s="30" t="e">
        <f>#REF!+#REF!+#REF!+#REF!+#REF!+#REF!+#REF!+#REF!+#REF!+#REF!+#REF!</f>
        <v>#REF!</v>
      </c>
      <c r="D9" s="31"/>
      <c r="E9" s="209">
        <f>E8-E7</f>
        <v>589669.5</v>
      </c>
      <c r="F9" s="209">
        <f t="shared" ref="F9:S9" si="1">F8-F7</f>
        <v>0</v>
      </c>
      <c r="G9" s="209">
        <f t="shared" si="1"/>
        <v>0</v>
      </c>
      <c r="H9" s="209">
        <f t="shared" si="1"/>
        <v>10000</v>
      </c>
      <c r="I9" s="209">
        <f t="shared" si="1"/>
        <v>0</v>
      </c>
      <c r="J9" s="209">
        <f t="shared" si="1"/>
        <v>599669.5</v>
      </c>
      <c r="K9" s="209">
        <f t="shared" si="1"/>
        <v>0</v>
      </c>
      <c r="L9" s="209">
        <f t="shared" si="1"/>
        <v>0</v>
      </c>
      <c r="M9" s="209">
        <f t="shared" si="1"/>
        <v>0</v>
      </c>
      <c r="N9" s="209">
        <f t="shared" si="1"/>
        <v>0</v>
      </c>
      <c r="O9" s="209">
        <f t="shared" si="1"/>
        <v>106079.22106880001</v>
      </c>
      <c r="P9" s="209">
        <f t="shared" si="1"/>
        <v>53867.746666666702</v>
      </c>
      <c r="Q9" s="209">
        <f t="shared" si="1"/>
        <v>159946.96773546599</v>
      </c>
      <c r="R9" s="209">
        <f t="shared" si="1"/>
        <v>0</v>
      </c>
      <c r="S9" s="209">
        <f t="shared" si="1"/>
        <v>439722.53226453299</v>
      </c>
      <c r="T9" s="12"/>
    </row>
    <row r="10" spans="1:20" ht="38.25" customHeight="1">
      <c r="A10" s="2"/>
      <c r="B10" s="32"/>
      <c r="C10" s="2"/>
      <c r="D10" s="33"/>
      <c r="E10" s="33"/>
      <c r="F10" s="33"/>
      <c r="G10" s="210"/>
      <c r="H10" s="210"/>
      <c r="I10" s="210"/>
      <c r="J10" s="210"/>
      <c r="K10" s="210"/>
      <c r="L10" s="210"/>
      <c r="M10" s="210"/>
      <c r="N10" s="210"/>
      <c r="O10" s="211"/>
      <c r="P10" s="211"/>
      <c r="Q10" s="211"/>
      <c r="R10" s="211"/>
      <c r="S10" s="211"/>
      <c r="T10" s="34"/>
    </row>
    <row r="11" spans="1:20" ht="36.75" customHeight="1">
      <c r="A11" s="2"/>
      <c r="B11" s="32"/>
      <c r="C11" s="33"/>
      <c r="D11" s="33"/>
      <c r="E11" s="33"/>
      <c r="F11" s="33"/>
      <c r="G11" s="210"/>
      <c r="H11" s="210"/>
      <c r="J11" s="210"/>
      <c r="K11" s="210"/>
      <c r="L11" s="210"/>
      <c r="M11" s="210"/>
      <c r="N11" s="210"/>
      <c r="O11" s="211"/>
      <c r="P11" s="211"/>
      <c r="Q11" s="211"/>
      <c r="R11" s="211"/>
      <c r="S11" s="34"/>
    </row>
    <row r="12" spans="1:20" ht="20.100000000000001" customHeight="1">
      <c r="Q12" s="34"/>
      <c r="S12" s="315"/>
    </row>
    <row r="13" spans="1:20" ht="20.100000000000001" customHeight="1">
      <c r="S13" s="34"/>
    </row>
    <row r="14" spans="1:20" ht="20.100000000000001" customHeight="1">
      <c r="J14" s="34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9"/>
  <sheetViews>
    <sheetView topLeftCell="A20" workbookViewId="0">
      <selection activeCell="G29" sqref="G29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1.85546875" style="1" customWidth="1"/>
    <col min="6" max="6" width="20.28515625" style="1" customWidth="1"/>
    <col min="7" max="7" width="18" style="1" customWidth="1"/>
    <col min="8" max="8" width="21.7109375" style="1" customWidth="1"/>
    <col min="9" max="9" width="16.42578125" style="1" customWidth="1"/>
    <col min="10" max="10" width="14.85546875" style="1" customWidth="1"/>
    <col min="11" max="16384" width="9.140625" style="1"/>
  </cols>
  <sheetData>
    <row r="1" spans="1:9" ht="27" customHeight="1">
      <c r="A1" s="856" t="s">
        <v>0</v>
      </c>
      <c r="B1" s="856"/>
      <c r="C1" s="856"/>
      <c r="D1" s="856"/>
      <c r="E1" s="856"/>
      <c r="F1" s="856"/>
      <c r="G1" s="856"/>
    </row>
    <row r="2" spans="1:9" ht="20.25" customHeight="1">
      <c r="A2" s="856" t="s">
        <v>630</v>
      </c>
      <c r="B2" s="856"/>
      <c r="C2" s="856"/>
      <c r="D2" s="856"/>
      <c r="E2" s="856"/>
      <c r="F2" s="856"/>
      <c r="G2" s="856"/>
    </row>
    <row r="3" spans="1:9" ht="9.75" customHeight="1">
      <c r="A3" s="856"/>
      <c r="B3" s="856"/>
      <c r="C3" s="856"/>
      <c r="D3" s="856"/>
      <c r="E3" s="856"/>
      <c r="F3" s="856"/>
      <c r="G3" s="856"/>
    </row>
    <row r="4" spans="1:9" ht="13.5" customHeight="1">
      <c r="A4" s="2"/>
      <c r="B4" s="2"/>
      <c r="C4" s="2"/>
      <c r="D4" s="2"/>
      <c r="E4" s="199"/>
      <c r="F4" s="199"/>
      <c r="G4" s="199"/>
    </row>
    <row r="5" spans="1:9" ht="52.5" customHeight="1">
      <c r="A5" s="3"/>
      <c r="B5" s="4" t="s">
        <v>2</v>
      </c>
      <c r="C5" s="5" t="s">
        <v>3</v>
      </c>
      <c r="D5" s="6" t="s">
        <v>4</v>
      </c>
      <c r="E5" s="200" t="s">
        <v>631</v>
      </c>
      <c r="F5" s="200" t="s">
        <v>632</v>
      </c>
      <c r="G5" s="200" t="s">
        <v>633</v>
      </c>
      <c r="H5" s="200" t="s">
        <v>634</v>
      </c>
      <c r="I5" s="200" t="s">
        <v>616</v>
      </c>
    </row>
    <row r="6" spans="1:9" ht="17.25" customHeight="1">
      <c r="C6" s="7"/>
      <c r="D6" s="7"/>
      <c r="E6" s="69" t="s">
        <v>20</v>
      </c>
      <c r="F6" s="69" t="s">
        <v>20</v>
      </c>
      <c r="G6" s="69" t="s">
        <v>20</v>
      </c>
      <c r="H6" s="69" t="s">
        <v>20</v>
      </c>
      <c r="I6" s="69" t="s">
        <v>20</v>
      </c>
    </row>
    <row r="7" spans="1:9" ht="20.100000000000001" customHeight="1">
      <c r="A7" s="8" t="s">
        <v>21</v>
      </c>
      <c r="B7" s="7" t="s">
        <v>22</v>
      </c>
      <c r="C7" s="7"/>
      <c r="D7" s="7"/>
      <c r="E7" s="69"/>
      <c r="F7" s="69"/>
      <c r="G7" s="20"/>
      <c r="H7" s="20"/>
      <c r="I7" s="20"/>
    </row>
    <row r="8" spans="1:9" ht="20.100000000000001" customHeight="1">
      <c r="A8" s="9">
        <v>1</v>
      </c>
      <c r="B8" s="10" t="s">
        <v>345</v>
      </c>
      <c r="C8" s="11" t="s">
        <v>346</v>
      </c>
      <c r="D8" s="11" t="s">
        <v>347</v>
      </c>
      <c r="E8" s="72"/>
      <c r="F8" s="72">
        <f>E8/12</f>
        <v>0</v>
      </c>
      <c r="G8" s="72">
        <f>E8*0.025</f>
        <v>0</v>
      </c>
      <c r="H8" s="72"/>
      <c r="I8" s="72">
        <f>G8-H8</f>
        <v>0</v>
      </c>
    </row>
    <row r="9" spans="1:9" ht="20.100000000000001" customHeight="1">
      <c r="A9" s="9">
        <v>2</v>
      </c>
      <c r="B9" s="10" t="s">
        <v>348</v>
      </c>
      <c r="C9" s="11" t="s">
        <v>349</v>
      </c>
      <c r="D9" s="9" t="s">
        <v>343</v>
      </c>
      <c r="E9" s="72"/>
      <c r="F9" s="72">
        <f t="shared" ref="F9:F34" si="0">E9/12</f>
        <v>0</v>
      </c>
      <c r="G9" s="72">
        <f t="shared" ref="G9:G34" si="1">E9*0.025</f>
        <v>0</v>
      </c>
      <c r="H9" s="72"/>
      <c r="I9" s="72">
        <f t="shared" ref="I9:I34" si="2">G9-H9</f>
        <v>0</v>
      </c>
    </row>
    <row r="10" spans="1:9" ht="20.100000000000001" customHeight="1">
      <c r="A10" s="9">
        <v>3</v>
      </c>
      <c r="B10" s="13" t="s">
        <v>350</v>
      </c>
      <c r="C10" s="3" t="s">
        <v>351</v>
      </c>
      <c r="D10" s="9" t="s">
        <v>343</v>
      </c>
      <c r="E10" s="72"/>
      <c r="F10" s="72">
        <f t="shared" si="0"/>
        <v>0</v>
      </c>
      <c r="G10" s="72">
        <f t="shared" si="1"/>
        <v>0</v>
      </c>
      <c r="H10" s="72"/>
      <c r="I10" s="72">
        <f t="shared" si="2"/>
        <v>0</v>
      </c>
    </row>
    <row r="11" spans="1:9" ht="20.100000000000001" customHeight="1">
      <c r="A11" s="9">
        <v>4</v>
      </c>
      <c r="B11" s="10" t="s">
        <v>352</v>
      </c>
      <c r="C11" s="16" t="s">
        <v>353</v>
      </c>
      <c r="D11" s="9" t="s">
        <v>343</v>
      </c>
      <c r="E11" s="72">
        <f>'[9]NASS New Structure'!$J$20</f>
        <v>4940831</v>
      </c>
      <c r="F11" s="72">
        <f t="shared" si="0"/>
        <v>411735.91666666698</v>
      </c>
      <c r="G11" s="72">
        <f>F11*0.025</f>
        <v>10293.3979166667</v>
      </c>
      <c r="H11" s="72">
        <v>1066.32925</v>
      </c>
      <c r="I11" s="72">
        <f t="shared" si="2"/>
        <v>9227.0686666666697</v>
      </c>
    </row>
    <row r="12" spans="1:9" ht="20.100000000000001" customHeight="1">
      <c r="A12" s="9">
        <v>5</v>
      </c>
      <c r="B12" s="13" t="s">
        <v>354</v>
      </c>
      <c r="C12" s="3" t="s">
        <v>635</v>
      </c>
      <c r="D12" s="9" t="s">
        <v>343</v>
      </c>
      <c r="E12" s="72">
        <f>'[9]NASS New Structure'!$J$20</f>
        <v>4940831</v>
      </c>
      <c r="F12" s="72">
        <f t="shared" si="0"/>
        <v>411735.91666666698</v>
      </c>
      <c r="G12" s="72">
        <f t="shared" ref="G12:G15" si="3">F12*0.025</f>
        <v>10293.3979166667</v>
      </c>
      <c r="H12" s="72">
        <v>1066.32925</v>
      </c>
      <c r="I12" s="72">
        <f t="shared" si="2"/>
        <v>9227.0686666666697</v>
      </c>
    </row>
    <row r="13" spans="1:9" ht="20.100000000000001" customHeight="1">
      <c r="A13" s="9">
        <v>6</v>
      </c>
      <c r="B13" s="17" t="s">
        <v>341</v>
      </c>
      <c r="C13" s="9" t="s">
        <v>342</v>
      </c>
      <c r="D13" s="9" t="s">
        <v>343</v>
      </c>
      <c r="E13" s="72"/>
      <c r="F13" s="72">
        <f t="shared" si="0"/>
        <v>0</v>
      </c>
      <c r="G13" s="72">
        <f t="shared" si="3"/>
        <v>0</v>
      </c>
      <c r="H13" s="72"/>
      <c r="I13" s="72">
        <f t="shared" si="2"/>
        <v>0</v>
      </c>
    </row>
    <row r="14" spans="1:9" ht="20.100000000000001" customHeight="1">
      <c r="A14" s="9">
        <v>7</v>
      </c>
      <c r="B14" s="10" t="s">
        <v>356</v>
      </c>
      <c r="C14" s="11" t="s">
        <v>357</v>
      </c>
      <c r="D14" s="14" t="s">
        <v>358</v>
      </c>
      <c r="E14" s="72">
        <f>'[9]NASS New Structure'!$J$19</f>
        <v>4022509</v>
      </c>
      <c r="F14" s="72">
        <f t="shared" si="0"/>
        <v>335209.08333333302</v>
      </c>
      <c r="G14" s="72">
        <f t="shared" si="3"/>
        <v>8380.2270833333296</v>
      </c>
      <c r="H14" s="72">
        <v>837.6875</v>
      </c>
      <c r="I14" s="72">
        <f t="shared" si="2"/>
        <v>7542.5395833333296</v>
      </c>
    </row>
    <row r="15" spans="1:9" ht="20.100000000000001" customHeight="1">
      <c r="A15" s="9">
        <v>8</v>
      </c>
      <c r="B15" s="10" t="s">
        <v>359</v>
      </c>
      <c r="C15" s="3" t="s">
        <v>360</v>
      </c>
      <c r="D15" s="9" t="s">
        <v>99</v>
      </c>
      <c r="E15" s="72">
        <f>'[9]NASS New Structure'!$H$19</f>
        <v>3772623</v>
      </c>
      <c r="F15" s="72">
        <f t="shared" si="0"/>
        <v>314385.25</v>
      </c>
      <c r="G15" s="72">
        <f t="shared" si="3"/>
        <v>7859.6312500000004</v>
      </c>
      <c r="H15" s="72">
        <v>775.49599999999998</v>
      </c>
      <c r="I15" s="72">
        <f t="shared" si="2"/>
        <v>7084.1352500000003</v>
      </c>
    </row>
    <row r="16" spans="1:9" ht="20.100000000000001" customHeight="1">
      <c r="A16" s="9">
        <v>9</v>
      </c>
      <c r="B16" s="10" t="s">
        <v>361</v>
      </c>
      <c r="C16" s="3" t="s">
        <v>362</v>
      </c>
      <c r="D16" s="14" t="s">
        <v>363</v>
      </c>
      <c r="E16" s="72"/>
      <c r="F16" s="72">
        <f t="shared" si="0"/>
        <v>0</v>
      </c>
      <c r="G16" s="72">
        <f t="shared" si="1"/>
        <v>0</v>
      </c>
      <c r="H16" s="72"/>
      <c r="I16" s="72">
        <f t="shared" si="2"/>
        <v>0</v>
      </c>
    </row>
    <row r="17" spans="1:9" ht="20.100000000000001" customHeight="1">
      <c r="A17" s="9">
        <v>10</v>
      </c>
      <c r="B17" s="13" t="s">
        <v>364</v>
      </c>
      <c r="C17" s="16" t="s">
        <v>365</v>
      </c>
      <c r="D17" s="14" t="s">
        <v>366</v>
      </c>
      <c r="E17" s="72"/>
      <c r="F17" s="72">
        <f t="shared" si="0"/>
        <v>0</v>
      </c>
      <c r="G17" s="72">
        <f t="shared" si="1"/>
        <v>0</v>
      </c>
      <c r="H17" s="72"/>
      <c r="I17" s="72">
        <f t="shared" si="2"/>
        <v>0</v>
      </c>
    </row>
    <row r="18" spans="1:9" ht="20.100000000000001" customHeight="1">
      <c r="A18" s="9">
        <v>11</v>
      </c>
      <c r="B18" s="10" t="s">
        <v>367</v>
      </c>
      <c r="C18" s="3" t="s">
        <v>368</v>
      </c>
      <c r="D18" s="9" t="s">
        <v>369</v>
      </c>
      <c r="E18" s="72"/>
      <c r="F18" s="72">
        <f t="shared" si="0"/>
        <v>0</v>
      </c>
      <c r="G18" s="72">
        <f t="shared" si="1"/>
        <v>0</v>
      </c>
      <c r="H18" s="72"/>
      <c r="I18" s="72">
        <f t="shared" si="2"/>
        <v>0</v>
      </c>
    </row>
    <row r="19" spans="1:9" ht="20.100000000000001" customHeight="1">
      <c r="A19" s="9">
        <v>12</v>
      </c>
      <c r="B19" s="10" t="s">
        <v>370</v>
      </c>
      <c r="C19" s="3" t="s">
        <v>371</v>
      </c>
      <c r="D19" s="9" t="s">
        <v>372</v>
      </c>
      <c r="E19" s="72"/>
      <c r="F19" s="72">
        <f t="shared" si="0"/>
        <v>0</v>
      </c>
      <c r="G19" s="72">
        <f t="shared" si="1"/>
        <v>0</v>
      </c>
      <c r="H19" s="72"/>
      <c r="I19" s="72">
        <f t="shared" si="2"/>
        <v>0</v>
      </c>
    </row>
    <row r="20" spans="1:9" ht="20.100000000000001" customHeight="1">
      <c r="A20" s="9">
        <v>13</v>
      </c>
      <c r="B20" s="10" t="s">
        <v>373</v>
      </c>
      <c r="C20" s="11" t="s">
        <v>374</v>
      </c>
      <c r="D20" s="14" t="s">
        <v>375</v>
      </c>
      <c r="E20" s="72"/>
      <c r="F20" s="72">
        <f t="shared" si="0"/>
        <v>0</v>
      </c>
      <c r="G20" s="72">
        <f t="shared" si="1"/>
        <v>0</v>
      </c>
      <c r="H20" s="72"/>
      <c r="I20" s="72">
        <f t="shared" si="2"/>
        <v>0</v>
      </c>
    </row>
    <row r="21" spans="1:9" ht="20.100000000000001" customHeight="1">
      <c r="A21" s="9">
        <v>14</v>
      </c>
      <c r="B21" s="17" t="s">
        <v>376</v>
      </c>
      <c r="C21" s="3" t="s">
        <v>636</v>
      </c>
      <c r="D21" s="14" t="s">
        <v>378</v>
      </c>
      <c r="E21" s="72">
        <f>'[9]NASS New Structure'!$J$17</f>
        <v>2691445</v>
      </c>
      <c r="F21" s="72">
        <f t="shared" si="0"/>
        <v>224287.08333333299</v>
      </c>
      <c r="G21" s="72">
        <f>F21*0.025</f>
        <v>5607.1770833333303</v>
      </c>
      <c r="H21" s="72">
        <v>618.53150000000005</v>
      </c>
      <c r="I21" s="72">
        <f t="shared" si="2"/>
        <v>4988.6455833333303</v>
      </c>
    </row>
    <row r="22" spans="1:9" ht="18.75" customHeight="1">
      <c r="A22" s="9">
        <v>15</v>
      </c>
      <c r="B22" s="10" t="s">
        <v>379</v>
      </c>
      <c r="C22" s="11" t="s">
        <v>233</v>
      </c>
      <c r="D22" s="14" t="s">
        <v>380</v>
      </c>
      <c r="E22" s="72"/>
      <c r="F22" s="72">
        <f t="shared" si="0"/>
        <v>0</v>
      </c>
      <c r="G22" s="72">
        <f t="shared" si="1"/>
        <v>0</v>
      </c>
      <c r="H22" s="72"/>
      <c r="I22" s="72">
        <f t="shared" si="2"/>
        <v>0</v>
      </c>
    </row>
    <row r="23" spans="1:9" ht="20.100000000000001" customHeight="1">
      <c r="A23" s="9">
        <v>16</v>
      </c>
      <c r="B23" s="13" t="s">
        <v>381</v>
      </c>
      <c r="C23" s="16" t="s">
        <v>637</v>
      </c>
      <c r="D23" s="9" t="s">
        <v>32</v>
      </c>
      <c r="E23" s="72"/>
      <c r="F23" s="72">
        <f t="shared" si="0"/>
        <v>0</v>
      </c>
      <c r="G23" s="72">
        <f t="shared" si="1"/>
        <v>0</v>
      </c>
      <c r="H23" s="72"/>
      <c r="I23" s="72">
        <f t="shared" si="2"/>
        <v>0</v>
      </c>
    </row>
    <row r="24" spans="1:9" ht="21.6" customHeight="1">
      <c r="A24" s="9">
        <v>17</v>
      </c>
      <c r="B24" s="10" t="s">
        <v>383</v>
      </c>
      <c r="C24" s="16" t="s">
        <v>34</v>
      </c>
      <c r="D24" s="14" t="s">
        <v>32</v>
      </c>
      <c r="E24" s="72"/>
      <c r="F24" s="72">
        <f t="shared" si="0"/>
        <v>0</v>
      </c>
      <c r="G24" s="72">
        <f t="shared" si="1"/>
        <v>0</v>
      </c>
      <c r="H24" s="72"/>
      <c r="I24" s="72">
        <f t="shared" si="2"/>
        <v>0</v>
      </c>
    </row>
    <row r="25" spans="1:9" ht="20.100000000000001" customHeight="1">
      <c r="A25" s="9">
        <v>18</v>
      </c>
      <c r="B25" s="13" t="s">
        <v>384</v>
      </c>
      <c r="C25" s="16" t="s">
        <v>385</v>
      </c>
      <c r="D25" s="9" t="s">
        <v>37</v>
      </c>
      <c r="E25" s="72"/>
      <c r="F25" s="72">
        <f t="shared" si="0"/>
        <v>0</v>
      </c>
      <c r="G25" s="72">
        <f t="shared" si="1"/>
        <v>0</v>
      </c>
      <c r="H25" s="72"/>
      <c r="I25" s="72">
        <f t="shared" si="2"/>
        <v>0</v>
      </c>
    </row>
    <row r="26" spans="1:9" ht="18.75" customHeight="1">
      <c r="A26" s="9">
        <v>19</v>
      </c>
      <c r="B26" s="3" t="s">
        <v>386</v>
      </c>
      <c r="C26" s="3" t="s">
        <v>289</v>
      </c>
      <c r="D26" s="9" t="s">
        <v>387</v>
      </c>
      <c r="E26" s="72"/>
      <c r="F26" s="72">
        <f t="shared" si="0"/>
        <v>0</v>
      </c>
      <c r="G26" s="72">
        <f t="shared" si="1"/>
        <v>0</v>
      </c>
      <c r="H26" s="72"/>
      <c r="I26" s="72">
        <f t="shared" si="2"/>
        <v>0</v>
      </c>
    </row>
    <row r="27" spans="1:9" ht="18.75" customHeight="1">
      <c r="A27" s="9">
        <v>20</v>
      </c>
      <c r="B27" s="17" t="s">
        <v>388</v>
      </c>
      <c r="C27" s="11" t="s">
        <v>289</v>
      </c>
      <c r="D27" s="14" t="s">
        <v>387</v>
      </c>
      <c r="E27" s="72"/>
      <c r="F27" s="72">
        <f t="shared" si="0"/>
        <v>0</v>
      </c>
      <c r="G27" s="72">
        <f t="shared" si="1"/>
        <v>0</v>
      </c>
      <c r="H27" s="72"/>
      <c r="I27" s="72">
        <f t="shared" si="2"/>
        <v>0</v>
      </c>
    </row>
    <row r="28" spans="1:9" ht="20.100000000000001" customHeight="1">
      <c r="A28" s="9">
        <v>21</v>
      </c>
      <c r="B28" s="10" t="s">
        <v>389</v>
      </c>
      <c r="C28" s="16" t="s">
        <v>382</v>
      </c>
      <c r="D28" s="9" t="s">
        <v>387</v>
      </c>
      <c r="E28" s="72"/>
      <c r="F28" s="72">
        <f t="shared" si="0"/>
        <v>0</v>
      </c>
      <c r="G28" s="72">
        <f t="shared" si="1"/>
        <v>0</v>
      </c>
      <c r="H28" s="72"/>
      <c r="I28" s="72">
        <f t="shared" si="2"/>
        <v>0</v>
      </c>
    </row>
    <row r="29" spans="1:9" ht="18.75" customHeight="1">
      <c r="A29" s="9">
        <v>22</v>
      </c>
      <c r="B29" s="17" t="s">
        <v>390</v>
      </c>
      <c r="C29" s="11" t="s">
        <v>220</v>
      </c>
      <c r="D29" s="14" t="s">
        <v>391</v>
      </c>
      <c r="E29" s="72"/>
      <c r="F29" s="72">
        <f t="shared" si="0"/>
        <v>0</v>
      </c>
      <c r="G29" s="72">
        <f t="shared" si="1"/>
        <v>0</v>
      </c>
      <c r="H29" s="72"/>
      <c r="I29" s="72">
        <f t="shared" si="2"/>
        <v>0</v>
      </c>
    </row>
    <row r="30" spans="1:9" ht="18.75" customHeight="1">
      <c r="A30" s="9">
        <v>23</v>
      </c>
      <c r="B30" s="17" t="s">
        <v>392</v>
      </c>
      <c r="C30" s="3" t="s">
        <v>393</v>
      </c>
      <c r="D30" s="9" t="s">
        <v>55</v>
      </c>
      <c r="E30" s="72"/>
      <c r="F30" s="72">
        <f t="shared" si="0"/>
        <v>0</v>
      </c>
      <c r="G30" s="72">
        <f t="shared" si="1"/>
        <v>0</v>
      </c>
      <c r="H30" s="72"/>
      <c r="I30" s="72">
        <f t="shared" si="2"/>
        <v>0</v>
      </c>
    </row>
    <row r="31" spans="1:9" ht="18.75" customHeight="1">
      <c r="A31" s="9">
        <v>24</v>
      </c>
      <c r="B31" s="17" t="s">
        <v>394</v>
      </c>
      <c r="C31" s="3" t="s">
        <v>393</v>
      </c>
      <c r="D31" s="9" t="s">
        <v>55</v>
      </c>
      <c r="E31" s="72"/>
      <c r="F31" s="72">
        <f t="shared" si="0"/>
        <v>0</v>
      </c>
      <c r="G31" s="72">
        <f t="shared" si="1"/>
        <v>0</v>
      </c>
      <c r="H31" s="72"/>
      <c r="I31" s="72">
        <f t="shared" si="2"/>
        <v>0</v>
      </c>
    </row>
    <row r="32" spans="1:9" ht="18.75" customHeight="1">
      <c r="A32" s="9">
        <v>25</v>
      </c>
      <c r="B32" s="17" t="s">
        <v>395</v>
      </c>
      <c r="C32" s="16" t="s">
        <v>396</v>
      </c>
      <c r="D32" s="14" t="s">
        <v>387</v>
      </c>
      <c r="E32" s="72">
        <f>'[10]NASS New Structure'!$J$14</f>
        <v>1753681</v>
      </c>
      <c r="F32" s="72">
        <f t="shared" si="0"/>
        <v>146140.08333333299</v>
      </c>
      <c r="G32" s="72">
        <f>F32*0.025</f>
        <v>3653.5020833333301</v>
      </c>
      <c r="H32" s="72"/>
      <c r="I32" s="72">
        <f t="shared" si="2"/>
        <v>3653.5020833333301</v>
      </c>
    </row>
    <row r="33" spans="1:9" ht="18.75" customHeight="1">
      <c r="A33" s="9">
        <v>26</v>
      </c>
      <c r="B33" s="17" t="s">
        <v>397</v>
      </c>
      <c r="C33" s="3" t="s">
        <v>398</v>
      </c>
      <c r="D33" s="9" t="s">
        <v>399</v>
      </c>
      <c r="E33" s="72"/>
      <c r="F33" s="72">
        <f t="shared" si="0"/>
        <v>0</v>
      </c>
      <c r="G33" s="72">
        <f t="shared" si="1"/>
        <v>0</v>
      </c>
      <c r="H33" s="72"/>
      <c r="I33" s="72">
        <f t="shared" si="2"/>
        <v>0</v>
      </c>
    </row>
    <row r="34" spans="1:9" ht="18.75" customHeight="1">
      <c r="A34" s="9">
        <v>27</v>
      </c>
      <c r="B34" s="17" t="s">
        <v>400</v>
      </c>
      <c r="C34" s="11" t="s">
        <v>401</v>
      </c>
      <c r="D34" s="14" t="s">
        <v>402</v>
      </c>
      <c r="E34" s="72"/>
      <c r="F34" s="72">
        <f t="shared" si="0"/>
        <v>0</v>
      </c>
      <c r="G34" s="72">
        <f t="shared" si="1"/>
        <v>0</v>
      </c>
      <c r="H34" s="72"/>
      <c r="I34" s="72">
        <f t="shared" si="2"/>
        <v>0</v>
      </c>
    </row>
    <row r="35" spans="1:9" ht="26.25" customHeight="1">
      <c r="A35" s="9"/>
      <c r="B35" s="19" t="s">
        <v>42</v>
      </c>
      <c r="C35" s="20">
        <v>27</v>
      </c>
      <c r="D35" s="14"/>
      <c r="E35" s="203">
        <f>SUM(E8:E34)</f>
        <v>22121920</v>
      </c>
      <c r="F35" s="203">
        <f>SUM(F8:F34)</f>
        <v>1843493.33333333</v>
      </c>
      <c r="G35" s="203">
        <f t="shared" ref="G35:I35" si="4">SUM(G8:G34)</f>
        <v>46087.333333333401</v>
      </c>
      <c r="H35" s="203">
        <f t="shared" si="4"/>
        <v>4364.3734999999997</v>
      </c>
      <c r="I35" s="203">
        <f t="shared" si="4"/>
        <v>41722.959833333298</v>
      </c>
    </row>
    <row r="36" spans="1:9" ht="18.75" customHeight="1">
      <c r="A36" s="9"/>
      <c r="B36" s="21"/>
      <c r="C36" s="3"/>
      <c r="D36" s="14"/>
      <c r="E36" s="203"/>
      <c r="F36" s="203"/>
      <c r="G36" s="203"/>
      <c r="H36" s="203"/>
      <c r="I36" s="203"/>
    </row>
    <row r="37" spans="1:9" ht="18.75" customHeight="1">
      <c r="A37" s="9"/>
      <c r="B37" s="19" t="s">
        <v>225</v>
      </c>
      <c r="C37" s="3"/>
      <c r="D37" s="14"/>
      <c r="E37" s="72"/>
      <c r="F37" s="72"/>
      <c r="G37" s="72"/>
      <c r="H37" s="72"/>
      <c r="I37" s="72"/>
    </row>
    <row r="38" spans="1:9" ht="18.75" customHeight="1">
      <c r="A38" s="9">
        <v>1</v>
      </c>
      <c r="B38" s="17" t="s">
        <v>403</v>
      </c>
      <c r="C38" s="3" t="s">
        <v>404</v>
      </c>
      <c r="D38" s="9" t="s">
        <v>405</v>
      </c>
      <c r="E38" s="72"/>
      <c r="F38" s="72"/>
      <c r="G38" s="72">
        <f>E38*0.025</f>
        <v>0</v>
      </c>
      <c r="H38" s="72">
        <f t="shared" ref="H38:I38" si="5">F38*0.025</f>
        <v>0</v>
      </c>
      <c r="I38" s="72">
        <f t="shared" si="5"/>
        <v>0</v>
      </c>
    </row>
    <row r="39" spans="1:9" ht="18.75" customHeight="1">
      <c r="A39" s="9">
        <v>2</v>
      </c>
      <c r="B39" s="17" t="s">
        <v>406</v>
      </c>
      <c r="C39" s="3" t="s">
        <v>638</v>
      </c>
      <c r="D39" s="9" t="s">
        <v>37</v>
      </c>
      <c r="E39" s="72"/>
      <c r="F39" s="72"/>
      <c r="G39" s="72">
        <f t="shared" ref="G39:I40" si="6">E39*0.025</f>
        <v>0</v>
      </c>
      <c r="H39" s="72">
        <f t="shared" si="6"/>
        <v>0</v>
      </c>
      <c r="I39" s="72">
        <f t="shared" si="6"/>
        <v>0</v>
      </c>
    </row>
    <row r="40" spans="1:9" ht="18.75" customHeight="1">
      <c r="A40" s="9">
        <v>3</v>
      </c>
      <c r="B40" s="10" t="s">
        <v>408</v>
      </c>
      <c r="C40" s="11" t="s">
        <v>639</v>
      </c>
      <c r="D40" s="14" t="s">
        <v>409</v>
      </c>
      <c r="E40" s="72"/>
      <c r="F40" s="72"/>
      <c r="G40" s="72">
        <f t="shared" si="6"/>
        <v>0</v>
      </c>
      <c r="H40" s="72">
        <f t="shared" si="6"/>
        <v>0</v>
      </c>
      <c r="I40" s="72">
        <f t="shared" si="6"/>
        <v>0</v>
      </c>
    </row>
    <row r="41" spans="1:9" ht="19.5" customHeight="1">
      <c r="A41" s="9"/>
      <c r="B41" s="13"/>
      <c r="C41" s="20">
        <v>3</v>
      </c>
      <c r="D41" s="9"/>
      <c r="E41" s="203">
        <f>SUM(E38:E40)</f>
        <v>0</v>
      </c>
      <c r="F41" s="203"/>
      <c r="G41" s="203">
        <f t="shared" ref="G41:I41" si="7">SUM(G38:G40)</f>
        <v>0</v>
      </c>
      <c r="H41" s="203">
        <f t="shared" si="7"/>
        <v>0</v>
      </c>
      <c r="I41" s="203">
        <f t="shared" si="7"/>
        <v>0</v>
      </c>
    </row>
    <row r="42" spans="1:9" ht="20.100000000000001" customHeight="1">
      <c r="A42" s="9"/>
      <c r="B42" s="13"/>
      <c r="C42" s="3"/>
      <c r="D42" s="9"/>
      <c r="E42" s="203"/>
      <c r="F42" s="203"/>
      <c r="G42" s="203"/>
      <c r="H42" s="203"/>
      <c r="I42" s="203"/>
    </row>
    <row r="43" spans="1:9" ht="20.100000000000001" customHeight="1">
      <c r="A43" s="9"/>
      <c r="B43" s="22" t="s">
        <v>43</v>
      </c>
      <c r="C43" s="4"/>
      <c r="D43" s="23"/>
      <c r="E43" s="203"/>
      <c r="F43" s="203"/>
      <c r="G43" s="203"/>
      <c r="H43" s="203"/>
      <c r="I43" s="203"/>
    </row>
    <row r="44" spans="1:9" ht="20.100000000000001" customHeight="1">
      <c r="A44" s="9">
        <v>1</v>
      </c>
      <c r="B44" s="10" t="s">
        <v>410</v>
      </c>
      <c r="C44" s="3" t="s">
        <v>411</v>
      </c>
      <c r="D44" s="9" t="s">
        <v>405</v>
      </c>
      <c r="E44" s="72"/>
      <c r="F44" s="72"/>
      <c r="G44" s="72">
        <f>E44*0.025</f>
        <v>0</v>
      </c>
      <c r="H44" s="72"/>
      <c r="I44" s="72">
        <f t="shared" ref="I44" si="8">G44*0.025</f>
        <v>0</v>
      </c>
    </row>
    <row r="45" spans="1:9" ht="20.100000000000001" customHeight="1">
      <c r="A45" s="9">
        <v>2</v>
      </c>
      <c r="B45" s="10" t="s">
        <v>412</v>
      </c>
      <c r="C45" s="3" t="s">
        <v>413</v>
      </c>
      <c r="D45" s="9" t="s">
        <v>358</v>
      </c>
      <c r="E45" s="72"/>
      <c r="F45" s="72"/>
      <c r="G45" s="72">
        <f t="shared" ref="G45:I54" si="9">E45*0.025</f>
        <v>0</v>
      </c>
      <c r="H45" s="72"/>
      <c r="I45" s="72">
        <f t="shared" si="9"/>
        <v>0</v>
      </c>
    </row>
    <row r="46" spans="1:9" ht="20.100000000000001" customHeight="1">
      <c r="A46" s="9">
        <v>3</v>
      </c>
      <c r="B46" s="10" t="s">
        <v>414</v>
      </c>
      <c r="C46" s="3" t="s">
        <v>415</v>
      </c>
      <c r="D46" s="9" t="s">
        <v>416</v>
      </c>
      <c r="E46" s="72"/>
      <c r="F46" s="72"/>
      <c r="G46" s="72">
        <f t="shared" si="9"/>
        <v>0</v>
      </c>
      <c r="H46" s="72"/>
      <c r="I46" s="72">
        <f t="shared" si="9"/>
        <v>0</v>
      </c>
    </row>
    <row r="47" spans="1:9" ht="20.100000000000001" customHeight="1">
      <c r="A47" s="9">
        <v>4</v>
      </c>
      <c r="B47" s="10" t="s">
        <v>417</v>
      </c>
      <c r="C47" s="3" t="s">
        <v>418</v>
      </c>
      <c r="D47" s="9" t="s">
        <v>358</v>
      </c>
      <c r="E47" s="72"/>
      <c r="F47" s="72"/>
      <c r="G47" s="72">
        <f t="shared" si="9"/>
        <v>0</v>
      </c>
      <c r="H47" s="72"/>
      <c r="I47" s="72">
        <f t="shared" si="9"/>
        <v>0</v>
      </c>
    </row>
    <row r="48" spans="1:9" ht="20.100000000000001" customHeight="1">
      <c r="A48" s="9">
        <v>5</v>
      </c>
      <c r="B48" s="10" t="s">
        <v>419</v>
      </c>
      <c r="C48" s="3" t="s">
        <v>418</v>
      </c>
      <c r="D48" s="9" t="s">
        <v>358</v>
      </c>
      <c r="E48" s="72">
        <f>'[9]NASS New Structure'!$J$19</f>
        <v>4022509</v>
      </c>
      <c r="F48" s="72">
        <f>E48/12</f>
        <v>335209.08333333302</v>
      </c>
      <c r="G48" s="72">
        <f>F48*0.025</f>
        <v>8380.2270833333296</v>
      </c>
      <c r="H48" s="72">
        <v>837.6875</v>
      </c>
      <c r="I48" s="72">
        <f>G48-H48</f>
        <v>7542.5395833333296</v>
      </c>
    </row>
    <row r="49" spans="1:9" ht="20.100000000000001" customHeight="1">
      <c r="A49" s="9">
        <v>6</v>
      </c>
      <c r="B49" s="10" t="s">
        <v>420</v>
      </c>
      <c r="C49" s="3" t="s">
        <v>418</v>
      </c>
      <c r="D49" s="9" t="s">
        <v>99</v>
      </c>
      <c r="E49" s="72"/>
      <c r="F49" s="72"/>
      <c r="G49" s="72">
        <f t="shared" si="9"/>
        <v>0</v>
      </c>
      <c r="H49" s="72"/>
      <c r="I49" s="72">
        <f t="shared" si="9"/>
        <v>0</v>
      </c>
    </row>
    <row r="50" spans="1:9" ht="20.100000000000001" customHeight="1">
      <c r="A50" s="9">
        <v>7</v>
      </c>
      <c r="B50" s="13" t="s">
        <v>421</v>
      </c>
      <c r="C50" s="3" t="s">
        <v>365</v>
      </c>
      <c r="D50" s="15" t="s">
        <v>366</v>
      </c>
      <c r="E50" s="72"/>
      <c r="F50" s="72"/>
      <c r="G50" s="72">
        <f t="shared" si="9"/>
        <v>0</v>
      </c>
      <c r="H50" s="72">
        <v>0</v>
      </c>
      <c r="I50" s="72">
        <f t="shared" si="9"/>
        <v>0</v>
      </c>
    </row>
    <row r="51" spans="1:9" ht="20.100000000000001" customHeight="1">
      <c r="A51" s="9">
        <v>8</v>
      </c>
      <c r="B51" s="10" t="s">
        <v>422</v>
      </c>
      <c r="C51" s="3" t="s">
        <v>64</v>
      </c>
      <c r="D51" s="9" t="s">
        <v>409</v>
      </c>
      <c r="E51" s="72"/>
      <c r="F51" s="72"/>
      <c r="G51" s="72">
        <f t="shared" si="9"/>
        <v>0</v>
      </c>
      <c r="H51" s="72"/>
      <c r="I51" s="72">
        <f t="shared" si="9"/>
        <v>0</v>
      </c>
    </row>
    <row r="52" spans="1:9" ht="20.100000000000001" customHeight="1">
      <c r="A52" s="9">
        <v>9</v>
      </c>
      <c r="B52" s="10" t="s">
        <v>423</v>
      </c>
      <c r="C52" s="3" t="s">
        <v>64</v>
      </c>
      <c r="D52" s="9" t="s">
        <v>391</v>
      </c>
      <c r="E52" s="72"/>
      <c r="F52" s="72"/>
      <c r="G52" s="72">
        <f t="shared" si="9"/>
        <v>0</v>
      </c>
      <c r="H52" s="72"/>
      <c r="I52" s="72">
        <f t="shared" si="9"/>
        <v>0</v>
      </c>
    </row>
    <row r="53" spans="1:9" ht="20.100000000000001" customHeight="1">
      <c r="A53" s="9">
        <v>10</v>
      </c>
      <c r="B53" s="10" t="s">
        <v>424</v>
      </c>
      <c r="C53" s="3" t="s">
        <v>64</v>
      </c>
      <c r="D53" s="9" t="s">
        <v>391</v>
      </c>
      <c r="E53" s="72"/>
      <c r="F53" s="72"/>
      <c r="G53" s="72">
        <f t="shared" si="9"/>
        <v>0</v>
      </c>
      <c r="H53" s="72"/>
      <c r="I53" s="72">
        <f t="shared" si="9"/>
        <v>0</v>
      </c>
    </row>
    <row r="54" spans="1:9" ht="20.100000000000001" customHeight="1">
      <c r="A54" s="9">
        <v>11</v>
      </c>
      <c r="B54" s="10" t="s">
        <v>425</v>
      </c>
      <c r="C54" s="3" t="s">
        <v>64</v>
      </c>
      <c r="D54" s="9" t="s">
        <v>391</v>
      </c>
      <c r="E54" s="72"/>
      <c r="F54" s="72"/>
      <c r="G54" s="72">
        <f t="shared" si="9"/>
        <v>0</v>
      </c>
      <c r="H54" s="72"/>
      <c r="I54" s="72">
        <f t="shared" si="9"/>
        <v>0</v>
      </c>
    </row>
    <row r="55" spans="1:9" ht="25.5" customHeight="1">
      <c r="A55" s="9"/>
      <c r="B55" s="19" t="s">
        <v>42</v>
      </c>
      <c r="C55" s="20">
        <v>11</v>
      </c>
      <c r="D55" s="20"/>
      <c r="E55" s="80">
        <f>SUM(E44:E54)</f>
        <v>4022509</v>
      </c>
      <c r="F55" s="80">
        <f>SUM(F44:F54)</f>
        <v>335209.08333333302</v>
      </c>
      <c r="G55" s="80">
        <f t="shared" ref="G55:I55" si="10">SUM(G44:G54)</f>
        <v>8380.2270833333296</v>
      </c>
      <c r="H55" s="80">
        <f t="shared" si="10"/>
        <v>837.6875</v>
      </c>
      <c r="I55" s="80">
        <f t="shared" si="10"/>
        <v>7542.5395833333296</v>
      </c>
    </row>
    <row r="56" spans="1:9" ht="20.100000000000001" customHeight="1">
      <c r="A56" s="9"/>
      <c r="B56" s="21"/>
      <c r="C56" s="20"/>
      <c r="D56" s="20"/>
      <c r="E56" s="134"/>
      <c r="F56" s="134"/>
      <c r="G56" s="134"/>
      <c r="H56" s="134"/>
      <c r="I56" s="134"/>
    </row>
    <row r="57" spans="1:9" ht="20.100000000000001" customHeight="1">
      <c r="A57" s="9"/>
      <c r="B57" s="19" t="s">
        <v>426</v>
      </c>
      <c r="C57" s="20"/>
      <c r="D57" s="20"/>
      <c r="E57" s="134"/>
      <c r="F57" s="134"/>
      <c r="G57" s="134"/>
      <c r="H57" s="134"/>
      <c r="I57" s="134"/>
    </row>
    <row r="58" spans="1:9" ht="20.100000000000001" customHeight="1">
      <c r="A58" s="9">
        <v>1</v>
      </c>
      <c r="B58" s="10" t="s">
        <v>427</v>
      </c>
      <c r="C58" s="11" t="s">
        <v>428</v>
      </c>
      <c r="D58" s="14" t="s">
        <v>405</v>
      </c>
      <c r="E58" s="72"/>
      <c r="F58" s="72"/>
      <c r="G58" s="72">
        <f>E58*0.025</f>
        <v>0</v>
      </c>
      <c r="H58" s="72">
        <f>F58*0.025</f>
        <v>0</v>
      </c>
      <c r="I58" s="72">
        <f t="shared" ref="H58:I59" si="11">G58*0.025</f>
        <v>0</v>
      </c>
    </row>
    <row r="59" spans="1:9" ht="20.100000000000001" customHeight="1">
      <c r="A59" s="9">
        <v>2</v>
      </c>
      <c r="B59" s="10" t="s">
        <v>429</v>
      </c>
      <c r="C59" s="11" t="s">
        <v>430</v>
      </c>
      <c r="D59" s="14" t="s">
        <v>335</v>
      </c>
      <c r="E59" s="72"/>
      <c r="F59" s="72"/>
      <c r="G59" s="72">
        <f>E59*0.025</f>
        <v>0</v>
      </c>
      <c r="H59" s="72">
        <f t="shared" si="11"/>
        <v>0</v>
      </c>
      <c r="I59" s="72">
        <f t="shared" si="11"/>
        <v>0</v>
      </c>
    </row>
    <row r="60" spans="1:9" ht="20.100000000000001" customHeight="1">
      <c r="A60" s="9"/>
      <c r="B60" s="19" t="s">
        <v>42</v>
      </c>
      <c r="C60" s="20">
        <v>2</v>
      </c>
      <c r="D60" s="20"/>
      <c r="E60" s="80">
        <f>SUM(E58:E59)</f>
        <v>0</v>
      </c>
      <c r="F60" s="80"/>
      <c r="G60" s="80">
        <f t="shared" ref="G60:I60" si="12">SUM(G58:G59)</f>
        <v>0</v>
      </c>
      <c r="H60" s="80">
        <f t="shared" si="12"/>
        <v>0</v>
      </c>
      <c r="I60" s="80">
        <f t="shared" si="12"/>
        <v>0</v>
      </c>
    </row>
    <row r="61" spans="1:9" ht="20.100000000000001" customHeight="1">
      <c r="A61" s="9"/>
      <c r="B61" s="19"/>
      <c r="C61" s="20"/>
      <c r="D61" s="20"/>
      <c r="E61" s="134"/>
      <c r="F61" s="134"/>
      <c r="G61" s="134"/>
      <c r="H61" s="134"/>
      <c r="I61" s="134"/>
    </row>
    <row r="62" spans="1:9" ht="20.100000000000001" customHeight="1">
      <c r="A62" s="9"/>
      <c r="B62" s="19" t="s">
        <v>60</v>
      </c>
      <c r="C62" s="20"/>
      <c r="D62" s="20"/>
      <c r="E62" s="134"/>
      <c r="F62" s="134"/>
      <c r="G62" s="134"/>
      <c r="H62" s="134"/>
      <c r="I62" s="134"/>
    </row>
    <row r="63" spans="1:9" ht="20.100000000000001" customHeight="1">
      <c r="A63" s="9">
        <v>1</v>
      </c>
      <c r="B63" s="10" t="s">
        <v>431</v>
      </c>
      <c r="C63" s="16" t="s">
        <v>432</v>
      </c>
      <c r="D63" s="9" t="s">
        <v>405</v>
      </c>
      <c r="E63" s="72"/>
      <c r="F63" s="72"/>
      <c r="G63" s="72">
        <f>E63*0.025</f>
        <v>0</v>
      </c>
      <c r="H63" s="72">
        <f t="shared" ref="H63:I63" si="13">F63*0.025</f>
        <v>0</v>
      </c>
      <c r="I63" s="72">
        <f t="shared" si="13"/>
        <v>0</v>
      </c>
    </row>
    <row r="64" spans="1:9" ht="20.100000000000001" customHeight="1">
      <c r="A64" s="9">
        <v>2</v>
      </c>
      <c r="B64" s="330" t="s">
        <v>433</v>
      </c>
      <c r="C64" s="16" t="s">
        <v>434</v>
      </c>
      <c r="D64" s="14" t="s">
        <v>435</v>
      </c>
      <c r="E64" s="72"/>
      <c r="F64" s="72"/>
      <c r="G64" s="72">
        <f t="shared" ref="G64:I72" si="14">E64*0.025</f>
        <v>0</v>
      </c>
      <c r="H64" s="72">
        <f t="shared" si="14"/>
        <v>0</v>
      </c>
      <c r="I64" s="72">
        <f t="shared" si="14"/>
        <v>0</v>
      </c>
    </row>
    <row r="65" spans="1:9" ht="20.100000000000001" customHeight="1">
      <c r="A65" s="9">
        <v>3</v>
      </c>
      <c r="B65" s="10" t="s">
        <v>436</v>
      </c>
      <c r="C65" s="3" t="s">
        <v>365</v>
      </c>
      <c r="D65" s="9" t="s">
        <v>369</v>
      </c>
      <c r="E65" s="72"/>
      <c r="F65" s="72"/>
      <c r="G65" s="72">
        <f t="shared" si="14"/>
        <v>0</v>
      </c>
      <c r="H65" s="72">
        <f t="shared" si="14"/>
        <v>0</v>
      </c>
      <c r="I65" s="72">
        <f t="shared" si="14"/>
        <v>0</v>
      </c>
    </row>
    <row r="66" spans="1:9" ht="20.100000000000001" customHeight="1">
      <c r="A66" s="9">
        <v>4</v>
      </c>
      <c r="B66" s="17" t="s">
        <v>437</v>
      </c>
      <c r="C66" s="16" t="s">
        <v>231</v>
      </c>
      <c r="D66" s="14" t="s">
        <v>375</v>
      </c>
      <c r="E66" s="72"/>
      <c r="F66" s="72"/>
      <c r="G66" s="72">
        <f t="shared" si="14"/>
        <v>0</v>
      </c>
      <c r="H66" s="72">
        <f t="shared" si="14"/>
        <v>0</v>
      </c>
      <c r="I66" s="72">
        <f t="shared" si="14"/>
        <v>0</v>
      </c>
    </row>
    <row r="67" spans="1:9" ht="20.100000000000001" customHeight="1">
      <c r="A67" s="9">
        <v>5</v>
      </c>
      <c r="B67" s="13" t="s">
        <v>438</v>
      </c>
      <c r="C67" s="16" t="s">
        <v>365</v>
      </c>
      <c r="D67" s="14" t="s">
        <v>363</v>
      </c>
      <c r="E67" s="72"/>
      <c r="F67" s="72"/>
      <c r="G67" s="72">
        <f t="shared" si="14"/>
        <v>0</v>
      </c>
      <c r="H67" s="72">
        <f t="shared" si="14"/>
        <v>0</v>
      </c>
      <c r="I67" s="72">
        <f t="shared" si="14"/>
        <v>0</v>
      </c>
    </row>
    <row r="68" spans="1:9" ht="20.100000000000001" customHeight="1">
      <c r="A68" s="9">
        <v>7</v>
      </c>
      <c r="B68" s="10" t="s">
        <v>439</v>
      </c>
      <c r="C68" s="3" t="s">
        <v>64</v>
      </c>
      <c r="D68" s="9" t="s">
        <v>440</v>
      </c>
      <c r="E68" s="72"/>
      <c r="F68" s="72"/>
      <c r="G68" s="72">
        <f t="shared" si="14"/>
        <v>0</v>
      </c>
      <c r="H68" s="72">
        <f t="shared" si="14"/>
        <v>0</v>
      </c>
      <c r="I68" s="72">
        <f t="shared" si="14"/>
        <v>0</v>
      </c>
    </row>
    <row r="69" spans="1:9" ht="20.100000000000001" customHeight="1">
      <c r="A69" s="9">
        <v>8</v>
      </c>
      <c r="B69" s="10" t="s">
        <v>441</v>
      </c>
      <c r="C69" s="16" t="s">
        <v>34</v>
      </c>
      <c r="D69" s="9" t="s">
        <v>440</v>
      </c>
      <c r="E69" s="72"/>
      <c r="F69" s="72"/>
      <c r="G69" s="72">
        <f t="shared" si="14"/>
        <v>0</v>
      </c>
      <c r="H69" s="72">
        <f t="shared" si="14"/>
        <v>0</v>
      </c>
      <c r="I69" s="72">
        <f t="shared" si="14"/>
        <v>0</v>
      </c>
    </row>
    <row r="70" spans="1:9" ht="20.100000000000001" customHeight="1">
      <c r="A70" s="9">
        <v>9</v>
      </c>
      <c r="B70" s="10" t="s">
        <v>442</v>
      </c>
      <c r="C70" s="16" t="s">
        <v>34</v>
      </c>
      <c r="D70" s="9" t="s">
        <v>440</v>
      </c>
      <c r="E70" s="72"/>
      <c r="F70" s="72"/>
      <c r="G70" s="72">
        <f t="shared" si="14"/>
        <v>0</v>
      </c>
      <c r="H70" s="72">
        <f t="shared" si="14"/>
        <v>0</v>
      </c>
      <c r="I70" s="72">
        <f t="shared" si="14"/>
        <v>0</v>
      </c>
    </row>
    <row r="71" spans="1:9" ht="20.100000000000001" customHeight="1">
      <c r="A71" s="9">
        <v>10</v>
      </c>
      <c r="B71" s="10" t="s">
        <v>443</v>
      </c>
      <c r="C71" s="3" t="s">
        <v>444</v>
      </c>
      <c r="D71" s="9" t="s">
        <v>380</v>
      </c>
      <c r="E71" s="441"/>
      <c r="F71" s="441"/>
      <c r="G71" s="72">
        <f t="shared" si="14"/>
        <v>0</v>
      </c>
      <c r="H71" s="72">
        <f t="shared" si="14"/>
        <v>0</v>
      </c>
      <c r="I71" s="72">
        <f t="shared" si="14"/>
        <v>0</v>
      </c>
    </row>
    <row r="72" spans="1:9" ht="21.6" customHeight="1">
      <c r="A72" s="9">
        <v>11</v>
      </c>
      <c r="B72" s="10" t="s">
        <v>445</v>
      </c>
      <c r="C72" s="3" t="s">
        <v>64</v>
      </c>
      <c r="D72" s="9" t="s">
        <v>409</v>
      </c>
      <c r="E72" s="202"/>
      <c r="F72" s="202"/>
      <c r="G72" s="72">
        <f t="shared" si="14"/>
        <v>0</v>
      </c>
      <c r="H72" s="72">
        <f t="shared" si="14"/>
        <v>0</v>
      </c>
      <c r="I72" s="72">
        <f t="shared" si="14"/>
        <v>0</v>
      </c>
    </row>
    <row r="73" spans="1:9" ht="27" customHeight="1">
      <c r="A73" s="9"/>
      <c r="B73" s="19" t="s">
        <v>42</v>
      </c>
      <c r="C73" s="20">
        <v>12</v>
      </c>
      <c r="D73" s="20"/>
      <c r="E73" s="80">
        <f>SUM(E63:E72)</f>
        <v>0</v>
      </c>
      <c r="F73" s="80"/>
      <c r="G73" s="80">
        <f t="shared" ref="G73:I73" si="15">SUM(G63:G72)</f>
        <v>0</v>
      </c>
      <c r="H73" s="80">
        <f t="shared" si="15"/>
        <v>0</v>
      </c>
      <c r="I73" s="80">
        <f t="shared" si="15"/>
        <v>0</v>
      </c>
    </row>
    <row r="74" spans="1:9" ht="20.100000000000001" customHeight="1">
      <c r="A74" s="9"/>
      <c r="B74" s="21"/>
      <c r="C74" s="20"/>
      <c r="D74" s="20"/>
      <c r="E74" s="134"/>
      <c r="F74" s="134"/>
      <c r="G74" s="134"/>
      <c r="H74" s="134"/>
      <c r="I74" s="134"/>
    </row>
    <row r="75" spans="1:9" ht="20.100000000000001" customHeight="1">
      <c r="A75" s="9"/>
      <c r="B75" s="19" t="s">
        <v>65</v>
      </c>
      <c r="C75" s="20"/>
      <c r="D75" s="20"/>
      <c r="E75" s="134"/>
      <c r="F75" s="134"/>
      <c r="G75" s="134"/>
      <c r="H75" s="134"/>
      <c r="I75" s="134"/>
    </row>
    <row r="76" spans="1:9" ht="20.100000000000001" customHeight="1">
      <c r="A76" s="9">
        <v>1</v>
      </c>
      <c r="B76" s="10" t="s">
        <v>446</v>
      </c>
      <c r="C76" s="3" t="s">
        <v>447</v>
      </c>
      <c r="D76" s="9" t="s">
        <v>405</v>
      </c>
      <c r="E76" s="72"/>
      <c r="F76" s="72"/>
      <c r="G76" s="72">
        <f>E76*0.025</f>
        <v>0</v>
      </c>
      <c r="H76" s="72">
        <f t="shared" ref="H76:I76" si="16">F76*0.025</f>
        <v>0</v>
      </c>
      <c r="I76" s="72">
        <f t="shared" si="16"/>
        <v>0</v>
      </c>
    </row>
    <row r="77" spans="1:9" ht="20.100000000000001" customHeight="1">
      <c r="A77" s="9">
        <v>2</v>
      </c>
      <c r="B77" s="13" t="s">
        <v>331</v>
      </c>
      <c r="C77" s="3" t="s">
        <v>76</v>
      </c>
      <c r="D77" s="14" t="s">
        <v>332</v>
      </c>
      <c r="E77" s="72"/>
      <c r="F77" s="72"/>
      <c r="G77" s="72">
        <f t="shared" ref="G77:I82" si="17">E77*0.025</f>
        <v>0</v>
      </c>
      <c r="H77" s="72">
        <f t="shared" si="17"/>
        <v>0</v>
      </c>
      <c r="I77" s="72">
        <f t="shared" si="17"/>
        <v>0</v>
      </c>
    </row>
    <row r="78" spans="1:9" ht="20.100000000000001" customHeight="1">
      <c r="A78" s="9">
        <v>3</v>
      </c>
      <c r="B78" s="17" t="s">
        <v>333</v>
      </c>
      <c r="C78" s="11" t="s">
        <v>334</v>
      </c>
      <c r="D78" s="9" t="s">
        <v>335</v>
      </c>
      <c r="E78" s="72"/>
      <c r="F78" s="72"/>
      <c r="G78" s="72">
        <f t="shared" si="17"/>
        <v>0</v>
      </c>
      <c r="H78" s="72">
        <f t="shared" si="17"/>
        <v>0</v>
      </c>
      <c r="I78" s="72">
        <f t="shared" si="17"/>
        <v>0</v>
      </c>
    </row>
    <row r="79" spans="1:9" ht="20.100000000000001" customHeight="1">
      <c r="A79" s="9">
        <v>4</v>
      </c>
      <c r="B79" s="10" t="s">
        <v>448</v>
      </c>
      <c r="C79" s="3" t="s">
        <v>449</v>
      </c>
      <c r="D79" s="14" t="s">
        <v>450</v>
      </c>
      <c r="E79" s="72">
        <f>'[9]NASS New Structure'!$J$18</f>
        <v>2954075</v>
      </c>
      <c r="F79" s="72">
        <f>E79/12</f>
        <v>246172.91666666701</v>
      </c>
      <c r="G79" s="72">
        <f>F79*0.025</f>
        <v>6154.3229166666697</v>
      </c>
      <c r="H79" s="72">
        <v>668.31624999999997</v>
      </c>
      <c r="I79" s="72">
        <f>G79-H79</f>
        <v>5486.0066666666698</v>
      </c>
    </row>
    <row r="80" spans="1:9" ht="20.100000000000001" customHeight="1">
      <c r="A80" s="9">
        <v>5</v>
      </c>
      <c r="B80" s="10" t="s">
        <v>451</v>
      </c>
      <c r="C80" s="3" t="s">
        <v>452</v>
      </c>
      <c r="D80" s="9" t="s">
        <v>453</v>
      </c>
      <c r="E80" s="72"/>
      <c r="F80" s="72"/>
      <c r="G80" s="72">
        <f t="shared" si="17"/>
        <v>0</v>
      </c>
      <c r="H80" s="72">
        <f t="shared" si="17"/>
        <v>0</v>
      </c>
      <c r="I80" s="72">
        <f t="shared" si="17"/>
        <v>0</v>
      </c>
    </row>
    <row r="81" spans="1:9" ht="20.100000000000001" customHeight="1">
      <c r="A81" s="9">
        <v>6</v>
      </c>
      <c r="B81" s="10" t="s">
        <v>454</v>
      </c>
      <c r="C81" s="3" t="s">
        <v>452</v>
      </c>
      <c r="D81" s="9" t="s">
        <v>391</v>
      </c>
      <c r="E81" s="72"/>
      <c r="F81" s="72"/>
      <c r="G81" s="72">
        <f t="shared" si="17"/>
        <v>0</v>
      </c>
      <c r="H81" s="72">
        <f t="shared" si="17"/>
        <v>0</v>
      </c>
      <c r="I81" s="72">
        <f t="shared" si="17"/>
        <v>0</v>
      </c>
    </row>
    <row r="82" spans="1:9" ht="20.100000000000001" customHeight="1">
      <c r="A82" s="9">
        <v>7</v>
      </c>
      <c r="B82" s="10" t="s">
        <v>455</v>
      </c>
      <c r="C82" s="3" t="s">
        <v>456</v>
      </c>
      <c r="D82" s="9" t="s">
        <v>402</v>
      </c>
      <c r="E82" s="72"/>
      <c r="F82" s="72"/>
      <c r="G82" s="72">
        <f t="shared" si="17"/>
        <v>0</v>
      </c>
      <c r="H82" s="72">
        <f t="shared" si="17"/>
        <v>0</v>
      </c>
      <c r="I82" s="72">
        <f t="shared" si="17"/>
        <v>0</v>
      </c>
    </row>
    <row r="83" spans="1:9" ht="20.100000000000001" customHeight="1">
      <c r="A83" s="9"/>
      <c r="B83" s="19" t="s">
        <v>42</v>
      </c>
      <c r="C83" s="20">
        <v>7</v>
      </c>
      <c r="D83" s="20"/>
      <c r="E83" s="80">
        <f>SUM(E76:E82)</f>
        <v>2954075</v>
      </c>
      <c r="F83" s="80">
        <f>SUM(F76:F82)</f>
        <v>246172.91666666701</v>
      </c>
      <c r="G83" s="80">
        <f t="shared" ref="G83:I83" si="18">SUM(G76:G82)</f>
        <v>6154.3229166666697</v>
      </c>
      <c r="H83" s="80">
        <f t="shared" si="18"/>
        <v>668.31624999999997</v>
      </c>
      <c r="I83" s="80">
        <f t="shared" si="18"/>
        <v>5486.0066666666698</v>
      </c>
    </row>
    <row r="84" spans="1:9" ht="20.100000000000001" customHeight="1">
      <c r="A84" s="9"/>
      <c r="B84" s="19"/>
      <c r="C84" s="20"/>
      <c r="D84" s="20"/>
      <c r="E84" s="134"/>
      <c r="F84" s="134"/>
      <c r="G84" s="134"/>
      <c r="H84" s="134"/>
      <c r="I84" s="134"/>
    </row>
    <row r="85" spans="1:9" ht="20.100000000000001" customHeight="1">
      <c r="A85" s="9"/>
      <c r="B85" s="19" t="s">
        <v>74</v>
      </c>
      <c r="C85" s="24"/>
      <c r="D85" s="20"/>
      <c r="E85" s="134"/>
      <c r="F85" s="134"/>
      <c r="G85" s="134"/>
      <c r="H85" s="134"/>
      <c r="I85" s="134"/>
    </row>
    <row r="86" spans="1:9" ht="20.100000000000001" customHeight="1">
      <c r="A86" s="9">
        <v>1</v>
      </c>
      <c r="B86" s="10" t="s">
        <v>457</v>
      </c>
      <c r="C86" s="3" t="s">
        <v>418</v>
      </c>
      <c r="D86" s="9" t="s">
        <v>358</v>
      </c>
      <c r="E86" s="72"/>
      <c r="F86" s="72"/>
      <c r="G86" s="72">
        <f>E86*0.025</f>
        <v>0</v>
      </c>
      <c r="H86" s="72"/>
      <c r="I86" s="72">
        <f t="shared" ref="I86" si="19">G86*0.025</f>
        <v>0</v>
      </c>
    </row>
    <row r="87" spans="1:9" ht="20.100000000000001" customHeight="1">
      <c r="A87" s="9">
        <v>2</v>
      </c>
      <c r="B87" s="10" t="s">
        <v>458</v>
      </c>
      <c r="C87" s="3" t="s">
        <v>418</v>
      </c>
      <c r="D87" s="9" t="s">
        <v>358</v>
      </c>
      <c r="E87" s="72">
        <f>'[9]NASS New Structure'!$J$19</f>
        <v>4022509</v>
      </c>
      <c r="F87" s="72">
        <f>E87/12</f>
        <v>335209.08333333302</v>
      </c>
      <c r="G87" s="72">
        <f>F87*0.025</f>
        <v>8380.2270833333296</v>
      </c>
      <c r="H87" s="72">
        <v>837.6875</v>
      </c>
      <c r="I87" s="72">
        <f>G87-H87</f>
        <v>7542.5395833333296</v>
      </c>
    </row>
    <row r="88" spans="1:9" ht="20.100000000000001" customHeight="1">
      <c r="A88" s="9">
        <v>3</v>
      </c>
      <c r="B88" s="10" t="s">
        <v>459</v>
      </c>
      <c r="C88" s="3" t="s">
        <v>418</v>
      </c>
      <c r="D88" s="9" t="s">
        <v>99</v>
      </c>
      <c r="E88" s="72"/>
      <c r="F88" s="72"/>
      <c r="G88" s="72">
        <f t="shared" ref="G88:I95" si="20">E88*0.025</f>
        <v>0</v>
      </c>
      <c r="H88" s="72"/>
      <c r="I88" s="72">
        <f t="shared" si="20"/>
        <v>0</v>
      </c>
    </row>
    <row r="89" spans="1:9" ht="21.6" customHeight="1">
      <c r="A89" s="9">
        <v>4</v>
      </c>
      <c r="B89" s="10" t="s">
        <v>460</v>
      </c>
      <c r="C89" s="3" t="s">
        <v>461</v>
      </c>
      <c r="D89" s="14" t="s">
        <v>372</v>
      </c>
      <c r="E89" s="72"/>
      <c r="F89" s="72"/>
      <c r="G89" s="72">
        <f t="shared" si="20"/>
        <v>0</v>
      </c>
      <c r="H89" s="72"/>
      <c r="I89" s="72">
        <f t="shared" si="20"/>
        <v>0</v>
      </c>
    </row>
    <row r="90" spans="1:9" ht="21.6" customHeight="1">
      <c r="A90" s="9">
        <v>5</v>
      </c>
      <c r="B90" s="10" t="s">
        <v>462</v>
      </c>
      <c r="C90" s="11" t="s">
        <v>231</v>
      </c>
      <c r="D90" s="14" t="s">
        <v>375</v>
      </c>
      <c r="E90" s="72"/>
      <c r="F90" s="72"/>
      <c r="G90" s="72">
        <f t="shared" si="20"/>
        <v>0</v>
      </c>
      <c r="H90" s="72"/>
      <c r="I90" s="72">
        <f t="shared" si="20"/>
        <v>0</v>
      </c>
    </row>
    <row r="91" spans="1:9" ht="21.6" customHeight="1">
      <c r="A91" s="9">
        <v>6</v>
      </c>
      <c r="B91" s="10" t="s">
        <v>463</v>
      </c>
      <c r="C91" s="11" t="s">
        <v>365</v>
      </c>
      <c r="D91" s="14" t="s">
        <v>29</v>
      </c>
      <c r="E91" s="72"/>
      <c r="F91" s="72"/>
      <c r="G91" s="72">
        <f t="shared" si="20"/>
        <v>0</v>
      </c>
      <c r="H91" s="72"/>
      <c r="I91" s="72">
        <f t="shared" si="20"/>
        <v>0</v>
      </c>
    </row>
    <row r="92" spans="1:9" ht="21.6" customHeight="1">
      <c r="A92" s="9">
        <v>7</v>
      </c>
      <c r="B92" s="10" t="s">
        <v>464</v>
      </c>
      <c r="C92" s="16" t="s">
        <v>34</v>
      </c>
      <c r="D92" s="14" t="s">
        <v>440</v>
      </c>
      <c r="E92" s="72"/>
      <c r="F92" s="72"/>
      <c r="G92" s="72">
        <f t="shared" si="20"/>
        <v>0</v>
      </c>
      <c r="H92" s="72"/>
      <c r="I92" s="72">
        <f t="shared" si="20"/>
        <v>0</v>
      </c>
    </row>
    <row r="93" spans="1:9" ht="21.6" customHeight="1">
      <c r="A93" s="9">
        <v>8</v>
      </c>
      <c r="B93" s="10" t="s">
        <v>465</v>
      </c>
      <c r="C93" s="16" t="s">
        <v>231</v>
      </c>
      <c r="D93" s="14" t="s">
        <v>81</v>
      </c>
      <c r="E93" s="72">
        <f>'[9]NASS New Structure'!$H$17</f>
        <v>2524677</v>
      </c>
      <c r="F93" s="72">
        <f>E93/12</f>
        <v>210389.75</v>
      </c>
      <c r="G93" s="72">
        <f>F93*0.025</f>
        <v>5259.7437499999996</v>
      </c>
      <c r="H93" s="72">
        <v>576.87474999999995</v>
      </c>
      <c r="I93" s="72">
        <f>G93-H93</f>
        <v>4682.8689999999997</v>
      </c>
    </row>
    <row r="94" spans="1:9" ht="21.6" customHeight="1">
      <c r="A94" s="9">
        <v>9</v>
      </c>
      <c r="B94" s="10" t="s">
        <v>466</v>
      </c>
      <c r="C94" s="3" t="s">
        <v>467</v>
      </c>
      <c r="D94" s="9" t="s">
        <v>409</v>
      </c>
      <c r="E94" s="202"/>
      <c r="F94" s="202"/>
      <c r="G94" s="72">
        <f t="shared" si="20"/>
        <v>0</v>
      </c>
      <c r="H94" s="72"/>
      <c r="I94" s="72">
        <f t="shared" si="20"/>
        <v>0</v>
      </c>
    </row>
    <row r="95" spans="1:9" ht="21.6" customHeight="1">
      <c r="A95" s="9">
        <v>10</v>
      </c>
      <c r="B95" s="10" t="s">
        <v>468</v>
      </c>
      <c r="C95" s="16" t="s">
        <v>469</v>
      </c>
      <c r="D95" s="14" t="s">
        <v>399</v>
      </c>
      <c r="E95" s="202"/>
      <c r="F95" s="202"/>
      <c r="G95" s="72">
        <f t="shared" si="20"/>
        <v>0</v>
      </c>
      <c r="H95" s="72">
        <v>0</v>
      </c>
      <c r="I95" s="72">
        <f t="shared" si="20"/>
        <v>0</v>
      </c>
    </row>
    <row r="96" spans="1:9" ht="20.100000000000001" customHeight="1">
      <c r="A96" s="9"/>
      <c r="B96" s="19" t="s">
        <v>42</v>
      </c>
      <c r="C96" s="20">
        <v>11</v>
      </c>
      <c r="D96" s="20"/>
      <c r="E96" s="80">
        <f>SUM(E86:E95)</f>
        <v>6547186</v>
      </c>
      <c r="F96" s="80">
        <f>SUM(F86:F95)</f>
        <v>545598.83333333302</v>
      </c>
      <c r="G96" s="80">
        <f t="shared" ref="G96:I96" si="21">SUM(G86:G95)</f>
        <v>13639.9708333333</v>
      </c>
      <c r="H96" s="80">
        <f t="shared" si="21"/>
        <v>1414.5622499999999</v>
      </c>
      <c r="I96" s="80">
        <f t="shared" si="21"/>
        <v>12225.408583333299</v>
      </c>
    </row>
    <row r="97" spans="1:9" ht="20.100000000000001" customHeight="1">
      <c r="A97" s="9"/>
      <c r="B97" s="21"/>
      <c r="C97" s="20"/>
      <c r="D97" s="20"/>
      <c r="E97" s="134"/>
      <c r="F97" s="134"/>
      <c r="G97" s="134"/>
      <c r="H97" s="134"/>
      <c r="I97" s="134"/>
    </row>
    <row r="98" spans="1:9" ht="20.100000000000001" customHeight="1">
      <c r="A98" s="9"/>
      <c r="B98" s="19" t="s">
        <v>84</v>
      </c>
      <c r="C98" s="20"/>
      <c r="D98" s="20"/>
      <c r="E98" s="134"/>
      <c r="F98" s="134"/>
      <c r="G98" s="134"/>
      <c r="H98" s="134"/>
      <c r="I98" s="134"/>
    </row>
    <row r="99" spans="1:9" ht="20.100000000000001" customHeight="1">
      <c r="A99" s="9">
        <v>1</v>
      </c>
      <c r="B99" s="13" t="s">
        <v>470</v>
      </c>
      <c r="C99" s="3" t="s">
        <v>471</v>
      </c>
      <c r="D99" s="15" t="s">
        <v>340</v>
      </c>
      <c r="E99" s="72">
        <f>'[9]NASS New Structure'!$H$21</f>
        <v>8762388</v>
      </c>
      <c r="F99" s="72">
        <f>E99/12</f>
        <v>730199</v>
      </c>
      <c r="G99" s="72">
        <f>F99*0.025</f>
        <v>18254.974999999999</v>
      </c>
      <c r="H99" s="72">
        <f>H12</f>
        <v>1066.32925</v>
      </c>
      <c r="I99" s="72">
        <f>G99-H99</f>
        <v>17188.64575</v>
      </c>
    </row>
    <row r="100" spans="1:9" ht="20.100000000000001" customHeight="1">
      <c r="A100" s="9">
        <v>2</v>
      </c>
      <c r="B100" s="10" t="s">
        <v>473</v>
      </c>
      <c r="C100" s="3" t="s">
        <v>474</v>
      </c>
      <c r="D100" s="14" t="s">
        <v>450</v>
      </c>
      <c r="E100" s="72"/>
      <c r="F100" s="72"/>
      <c r="G100" s="72">
        <f t="shared" ref="G100:I102" si="22">E100*0.025</f>
        <v>0</v>
      </c>
      <c r="H100" s="72">
        <f t="shared" si="22"/>
        <v>0</v>
      </c>
      <c r="I100" s="72">
        <f t="shared" si="22"/>
        <v>0</v>
      </c>
    </row>
    <row r="101" spans="1:9" ht="20.100000000000001" customHeight="1">
      <c r="A101" s="9">
        <v>3</v>
      </c>
      <c r="B101" s="10" t="s">
        <v>475</v>
      </c>
      <c r="C101" s="3" t="s">
        <v>476</v>
      </c>
      <c r="D101" s="14" t="s">
        <v>380</v>
      </c>
      <c r="E101" s="72"/>
      <c r="F101" s="72"/>
      <c r="G101" s="72">
        <f t="shared" si="22"/>
        <v>0</v>
      </c>
      <c r="H101" s="72">
        <f t="shared" si="22"/>
        <v>0</v>
      </c>
      <c r="I101" s="72">
        <f t="shared" si="22"/>
        <v>0</v>
      </c>
    </row>
    <row r="102" spans="1:9" ht="20.100000000000001" customHeight="1">
      <c r="A102" s="9">
        <v>4</v>
      </c>
      <c r="B102" s="10" t="s">
        <v>477</v>
      </c>
      <c r="C102" s="3" t="s">
        <v>478</v>
      </c>
      <c r="D102" s="14" t="s">
        <v>409</v>
      </c>
      <c r="E102" s="202"/>
      <c r="F102" s="202"/>
      <c r="G102" s="72">
        <f t="shared" si="22"/>
        <v>0</v>
      </c>
      <c r="H102" s="72">
        <f t="shared" si="22"/>
        <v>0</v>
      </c>
      <c r="I102" s="72">
        <f t="shared" si="22"/>
        <v>0</v>
      </c>
    </row>
    <row r="103" spans="1:9" ht="20.100000000000001" customHeight="1">
      <c r="A103" s="3"/>
      <c r="B103" s="19" t="s">
        <v>42</v>
      </c>
      <c r="C103" s="20">
        <v>4</v>
      </c>
      <c r="D103" s="25"/>
      <c r="E103" s="80">
        <f>SUM(E99:E102)</f>
        <v>8762388</v>
      </c>
      <c r="F103" s="80">
        <f>SUM(F99:F102)</f>
        <v>730199</v>
      </c>
      <c r="G103" s="80">
        <f t="shared" ref="G103:I103" si="23">SUM(G99:G102)</f>
        <v>18254.974999999999</v>
      </c>
      <c r="H103" s="80">
        <f t="shared" si="23"/>
        <v>1066.32925</v>
      </c>
      <c r="I103" s="80">
        <f t="shared" si="23"/>
        <v>17188.64575</v>
      </c>
    </row>
    <row r="104" spans="1:9" ht="20.100000000000001" customHeight="1">
      <c r="A104" s="3"/>
      <c r="B104" s="21"/>
      <c r="C104" s="20"/>
      <c r="D104" s="25"/>
      <c r="E104" s="134"/>
      <c r="F104" s="134"/>
      <c r="G104" s="134"/>
      <c r="H104" s="134"/>
      <c r="I104" s="134"/>
    </row>
    <row r="105" spans="1:9" ht="20.100000000000001" customHeight="1">
      <c r="A105" s="3"/>
      <c r="B105" s="19" t="s">
        <v>479</v>
      </c>
      <c r="C105" s="3"/>
      <c r="D105" s="3"/>
      <c r="E105" s="3"/>
      <c r="F105" s="3"/>
      <c r="G105" s="3"/>
      <c r="H105" s="3"/>
      <c r="I105" s="3"/>
    </row>
    <row r="106" spans="1:9" ht="20.100000000000001" customHeight="1">
      <c r="A106" s="3">
        <v>1</v>
      </c>
      <c r="B106" s="10" t="s">
        <v>480</v>
      </c>
      <c r="C106" s="11" t="s">
        <v>481</v>
      </c>
      <c r="D106" s="14" t="s">
        <v>405</v>
      </c>
      <c r="E106" s="72"/>
      <c r="F106" s="72"/>
      <c r="G106" s="72">
        <f>E106*0.08</f>
        <v>0</v>
      </c>
      <c r="H106" s="72">
        <f t="shared" ref="H106:I106" si="24">F106*0.08</f>
        <v>0</v>
      </c>
      <c r="I106" s="72">
        <f t="shared" si="24"/>
        <v>0</v>
      </c>
    </row>
    <row r="107" spans="1:9" ht="20.100000000000001" customHeight="1">
      <c r="A107" s="3">
        <v>2</v>
      </c>
      <c r="B107" s="10" t="s">
        <v>482</v>
      </c>
      <c r="C107" s="3" t="s">
        <v>483</v>
      </c>
      <c r="D107" s="15" t="s">
        <v>340</v>
      </c>
      <c r="E107" s="72">
        <f>'[9]NASS New Structure'!$J$20</f>
        <v>4940831</v>
      </c>
      <c r="F107" s="72">
        <f>E107/12</f>
        <v>411735.91666666698</v>
      </c>
      <c r="G107" s="72">
        <f>F107*0.025</f>
        <v>10293.3979166667</v>
      </c>
      <c r="H107" s="72">
        <v>1066.32925</v>
      </c>
      <c r="I107" s="72">
        <f>G107-H107</f>
        <v>9227.0686666666697</v>
      </c>
    </row>
    <row r="108" spans="1:9" ht="20.100000000000001" customHeight="1">
      <c r="A108" s="3">
        <v>3</v>
      </c>
      <c r="B108" s="10" t="s">
        <v>484</v>
      </c>
      <c r="C108" s="3" t="s">
        <v>485</v>
      </c>
      <c r="D108" s="9" t="s">
        <v>372</v>
      </c>
      <c r="E108" s="72">
        <f>'[9]NASS New Structure'!$L$17</f>
        <v>2858213</v>
      </c>
      <c r="F108" s="72">
        <f>E108/12</f>
        <v>238184.41666666701</v>
      </c>
      <c r="G108" s="72">
        <f>F108*0.025</f>
        <v>5954.6104166666701</v>
      </c>
      <c r="H108" s="72">
        <v>658.48249999999996</v>
      </c>
      <c r="I108" s="72">
        <f>G108-H108</f>
        <v>5296.12791666667</v>
      </c>
    </row>
    <row r="109" spans="1:9" ht="20.100000000000001" customHeight="1">
      <c r="A109" s="3">
        <v>4</v>
      </c>
      <c r="B109" s="10" t="s">
        <v>486</v>
      </c>
      <c r="C109" s="3" t="s">
        <v>485</v>
      </c>
      <c r="D109" s="9" t="s">
        <v>372</v>
      </c>
      <c r="E109" s="72"/>
      <c r="F109" s="72"/>
      <c r="G109" s="72">
        <f t="shared" ref="G109:G112" si="25">E109*0.08</f>
        <v>0</v>
      </c>
      <c r="H109" s="72">
        <f t="shared" ref="H109:H112" si="26">F109*0.08</f>
        <v>0</v>
      </c>
      <c r="I109" s="72">
        <f t="shared" ref="I109:I112" si="27">G109*0.08</f>
        <v>0</v>
      </c>
    </row>
    <row r="110" spans="1:9" ht="20.100000000000001" customHeight="1">
      <c r="A110" s="3">
        <v>5</v>
      </c>
      <c r="B110" s="10" t="s">
        <v>487</v>
      </c>
      <c r="C110" s="3" t="s">
        <v>488</v>
      </c>
      <c r="D110" s="14" t="s">
        <v>489</v>
      </c>
      <c r="E110" s="202"/>
      <c r="F110" s="202"/>
      <c r="G110" s="72">
        <f t="shared" si="25"/>
        <v>0</v>
      </c>
      <c r="H110" s="72">
        <f t="shared" si="26"/>
        <v>0</v>
      </c>
      <c r="I110" s="72">
        <f t="shared" si="27"/>
        <v>0</v>
      </c>
    </row>
    <row r="111" spans="1:9" ht="20.100000000000001" customHeight="1">
      <c r="A111" s="3">
        <v>6</v>
      </c>
      <c r="B111" s="17" t="s">
        <v>490</v>
      </c>
      <c r="C111" s="3" t="s">
        <v>488</v>
      </c>
      <c r="D111" s="9" t="s">
        <v>491</v>
      </c>
      <c r="E111" s="202"/>
      <c r="F111" s="202"/>
      <c r="G111" s="72">
        <f t="shared" si="25"/>
        <v>0</v>
      </c>
      <c r="H111" s="72">
        <f t="shared" si="26"/>
        <v>0</v>
      </c>
      <c r="I111" s="72">
        <f t="shared" si="27"/>
        <v>0</v>
      </c>
    </row>
    <row r="112" spans="1:9" ht="20.100000000000001" customHeight="1">
      <c r="A112" s="3">
        <v>7</v>
      </c>
      <c r="B112" s="17" t="s">
        <v>492</v>
      </c>
      <c r="C112" s="3" t="s">
        <v>488</v>
      </c>
      <c r="D112" s="14" t="s">
        <v>399</v>
      </c>
      <c r="E112" s="202"/>
      <c r="F112" s="202"/>
      <c r="G112" s="72">
        <f t="shared" si="25"/>
        <v>0</v>
      </c>
      <c r="H112" s="72">
        <f t="shared" si="26"/>
        <v>0</v>
      </c>
      <c r="I112" s="72">
        <f t="shared" si="27"/>
        <v>0</v>
      </c>
    </row>
    <row r="113" spans="1:9" ht="25.5" customHeight="1">
      <c r="A113" s="3"/>
      <c r="B113" s="19" t="s">
        <v>42</v>
      </c>
      <c r="C113" s="20">
        <v>7</v>
      </c>
      <c r="D113" s="3"/>
      <c r="E113" s="205">
        <f>SUM(E106:E112)</f>
        <v>7799044</v>
      </c>
      <c r="F113" s="205">
        <f>SUM(F106:F112)</f>
        <v>649920.33333333302</v>
      </c>
      <c r="G113" s="205">
        <f t="shared" ref="G113:I113" si="28">SUM(G106:G112)</f>
        <v>16248.0083333333</v>
      </c>
      <c r="H113" s="205">
        <f t="shared" si="28"/>
        <v>1724.8117500000001</v>
      </c>
      <c r="I113" s="205">
        <f t="shared" si="28"/>
        <v>14523.1965833333</v>
      </c>
    </row>
    <row r="114" spans="1:9" ht="20.100000000000001" customHeight="1">
      <c r="A114" s="3"/>
      <c r="B114" s="19"/>
      <c r="C114" s="20"/>
      <c r="D114" s="3"/>
      <c r="E114" s="205"/>
      <c r="F114" s="205"/>
      <c r="G114" s="205"/>
      <c r="H114" s="205"/>
      <c r="I114" s="205"/>
    </row>
    <row r="115" spans="1:9" ht="20.100000000000001" customHeight="1">
      <c r="A115" s="9"/>
      <c r="B115" s="19" t="s">
        <v>242</v>
      </c>
      <c r="C115" s="20"/>
      <c r="D115" s="20"/>
      <c r="E115" s="134"/>
      <c r="F115" s="134"/>
      <c r="G115" s="134"/>
      <c r="H115" s="134"/>
      <c r="I115" s="134"/>
    </row>
    <row r="116" spans="1:9" ht="20.100000000000001" customHeight="1">
      <c r="A116" s="9">
        <v>1</v>
      </c>
      <c r="B116" s="13" t="s">
        <v>493</v>
      </c>
      <c r="C116" s="3" t="s">
        <v>418</v>
      </c>
      <c r="D116" s="9" t="s">
        <v>435</v>
      </c>
      <c r="E116" s="72">
        <f>'[9]NASS New Structure'!$I$19</f>
        <v>3897566</v>
      </c>
      <c r="F116" s="72">
        <f>E116/12</f>
        <v>324797.16666666698</v>
      </c>
      <c r="G116" s="72">
        <f>F116*0.025</f>
        <v>8119.9291666666704</v>
      </c>
      <c r="H116" s="72">
        <v>806.58</v>
      </c>
      <c r="I116" s="72">
        <f>G116-H116</f>
        <v>7313.3491666666696</v>
      </c>
    </row>
    <row r="117" spans="1:9" ht="18.75" customHeight="1">
      <c r="A117" s="9">
        <v>2</v>
      </c>
      <c r="B117" s="10" t="s">
        <v>494</v>
      </c>
      <c r="C117" s="3" t="s">
        <v>495</v>
      </c>
      <c r="D117" s="14" t="s">
        <v>380</v>
      </c>
      <c r="E117" s="72"/>
      <c r="F117" s="72"/>
      <c r="G117" s="72">
        <f t="shared" ref="G117:G118" si="29">F117*0.025</f>
        <v>0</v>
      </c>
      <c r="H117" s="72"/>
      <c r="I117" s="72">
        <f t="shared" ref="I117:I118" si="30">G117-H117</f>
        <v>0</v>
      </c>
    </row>
    <row r="118" spans="1:9" ht="20.100000000000001" customHeight="1">
      <c r="A118" s="9">
        <v>3</v>
      </c>
      <c r="B118" s="10" t="s">
        <v>496</v>
      </c>
      <c r="C118" s="11" t="s">
        <v>497</v>
      </c>
      <c r="D118" s="14" t="s">
        <v>498</v>
      </c>
      <c r="E118" s="72">
        <f>'[9]NASS New Structure'!$K$16</f>
        <v>2523630</v>
      </c>
      <c r="F118" s="72">
        <f>E118/12</f>
        <v>210302.5</v>
      </c>
      <c r="G118" s="72">
        <f t="shared" si="29"/>
        <v>5257.5625</v>
      </c>
      <c r="H118" s="72">
        <v>576.62125000000003</v>
      </c>
      <c r="I118" s="72">
        <f t="shared" si="30"/>
        <v>4680.9412499999999</v>
      </c>
    </row>
    <row r="119" spans="1:9" ht="24.75" customHeight="1">
      <c r="A119" s="3"/>
      <c r="B119" s="19" t="s">
        <v>42</v>
      </c>
      <c r="C119" s="20">
        <v>2</v>
      </c>
      <c r="D119" s="25"/>
      <c r="E119" s="80">
        <f>SUM(E116:E118)</f>
        <v>6421196</v>
      </c>
      <c r="F119" s="80">
        <f>SUM(F116:F118)</f>
        <v>535099.66666666698</v>
      </c>
      <c r="G119" s="80">
        <f t="shared" ref="G119:I119" si="31">SUM(G116:G118)</f>
        <v>13377.4916666667</v>
      </c>
      <c r="H119" s="80">
        <f t="shared" si="31"/>
        <v>1383.2012500000001</v>
      </c>
      <c r="I119" s="80">
        <f t="shared" si="31"/>
        <v>11994.290416666699</v>
      </c>
    </row>
    <row r="120" spans="1:9" ht="20.100000000000001" customHeight="1">
      <c r="A120" s="3"/>
      <c r="B120" s="21"/>
      <c r="C120" s="9"/>
      <c r="D120" s="3"/>
      <c r="E120" s="206"/>
      <c r="F120" s="206"/>
      <c r="G120" s="8"/>
      <c r="H120" s="8"/>
      <c r="I120" s="8"/>
    </row>
    <row r="121" spans="1:9" ht="20.100000000000001" customHeight="1">
      <c r="A121" s="3"/>
      <c r="B121" s="19" t="s">
        <v>97</v>
      </c>
      <c r="C121" s="20"/>
      <c r="D121" s="20"/>
      <c r="E121" s="134"/>
      <c r="F121" s="134"/>
      <c r="G121" s="134"/>
      <c r="H121" s="134"/>
      <c r="I121" s="134"/>
    </row>
    <row r="122" spans="1:9" ht="20.100000000000001" customHeight="1">
      <c r="A122" s="3">
        <v>1</v>
      </c>
      <c r="B122" s="10" t="s">
        <v>499</v>
      </c>
      <c r="C122" s="11" t="s">
        <v>500</v>
      </c>
      <c r="D122" s="14" t="s">
        <v>405</v>
      </c>
      <c r="E122" s="72">
        <f>'[9]NASS New Structure'!$J$21</f>
        <v>9304688</v>
      </c>
      <c r="F122" s="72">
        <f>E122/12</f>
        <v>775390.66666666698</v>
      </c>
      <c r="G122" s="72">
        <f>F122*0.025</f>
        <v>19384.766666666699</v>
      </c>
      <c r="H122" s="72">
        <v>2043.5005000000001</v>
      </c>
      <c r="I122" s="72">
        <f>G122-H122</f>
        <v>17341.266166666701</v>
      </c>
    </row>
    <row r="123" spans="1:9" ht="20.100000000000001" customHeight="1">
      <c r="A123" s="3">
        <v>2</v>
      </c>
      <c r="B123" s="10" t="s">
        <v>178</v>
      </c>
      <c r="C123" s="11" t="s">
        <v>501</v>
      </c>
      <c r="D123" s="14" t="s">
        <v>416</v>
      </c>
      <c r="E123" s="72">
        <f>'[9]NASS New Structure'!$I$20</f>
        <v>4790672</v>
      </c>
      <c r="F123" s="72">
        <f t="shared" ref="F123:F128" si="32">E123/12</f>
        <v>399222.66666666698</v>
      </c>
      <c r="G123" s="72">
        <f t="shared" ref="G123:G128" si="33">F123*0.025</f>
        <v>9980.5666666666693</v>
      </c>
      <c r="H123" s="72">
        <v>1028.9422500000001</v>
      </c>
      <c r="I123" s="72">
        <f t="shared" ref="I123:I128" si="34">G123-H123</f>
        <v>8951.6244166666693</v>
      </c>
    </row>
    <row r="124" spans="1:9" ht="20.100000000000001" customHeight="1">
      <c r="A124" s="3">
        <v>3</v>
      </c>
      <c r="B124" s="13" t="s">
        <v>502</v>
      </c>
      <c r="C124" s="11" t="s">
        <v>337</v>
      </c>
      <c r="D124" s="14" t="s">
        <v>358</v>
      </c>
      <c r="E124" s="72">
        <f>'[9]NASS New Structure'!$J$19</f>
        <v>4022509</v>
      </c>
      <c r="F124" s="72">
        <f t="shared" si="32"/>
        <v>335209.08333333302</v>
      </c>
      <c r="G124" s="72">
        <f t="shared" si="33"/>
        <v>8380.2270833333296</v>
      </c>
      <c r="H124" s="72">
        <v>837.6875</v>
      </c>
      <c r="I124" s="72">
        <f t="shared" si="34"/>
        <v>7542.5395833333296</v>
      </c>
    </row>
    <row r="125" spans="1:9" ht="20.100000000000001" customHeight="1">
      <c r="A125" s="3">
        <v>4</v>
      </c>
      <c r="B125" s="13" t="s">
        <v>336</v>
      </c>
      <c r="C125" s="11" t="s">
        <v>337</v>
      </c>
      <c r="D125" s="14" t="s">
        <v>99</v>
      </c>
      <c r="E125" s="72"/>
      <c r="F125" s="72">
        <f t="shared" si="32"/>
        <v>0</v>
      </c>
      <c r="G125" s="72">
        <f t="shared" si="33"/>
        <v>0</v>
      </c>
      <c r="H125" s="72"/>
      <c r="I125" s="72">
        <f t="shared" si="34"/>
        <v>0</v>
      </c>
    </row>
    <row r="126" spans="1:9" ht="20.100000000000001" customHeight="1">
      <c r="A126" s="3">
        <v>5</v>
      </c>
      <c r="B126" s="10" t="s">
        <v>503</v>
      </c>
      <c r="C126" s="11" t="s">
        <v>504</v>
      </c>
      <c r="D126" s="14" t="s">
        <v>366</v>
      </c>
      <c r="E126" s="72"/>
      <c r="F126" s="72">
        <f t="shared" si="32"/>
        <v>0</v>
      </c>
      <c r="G126" s="72">
        <f t="shared" si="33"/>
        <v>0</v>
      </c>
      <c r="H126" s="72"/>
      <c r="I126" s="72">
        <f t="shared" si="34"/>
        <v>0</v>
      </c>
    </row>
    <row r="127" spans="1:9" ht="20.100000000000001" customHeight="1">
      <c r="A127" s="3">
        <v>6</v>
      </c>
      <c r="B127" s="10" t="s">
        <v>505</v>
      </c>
      <c r="C127" s="11" t="s">
        <v>506</v>
      </c>
      <c r="D127" s="14" t="s">
        <v>369</v>
      </c>
      <c r="E127" s="72">
        <f>'[9]NASS New Structure'!$I$18</f>
        <v>2864307</v>
      </c>
      <c r="F127" s="72">
        <f t="shared" si="32"/>
        <v>238692.25</v>
      </c>
      <c r="G127" s="72">
        <f t="shared" si="33"/>
        <v>5967.3062499999996</v>
      </c>
      <c r="H127" s="72">
        <v>646.35249999999996</v>
      </c>
      <c r="I127" s="72">
        <f t="shared" si="34"/>
        <v>5320.9537499999997</v>
      </c>
    </row>
    <row r="128" spans="1:9" ht="20.100000000000001" customHeight="1">
      <c r="A128" s="3">
        <v>7</v>
      </c>
      <c r="B128" s="10" t="s">
        <v>507</v>
      </c>
      <c r="C128" s="11" t="s">
        <v>504</v>
      </c>
      <c r="D128" s="14" t="s">
        <v>450</v>
      </c>
      <c r="E128" s="72">
        <f>'[9]NASS New Structure'!$J$18</f>
        <v>2954075</v>
      </c>
      <c r="F128" s="72">
        <f t="shared" si="32"/>
        <v>246172.91666666701</v>
      </c>
      <c r="G128" s="72">
        <f t="shared" si="33"/>
        <v>6154.3229166666697</v>
      </c>
      <c r="H128" s="72">
        <v>668.31624999999997</v>
      </c>
      <c r="I128" s="72">
        <f t="shared" si="34"/>
        <v>5486.0066666666698</v>
      </c>
    </row>
    <row r="129" spans="1:9" ht="20.100000000000001" customHeight="1">
      <c r="A129" s="3">
        <v>8</v>
      </c>
      <c r="B129" s="10" t="s">
        <v>508</v>
      </c>
      <c r="C129" s="11" t="s">
        <v>509</v>
      </c>
      <c r="D129" s="9" t="s">
        <v>387</v>
      </c>
      <c r="E129" s="72"/>
      <c r="F129" s="72"/>
      <c r="G129" s="72">
        <f t="shared" ref="G129:G131" si="35">E129*0.08</f>
        <v>0</v>
      </c>
      <c r="H129" s="72"/>
      <c r="I129" s="72">
        <f t="shared" ref="I129:I131" si="36">G129*0.08</f>
        <v>0</v>
      </c>
    </row>
    <row r="130" spans="1:9" ht="20.100000000000001" customHeight="1">
      <c r="A130" s="3">
        <v>9</v>
      </c>
      <c r="B130" s="17" t="s">
        <v>510</v>
      </c>
      <c r="C130" s="11" t="s">
        <v>511</v>
      </c>
      <c r="D130" s="14" t="s">
        <v>402</v>
      </c>
      <c r="E130" s="72"/>
      <c r="F130" s="72"/>
      <c r="G130" s="72">
        <f t="shared" si="35"/>
        <v>0</v>
      </c>
      <c r="H130" s="72">
        <v>0</v>
      </c>
      <c r="I130" s="72">
        <f t="shared" si="36"/>
        <v>0</v>
      </c>
    </row>
    <row r="131" spans="1:9" ht="20.100000000000001" customHeight="1">
      <c r="A131" s="3">
        <v>10</v>
      </c>
      <c r="B131" s="17" t="s">
        <v>512</v>
      </c>
      <c r="C131" s="11" t="s">
        <v>248</v>
      </c>
      <c r="D131" s="14" t="s">
        <v>402</v>
      </c>
      <c r="E131" s="72"/>
      <c r="F131" s="72"/>
      <c r="G131" s="72">
        <f t="shared" si="35"/>
        <v>0</v>
      </c>
      <c r="H131" s="72">
        <v>0</v>
      </c>
      <c r="I131" s="72">
        <f t="shared" si="36"/>
        <v>0</v>
      </c>
    </row>
    <row r="132" spans="1:9" ht="28.5" customHeight="1">
      <c r="A132" s="3"/>
      <c r="B132" s="19" t="s">
        <v>42</v>
      </c>
      <c r="C132" s="25" t="s">
        <v>513</v>
      </c>
      <c r="D132" s="14"/>
      <c r="E132" s="134">
        <f>SUM(E122:E131)</f>
        <v>23936251</v>
      </c>
      <c r="F132" s="134">
        <f>SUM(F122:F131)</f>
        <v>1994687.58333333</v>
      </c>
      <c r="G132" s="134">
        <f t="shared" ref="G132:I132" si="37">SUM(G122:G131)</f>
        <v>49867.189583333296</v>
      </c>
      <c r="H132" s="134">
        <f t="shared" si="37"/>
        <v>5224.799</v>
      </c>
      <c r="I132" s="134">
        <f t="shared" si="37"/>
        <v>44642.390583333297</v>
      </c>
    </row>
    <row r="133" spans="1:9" ht="20.100000000000001" customHeight="1">
      <c r="A133" s="3"/>
      <c r="B133" s="21"/>
      <c r="C133" s="25"/>
      <c r="D133" s="14"/>
      <c r="E133" s="134"/>
      <c r="F133" s="134"/>
      <c r="G133" s="134"/>
      <c r="H133" s="134"/>
      <c r="I133" s="134"/>
    </row>
    <row r="134" spans="1:9" ht="20.100000000000001" customHeight="1">
      <c r="A134" s="3"/>
      <c r="B134" s="19" t="s">
        <v>103</v>
      </c>
      <c r="C134" s="11"/>
      <c r="D134" s="14"/>
      <c r="E134" s="72"/>
      <c r="F134" s="72"/>
      <c r="G134" s="72"/>
      <c r="H134" s="72"/>
      <c r="I134" s="72"/>
    </row>
    <row r="135" spans="1:9" ht="20.100000000000001" customHeight="1">
      <c r="A135" s="26">
        <v>1</v>
      </c>
      <c r="B135" s="10" t="s">
        <v>514</v>
      </c>
      <c r="C135" s="11" t="s">
        <v>515</v>
      </c>
      <c r="D135" s="14" t="s">
        <v>405</v>
      </c>
      <c r="E135" s="72"/>
      <c r="F135" s="72"/>
      <c r="G135" s="72">
        <f>E135*0.08</f>
        <v>0</v>
      </c>
      <c r="H135" s="72">
        <f t="shared" ref="H135:I135" si="38">F135*0.08</f>
        <v>0</v>
      </c>
      <c r="I135" s="72">
        <f t="shared" si="38"/>
        <v>0</v>
      </c>
    </row>
    <row r="136" spans="1:9" ht="20.100000000000001" customHeight="1">
      <c r="A136" s="26">
        <v>2</v>
      </c>
      <c r="B136" s="10" t="s">
        <v>338</v>
      </c>
      <c r="C136" s="11" t="s">
        <v>339</v>
      </c>
      <c r="D136" s="14" t="s">
        <v>340</v>
      </c>
      <c r="E136" s="72"/>
      <c r="F136" s="72"/>
      <c r="G136" s="72"/>
      <c r="H136" s="72"/>
      <c r="I136" s="72"/>
    </row>
    <row r="137" spans="1:9" ht="20.100000000000001" customHeight="1">
      <c r="A137" s="26">
        <v>3</v>
      </c>
      <c r="B137" s="13" t="s">
        <v>516</v>
      </c>
      <c r="C137" s="3" t="s">
        <v>517</v>
      </c>
      <c r="D137" s="15" t="s">
        <v>340</v>
      </c>
      <c r="E137" s="72">
        <f>'[9]NASS New Structure'!$J$20</f>
        <v>4940831</v>
      </c>
      <c r="F137" s="72">
        <f>E137/12</f>
        <v>411735.91666666698</v>
      </c>
      <c r="G137" s="72">
        <f>F137*0.025</f>
        <v>10293.3979166667</v>
      </c>
      <c r="H137" s="72">
        <v>1066.32925</v>
      </c>
      <c r="I137" s="72">
        <f>G137-H137</f>
        <v>9227.0686666666697</v>
      </c>
    </row>
    <row r="138" spans="1:9" ht="20.100000000000001" customHeight="1">
      <c r="A138" s="26">
        <v>4</v>
      </c>
      <c r="B138" s="10" t="s">
        <v>518</v>
      </c>
      <c r="C138" s="11" t="s">
        <v>519</v>
      </c>
      <c r="D138" s="14" t="s">
        <v>363</v>
      </c>
      <c r="E138" s="72">
        <f>'[9]NASS New Structure'!$L$18</f>
        <v>3133611</v>
      </c>
      <c r="F138" s="72">
        <f t="shared" ref="F138:F141" si="39">E138/12</f>
        <v>261134.25</v>
      </c>
      <c r="G138" s="72">
        <f t="shared" ref="G138:G166" si="40">F138*0.025</f>
        <v>6528.3562499999998</v>
      </c>
      <c r="H138" s="72">
        <v>712.24525000000006</v>
      </c>
      <c r="I138" s="72">
        <f t="shared" ref="I138:I166" si="41">G138-H138</f>
        <v>5816.1109999999999</v>
      </c>
    </row>
    <row r="139" spans="1:9" ht="20.100000000000001" customHeight="1">
      <c r="A139" s="26">
        <v>5</v>
      </c>
      <c r="B139" s="10" t="s">
        <v>520</v>
      </c>
      <c r="C139" s="3" t="s">
        <v>521</v>
      </c>
      <c r="D139" s="14" t="s">
        <v>363</v>
      </c>
      <c r="E139" s="72">
        <f>'[9]NASS New Structure'!$L$18</f>
        <v>3133611</v>
      </c>
      <c r="F139" s="72">
        <f t="shared" si="39"/>
        <v>261134.25</v>
      </c>
      <c r="G139" s="72">
        <f t="shared" si="40"/>
        <v>6528.3562499999998</v>
      </c>
      <c r="H139" s="72">
        <v>712.24525000000006</v>
      </c>
      <c r="I139" s="72">
        <f t="shared" si="41"/>
        <v>5816.1109999999999</v>
      </c>
    </row>
    <row r="140" spans="1:9" ht="20.100000000000001" customHeight="1">
      <c r="A140" s="26">
        <v>6</v>
      </c>
      <c r="B140" s="10" t="s">
        <v>522</v>
      </c>
      <c r="C140" s="3" t="s">
        <v>521</v>
      </c>
      <c r="D140" s="14" t="s">
        <v>363</v>
      </c>
      <c r="E140" s="72">
        <f>'[9]NASS New Structure'!$L$18</f>
        <v>3133611</v>
      </c>
      <c r="F140" s="72">
        <f t="shared" si="39"/>
        <v>261134.25</v>
      </c>
      <c r="G140" s="72">
        <f t="shared" si="40"/>
        <v>6528.3562499999998</v>
      </c>
      <c r="H140" s="72">
        <v>712.24525000000006</v>
      </c>
      <c r="I140" s="72">
        <f t="shared" si="41"/>
        <v>5816.1109999999999</v>
      </c>
    </row>
    <row r="141" spans="1:9" ht="20.100000000000001" customHeight="1">
      <c r="A141" s="26">
        <v>7</v>
      </c>
      <c r="B141" s="10" t="s">
        <v>523</v>
      </c>
      <c r="C141" s="11" t="s">
        <v>524</v>
      </c>
      <c r="D141" s="14" t="s">
        <v>498</v>
      </c>
      <c r="E141" s="72">
        <f>'[9]NASS New Structure'!$K$16</f>
        <v>2523630</v>
      </c>
      <c r="F141" s="72">
        <f t="shared" si="39"/>
        <v>210302.5</v>
      </c>
      <c r="G141" s="72">
        <f t="shared" si="40"/>
        <v>5257.5625</v>
      </c>
      <c r="H141" s="72">
        <v>576.62125000000003</v>
      </c>
      <c r="I141" s="72">
        <f t="shared" si="41"/>
        <v>4680.9412499999999</v>
      </c>
    </row>
    <row r="142" spans="1:9" ht="20.100000000000001" customHeight="1">
      <c r="A142" s="26">
        <v>8</v>
      </c>
      <c r="B142" s="10" t="s">
        <v>525</v>
      </c>
      <c r="C142" s="11" t="s">
        <v>524</v>
      </c>
      <c r="D142" s="14" t="s">
        <v>498</v>
      </c>
      <c r="E142" s="72"/>
      <c r="F142" s="72"/>
      <c r="G142" s="72">
        <f t="shared" si="40"/>
        <v>0</v>
      </c>
      <c r="H142" s="72"/>
      <c r="I142" s="72">
        <f t="shared" si="41"/>
        <v>0</v>
      </c>
    </row>
    <row r="143" spans="1:9" ht="20.100000000000001" customHeight="1">
      <c r="A143" s="26">
        <v>9</v>
      </c>
      <c r="B143" s="10" t="s">
        <v>526</v>
      </c>
      <c r="C143" s="3" t="s">
        <v>527</v>
      </c>
      <c r="D143" s="14" t="s">
        <v>498</v>
      </c>
      <c r="E143" s="72"/>
      <c r="F143" s="72"/>
      <c r="G143" s="72">
        <f t="shared" si="40"/>
        <v>0</v>
      </c>
      <c r="H143" s="72"/>
      <c r="I143" s="72">
        <f t="shared" si="41"/>
        <v>0</v>
      </c>
    </row>
    <row r="144" spans="1:9" ht="20.100000000000001" customHeight="1">
      <c r="A144" s="26">
        <v>10</v>
      </c>
      <c r="B144" s="10" t="s">
        <v>528</v>
      </c>
      <c r="C144" s="11" t="s">
        <v>529</v>
      </c>
      <c r="D144" s="14" t="s">
        <v>380</v>
      </c>
      <c r="E144" s="72"/>
      <c r="F144" s="72"/>
      <c r="G144" s="72">
        <f t="shared" si="40"/>
        <v>0</v>
      </c>
      <c r="H144" s="72"/>
      <c r="I144" s="72">
        <f t="shared" si="41"/>
        <v>0</v>
      </c>
    </row>
    <row r="145" spans="1:9" ht="20.100000000000001" customHeight="1">
      <c r="A145" s="26">
        <v>11</v>
      </c>
      <c r="B145" s="10" t="s">
        <v>530</v>
      </c>
      <c r="C145" s="11" t="s">
        <v>531</v>
      </c>
      <c r="D145" s="14" t="s">
        <v>440</v>
      </c>
      <c r="E145" s="72">
        <f>'[9]NASS New Structure'!$I$16</f>
        <v>2365888</v>
      </c>
      <c r="F145" s="72">
        <f>E145/12</f>
        <v>197157.33333333299</v>
      </c>
      <c r="G145" s="72">
        <f t="shared" si="40"/>
        <v>4928.9333333333298</v>
      </c>
      <c r="H145" s="72">
        <v>538.02200000000005</v>
      </c>
      <c r="I145" s="72">
        <f t="shared" si="41"/>
        <v>4390.9113333333298</v>
      </c>
    </row>
    <row r="146" spans="1:9" ht="20.100000000000001" customHeight="1">
      <c r="A146" s="26">
        <v>12</v>
      </c>
      <c r="B146" s="10" t="s">
        <v>532</v>
      </c>
      <c r="C146" s="11" t="s">
        <v>533</v>
      </c>
      <c r="D146" s="14" t="s">
        <v>498</v>
      </c>
      <c r="E146" s="72">
        <f>'[9]NASS New Structure'!$K$16</f>
        <v>2523630</v>
      </c>
      <c r="F146" s="72">
        <f t="shared" ref="F146:F149" si="42">E146/12</f>
        <v>210302.5</v>
      </c>
      <c r="G146" s="72">
        <f t="shared" si="40"/>
        <v>5257.5625</v>
      </c>
      <c r="H146" s="72">
        <v>576.62125000000003</v>
      </c>
      <c r="I146" s="72">
        <f t="shared" si="41"/>
        <v>4680.9412499999999</v>
      </c>
    </row>
    <row r="147" spans="1:9" ht="20.100000000000001" customHeight="1">
      <c r="A147" s="26">
        <v>13</v>
      </c>
      <c r="B147" s="17" t="s">
        <v>534</v>
      </c>
      <c r="C147" s="3" t="s">
        <v>535</v>
      </c>
      <c r="D147" s="14" t="s">
        <v>32</v>
      </c>
      <c r="E147" s="202"/>
      <c r="F147" s="72">
        <f t="shared" si="42"/>
        <v>0</v>
      </c>
      <c r="G147" s="72">
        <f t="shared" si="40"/>
        <v>0</v>
      </c>
      <c r="H147" s="72">
        <v>0</v>
      </c>
      <c r="I147" s="72">
        <f t="shared" si="41"/>
        <v>0</v>
      </c>
    </row>
    <row r="148" spans="1:9" ht="20.100000000000001" customHeight="1">
      <c r="A148" s="26">
        <v>14</v>
      </c>
      <c r="B148" s="10" t="s">
        <v>536</v>
      </c>
      <c r="C148" s="3" t="s">
        <v>537</v>
      </c>
      <c r="D148" s="14" t="s">
        <v>453</v>
      </c>
      <c r="E148" s="202"/>
      <c r="F148" s="72">
        <f t="shared" si="42"/>
        <v>0</v>
      </c>
      <c r="G148" s="72">
        <f t="shared" si="40"/>
        <v>0</v>
      </c>
      <c r="H148" s="72"/>
      <c r="I148" s="72">
        <f t="shared" si="41"/>
        <v>0</v>
      </c>
    </row>
    <row r="149" spans="1:9" ht="20.100000000000001" customHeight="1">
      <c r="A149" s="26">
        <v>15</v>
      </c>
      <c r="B149" s="10" t="s">
        <v>538</v>
      </c>
      <c r="C149" s="3" t="s">
        <v>537</v>
      </c>
      <c r="D149" s="14" t="s">
        <v>539</v>
      </c>
      <c r="E149" s="202">
        <f>'[9]NASS New Structure'!$K$15</f>
        <v>2030090</v>
      </c>
      <c r="F149" s="72">
        <f t="shared" si="42"/>
        <v>169174.16666666701</v>
      </c>
      <c r="G149" s="72">
        <f t="shared" si="40"/>
        <v>4229.3541666666697</v>
      </c>
      <c r="H149" s="72">
        <v>469.48250000000002</v>
      </c>
      <c r="I149" s="72">
        <f t="shared" si="41"/>
        <v>3759.8716666666701</v>
      </c>
    </row>
    <row r="150" spans="1:9" ht="20.100000000000001" customHeight="1">
      <c r="A150" s="26">
        <v>16</v>
      </c>
      <c r="B150" s="10" t="s">
        <v>540</v>
      </c>
      <c r="C150" s="3" t="s">
        <v>537</v>
      </c>
      <c r="D150" s="14" t="s">
        <v>539</v>
      </c>
      <c r="E150" s="202"/>
      <c r="F150" s="202"/>
      <c r="G150" s="72">
        <f t="shared" si="40"/>
        <v>0</v>
      </c>
      <c r="H150" s="72"/>
      <c r="I150" s="72">
        <f t="shared" si="41"/>
        <v>0</v>
      </c>
    </row>
    <row r="151" spans="1:9" ht="20.100000000000001" customHeight="1">
      <c r="A151" s="26">
        <v>17</v>
      </c>
      <c r="B151" s="10" t="s">
        <v>541</v>
      </c>
      <c r="C151" s="11" t="s">
        <v>542</v>
      </c>
      <c r="D151" s="14" t="s">
        <v>409</v>
      </c>
      <c r="E151" s="202"/>
      <c r="F151" s="202"/>
      <c r="G151" s="72">
        <f t="shared" si="40"/>
        <v>0</v>
      </c>
      <c r="H151" s="72"/>
      <c r="I151" s="72">
        <f t="shared" si="41"/>
        <v>0</v>
      </c>
    </row>
    <row r="152" spans="1:9" ht="20.100000000000001" customHeight="1">
      <c r="A152" s="26">
        <v>18</v>
      </c>
      <c r="B152" s="10" t="s">
        <v>543</v>
      </c>
      <c r="C152" s="11" t="s">
        <v>544</v>
      </c>
      <c r="D152" s="9" t="s">
        <v>391</v>
      </c>
      <c r="E152" s="72"/>
      <c r="F152" s="72"/>
      <c r="G152" s="72">
        <f t="shared" si="40"/>
        <v>0</v>
      </c>
      <c r="H152" s="72"/>
      <c r="I152" s="72">
        <f t="shared" si="41"/>
        <v>0</v>
      </c>
    </row>
    <row r="153" spans="1:9" ht="20.100000000000001" customHeight="1">
      <c r="A153" s="26">
        <v>19</v>
      </c>
      <c r="B153" s="10" t="s">
        <v>545</v>
      </c>
      <c r="C153" s="11" t="s">
        <v>546</v>
      </c>
      <c r="D153" s="14" t="s">
        <v>453</v>
      </c>
      <c r="E153" s="202"/>
      <c r="F153" s="202"/>
      <c r="G153" s="72">
        <f t="shared" si="40"/>
        <v>0</v>
      </c>
      <c r="H153" s="72"/>
      <c r="I153" s="72">
        <f t="shared" si="41"/>
        <v>0</v>
      </c>
    </row>
    <row r="154" spans="1:9" ht="20.100000000000001" customHeight="1">
      <c r="A154" s="26">
        <v>20</v>
      </c>
      <c r="B154" s="10" t="s">
        <v>547</v>
      </c>
      <c r="C154" s="11" t="s">
        <v>548</v>
      </c>
      <c r="D154" s="14" t="s">
        <v>387</v>
      </c>
      <c r="E154" s="202"/>
      <c r="F154" s="202"/>
      <c r="G154" s="72">
        <f t="shared" si="40"/>
        <v>0</v>
      </c>
      <c r="H154" s="72"/>
      <c r="I154" s="72">
        <f t="shared" si="41"/>
        <v>0</v>
      </c>
    </row>
    <row r="155" spans="1:9" ht="20.100000000000001" customHeight="1">
      <c r="A155" s="26">
        <v>21</v>
      </c>
      <c r="B155" s="10" t="s">
        <v>549</v>
      </c>
      <c r="C155" s="11" t="s">
        <v>550</v>
      </c>
      <c r="D155" s="14" t="s">
        <v>453</v>
      </c>
      <c r="E155" s="202">
        <f>'[9]NASS New Structure'!$J$15</f>
        <v>1979242</v>
      </c>
      <c r="F155" s="202">
        <f>E155/12</f>
        <v>164936.83333333299</v>
      </c>
      <c r="G155" s="72">
        <f t="shared" si="40"/>
        <v>4123.4208333333299</v>
      </c>
      <c r="H155" s="72">
        <v>457.041</v>
      </c>
      <c r="I155" s="72">
        <f t="shared" si="41"/>
        <v>3666.3798333333302</v>
      </c>
    </row>
    <row r="156" spans="1:9" ht="20.100000000000001" customHeight="1">
      <c r="A156" s="26">
        <v>22</v>
      </c>
      <c r="B156" s="10" t="s">
        <v>551</v>
      </c>
      <c r="C156" s="11" t="s">
        <v>552</v>
      </c>
      <c r="D156" s="14" t="s">
        <v>387</v>
      </c>
      <c r="E156" s="202"/>
      <c r="F156" s="202"/>
      <c r="G156" s="72">
        <f t="shared" si="40"/>
        <v>0</v>
      </c>
      <c r="H156" s="72"/>
      <c r="I156" s="72">
        <f t="shared" si="41"/>
        <v>0</v>
      </c>
    </row>
    <row r="157" spans="1:9" ht="20.100000000000001" customHeight="1">
      <c r="A157" s="26">
        <v>23</v>
      </c>
      <c r="B157" s="17" t="s">
        <v>553</v>
      </c>
      <c r="C157" s="11" t="s">
        <v>554</v>
      </c>
      <c r="D157" s="14" t="s">
        <v>55</v>
      </c>
      <c r="E157" s="202"/>
      <c r="F157" s="202"/>
      <c r="G157" s="72">
        <f t="shared" si="40"/>
        <v>0</v>
      </c>
      <c r="H157" s="72"/>
      <c r="I157" s="72">
        <f t="shared" si="41"/>
        <v>0</v>
      </c>
    </row>
    <row r="158" spans="1:9" ht="20.100000000000001" customHeight="1">
      <c r="A158" s="26">
        <v>24</v>
      </c>
      <c r="B158" s="17" t="s">
        <v>555</v>
      </c>
      <c r="C158" s="11" t="s">
        <v>556</v>
      </c>
      <c r="D158" s="14" t="s">
        <v>402</v>
      </c>
      <c r="E158" s="72"/>
      <c r="F158" s="72"/>
      <c r="G158" s="72">
        <f t="shared" si="40"/>
        <v>0</v>
      </c>
      <c r="H158" s="72">
        <v>0</v>
      </c>
      <c r="I158" s="72">
        <f t="shared" si="41"/>
        <v>0</v>
      </c>
    </row>
    <row r="159" spans="1:9" ht="20.100000000000001" customHeight="1">
      <c r="A159" s="26">
        <v>25</v>
      </c>
      <c r="B159" s="17" t="s">
        <v>557</v>
      </c>
      <c r="C159" s="11" t="s">
        <v>558</v>
      </c>
      <c r="D159" s="14" t="s">
        <v>402</v>
      </c>
      <c r="E159" s="72"/>
      <c r="F159" s="72"/>
      <c r="G159" s="72">
        <f t="shared" si="40"/>
        <v>0</v>
      </c>
      <c r="H159" s="72">
        <v>0</v>
      </c>
      <c r="I159" s="72">
        <f t="shared" si="41"/>
        <v>0</v>
      </c>
    </row>
    <row r="160" spans="1:9" ht="20.100000000000001" customHeight="1">
      <c r="A160" s="26">
        <v>26</v>
      </c>
      <c r="B160" s="17" t="s">
        <v>559</v>
      </c>
      <c r="C160" s="11" t="s">
        <v>560</v>
      </c>
      <c r="D160" s="14" t="s">
        <v>402</v>
      </c>
      <c r="E160" s="72"/>
      <c r="F160" s="72"/>
      <c r="G160" s="72">
        <f t="shared" si="40"/>
        <v>0</v>
      </c>
      <c r="H160" s="72">
        <v>0</v>
      </c>
      <c r="I160" s="72">
        <f t="shared" si="41"/>
        <v>0</v>
      </c>
    </row>
    <row r="161" spans="1:9" ht="20.100000000000001" customHeight="1">
      <c r="A161" s="26">
        <v>27</v>
      </c>
      <c r="B161" s="17" t="s">
        <v>561</v>
      </c>
      <c r="C161" s="11" t="s">
        <v>562</v>
      </c>
      <c r="D161" s="14" t="s">
        <v>399</v>
      </c>
      <c r="E161" s="72"/>
      <c r="F161" s="72"/>
      <c r="G161" s="72">
        <f t="shared" si="40"/>
        <v>0</v>
      </c>
      <c r="H161" s="72">
        <v>0</v>
      </c>
      <c r="I161" s="72">
        <f t="shared" si="41"/>
        <v>0</v>
      </c>
    </row>
    <row r="162" spans="1:9" ht="20.100000000000001" customHeight="1">
      <c r="A162" s="26">
        <v>28</v>
      </c>
      <c r="B162" s="17" t="s">
        <v>563</v>
      </c>
      <c r="C162" s="11" t="s">
        <v>558</v>
      </c>
      <c r="D162" s="14" t="s">
        <v>402</v>
      </c>
      <c r="E162" s="72"/>
      <c r="F162" s="72"/>
      <c r="G162" s="72">
        <f t="shared" si="40"/>
        <v>0</v>
      </c>
      <c r="H162" s="72">
        <v>0</v>
      </c>
      <c r="I162" s="72">
        <f t="shared" si="41"/>
        <v>0</v>
      </c>
    </row>
    <row r="163" spans="1:9" ht="20.100000000000001" customHeight="1">
      <c r="A163" s="26">
        <v>29</v>
      </c>
      <c r="B163" s="10" t="s">
        <v>564</v>
      </c>
      <c r="C163" s="11" t="s">
        <v>565</v>
      </c>
      <c r="D163" s="14" t="s">
        <v>566</v>
      </c>
      <c r="E163" s="208">
        <f>'[9]NASS New Structure'!$G$12</f>
        <v>1110516</v>
      </c>
      <c r="F163" s="208">
        <f>E163/12</f>
        <v>92543</v>
      </c>
      <c r="G163" s="72">
        <f t="shared" si="40"/>
        <v>2313.5749999999998</v>
      </c>
      <c r="H163" s="72">
        <v>263.19</v>
      </c>
      <c r="I163" s="72">
        <f t="shared" si="41"/>
        <v>2050.3850000000002</v>
      </c>
    </row>
    <row r="164" spans="1:9" ht="20.100000000000001" customHeight="1">
      <c r="A164" s="26">
        <v>30</v>
      </c>
      <c r="B164" s="10" t="s">
        <v>567</v>
      </c>
      <c r="C164" s="11" t="s">
        <v>565</v>
      </c>
      <c r="D164" s="14" t="s">
        <v>566</v>
      </c>
      <c r="E164" s="208"/>
      <c r="F164" s="208"/>
      <c r="G164" s="72">
        <f t="shared" si="40"/>
        <v>0</v>
      </c>
      <c r="H164" s="72"/>
      <c r="I164" s="72">
        <f t="shared" si="41"/>
        <v>0</v>
      </c>
    </row>
    <row r="165" spans="1:9" ht="20.100000000000001" customHeight="1">
      <c r="A165" s="26">
        <v>31</v>
      </c>
      <c r="B165" s="10" t="s">
        <v>568</v>
      </c>
      <c r="C165" s="11" t="s">
        <v>565</v>
      </c>
      <c r="D165" s="14" t="s">
        <v>566</v>
      </c>
      <c r="E165" s="208"/>
      <c r="F165" s="208"/>
      <c r="G165" s="72">
        <f t="shared" si="40"/>
        <v>0</v>
      </c>
      <c r="H165" s="72"/>
      <c r="I165" s="72">
        <f t="shared" si="41"/>
        <v>0</v>
      </c>
    </row>
    <row r="166" spans="1:9" ht="20.100000000000001" customHeight="1">
      <c r="A166" s="26">
        <v>32</v>
      </c>
      <c r="B166" s="10" t="s">
        <v>569</v>
      </c>
      <c r="C166" s="11" t="s">
        <v>565</v>
      </c>
      <c r="D166" s="14" t="s">
        <v>566</v>
      </c>
      <c r="E166" s="208">
        <f>'[9]NASS New Structure'!$G$12</f>
        <v>1110516</v>
      </c>
      <c r="F166" s="208">
        <f>E166/12</f>
        <v>92543</v>
      </c>
      <c r="G166" s="72">
        <f t="shared" si="40"/>
        <v>2313.5749999999998</v>
      </c>
      <c r="H166" s="72">
        <v>263.19</v>
      </c>
      <c r="I166" s="72">
        <f t="shared" si="41"/>
        <v>2050.3850000000002</v>
      </c>
    </row>
    <row r="167" spans="1:9" ht="20.100000000000001" customHeight="1">
      <c r="A167" s="26">
        <v>33</v>
      </c>
      <c r="B167" s="10" t="s">
        <v>570</v>
      </c>
      <c r="C167" s="11" t="s">
        <v>565</v>
      </c>
      <c r="D167" s="14" t="s">
        <v>566</v>
      </c>
      <c r="E167" s="208"/>
      <c r="F167" s="208"/>
      <c r="G167" s="72">
        <f t="shared" ref="G167:G193" si="43">E167*0.08</f>
        <v>0</v>
      </c>
      <c r="H167" s="72">
        <f t="shared" ref="H167:H193" si="44">F167*0.08</f>
        <v>0</v>
      </c>
      <c r="I167" s="72">
        <f t="shared" ref="I167:I193" si="45">G167*0.08</f>
        <v>0</v>
      </c>
    </row>
    <row r="168" spans="1:9" ht="20.100000000000001" customHeight="1">
      <c r="A168" s="26">
        <v>34</v>
      </c>
      <c r="B168" s="10" t="s">
        <v>571</v>
      </c>
      <c r="C168" s="11" t="s">
        <v>565</v>
      </c>
      <c r="D168" s="14" t="s">
        <v>572</v>
      </c>
      <c r="E168" s="208"/>
      <c r="F168" s="208"/>
      <c r="G168" s="72">
        <f t="shared" si="43"/>
        <v>0</v>
      </c>
      <c r="H168" s="72">
        <f t="shared" si="44"/>
        <v>0</v>
      </c>
      <c r="I168" s="72">
        <f t="shared" si="45"/>
        <v>0</v>
      </c>
    </row>
    <row r="169" spans="1:9" ht="20.100000000000001" customHeight="1">
      <c r="A169" s="26">
        <v>35</v>
      </c>
      <c r="B169" s="10" t="s">
        <v>573</v>
      </c>
      <c r="C169" s="11" t="s">
        <v>565</v>
      </c>
      <c r="D169" s="14" t="s">
        <v>572</v>
      </c>
      <c r="E169" s="208"/>
      <c r="F169" s="208"/>
      <c r="G169" s="72">
        <f t="shared" si="43"/>
        <v>0</v>
      </c>
      <c r="H169" s="72">
        <f t="shared" si="44"/>
        <v>0</v>
      </c>
      <c r="I169" s="72">
        <f t="shared" si="45"/>
        <v>0</v>
      </c>
    </row>
    <row r="170" spans="1:9" ht="20.100000000000001" customHeight="1">
      <c r="A170" s="26">
        <v>36</v>
      </c>
      <c r="B170" s="13" t="s">
        <v>574</v>
      </c>
      <c r="C170" s="11" t="s">
        <v>565</v>
      </c>
      <c r="D170" s="14" t="s">
        <v>572</v>
      </c>
      <c r="E170" s="208"/>
      <c r="F170" s="208"/>
      <c r="G170" s="72">
        <f t="shared" si="43"/>
        <v>0</v>
      </c>
      <c r="H170" s="72">
        <f t="shared" si="44"/>
        <v>0</v>
      </c>
      <c r="I170" s="72">
        <f t="shared" si="45"/>
        <v>0</v>
      </c>
    </row>
    <row r="171" spans="1:9" ht="20.100000000000001" customHeight="1">
      <c r="A171" s="26">
        <v>37</v>
      </c>
      <c r="B171" s="10" t="s">
        <v>575</v>
      </c>
      <c r="C171" s="11" t="s">
        <v>565</v>
      </c>
      <c r="D171" s="14" t="s">
        <v>572</v>
      </c>
      <c r="E171" s="208"/>
      <c r="F171" s="208"/>
      <c r="G171" s="72">
        <f t="shared" si="43"/>
        <v>0</v>
      </c>
      <c r="H171" s="72">
        <f t="shared" si="44"/>
        <v>0</v>
      </c>
      <c r="I171" s="72">
        <f t="shared" si="45"/>
        <v>0</v>
      </c>
    </row>
    <row r="172" spans="1:9" ht="20.100000000000001" customHeight="1">
      <c r="A172" s="26">
        <v>38</v>
      </c>
      <c r="B172" s="17" t="s">
        <v>576</v>
      </c>
      <c r="C172" s="11" t="s">
        <v>565</v>
      </c>
      <c r="D172" s="14" t="s">
        <v>572</v>
      </c>
      <c r="E172" s="208"/>
      <c r="F172" s="208"/>
      <c r="G172" s="72">
        <f t="shared" si="43"/>
        <v>0</v>
      </c>
      <c r="H172" s="72">
        <f t="shared" si="44"/>
        <v>0</v>
      </c>
      <c r="I172" s="72">
        <f t="shared" si="45"/>
        <v>0</v>
      </c>
    </row>
    <row r="173" spans="1:9" ht="20.100000000000001" customHeight="1">
      <c r="A173" s="26">
        <v>39</v>
      </c>
      <c r="B173" s="17" t="s">
        <v>577</v>
      </c>
      <c r="C173" s="11" t="s">
        <v>565</v>
      </c>
      <c r="D173" s="14" t="s">
        <v>572</v>
      </c>
      <c r="E173" s="208"/>
      <c r="F173" s="208"/>
      <c r="G173" s="72">
        <f t="shared" si="43"/>
        <v>0</v>
      </c>
      <c r="H173" s="72">
        <f t="shared" si="44"/>
        <v>0</v>
      </c>
      <c r="I173" s="72">
        <f t="shared" si="45"/>
        <v>0</v>
      </c>
    </row>
    <row r="174" spans="1:9" ht="20.100000000000001" customHeight="1">
      <c r="A174" s="26">
        <v>40</v>
      </c>
      <c r="B174" s="10" t="s">
        <v>578</v>
      </c>
      <c r="C174" s="11" t="s">
        <v>579</v>
      </c>
      <c r="D174" s="14" t="s">
        <v>580</v>
      </c>
      <c r="E174" s="72"/>
      <c r="F174" s="72"/>
      <c r="G174" s="72">
        <f t="shared" si="43"/>
        <v>0</v>
      </c>
      <c r="H174" s="72">
        <f t="shared" si="44"/>
        <v>0</v>
      </c>
      <c r="I174" s="72">
        <f t="shared" si="45"/>
        <v>0</v>
      </c>
    </row>
    <row r="175" spans="1:9" ht="20.100000000000001" customHeight="1">
      <c r="A175" s="26">
        <v>41</v>
      </c>
      <c r="B175" s="10" t="s">
        <v>581</v>
      </c>
      <c r="C175" s="11" t="s">
        <v>579</v>
      </c>
      <c r="D175" s="14" t="s">
        <v>580</v>
      </c>
      <c r="E175" s="72"/>
      <c r="F175" s="72"/>
      <c r="G175" s="72">
        <f t="shared" si="43"/>
        <v>0</v>
      </c>
      <c r="H175" s="72">
        <f t="shared" si="44"/>
        <v>0</v>
      </c>
      <c r="I175" s="72">
        <f t="shared" si="45"/>
        <v>0</v>
      </c>
    </row>
    <row r="176" spans="1:9" ht="20.100000000000001" customHeight="1">
      <c r="A176" s="26">
        <v>42</v>
      </c>
      <c r="B176" s="17" t="s">
        <v>582</v>
      </c>
      <c r="C176" s="11" t="s">
        <v>579</v>
      </c>
      <c r="D176" s="14" t="s">
        <v>583</v>
      </c>
      <c r="E176" s="72"/>
      <c r="F176" s="72"/>
      <c r="G176" s="72">
        <f t="shared" si="43"/>
        <v>0</v>
      </c>
      <c r="H176" s="72">
        <f t="shared" si="44"/>
        <v>0</v>
      </c>
      <c r="I176" s="72">
        <f t="shared" si="45"/>
        <v>0</v>
      </c>
    </row>
    <row r="177" spans="1:9" ht="20.100000000000001" customHeight="1">
      <c r="A177" s="26">
        <v>43</v>
      </c>
      <c r="B177" s="10" t="s">
        <v>584</v>
      </c>
      <c r="C177" s="11" t="s">
        <v>585</v>
      </c>
      <c r="D177" s="14" t="s">
        <v>586</v>
      </c>
      <c r="E177" s="72"/>
      <c r="F177" s="72"/>
      <c r="G177" s="72">
        <f t="shared" si="43"/>
        <v>0</v>
      </c>
      <c r="H177" s="72">
        <f t="shared" si="44"/>
        <v>0</v>
      </c>
      <c r="I177" s="72">
        <f t="shared" si="45"/>
        <v>0</v>
      </c>
    </row>
    <row r="178" spans="1:9" ht="20.100000000000001" customHeight="1">
      <c r="A178" s="26">
        <v>44</v>
      </c>
      <c r="B178" s="10" t="s">
        <v>587</v>
      </c>
      <c r="C178" s="11" t="s">
        <v>588</v>
      </c>
      <c r="D178" s="14" t="s">
        <v>589</v>
      </c>
      <c r="E178" s="72"/>
      <c r="F178" s="72"/>
      <c r="G178" s="72">
        <f t="shared" si="43"/>
        <v>0</v>
      </c>
      <c r="H178" s="72">
        <f t="shared" si="44"/>
        <v>0</v>
      </c>
      <c r="I178" s="72">
        <f t="shared" si="45"/>
        <v>0</v>
      </c>
    </row>
    <row r="179" spans="1:9" ht="20.100000000000001" customHeight="1">
      <c r="A179" s="26">
        <v>45</v>
      </c>
      <c r="B179" s="10" t="s">
        <v>590</v>
      </c>
      <c r="C179" s="11" t="s">
        <v>588</v>
      </c>
      <c r="D179" s="14" t="s">
        <v>589</v>
      </c>
      <c r="E179" s="72"/>
      <c r="F179" s="72"/>
      <c r="G179" s="72">
        <f t="shared" si="43"/>
        <v>0</v>
      </c>
      <c r="H179" s="72">
        <f t="shared" si="44"/>
        <v>0</v>
      </c>
      <c r="I179" s="72">
        <f t="shared" si="45"/>
        <v>0</v>
      </c>
    </row>
    <row r="180" spans="1:9" ht="20.100000000000001" customHeight="1">
      <c r="A180" s="26">
        <v>46</v>
      </c>
      <c r="B180" s="10" t="s">
        <v>591</v>
      </c>
      <c r="C180" s="11" t="s">
        <v>588</v>
      </c>
      <c r="D180" s="14" t="s">
        <v>589</v>
      </c>
      <c r="E180" s="72"/>
      <c r="F180" s="72"/>
      <c r="G180" s="72">
        <f t="shared" si="43"/>
        <v>0</v>
      </c>
      <c r="H180" s="72">
        <f t="shared" si="44"/>
        <v>0</v>
      </c>
      <c r="I180" s="72">
        <f t="shared" si="45"/>
        <v>0</v>
      </c>
    </row>
    <row r="181" spans="1:9" ht="20.100000000000001" customHeight="1">
      <c r="A181" s="26">
        <v>47</v>
      </c>
      <c r="B181" s="10" t="s">
        <v>592</v>
      </c>
      <c r="C181" s="11" t="s">
        <v>588</v>
      </c>
      <c r="D181" s="14" t="s">
        <v>589</v>
      </c>
      <c r="E181" s="72"/>
      <c r="F181" s="72"/>
      <c r="G181" s="72">
        <f t="shared" si="43"/>
        <v>0</v>
      </c>
      <c r="H181" s="72">
        <f t="shared" si="44"/>
        <v>0</v>
      </c>
      <c r="I181" s="72">
        <f t="shared" si="45"/>
        <v>0</v>
      </c>
    </row>
    <row r="182" spans="1:9" ht="20.100000000000001" customHeight="1">
      <c r="A182" s="26">
        <v>48</v>
      </c>
      <c r="B182" s="10" t="s">
        <v>593</v>
      </c>
      <c r="C182" s="11" t="s">
        <v>588</v>
      </c>
      <c r="D182" s="14" t="s">
        <v>589</v>
      </c>
      <c r="E182" s="72"/>
      <c r="F182" s="72"/>
      <c r="G182" s="72">
        <f t="shared" si="43"/>
        <v>0</v>
      </c>
      <c r="H182" s="72">
        <f t="shared" si="44"/>
        <v>0</v>
      </c>
      <c r="I182" s="72">
        <f t="shared" si="45"/>
        <v>0</v>
      </c>
    </row>
    <row r="183" spans="1:9" ht="20.100000000000001" customHeight="1">
      <c r="A183" s="26">
        <v>49</v>
      </c>
      <c r="B183" s="17" t="s">
        <v>594</v>
      </c>
      <c r="C183" s="11" t="s">
        <v>588</v>
      </c>
      <c r="D183" s="14" t="s">
        <v>589</v>
      </c>
      <c r="E183" s="72"/>
      <c r="F183" s="72"/>
      <c r="G183" s="72">
        <f t="shared" si="43"/>
        <v>0</v>
      </c>
      <c r="H183" s="72">
        <f t="shared" si="44"/>
        <v>0</v>
      </c>
      <c r="I183" s="72">
        <f t="shared" si="45"/>
        <v>0</v>
      </c>
    </row>
    <row r="184" spans="1:9" ht="20.100000000000001" customHeight="1">
      <c r="A184" s="26">
        <v>50</v>
      </c>
      <c r="B184" s="17" t="s">
        <v>595</v>
      </c>
      <c r="C184" s="11" t="s">
        <v>588</v>
      </c>
      <c r="D184" s="14" t="s">
        <v>589</v>
      </c>
      <c r="E184" s="72"/>
      <c r="F184" s="72"/>
      <c r="G184" s="72">
        <f t="shared" si="43"/>
        <v>0</v>
      </c>
      <c r="H184" s="72">
        <f t="shared" si="44"/>
        <v>0</v>
      </c>
      <c r="I184" s="72">
        <f t="shared" si="45"/>
        <v>0</v>
      </c>
    </row>
    <row r="185" spans="1:9" ht="20.100000000000001" customHeight="1">
      <c r="A185" s="26">
        <v>51</v>
      </c>
      <c r="B185" s="10" t="s">
        <v>596</v>
      </c>
      <c r="C185" s="11" t="s">
        <v>585</v>
      </c>
      <c r="D185" s="14" t="s">
        <v>589</v>
      </c>
      <c r="E185" s="72"/>
      <c r="F185" s="72"/>
      <c r="G185" s="72">
        <f t="shared" si="43"/>
        <v>0</v>
      </c>
      <c r="H185" s="72">
        <f t="shared" si="44"/>
        <v>0</v>
      </c>
      <c r="I185" s="72">
        <f t="shared" si="45"/>
        <v>0</v>
      </c>
    </row>
    <row r="186" spans="1:9" ht="20.100000000000001" customHeight="1">
      <c r="A186" s="26">
        <v>52</v>
      </c>
      <c r="B186" s="10" t="s">
        <v>597</v>
      </c>
      <c r="C186" s="11" t="s">
        <v>585</v>
      </c>
      <c r="D186" s="14" t="s">
        <v>589</v>
      </c>
      <c r="E186" s="72"/>
      <c r="F186" s="72"/>
      <c r="G186" s="72">
        <f t="shared" si="43"/>
        <v>0</v>
      </c>
      <c r="H186" s="72">
        <f t="shared" si="44"/>
        <v>0</v>
      </c>
      <c r="I186" s="72">
        <f t="shared" si="45"/>
        <v>0</v>
      </c>
    </row>
    <row r="187" spans="1:9" ht="20.100000000000001" customHeight="1">
      <c r="A187" s="26">
        <v>53</v>
      </c>
      <c r="B187" s="17" t="s">
        <v>598</v>
      </c>
      <c r="C187" s="11" t="s">
        <v>286</v>
      </c>
      <c r="D187" s="14" t="s">
        <v>599</v>
      </c>
      <c r="E187" s="72"/>
      <c r="F187" s="72"/>
      <c r="G187" s="72">
        <f t="shared" si="43"/>
        <v>0</v>
      </c>
      <c r="H187" s="72">
        <f t="shared" si="44"/>
        <v>0</v>
      </c>
      <c r="I187" s="72">
        <f t="shared" si="45"/>
        <v>0</v>
      </c>
    </row>
    <row r="188" spans="1:9" ht="20.100000000000001" customHeight="1">
      <c r="A188" s="26">
        <v>54</v>
      </c>
      <c r="B188" s="17" t="s">
        <v>600</v>
      </c>
      <c r="C188" s="11" t="s">
        <v>588</v>
      </c>
      <c r="D188" s="14" t="s">
        <v>601</v>
      </c>
      <c r="E188" s="202"/>
      <c r="F188" s="202"/>
      <c r="G188" s="72">
        <f t="shared" si="43"/>
        <v>0</v>
      </c>
      <c r="H188" s="72">
        <f t="shared" si="44"/>
        <v>0</v>
      </c>
      <c r="I188" s="72">
        <f t="shared" si="45"/>
        <v>0</v>
      </c>
    </row>
    <row r="189" spans="1:9" ht="20.100000000000001" customHeight="1">
      <c r="A189" s="26">
        <v>55</v>
      </c>
      <c r="B189" s="17" t="s">
        <v>602</v>
      </c>
      <c r="C189" s="11" t="s">
        <v>603</v>
      </c>
      <c r="D189" s="14" t="s">
        <v>604</v>
      </c>
      <c r="E189" s="72"/>
      <c r="F189" s="72"/>
      <c r="G189" s="72">
        <f t="shared" si="43"/>
        <v>0</v>
      </c>
      <c r="H189" s="72">
        <f t="shared" si="44"/>
        <v>0</v>
      </c>
      <c r="I189" s="72">
        <f t="shared" si="45"/>
        <v>0</v>
      </c>
    </row>
    <row r="190" spans="1:9" ht="20.100000000000001" customHeight="1">
      <c r="A190" s="26">
        <v>56</v>
      </c>
      <c r="B190" s="17" t="s">
        <v>605</v>
      </c>
      <c r="C190" s="11" t="s">
        <v>603</v>
      </c>
      <c r="D190" s="14" t="s">
        <v>604</v>
      </c>
      <c r="E190" s="72"/>
      <c r="F190" s="72"/>
      <c r="G190" s="72">
        <f t="shared" si="43"/>
        <v>0</v>
      </c>
      <c r="H190" s="72">
        <f t="shared" si="44"/>
        <v>0</v>
      </c>
      <c r="I190" s="72">
        <f t="shared" si="45"/>
        <v>0</v>
      </c>
    </row>
    <row r="191" spans="1:9" ht="20.100000000000001" customHeight="1">
      <c r="A191" s="26">
        <v>57</v>
      </c>
      <c r="B191" s="17" t="s">
        <v>606</v>
      </c>
      <c r="C191" s="11" t="s">
        <v>603</v>
      </c>
      <c r="D191" s="14" t="s">
        <v>604</v>
      </c>
      <c r="E191" s="72"/>
      <c r="F191" s="72"/>
      <c r="G191" s="72">
        <f t="shared" si="43"/>
        <v>0</v>
      </c>
      <c r="H191" s="72">
        <f t="shared" si="44"/>
        <v>0</v>
      </c>
      <c r="I191" s="72">
        <f t="shared" si="45"/>
        <v>0</v>
      </c>
    </row>
    <row r="192" spans="1:9" ht="20.100000000000001" customHeight="1">
      <c r="A192" s="26">
        <v>58</v>
      </c>
      <c r="B192" s="17" t="s">
        <v>607</v>
      </c>
      <c r="C192" s="11" t="s">
        <v>608</v>
      </c>
      <c r="D192" s="14" t="s">
        <v>609</v>
      </c>
      <c r="E192" s="72"/>
      <c r="F192" s="72"/>
      <c r="G192" s="72">
        <f t="shared" si="43"/>
        <v>0</v>
      </c>
      <c r="H192" s="72">
        <f t="shared" si="44"/>
        <v>0</v>
      </c>
      <c r="I192" s="72">
        <f t="shared" si="45"/>
        <v>0</v>
      </c>
    </row>
    <row r="193" spans="1:10" ht="20.100000000000001" customHeight="1">
      <c r="A193" s="26">
        <v>59</v>
      </c>
      <c r="B193" s="17" t="s">
        <v>610</v>
      </c>
      <c r="C193" s="11" t="s">
        <v>608</v>
      </c>
      <c r="D193" s="14" t="s">
        <v>609</v>
      </c>
      <c r="E193" s="72"/>
      <c r="F193" s="72"/>
      <c r="G193" s="72">
        <f t="shared" si="43"/>
        <v>0</v>
      </c>
      <c r="H193" s="72">
        <f t="shared" si="44"/>
        <v>0</v>
      </c>
      <c r="I193" s="72">
        <f t="shared" si="45"/>
        <v>0</v>
      </c>
    </row>
    <row r="194" spans="1:10" ht="20.100000000000001" customHeight="1">
      <c r="A194" s="26"/>
      <c r="B194" s="7" t="s">
        <v>42</v>
      </c>
      <c r="C194" s="27" t="s">
        <v>611</v>
      </c>
      <c r="D194" s="28"/>
      <c r="E194" s="80">
        <f>SUM(E135:E193)</f>
        <v>27985176</v>
      </c>
      <c r="F194" s="80">
        <f>SUM(F135:F193)</f>
        <v>2332098</v>
      </c>
      <c r="G194" s="80">
        <f t="shared" ref="G194:I194" si="46">SUM(G135:G193)</f>
        <v>58302.45</v>
      </c>
      <c r="H194" s="80">
        <f t="shared" si="46"/>
        <v>6347.2330000000002</v>
      </c>
      <c r="I194" s="80">
        <f t="shared" si="46"/>
        <v>51955.216999999997</v>
      </c>
    </row>
    <row r="195" spans="1:10" ht="19.5" customHeight="1">
      <c r="A195" s="3"/>
      <c r="B195" s="29" t="s">
        <v>125</v>
      </c>
      <c r="C195" s="30">
        <f>C35+C41+C55+C60+C73+C83+C96+C103+C113+C132+C194</f>
        <v>153</v>
      </c>
      <c r="D195" s="31"/>
      <c r="E195" s="209">
        <f>E194+E132+E119+E113+E103+E96+E83+E73+E60+E55+E41+E35</f>
        <v>110549745</v>
      </c>
      <c r="F195" s="209">
        <f>F194+F132+F119+F113+F103+F96+F83+F73+F60+F55+F41+F35</f>
        <v>9212478.75</v>
      </c>
      <c r="G195" s="209">
        <f t="shared" ref="G195:I195" si="47">G194+G132+G119+G113+G103+G96+G83+G73+G60+G55+G41+G35</f>
        <v>230311.96875</v>
      </c>
      <c r="H195" s="209">
        <f t="shared" si="47"/>
        <v>23031.313750000001</v>
      </c>
      <c r="I195" s="209">
        <f t="shared" si="47"/>
        <v>207280.655</v>
      </c>
      <c r="J195" s="34"/>
    </row>
    <row r="196" spans="1:10" ht="20.100000000000001" customHeight="1">
      <c r="A196" s="2"/>
      <c r="B196" s="32"/>
      <c r="C196" s="2"/>
      <c r="D196" s="33"/>
      <c r="E196" s="33"/>
      <c r="F196" s="33"/>
      <c r="G196" s="33"/>
      <c r="H196" s="34"/>
    </row>
    <row r="197" spans="1:10" ht="36.75" customHeight="1">
      <c r="A197" s="2"/>
      <c r="B197" s="32"/>
      <c r="C197" s="33"/>
      <c r="D197" s="33"/>
      <c r="E197" s="33"/>
      <c r="F197" s="33"/>
      <c r="G197" s="33"/>
    </row>
    <row r="199" spans="1:10" ht="20.100000000000001" customHeight="1"/>
  </sheetData>
  <mergeCells count="2">
    <mergeCell ref="A1:G1"/>
    <mergeCell ref="A2:G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I11" sqref="I11"/>
    </sheetView>
  </sheetViews>
  <sheetFormatPr defaultColWidth="9" defaultRowHeight="12.75"/>
  <cols>
    <col min="1" max="1" width="21.85546875" customWidth="1"/>
    <col min="2" max="2" width="32.28515625" customWidth="1"/>
    <col min="3" max="3" width="15.5703125" customWidth="1"/>
    <col min="4" max="4" width="12.5703125" customWidth="1"/>
    <col min="5" max="5" width="12" customWidth="1"/>
    <col min="6" max="6" width="15.5703125" customWidth="1"/>
  </cols>
  <sheetData>
    <row r="1" spans="1:7" ht="15.75">
      <c r="D1" s="591" t="s">
        <v>640</v>
      </c>
      <c r="E1" s="591" t="s">
        <v>15</v>
      </c>
      <c r="F1" s="592"/>
      <c r="G1" s="592"/>
    </row>
    <row r="2" spans="1:7" ht="36" customHeight="1">
      <c r="A2" s="17" t="s">
        <v>400</v>
      </c>
      <c r="B2" s="11" t="s">
        <v>401</v>
      </c>
      <c r="C2" s="593" t="s">
        <v>72</v>
      </c>
      <c r="D2" s="591">
        <f>'[8]JANUARY 2024'!$R$33</f>
        <v>173329.04949999999</v>
      </c>
      <c r="E2" s="591">
        <f>'[8]JANUARY 2024'!$W$33</f>
        <v>16512.682190666699</v>
      </c>
      <c r="F2" s="592"/>
      <c r="G2" s="592"/>
    </row>
    <row r="3" spans="1:7" ht="37.5">
      <c r="A3" s="17" t="s">
        <v>400</v>
      </c>
      <c r="B3" s="11" t="s">
        <v>401</v>
      </c>
      <c r="C3" s="593" t="s">
        <v>402</v>
      </c>
      <c r="D3" s="591">
        <f>'[8]JANUARY 2024'!$R$38</f>
        <v>176816.1</v>
      </c>
      <c r="E3" s="591">
        <f>'[8]JANUARY 2024'!$W$38</f>
        <v>17042.713866666702</v>
      </c>
      <c r="F3" s="592"/>
      <c r="G3" s="592"/>
    </row>
    <row r="4" spans="1:7" ht="25.5" customHeight="1">
      <c r="A4" s="274" t="s">
        <v>625</v>
      </c>
      <c r="D4" s="591">
        <f>D3-D2</f>
        <v>3487.0505000000098</v>
      </c>
      <c r="E4" s="591">
        <f>E3-E2</f>
        <v>530.03167600000199</v>
      </c>
      <c r="F4" s="594">
        <f>D4-E4</f>
        <v>2957.0188240000102</v>
      </c>
      <c r="G4" s="592"/>
    </row>
    <row r="5" spans="1:7" ht="15.75">
      <c r="D5" s="592"/>
      <c r="E5" s="592"/>
      <c r="F5" s="592"/>
      <c r="G5" s="592"/>
    </row>
    <row r="6" spans="1:7" ht="15.75">
      <c r="D6" s="592"/>
      <c r="E6" s="592"/>
      <c r="F6" s="592"/>
      <c r="G6" s="592"/>
    </row>
  </sheetData>
  <pageMargins left="0.7" right="0.7" top="0.75" bottom="0.75" header="0.3" footer="0.3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6"/>
  <sheetViews>
    <sheetView zoomScaleSheetLayoutView="50" workbookViewId="0">
      <pane xSplit="3" ySplit="7" topLeftCell="D190" activePane="bottomRight" state="frozen"/>
      <selection pane="topRight"/>
      <selection pane="bottomLeft"/>
      <selection pane="bottomRight" activeCell="H128" sqref="H128"/>
    </sheetView>
  </sheetViews>
  <sheetFormatPr defaultColWidth="9.140625" defaultRowHeight="20.100000000000001" customHeight="1"/>
  <cols>
    <col min="1" max="1" width="5.42578125" style="1" customWidth="1"/>
    <col min="2" max="2" width="41.85546875" style="1" customWidth="1"/>
    <col min="3" max="3" width="38.7109375" style="1" customWidth="1"/>
    <col min="4" max="4" width="11.5703125" style="1" customWidth="1"/>
    <col min="5" max="5" width="19.5703125" style="1" customWidth="1"/>
    <col min="6" max="16384" width="9.140625" style="1"/>
  </cols>
  <sheetData>
    <row r="1" spans="1:5" ht="27" customHeight="1">
      <c r="A1" s="855" t="s">
        <v>0</v>
      </c>
      <c r="B1" s="855"/>
      <c r="C1" s="855"/>
      <c r="D1" s="855"/>
      <c r="E1" s="855"/>
    </row>
    <row r="2" spans="1:5" ht="33.75" customHeight="1">
      <c r="A2" s="590" t="s">
        <v>641</v>
      </c>
      <c r="B2" s="64"/>
      <c r="C2" s="63"/>
      <c r="D2" s="63"/>
      <c r="E2" s="198"/>
    </row>
    <row r="3" spans="1:5" ht="9.75" customHeight="1">
      <c r="A3" s="2"/>
      <c r="B3" s="2"/>
      <c r="C3" s="2"/>
      <c r="D3" s="2"/>
      <c r="E3" s="199" t="e">
        <f>'[1]FEB 08'!E11/'[1]FEB 08'!M11</f>
        <v>#REF!</v>
      </c>
    </row>
    <row r="4" spans="1:5" ht="40.5" customHeight="1">
      <c r="A4" s="3"/>
      <c r="B4" s="4" t="s">
        <v>2</v>
      </c>
      <c r="C4" s="5" t="s">
        <v>3</v>
      </c>
      <c r="D4" s="6" t="s">
        <v>4</v>
      </c>
      <c r="E4" s="338" t="s">
        <v>201</v>
      </c>
    </row>
    <row r="5" spans="1:5" ht="17.25" customHeight="1">
      <c r="C5" s="7"/>
      <c r="D5" s="7"/>
      <c r="E5" s="339" t="s">
        <v>20</v>
      </c>
    </row>
    <row r="6" spans="1:5" ht="20.100000000000001" customHeight="1">
      <c r="A6" s="8" t="s">
        <v>21</v>
      </c>
      <c r="B6" s="7" t="s">
        <v>22</v>
      </c>
      <c r="C6" s="7"/>
      <c r="D6" s="7"/>
      <c r="E6" s="69"/>
    </row>
    <row r="7" spans="1:5" ht="20.100000000000001" customHeight="1">
      <c r="A7" s="9">
        <v>1</v>
      </c>
      <c r="B7" s="10" t="s">
        <v>345</v>
      </c>
      <c r="C7" s="11" t="s">
        <v>346</v>
      </c>
      <c r="D7" s="11" t="s">
        <v>347</v>
      </c>
      <c r="E7" s="72">
        <v>540000</v>
      </c>
    </row>
    <row r="8" spans="1:5" ht="20.100000000000001" customHeight="1">
      <c r="A8" s="9">
        <v>2</v>
      </c>
      <c r="B8" s="10" t="s">
        <v>348</v>
      </c>
      <c r="C8" s="11" t="s">
        <v>349</v>
      </c>
      <c r="D8" s="9" t="s">
        <v>343</v>
      </c>
      <c r="E8" s="72">
        <v>180000</v>
      </c>
    </row>
    <row r="9" spans="1:5" ht="20.100000000000001" customHeight="1">
      <c r="A9" s="9">
        <v>3</v>
      </c>
      <c r="B9" s="13" t="s">
        <v>350</v>
      </c>
      <c r="C9" s="3" t="s">
        <v>351</v>
      </c>
      <c r="D9" s="9" t="s">
        <v>343</v>
      </c>
      <c r="E9" s="72">
        <v>180000</v>
      </c>
    </row>
    <row r="10" spans="1:5" ht="20.100000000000001" customHeight="1">
      <c r="A10" s="9">
        <v>4</v>
      </c>
      <c r="B10" s="10" t="s">
        <v>352</v>
      </c>
      <c r="C10" s="16" t="s">
        <v>353</v>
      </c>
      <c r="D10" s="9" t="s">
        <v>343</v>
      </c>
      <c r="E10" s="72">
        <v>180000</v>
      </c>
    </row>
    <row r="11" spans="1:5" ht="20.100000000000001" customHeight="1">
      <c r="A11" s="9">
        <v>5</v>
      </c>
      <c r="B11" s="13" t="s">
        <v>354</v>
      </c>
      <c r="C11" s="3" t="s">
        <v>355</v>
      </c>
      <c r="D11" s="9" t="s">
        <v>343</v>
      </c>
      <c r="E11" s="72">
        <v>180000</v>
      </c>
    </row>
    <row r="12" spans="1:5" ht="20.100000000000001" customHeight="1">
      <c r="A12" s="9">
        <v>6</v>
      </c>
      <c r="B12" s="17" t="s">
        <v>341</v>
      </c>
      <c r="C12" s="9" t="s">
        <v>342</v>
      </c>
      <c r="D12" s="9" t="s">
        <v>343</v>
      </c>
      <c r="E12" s="72">
        <v>180000</v>
      </c>
    </row>
    <row r="13" spans="1:5" ht="20.100000000000001" customHeight="1">
      <c r="A13" s="9">
        <v>7</v>
      </c>
      <c r="B13" s="10" t="s">
        <v>356</v>
      </c>
      <c r="C13" s="11" t="s">
        <v>357</v>
      </c>
      <c r="D13" s="14" t="s">
        <v>358</v>
      </c>
      <c r="E13" s="72">
        <v>126000</v>
      </c>
    </row>
    <row r="14" spans="1:5" ht="20.100000000000001" customHeight="1">
      <c r="A14" s="9">
        <v>8</v>
      </c>
      <c r="B14" s="10" t="s">
        <v>359</v>
      </c>
      <c r="C14" s="3" t="s">
        <v>360</v>
      </c>
      <c r="D14" s="9" t="s">
        <v>99</v>
      </c>
      <c r="E14" s="72">
        <v>126000</v>
      </c>
    </row>
    <row r="15" spans="1:5" ht="20.100000000000001" customHeight="1">
      <c r="A15" s="9">
        <v>9</v>
      </c>
      <c r="B15" s="10" t="s">
        <v>361</v>
      </c>
      <c r="C15" s="3" t="s">
        <v>362</v>
      </c>
      <c r="D15" s="14" t="s">
        <v>363</v>
      </c>
      <c r="E15" s="72">
        <v>90000</v>
      </c>
    </row>
    <row r="16" spans="1:5" ht="20.100000000000001" customHeight="1">
      <c r="A16" s="9">
        <v>10</v>
      </c>
      <c r="B16" s="13" t="s">
        <v>364</v>
      </c>
      <c r="C16" s="16" t="s">
        <v>365</v>
      </c>
      <c r="D16" s="14" t="s">
        <v>366</v>
      </c>
      <c r="E16" s="72">
        <v>90000</v>
      </c>
    </row>
    <row r="17" spans="1:5" ht="20.100000000000001" customHeight="1">
      <c r="A17" s="9">
        <v>11</v>
      </c>
      <c r="B17" s="10" t="s">
        <v>367</v>
      </c>
      <c r="C17" s="3" t="s">
        <v>368</v>
      </c>
      <c r="D17" s="9" t="s">
        <v>369</v>
      </c>
      <c r="E17" s="72">
        <v>90000</v>
      </c>
    </row>
    <row r="18" spans="1:5" ht="20.100000000000001" customHeight="1">
      <c r="A18" s="9">
        <v>12</v>
      </c>
      <c r="B18" s="10" t="s">
        <v>370</v>
      </c>
      <c r="C18" s="3" t="s">
        <v>371</v>
      </c>
      <c r="D18" s="9" t="s">
        <v>372</v>
      </c>
      <c r="E18" s="72">
        <v>90000</v>
      </c>
    </row>
    <row r="19" spans="1:5" ht="20.100000000000001" customHeight="1">
      <c r="A19" s="9">
        <v>13</v>
      </c>
      <c r="B19" s="10" t="s">
        <v>373</v>
      </c>
      <c r="C19" s="11" t="s">
        <v>374</v>
      </c>
      <c r="D19" s="14" t="s">
        <v>375</v>
      </c>
      <c r="E19" s="72">
        <v>90000</v>
      </c>
    </row>
    <row r="20" spans="1:5" ht="20.100000000000001" customHeight="1">
      <c r="A20" s="9">
        <v>14</v>
      </c>
      <c r="B20" s="17" t="s">
        <v>376</v>
      </c>
      <c r="C20" s="3" t="s">
        <v>377</v>
      </c>
      <c r="D20" s="14" t="s">
        <v>378</v>
      </c>
      <c r="E20" s="72">
        <v>90000</v>
      </c>
    </row>
    <row r="21" spans="1:5" ht="18.75" customHeight="1">
      <c r="A21" s="9">
        <v>15</v>
      </c>
      <c r="B21" s="10" t="s">
        <v>379</v>
      </c>
      <c r="C21" s="11" t="s">
        <v>233</v>
      </c>
      <c r="D21" s="14" t="s">
        <v>380</v>
      </c>
      <c r="E21" s="72">
        <v>68000</v>
      </c>
    </row>
    <row r="22" spans="1:5" ht="20.100000000000001" customHeight="1">
      <c r="A22" s="9">
        <v>16</v>
      </c>
      <c r="B22" s="13" t="s">
        <v>381</v>
      </c>
      <c r="C22" s="16" t="s">
        <v>382</v>
      </c>
      <c r="D22" s="9" t="s">
        <v>32</v>
      </c>
      <c r="E22" s="72">
        <v>68000</v>
      </c>
    </row>
    <row r="23" spans="1:5" ht="21.6" customHeight="1">
      <c r="A23" s="9">
        <v>17</v>
      </c>
      <c r="B23" s="10" t="s">
        <v>383</v>
      </c>
      <c r="C23" s="16" t="s">
        <v>34</v>
      </c>
      <c r="D23" s="14" t="s">
        <v>32</v>
      </c>
      <c r="E23" s="72">
        <v>68000</v>
      </c>
    </row>
    <row r="24" spans="1:5" ht="20.100000000000001" customHeight="1">
      <c r="A24" s="9">
        <v>18</v>
      </c>
      <c r="B24" s="13" t="s">
        <v>384</v>
      </c>
      <c r="C24" s="16" t="s">
        <v>385</v>
      </c>
      <c r="D24" s="9" t="s">
        <v>37</v>
      </c>
      <c r="E24" s="72">
        <v>68000</v>
      </c>
    </row>
    <row r="25" spans="1:5" ht="18.75" customHeight="1">
      <c r="A25" s="9">
        <v>19</v>
      </c>
      <c r="B25" s="3" t="s">
        <v>386</v>
      </c>
      <c r="C25" s="3" t="s">
        <v>289</v>
      </c>
      <c r="D25" s="9" t="s">
        <v>387</v>
      </c>
      <c r="E25" s="72">
        <v>54000</v>
      </c>
    </row>
    <row r="26" spans="1:5" ht="18.75" customHeight="1">
      <c r="A26" s="9">
        <v>20</v>
      </c>
      <c r="B26" s="17" t="s">
        <v>388</v>
      </c>
      <c r="C26" s="11" t="s">
        <v>289</v>
      </c>
      <c r="D26" s="14" t="s">
        <v>387</v>
      </c>
      <c r="E26" s="72">
        <v>54000</v>
      </c>
    </row>
    <row r="27" spans="1:5" ht="20.100000000000001" customHeight="1">
      <c r="A27" s="9">
        <v>21</v>
      </c>
      <c r="B27" s="10" t="s">
        <v>389</v>
      </c>
      <c r="C27" s="16" t="s">
        <v>382</v>
      </c>
      <c r="D27" s="9" t="s">
        <v>387</v>
      </c>
      <c r="E27" s="72">
        <v>54000</v>
      </c>
    </row>
    <row r="28" spans="1:5" ht="18.75" customHeight="1">
      <c r="A28" s="9">
        <v>22</v>
      </c>
      <c r="B28" s="17" t="s">
        <v>390</v>
      </c>
      <c r="C28" s="11" t="s">
        <v>220</v>
      </c>
      <c r="D28" s="14" t="s">
        <v>391</v>
      </c>
      <c r="E28" s="72">
        <v>54000</v>
      </c>
    </row>
    <row r="29" spans="1:5" ht="18.75" customHeight="1">
      <c r="A29" s="9">
        <v>23</v>
      </c>
      <c r="B29" s="17" t="s">
        <v>392</v>
      </c>
      <c r="C29" s="3" t="s">
        <v>393</v>
      </c>
      <c r="D29" s="9" t="s">
        <v>55</v>
      </c>
      <c r="E29" s="72">
        <v>54000</v>
      </c>
    </row>
    <row r="30" spans="1:5" ht="18.75" customHeight="1">
      <c r="A30" s="9">
        <v>24</v>
      </c>
      <c r="B30" s="17" t="s">
        <v>394</v>
      </c>
      <c r="C30" s="3" t="s">
        <v>393</v>
      </c>
      <c r="D30" s="9" t="s">
        <v>55</v>
      </c>
      <c r="E30" s="72">
        <v>54000</v>
      </c>
    </row>
    <row r="31" spans="1:5" ht="18.75" customHeight="1">
      <c r="A31" s="9">
        <v>25</v>
      </c>
      <c r="B31" s="17" t="s">
        <v>395</v>
      </c>
      <c r="C31" s="16" t="s">
        <v>396</v>
      </c>
      <c r="D31" s="14" t="s">
        <v>387</v>
      </c>
      <c r="E31" s="72">
        <v>54000</v>
      </c>
    </row>
    <row r="32" spans="1:5" ht="18.75" customHeight="1">
      <c r="A32" s="9">
        <v>26</v>
      </c>
      <c r="B32" s="17" t="s">
        <v>397</v>
      </c>
      <c r="C32" s="3" t="s">
        <v>398</v>
      </c>
      <c r="D32" s="9" t="s">
        <v>399</v>
      </c>
      <c r="E32" s="72">
        <v>54000</v>
      </c>
    </row>
    <row r="33" spans="1:5" ht="18.75" customHeight="1">
      <c r="A33" s="9">
        <v>27</v>
      </c>
      <c r="B33" s="17" t="s">
        <v>400</v>
      </c>
      <c r="C33" s="11" t="s">
        <v>401</v>
      </c>
      <c r="D33" s="14" t="s">
        <v>402</v>
      </c>
      <c r="E33" s="72">
        <v>54000</v>
      </c>
    </row>
    <row r="34" spans="1:5" ht="26.25" customHeight="1">
      <c r="A34" s="9"/>
      <c r="B34" s="19" t="s">
        <v>42</v>
      </c>
      <c r="C34" s="20">
        <v>27</v>
      </c>
      <c r="D34" s="14"/>
      <c r="E34" s="203">
        <f>SUM(E7:E33)</f>
        <v>2990000</v>
      </c>
    </row>
    <row r="35" spans="1:5" ht="18.75" customHeight="1">
      <c r="A35" s="9"/>
      <c r="B35" s="21"/>
      <c r="C35" s="3"/>
      <c r="D35" s="14"/>
      <c r="E35" s="203"/>
    </row>
    <row r="36" spans="1:5" ht="18.75" customHeight="1">
      <c r="A36" s="9"/>
      <c r="B36" s="19" t="s">
        <v>225</v>
      </c>
      <c r="C36" s="3"/>
      <c r="D36" s="14"/>
      <c r="E36" s="72"/>
    </row>
    <row r="37" spans="1:5" ht="18.75" customHeight="1">
      <c r="A37" s="9">
        <v>1</v>
      </c>
      <c r="B37" s="17" t="s">
        <v>403</v>
      </c>
      <c r="C37" s="3" t="s">
        <v>404</v>
      </c>
      <c r="D37" s="9" t="s">
        <v>405</v>
      </c>
      <c r="E37" s="72">
        <v>270000</v>
      </c>
    </row>
    <row r="38" spans="1:5" ht="18.75" customHeight="1">
      <c r="A38" s="9">
        <v>2</v>
      </c>
      <c r="B38" s="17" t="s">
        <v>406</v>
      </c>
      <c r="C38" s="3" t="s">
        <v>642</v>
      </c>
      <c r="D38" s="9" t="s">
        <v>37</v>
      </c>
      <c r="E38" s="72">
        <v>68000</v>
      </c>
    </row>
    <row r="39" spans="1:5" ht="18.75" customHeight="1">
      <c r="A39" s="9">
        <v>3</v>
      </c>
      <c r="B39" s="10" t="s">
        <v>408</v>
      </c>
      <c r="C39" s="11" t="s">
        <v>639</v>
      </c>
      <c r="D39" s="14" t="s">
        <v>409</v>
      </c>
      <c r="E39" s="72">
        <v>68000</v>
      </c>
    </row>
    <row r="40" spans="1:5" ht="19.5" customHeight="1">
      <c r="A40" s="9"/>
      <c r="B40" s="13"/>
      <c r="C40" s="20">
        <v>3</v>
      </c>
      <c r="D40" s="9"/>
      <c r="E40" s="203">
        <f>SUM(E37:E39)</f>
        <v>406000</v>
      </c>
    </row>
    <row r="41" spans="1:5" ht="20.100000000000001" customHeight="1">
      <c r="A41" s="9"/>
      <c r="B41" s="13"/>
      <c r="C41" s="3"/>
      <c r="D41" s="9"/>
      <c r="E41" s="203"/>
    </row>
    <row r="42" spans="1:5" ht="20.100000000000001" customHeight="1">
      <c r="A42" s="9"/>
      <c r="B42" s="22" t="s">
        <v>43</v>
      </c>
      <c r="C42" s="4"/>
      <c r="D42" s="23"/>
      <c r="E42" s="203"/>
    </row>
    <row r="43" spans="1:5" ht="20.100000000000001" customHeight="1">
      <c r="A43" s="9">
        <v>1</v>
      </c>
      <c r="B43" s="10" t="s">
        <v>410</v>
      </c>
      <c r="C43" s="3" t="s">
        <v>411</v>
      </c>
      <c r="D43" s="9" t="s">
        <v>405</v>
      </c>
      <c r="E43" s="72">
        <v>270000</v>
      </c>
    </row>
    <row r="44" spans="1:5" ht="20.100000000000001" customHeight="1">
      <c r="A44" s="9">
        <v>2</v>
      </c>
      <c r="B44" s="10" t="s">
        <v>412</v>
      </c>
      <c r="C44" s="3" t="s">
        <v>413</v>
      </c>
      <c r="D44" s="9" t="s">
        <v>358</v>
      </c>
      <c r="E44" s="72">
        <v>126000</v>
      </c>
    </row>
    <row r="45" spans="1:5" ht="20.100000000000001" customHeight="1">
      <c r="A45" s="9">
        <v>3</v>
      </c>
      <c r="B45" s="10" t="s">
        <v>414</v>
      </c>
      <c r="C45" s="3" t="s">
        <v>415</v>
      </c>
      <c r="D45" s="9" t="s">
        <v>416</v>
      </c>
      <c r="E45" s="72">
        <v>180000</v>
      </c>
    </row>
    <row r="46" spans="1:5" ht="20.100000000000001" customHeight="1">
      <c r="A46" s="9">
        <v>4</v>
      </c>
      <c r="B46" s="10" t="s">
        <v>417</v>
      </c>
      <c r="C46" s="3" t="s">
        <v>418</v>
      </c>
      <c r="D46" s="9" t="s">
        <v>358</v>
      </c>
      <c r="E46" s="72">
        <v>126000</v>
      </c>
    </row>
    <row r="47" spans="1:5" ht="20.100000000000001" customHeight="1">
      <c r="A47" s="9">
        <v>5</v>
      </c>
      <c r="B47" s="10" t="s">
        <v>419</v>
      </c>
      <c r="C47" s="3" t="s">
        <v>418</v>
      </c>
      <c r="D47" s="9" t="s">
        <v>358</v>
      </c>
      <c r="E47" s="72">
        <v>126000</v>
      </c>
    </row>
    <row r="48" spans="1:5" ht="20.100000000000001" customHeight="1">
      <c r="A48" s="9">
        <v>6</v>
      </c>
      <c r="B48" s="10" t="s">
        <v>420</v>
      </c>
      <c r="C48" s="3" t="s">
        <v>418</v>
      </c>
      <c r="D48" s="9" t="s">
        <v>99</v>
      </c>
      <c r="E48" s="72">
        <v>126000</v>
      </c>
    </row>
    <row r="49" spans="1:5" ht="20.100000000000001" customHeight="1">
      <c r="A49" s="9">
        <v>7</v>
      </c>
      <c r="B49" s="13" t="s">
        <v>421</v>
      </c>
      <c r="C49" s="3" t="s">
        <v>365</v>
      </c>
      <c r="D49" s="15" t="s">
        <v>366</v>
      </c>
      <c r="E49" s="72">
        <v>90000</v>
      </c>
    </row>
    <row r="50" spans="1:5" ht="20.100000000000001" customHeight="1">
      <c r="A50" s="9">
        <v>8</v>
      </c>
      <c r="B50" s="10" t="s">
        <v>422</v>
      </c>
      <c r="C50" s="3" t="s">
        <v>64</v>
      </c>
      <c r="D50" s="9" t="s">
        <v>409</v>
      </c>
      <c r="E50" s="72">
        <v>68000</v>
      </c>
    </row>
    <row r="51" spans="1:5" ht="20.100000000000001" customHeight="1">
      <c r="A51" s="9">
        <v>9</v>
      </c>
      <c r="B51" s="10" t="s">
        <v>423</v>
      </c>
      <c r="C51" s="3" t="s">
        <v>64</v>
      </c>
      <c r="D51" s="9" t="s">
        <v>391</v>
      </c>
      <c r="E51" s="72">
        <v>54000</v>
      </c>
    </row>
    <row r="52" spans="1:5" ht="20.100000000000001" customHeight="1">
      <c r="A52" s="9">
        <v>10</v>
      </c>
      <c r="B52" s="10" t="s">
        <v>424</v>
      </c>
      <c r="C52" s="3" t="s">
        <v>64</v>
      </c>
      <c r="D52" s="9" t="s">
        <v>391</v>
      </c>
      <c r="E52" s="72">
        <v>54000</v>
      </c>
    </row>
    <row r="53" spans="1:5" ht="20.100000000000001" customHeight="1">
      <c r="A53" s="9">
        <v>11</v>
      </c>
      <c r="B53" s="10" t="s">
        <v>425</v>
      </c>
      <c r="C53" s="3" t="s">
        <v>64</v>
      </c>
      <c r="D53" s="9" t="s">
        <v>391</v>
      </c>
      <c r="E53" s="72">
        <v>54000</v>
      </c>
    </row>
    <row r="54" spans="1:5" ht="25.5" customHeight="1">
      <c r="A54" s="9"/>
      <c r="B54" s="19" t="s">
        <v>42</v>
      </c>
      <c r="C54" s="20">
        <v>11</v>
      </c>
      <c r="D54" s="20"/>
      <c r="E54" s="80">
        <f>SUM(E43:E53)</f>
        <v>1274000</v>
      </c>
    </row>
    <row r="55" spans="1:5" ht="20.100000000000001" customHeight="1">
      <c r="A55" s="9"/>
      <c r="B55" s="21"/>
      <c r="C55" s="20"/>
      <c r="D55" s="20"/>
      <c r="E55" s="134"/>
    </row>
    <row r="56" spans="1:5" ht="20.100000000000001" customHeight="1">
      <c r="A56" s="9"/>
      <c r="B56" s="19" t="s">
        <v>426</v>
      </c>
      <c r="C56" s="20"/>
      <c r="D56" s="20"/>
      <c r="E56" s="134"/>
    </row>
    <row r="57" spans="1:5" ht="20.100000000000001" customHeight="1">
      <c r="A57" s="9">
        <v>1</v>
      </c>
      <c r="B57" s="10" t="s">
        <v>427</v>
      </c>
      <c r="C57" s="11" t="s">
        <v>428</v>
      </c>
      <c r="D57" s="14" t="s">
        <v>405</v>
      </c>
      <c r="E57" s="72">
        <v>270000</v>
      </c>
    </row>
    <row r="58" spans="1:5" ht="20.100000000000001" customHeight="1">
      <c r="A58" s="9">
        <v>2</v>
      </c>
      <c r="B58" s="10" t="s">
        <v>429</v>
      </c>
      <c r="C58" s="11" t="s">
        <v>430</v>
      </c>
      <c r="D58" s="14" t="s">
        <v>335</v>
      </c>
      <c r="E58" s="72">
        <v>126000</v>
      </c>
    </row>
    <row r="59" spans="1:5" ht="20.100000000000001" customHeight="1">
      <c r="A59" s="9"/>
      <c r="B59" s="19" t="s">
        <v>42</v>
      </c>
      <c r="C59" s="20">
        <v>2</v>
      </c>
      <c r="D59" s="20"/>
      <c r="E59" s="80">
        <f>SUM(E57:E58)</f>
        <v>396000</v>
      </c>
    </row>
    <row r="60" spans="1:5" ht="20.100000000000001" customHeight="1">
      <c r="A60" s="9"/>
      <c r="B60" s="19"/>
      <c r="C60" s="20"/>
      <c r="D60" s="20"/>
      <c r="E60" s="134"/>
    </row>
    <row r="61" spans="1:5" ht="20.100000000000001" customHeight="1">
      <c r="A61" s="9"/>
      <c r="B61" s="19" t="s">
        <v>60</v>
      </c>
      <c r="C61" s="20"/>
      <c r="D61" s="20"/>
      <c r="E61" s="134"/>
    </row>
    <row r="62" spans="1:5" ht="20.100000000000001" customHeight="1">
      <c r="A62" s="9">
        <v>1</v>
      </c>
      <c r="B62" s="10" t="s">
        <v>431</v>
      </c>
      <c r="C62" s="16" t="s">
        <v>432</v>
      </c>
      <c r="D62" s="9" t="s">
        <v>405</v>
      </c>
      <c r="E62" s="72">
        <v>270000</v>
      </c>
    </row>
    <row r="63" spans="1:5" ht="20.100000000000001" customHeight="1">
      <c r="A63" s="9">
        <v>2</v>
      </c>
      <c r="B63" s="330" t="s">
        <v>433</v>
      </c>
      <c r="C63" s="16" t="s">
        <v>434</v>
      </c>
      <c r="D63" s="14" t="s">
        <v>435</v>
      </c>
      <c r="E63" s="72">
        <v>126000</v>
      </c>
    </row>
    <row r="64" spans="1:5" ht="20.100000000000001" customHeight="1">
      <c r="A64" s="9">
        <v>3</v>
      </c>
      <c r="B64" s="10" t="s">
        <v>436</v>
      </c>
      <c r="C64" s="3" t="s">
        <v>365</v>
      </c>
      <c r="D64" s="9" t="s">
        <v>369</v>
      </c>
      <c r="E64" s="72">
        <v>90000</v>
      </c>
    </row>
    <row r="65" spans="1:5" ht="20.100000000000001" customHeight="1">
      <c r="A65" s="9">
        <v>4</v>
      </c>
      <c r="B65" s="17" t="s">
        <v>437</v>
      </c>
      <c r="C65" s="16" t="s">
        <v>231</v>
      </c>
      <c r="D65" s="14" t="s">
        <v>375</v>
      </c>
      <c r="E65" s="72">
        <v>90000</v>
      </c>
    </row>
    <row r="66" spans="1:5" ht="20.100000000000001" customHeight="1">
      <c r="A66" s="9">
        <v>5</v>
      </c>
      <c r="B66" s="13" t="s">
        <v>438</v>
      </c>
      <c r="C66" s="16" t="s">
        <v>365</v>
      </c>
      <c r="D66" s="14" t="s">
        <v>363</v>
      </c>
      <c r="E66" s="72">
        <v>90000</v>
      </c>
    </row>
    <row r="67" spans="1:5" ht="20.100000000000001" customHeight="1">
      <c r="A67" s="9">
        <v>7</v>
      </c>
      <c r="B67" s="10" t="s">
        <v>439</v>
      </c>
      <c r="C67" s="3" t="s">
        <v>64</v>
      </c>
      <c r="D67" s="9" t="s">
        <v>440</v>
      </c>
      <c r="E67" s="72">
        <v>68000</v>
      </c>
    </row>
    <row r="68" spans="1:5" ht="20.100000000000001" customHeight="1">
      <c r="A68" s="9">
        <v>8</v>
      </c>
      <c r="B68" s="10" t="s">
        <v>441</v>
      </c>
      <c r="C68" s="16" t="s">
        <v>34</v>
      </c>
      <c r="D68" s="9" t="s">
        <v>440</v>
      </c>
      <c r="E68" s="72">
        <v>68000</v>
      </c>
    </row>
    <row r="69" spans="1:5" ht="20.100000000000001" customHeight="1">
      <c r="A69" s="9">
        <v>9</v>
      </c>
      <c r="B69" s="10" t="s">
        <v>442</v>
      </c>
      <c r="C69" s="16" t="s">
        <v>34</v>
      </c>
      <c r="D69" s="9" t="s">
        <v>440</v>
      </c>
      <c r="E69" s="72">
        <v>68000</v>
      </c>
    </row>
    <row r="70" spans="1:5" ht="20.100000000000001" customHeight="1">
      <c r="A70" s="9">
        <v>10</v>
      </c>
      <c r="B70" s="10" t="s">
        <v>443</v>
      </c>
      <c r="C70" s="3" t="s">
        <v>444</v>
      </c>
      <c r="D70" s="9" t="s">
        <v>380</v>
      </c>
      <c r="E70" s="72">
        <v>68000</v>
      </c>
    </row>
    <row r="71" spans="1:5" ht="21.6" customHeight="1">
      <c r="A71" s="9">
        <v>11</v>
      </c>
      <c r="B71" s="10" t="s">
        <v>445</v>
      </c>
      <c r="C71" s="3" t="s">
        <v>64</v>
      </c>
      <c r="D71" s="9" t="s">
        <v>409</v>
      </c>
      <c r="E71" s="72">
        <v>68000</v>
      </c>
    </row>
    <row r="72" spans="1:5" ht="27" customHeight="1">
      <c r="A72" s="9"/>
      <c r="B72" s="19" t="s">
        <v>42</v>
      </c>
      <c r="C72" s="20">
        <v>11</v>
      </c>
      <c r="D72" s="20"/>
      <c r="E72" s="80">
        <f>SUM(E62:E71)</f>
        <v>1006000</v>
      </c>
    </row>
    <row r="73" spans="1:5" ht="20.100000000000001" customHeight="1">
      <c r="A73" s="9"/>
      <c r="B73" s="21"/>
      <c r="C73" s="20"/>
      <c r="D73" s="20"/>
      <c r="E73" s="134"/>
    </row>
    <row r="74" spans="1:5" ht="20.100000000000001" customHeight="1">
      <c r="A74" s="9"/>
      <c r="B74" s="19" t="s">
        <v>65</v>
      </c>
      <c r="C74" s="20"/>
      <c r="D74" s="20"/>
      <c r="E74" s="134"/>
    </row>
    <row r="75" spans="1:5" ht="20.100000000000001" customHeight="1">
      <c r="A75" s="9">
        <v>1</v>
      </c>
      <c r="B75" s="10" t="s">
        <v>446</v>
      </c>
      <c r="C75" s="3" t="s">
        <v>447</v>
      </c>
      <c r="D75" s="9" t="s">
        <v>405</v>
      </c>
      <c r="E75" s="72">
        <v>270000</v>
      </c>
    </row>
    <row r="76" spans="1:5" ht="20.100000000000001" customHeight="1">
      <c r="A76" s="9">
        <v>2</v>
      </c>
      <c r="B76" s="13" t="s">
        <v>331</v>
      </c>
      <c r="C76" s="3" t="s">
        <v>76</v>
      </c>
      <c r="D76" s="14" t="s">
        <v>332</v>
      </c>
      <c r="E76" s="72">
        <v>126000</v>
      </c>
    </row>
    <row r="77" spans="1:5" ht="20.100000000000001" customHeight="1">
      <c r="A77" s="9">
        <v>3</v>
      </c>
      <c r="B77" s="17" t="s">
        <v>333</v>
      </c>
      <c r="C77" s="11" t="s">
        <v>334</v>
      </c>
      <c r="D77" s="9" t="s">
        <v>335</v>
      </c>
      <c r="E77" s="72">
        <v>126000</v>
      </c>
    </row>
    <row r="78" spans="1:5" ht="20.100000000000001" customHeight="1">
      <c r="A78" s="9">
        <v>4</v>
      </c>
      <c r="B78" s="10" t="s">
        <v>448</v>
      </c>
      <c r="C78" s="3" t="s">
        <v>449</v>
      </c>
      <c r="D78" s="14" t="s">
        <v>450</v>
      </c>
      <c r="E78" s="72">
        <v>90000</v>
      </c>
    </row>
    <row r="79" spans="1:5" ht="20.100000000000001" customHeight="1">
      <c r="A79" s="9">
        <v>5</v>
      </c>
      <c r="B79" s="10" t="s">
        <v>451</v>
      </c>
      <c r="C79" s="3" t="s">
        <v>452</v>
      </c>
      <c r="D79" s="9" t="s">
        <v>453</v>
      </c>
      <c r="E79" s="72">
        <v>68000</v>
      </c>
    </row>
    <row r="80" spans="1:5" ht="20.100000000000001" customHeight="1">
      <c r="A80" s="9">
        <v>6</v>
      </c>
      <c r="B80" s="10" t="s">
        <v>454</v>
      </c>
      <c r="C80" s="3" t="s">
        <v>452</v>
      </c>
      <c r="D80" s="9" t="s">
        <v>391</v>
      </c>
      <c r="E80" s="72">
        <v>54000</v>
      </c>
    </row>
    <row r="81" spans="1:5" ht="20.100000000000001" customHeight="1">
      <c r="A81" s="9">
        <v>7</v>
      </c>
      <c r="B81" s="10" t="s">
        <v>455</v>
      </c>
      <c r="C81" s="3" t="s">
        <v>456</v>
      </c>
      <c r="D81" s="9" t="s">
        <v>402</v>
      </c>
      <c r="E81" s="72">
        <v>54000</v>
      </c>
    </row>
    <row r="82" spans="1:5" ht="20.100000000000001" customHeight="1">
      <c r="A82" s="9"/>
      <c r="B82" s="19" t="s">
        <v>42</v>
      </c>
      <c r="C82" s="20">
        <v>7</v>
      </c>
      <c r="D82" s="20"/>
      <c r="E82" s="80">
        <f>SUM(E75:E81)</f>
        <v>788000</v>
      </c>
    </row>
    <row r="83" spans="1:5" ht="20.100000000000001" customHeight="1">
      <c r="A83" s="9"/>
      <c r="B83" s="19"/>
      <c r="C83" s="20"/>
      <c r="D83" s="20"/>
      <c r="E83" s="134"/>
    </row>
    <row r="84" spans="1:5" ht="20.100000000000001" customHeight="1">
      <c r="A84" s="9"/>
      <c r="B84" s="19" t="s">
        <v>74</v>
      </c>
      <c r="C84" s="24"/>
      <c r="D84" s="20"/>
      <c r="E84" s="134"/>
    </row>
    <row r="85" spans="1:5" ht="20.100000000000001" customHeight="1">
      <c r="A85" s="9">
        <v>1</v>
      </c>
      <c r="B85" s="10" t="s">
        <v>457</v>
      </c>
      <c r="C85" s="3" t="s">
        <v>418</v>
      </c>
      <c r="D85" s="9" t="s">
        <v>358</v>
      </c>
      <c r="E85" s="72">
        <v>126000</v>
      </c>
    </row>
    <row r="86" spans="1:5" ht="20.100000000000001" customHeight="1">
      <c r="A86" s="9">
        <v>2</v>
      </c>
      <c r="B86" s="10" t="s">
        <v>458</v>
      </c>
      <c r="C86" s="3" t="s">
        <v>418</v>
      </c>
      <c r="D86" s="9" t="s">
        <v>358</v>
      </c>
      <c r="E86" s="72">
        <v>126000</v>
      </c>
    </row>
    <row r="87" spans="1:5" ht="20.100000000000001" customHeight="1">
      <c r="A87" s="9">
        <v>3</v>
      </c>
      <c r="B87" s="10" t="s">
        <v>459</v>
      </c>
      <c r="C87" s="3" t="s">
        <v>418</v>
      </c>
      <c r="D87" s="9" t="s">
        <v>99</v>
      </c>
      <c r="E87" s="72">
        <v>126000</v>
      </c>
    </row>
    <row r="88" spans="1:5" ht="21.6" customHeight="1">
      <c r="A88" s="9">
        <v>4</v>
      </c>
      <c r="B88" s="10" t="s">
        <v>460</v>
      </c>
      <c r="C88" s="3" t="s">
        <v>461</v>
      </c>
      <c r="D88" s="14" t="s">
        <v>372</v>
      </c>
      <c r="E88" s="72">
        <v>90000</v>
      </c>
    </row>
    <row r="89" spans="1:5" ht="21.6" customHeight="1">
      <c r="A89" s="9">
        <v>5</v>
      </c>
      <c r="B89" s="10" t="s">
        <v>462</v>
      </c>
      <c r="C89" s="11" t="s">
        <v>231</v>
      </c>
      <c r="D89" s="14" t="s">
        <v>375</v>
      </c>
      <c r="E89" s="72">
        <v>90000</v>
      </c>
    </row>
    <row r="90" spans="1:5" ht="21.6" customHeight="1">
      <c r="A90" s="9">
        <v>6</v>
      </c>
      <c r="B90" s="10" t="s">
        <v>463</v>
      </c>
      <c r="C90" s="11" t="s">
        <v>365</v>
      </c>
      <c r="D90" s="14" t="s">
        <v>29</v>
      </c>
      <c r="E90" s="72">
        <v>90000</v>
      </c>
    </row>
    <row r="91" spans="1:5" ht="21.6" customHeight="1">
      <c r="A91" s="9">
        <v>7</v>
      </c>
      <c r="B91" s="10" t="s">
        <v>464</v>
      </c>
      <c r="C91" s="16" t="s">
        <v>34</v>
      </c>
      <c r="D91" s="14" t="s">
        <v>440</v>
      </c>
      <c r="E91" s="72">
        <v>68000</v>
      </c>
    </row>
    <row r="92" spans="1:5" ht="21.6" customHeight="1">
      <c r="A92" s="9">
        <v>8</v>
      </c>
      <c r="B92" s="10" t="s">
        <v>465</v>
      </c>
      <c r="C92" s="16" t="s">
        <v>231</v>
      </c>
      <c r="D92" s="14" t="s">
        <v>81</v>
      </c>
      <c r="E92" s="72">
        <v>90000</v>
      </c>
    </row>
    <row r="93" spans="1:5" ht="21.6" customHeight="1">
      <c r="A93" s="9">
        <v>9</v>
      </c>
      <c r="B93" s="10" t="s">
        <v>466</v>
      </c>
      <c r="C93" s="3" t="s">
        <v>467</v>
      </c>
      <c r="D93" s="9" t="s">
        <v>409</v>
      </c>
      <c r="E93" s="202">
        <v>66000</v>
      </c>
    </row>
    <row r="94" spans="1:5" ht="21.6" customHeight="1">
      <c r="A94" s="9">
        <v>10</v>
      </c>
      <c r="B94" s="10" t="s">
        <v>468</v>
      </c>
      <c r="C94" s="16" t="s">
        <v>469</v>
      </c>
      <c r="D94" s="14" t="s">
        <v>399</v>
      </c>
      <c r="E94" s="202">
        <v>54000</v>
      </c>
    </row>
    <row r="95" spans="1:5" ht="20.100000000000001" customHeight="1">
      <c r="A95" s="9"/>
      <c r="B95" s="19" t="s">
        <v>42</v>
      </c>
      <c r="C95" s="20">
        <v>10</v>
      </c>
      <c r="D95" s="20"/>
      <c r="E95" s="80">
        <f>SUM(E85:E94)</f>
        <v>926000</v>
      </c>
    </row>
    <row r="96" spans="1:5" ht="20.100000000000001" customHeight="1">
      <c r="A96" s="9"/>
      <c r="B96" s="21"/>
      <c r="C96" s="20"/>
      <c r="D96" s="20"/>
      <c r="E96" s="134"/>
    </row>
    <row r="97" spans="1:5" ht="20.100000000000001" customHeight="1">
      <c r="A97" s="9"/>
      <c r="B97" s="19" t="s">
        <v>84</v>
      </c>
      <c r="C97" s="20"/>
      <c r="D97" s="20"/>
      <c r="E97" s="134"/>
    </row>
    <row r="98" spans="1:5" ht="20.100000000000001" customHeight="1">
      <c r="A98" s="9">
        <v>1</v>
      </c>
      <c r="B98" s="13" t="s">
        <v>470</v>
      </c>
      <c r="C98" s="3" t="s">
        <v>471</v>
      </c>
      <c r="D98" s="15" t="s">
        <v>472</v>
      </c>
      <c r="E98" s="72">
        <v>270000</v>
      </c>
    </row>
    <row r="99" spans="1:5" ht="20.100000000000001" customHeight="1">
      <c r="A99" s="9">
        <v>2</v>
      </c>
      <c r="B99" s="10" t="s">
        <v>473</v>
      </c>
      <c r="C99" s="3" t="s">
        <v>474</v>
      </c>
      <c r="D99" s="14" t="s">
        <v>450</v>
      </c>
      <c r="E99" s="72">
        <v>90000</v>
      </c>
    </row>
    <row r="100" spans="1:5" ht="20.100000000000001" customHeight="1">
      <c r="A100" s="9">
        <v>3</v>
      </c>
      <c r="B100" s="10" t="s">
        <v>475</v>
      </c>
      <c r="C100" s="3" t="s">
        <v>476</v>
      </c>
      <c r="D100" s="14" t="s">
        <v>380</v>
      </c>
      <c r="E100" s="72">
        <v>68000</v>
      </c>
    </row>
    <row r="101" spans="1:5" ht="20.100000000000001" customHeight="1">
      <c r="A101" s="9">
        <v>4</v>
      </c>
      <c r="B101" s="10" t="s">
        <v>477</v>
      </c>
      <c r="C101" s="3" t="s">
        <v>478</v>
      </c>
      <c r="D101" s="14" t="s">
        <v>409</v>
      </c>
      <c r="E101" s="72">
        <v>68000</v>
      </c>
    </row>
    <row r="102" spans="1:5" ht="20.100000000000001" customHeight="1">
      <c r="A102" s="3"/>
      <c r="B102" s="19" t="s">
        <v>42</v>
      </c>
      <c r="C102" s="20">
        <v>4</v>
      </c>
      <c r="D102" s="25"/>
      <c r="E102" s="80">
        <f>SUM(E98:E101)</f>
        <v>496000</v>
      </c>
    </row>
    <row r="103" spans="1:5" ht="20.100000000000001" customHeight="1">
      <c r="A103" s="3"/>
      <c r="B103" s="21"/>
      <c r="C103" s="20"/>
      <c r="D103" s="25"/>
      <c r="E103" s="134"/>
    </row>
    <row r="104" spans="1:5" ht="20.100000000000001" customHeight="1">
      <c r="A104" s="3"/>
      <c r="B104" s="19" t="s">
        <v>479</v>
      </c>
      <c r="C104" s="3"/>
      <c r="D104" s="3"/>
      <c r="E104" s="3"/>
    </row>
    <row r="105" spans="1:5" ht="20.100000000000001" customHeight="1">
      <c r="A105" s="3">
        <v>1</v>
      </c>
      <c r="B105" s="10" t="s">
        <v>480</v>
      </c>
      <c r="C105" s="11" t="s">
        <v>481</v>
      </c>
      <c r="D105" s="14" t="s">
        <v>405</v>
      </c>
      <c r="E105" s="72">
        <v>270000</v>
      </c>
    </row>
    <row r="106" spans="1:5" ht="20.100000000000001" customHeight="1">
      <c r="A106" s="3">
        <v>2</v>
      </c>
      <c r="B106" s="10" t="s">
        <v>482</v>
      </c>
      <c r="C106" s="3" t="s">
        <v>483</v>
      </c>
      <c r="D106" s="15" t="s">
        <v>340</v>
      </c>
      <c r="E106" s="72">
        <v>180000</v>
      </c>
    </row>
    <row r="107" spans="1:5" ht="20.100000000000001" customHeight="1">
      <c r="A107" s="3">
        <v>3</v>
      </c>
      <c r="B107" s="10" t="s">
        <v>484</v>
      </c>
      <c r="C107" s="3" t="s">
        <v>485</v>
      </c>
      <c r="D107" s="9" t="s">
        <v>372</v>
      </c>
      <c r="E107" s="72">
        <v>90000</v>
      </c>
    </row>
    <row r="108" spans="1:5" ht="20.100000000000001" customHeight="1">
      <c r="A108" s="3">
        <v>4</v>
      </c>
      <c r="B108" s="10" t="s">
        <v>486</v>
      </c>
      <c r="C108" s="3" t="s">
        <v>485</v>
      </c>
      <c r="D108" s="9" t="s">
        <v>372</v>
      </c>
      <c r="E108" s="72">
        <v>90000</v>
      </c>
    </row>
    <row r="109" spans="1:5" ht="20.100000000000001" customHeight="1">
      <c r="A109" s="3">
        <v>5</v>
      </c>
      <c r="B109" s="10" t="s">
        <v>487</v>
      </c>
      <c r="C109" s="3" t="s">
        <v>488</v>
      </c>
      <c r="D109" s="14" t="s">
        <v>489</v>
      </c>
      <c r="E109" s="202">
        <v>54000</v>
      </c>
    </row>
    <row r="110" spans="1:5" ht="20.100000000000001" customHeight="1">
      <c r="A110" s="3">
        <v>6</v>
      </c>
      <c r="B110" s="17" t="s">
        <v>490</v>
      </c>
      <c r="C110" s="3" t="s">
        <v>488</v>
      </c>
      <c r="D110" s="9" t="s">
        <v>491</v>
      </c>
      <c r="E110" s="202">
        <v>54000</v>
      </c>
    </row>
    <row r="111" spans="1:5" ht="20.100000000000001" customHeight="1">
      <c r="A111" s="3">
        <v>7</v>
      </c>
      <c r="B111" s="17" t="s">
        <v>492</v>
      </c>
      <c r="C111" s="3" t="s">
        <v>488</v>
      </c>
      <c r="D111" s="14" t="s">
        <v>399</v>
      </c>
      <c r="E111" s="202">
        <v>54000</v>
      </c>
    </row>
    <row r="112" spans="1:5" ht="25.5" customHeight="1">
      <c r="A112" s="3"/>
      <c r="B112" s="19" t="s">
        <v>42</v>
      </c>
      <c r="C112" s="20">
        <v>7</v>
      </c>
      <c r="D112" s="3"/>
      <c r="E112" s="205">
        <f>SUM(E105:E111)</f>
        <v>792000</v>
      </c>
    </row>
    <row r="113" spans="1:5" ht="20.100000000000001" customHeight="1">
      <c r="A113" s="3"/>
      <c r="B113" s="19"/>
      <c r="C113" s="20"/>
      <c r="D113" s="3"/>
      <c r="E113" s="205"/>
    </row>
    <row r="114" spans="1:5" ht="20.100000000000001" customHeight="1">
      <c r="A114" s="9"/>
      <c r="B114" s="19" t="s">
        <v>242</v>
      </c>
      <c r="C114" s="20"/>
      <c r="D114" s="20"/>
      <c r="E114" s="134"/>
    </row>
    <row r="115" spans="1:5" ht="20.100000000000001" customHeight="1">
      <c r="A115" s="9">
        <v>1</v>
      </c>
      <c r="B115" s="13" t="s">
        <v>493</v>
      </c>
      <c r="C115" s="3" t="s">
        <v>418</v>
      </c>
      <c r="D115" s="9" t="s">
        <v>435</v>
      </c>
      <c r="E115" s="72">
        <v>126000</v>
      </c>
    </row>
    <row r="116" spans="1:5" ht="18.75" customHeight="1">
      <c r="A116" s="9">
        <v>2</v>
      </c>
      <c r="B116" s="10" t="s">
        <v>494</v>
      </c>
      <c r="C116" s="3" t="s">
        <v>495</v>
      </c>
      <c r="D116" s="14" t="s">
        <v>380</v>
      </c>
      <c r="E116" s="72">
        <v>68000</v>
      </c>
    </row>
    <row r="117" spans="1:5" ht="20.100000000000001" customHeight="1">
      <c r="A117" s="9">
        <v>3</v>
      </c>
      <c r="B117" s="10" t="s">
        <v>496</v>
      </c>
      <c r="C117" s="11" t="s">
        <v>497</v>
      </c>
      <c r="D117" s="14" t="s">
        <v>498</v>
      </c>
      <c r="E117" s="72">
        <v>68000</v>
      </c>
    </row>
    <row r="118" spans="1:5" ht="24.75" customHeight="1">
      <c r="A118" s="3"/>
      <c r="B118" s="19" t="s">
        <v>42</v>
      </c>
      <c r="C118" s="20">
        <v>3</v>
      </c>
      <c r="D118" s="25"/>
      <c r="E118" s="80">
        <f>SUM(E115:E117)</f>
        <v>262000</v>
      </c>
    </row>
    <row r="119" spans="1:5" ht="20.100000000000001" customHeight="1">
      <c r="A119" s="3"/>
      <c r="B119" s="21"/>
      <c r="C119" s="9"/>
      <c r="D119" s="3"/>
      <c r="E119" s="206"/>
    </row>
    <row r="120" spans="1:5" ht="20.100000000000001" customHeight="1">
      <c r="A120" s="3"/>
      <c r="B120" s="19" t="s">
        <v>97</v>
      </c>
      <c r="C120" s="20"/>
      <c r="D120" s="20"/>
      <c r="E120" s="134"/>
    </row>
    <row r="121" spans="1:5" ht="20.100000000000001" customHeight="1">
      <c r="A121" s="3">
        <v>1</v>
      </c>
      <c r="B121" s="10" t="s">
        <v>499</v>
      </c>
      <c r="C121" s="11" t="s">
        <v>500</v>
      </c>
      <c r="D121" s="14" t="s">
        <v>405</v>
      </c>
      <c r="E121" s="72">
        <v>270000</v>
      </c>
    </row>
    <row r="122" spans="1:5" ht="20.100000000000001" customHeight="1">
      <c r="A122" s="3">
        <v>2</v>
      </c>
      <c r="B122" s="10" t="s">
        <v>178</v>
      </c>
      <c r="C122" s="11" t="s">
        <v>501</v>
      </c>
      <c r="D122" s="14" t="s">
        <v>416</v>
      </c>
      <c r="E122" s="72">
        <v>180000</v>
      </c>
    </row>
    <row r="123" spans="1:5" ht="20.100000000000001" customHeight="1">
      <c r="A123" s="3">
        <v>3</v>
      </c>
      <c r="B123" s="13" t="s">
        <v>502</v>
      </c>
      <c r="C123" s="11" t="s">
        <v>337</v>
      </c>
      <c r="D123" s="14" t="s">
        <v>358</v>
      </c>
      <c r="E123" s="72">
        <v>126000</v>
      </c>
    </row>
    <row r="124" spans="1:5" ht="20.100000000000001" customHeight="1">
      <c r="A124" s="3">
        <v>4</v>
      </c>
      <c r="B124" s="13" t="s">
        <v>336</v>
      </c>
      <c r="C124" s="11" t="s">
        <v>337</v>
      </c>
      <c r="D124" s="14" t="s">
        <v>99</v>
      </c>
      <c r="E124" s="72">
        <v>126000</v>
      </c>
    </row>
    <row r="125" spans="1:5" ht="20.100000000000001" customHeight="1">
      <c r="A125" s="3">
        <v>5</v>
      </c>
      <c r="B125" s="10" t="s">
        <v>503</v>
      </c>
      <c r="C125" s="11" t="s">
        <v>504</v>
      </c>
      <c r="D125" s="14" t="s">
        <v>366</v>
      </c>
      <c r="E125" s="72">
        <v>90000</v>
      </c>
    </row>
    <row r="126" spans="1:5" ht="20.100000000000001" customHeight="1">
      <c r="A126" s="3">
        <v>6</v>
      </c>
      <c r="B126" s="10" t="s">
        <v>505</v>
      </c>
      <c r="C126" s="11" t="s">
        <v>506</v>
      </c>
      <c r="D126" s="14" t="s">
        <v>369</v>
      </c>
      <c r="E126" s="72">
        <v>90000</v>
      </c>
    </row>
    <row r="127" spans="1:5" ht="20.100000000000001" customHeight="1">
      <c r="A127" s="3">
        <v>7</v>
      </c>
      <c r="B127" s="10" t="s">
        <v>507</v>
      </c>
      <c r="C127" s="11" t="s">
        <v>504</v>
      </c>
      <c r="D127" s="14" t="s">
        <v>450</v>
      </c>
      <c r="E127" s="72">
        <v>90000</v>
      </c>
    </row>
    <row r="128" spans="1:5" ht="20.100000000000001" customHeight="1">
      <c r="A128" s="3">
        <v>8</v>
      </c>
      <c r="B128" s="10" t="s">
        <v>508</v>
      </c>
      <c r="C128" s="11" t="s">
        <v>509</v>
      </c>
      <c r="D128" s="9" t="s">
        <v>387</v>
      </c>
      <c r="E128" s="72">
        <v>54000</v>
      </c>
    </row>
    <row r="129" spans="1:5" ht="20.100000000000001" customHeight="1">
      <c r="A129" s="3">
        <v>9</v>
      </c>
      <c r="B129" s="17" t="s">
        <v>510</v>
      </c>
      <c r="C129" s="11" t="s">
        <v>511</v>
      </c>
      <c r="D129" s="14" t="s">
        <v>402</v>
      </c>
      <c r="E129" s="72">
        <v>54000</v>
      </c>
    </row>
    <row r="130" spans="1:5" ht="20.100000000000001" customHeight="1">
      <c r="A130" s="3">
        <v>10</v>
      </c>
      <c r="B130" s="17" t="s">
        <v>512</v>
      </c>
      <c r="C130" s="11" t="s">
        <v>248</v>
      </c>
      <c r="D130" s="14" t="s">
        <v>402</v>
      </c>
      <c r="E130" s="72">
        <v>54000</v>
      </c>
    </row>
    <row r="131" spans="1:5" ht="28.5" customHeight="1">
      <c r="A131" s="3"/>
      <c r="B131" s="19" t="s">
        <v>42</v>
      </c>
      <c r="C131" s="25" t="s">
        <v>513</v>
      </c>
      <c r="D131" s="14"/>
      <c r="E131" s="80">
        <f>SUM(E121:E130)</f>
        <v>1134000</v>
      </c>
    </row>
    <row r="132" spans="1:5" ht="20.100000000000001" customHeight="1">
      <c r="A132" s="3"/>
      <c r="B132" s="21"/>
      <c r="C132" s="25"/>
      <c r="D132" s="14"/>
      <c r="E132" s="134"/>
    </row>
    <row r="133" spans="1:5" ht="20.100000000000001" customHeight="1">
      <c r="A133" s="3"/>
      <c r="B133" s="19" t="s">
        <v>103</v>
      </c>
      <c r="C133" s="11"/>
      <c r="D133" s="14"/>
      <c r="E133" s="72"/>
    </row>
    <row r="134" spans="1:5" ht="20.100000000000001" customHeight="1">
      <c r="A134" s="26">
        <v>1</v>
      </c>
      <c r="B134" s="10" t="s">
        <v>514</v>
      </c>
      <c r="C134" s="11" t="s">
        <v>515</v>
      </c>
      <c r="D134" s="14" t="s">
        <v>405</v>
      </c>
      <c r="E134" s="72">
        <v>270000</v>
      </c>
    </row>
    <row r="135" spans="1:5" ht="20.100000000000001" customHeight="1">
      <c r="A135" s="26">
        <v>2</v>
      </c>
      <c r="B135" s="10" t="s">
        <v>338</v>
      </c>
      <c r="C135" s="11" t="s">
        <v>339</v>
      </c>
      <c r="D135" s="14" t="s">
        <v>340</v>
      </c>
      <c r="E135" s="72">
        <v>180000</v>
      </c>
    </row>
    <row r="136" spans="1:5" ht="20.100000000000001" customHeight="1">
      <c r="A136" s="26">
        <v>3</v>
      </c>
      <c r="B136" s="13" t="s">
        <v>516</v>
      </c>
      <c r="C136" s="3" t="s">
        <v>517</v>
      </c>
      <c r="D136" s="15" t="s">
        <v>340</v>
      </c>
      <c r="E136" s="72">
        <v>180000</v>
      </c>
    </row>
    <row r="137" spans="1:5" ht="20.100000000000001" customHeight="1">
      <c r="A137" s="26">
        <v>4</v>
      </c>
      <c r="B137" s="10" t="s">
        <v>518</v>
      </c>
      <c r="C137" s="11" t="s">
        <v>519</v>
      </c>
      <c r="D137" s="14" t="s">
        <v>363</v>
      </c>
      <c r="E137" s="72">
        <v>90000</v>
      </c>
    </row>
    <row r="138" spans="1:5" ht="20.100000000000001" customHeight="1">
      <c r="A138" s="26">
        <v>5</v>
      </c>
      <c r="B138" s="10" t="s">
        <v>520</v>
      </c>
      <c r="C138" s="3" t="s">
        <v>521</v>
      </c>
      <c r="D138" s="14" t="s">
        <v>363</v>
      </c>
      <c r="E138" s="72">
        <v>90000</v>
      </c>
    </row>
    <row r="139" spans="1:5" ht="20.100000000000001" customHeight="1">
      <c r="A139" s="26">
        <v>6</v>
      </c>
      <c r="B139" s="10" t="s">
        <v>522</v>
      </c>
      <c r="C139" s="3" t="s">
        <v>521</v>
      </c>
      <c r="D139" s="14" t="s">
        <v>363</v>
      </c>
      <c r="E139" s="72">
        <v>90000</v>
      </c>
    </row>
    <row r="140" spans="1:5" ht="20.100000000000001" customHeight="1">
      <c r="A140" s="26">
        <v>7</v>
      </c>
      <c r="B140" s="10" t="s">
        <v>523</v>
      </c>
      <c r="C140" s="11" t="s">
        <v>524</v>
      </c>
      <c r="D140" s="14" t="s">
        <v>498</v>
      </c>
      <c r="E140" s="72">
        <v>68000</v>
      </c>
    </row>
    <row r="141" spans="1:5" ht="20.100000000000001" customHeight="1">
      <c r="A141" s="26">
        <v>8</v>
      </c>
      <c r="B141" s="10" t="s">
        <v>525</v>
      </c>
      <c r="C141" s="11" t="s">
        <v>524</v>
      </c>
      <c r="D141" s="14" t="s">
        <v>498</v>
      </c>
      <c r="E141" s="72">
        <v>68000</v>
      </c>
    </row>
    <row r="142" spans="1:5" ht="20.100000000000001" customHeight="1">
      <c r="A142" s="26">
        <v>9</v>
      </c>
      <c r="B142" s="10" t="s">
        <v>526</v>
      </c>
      <c r="C142" s="3" t="s">
        <v>527</v>
      </c>
      <c r="D142" s="14" t="s">
        <v>498</v>
      </c>
      <c r="E142" s="72">
        <v>68000</v>
      </c>
    </row>
    <row r="143" spans="1:5" ht="20.100000000000001" customHeight="1">
      <c r="A143" s="26">
        <v>10</v>
      </c>
      <c r="B143" s="10" t="s">
        <v>528</v>
      </c>
      <c r="C143" s="11" t="s">
        <v>529</v>
      </c>
      <c r="D143" s="14" t="s">
        <v>380</v>
      </c>
      <c r="E143" s="72">
        <v>68000</v>
      </c>
    </row>
    <row r="144" spans="1:5" ht="20.100000000000001" customHeight="1">
      <c r="A144" s="26">
        <v>11</v>
      </c>
      <c r="B144" s="10" t="s">
        <v>530</v>
      </c>
      <c r="C144" s="11" t="s">
        <v>531</v>
      </c>
      <c r="D144" s="14" t="s">
        <v>440</v>
      </c>
      <c r="E144" s="72">
        <v>68000</v>
      </c>
    </row>
    <row r="145" spans="1:5" ht="20.100000000000001" customHeight="1">
      <c r="A145" s="26">
        <v>12</v>
      </c>
      <c r="B145" s="10" t="s">
        <v>532</v>
      </c>
      <c r="C145" s="11" t="s">
        <v>533</v>
      </c>
      <c r="D145" s="14" t="s">
        <v>498</v>
      </c>
      <c r="E145" s="72">
        <v>68000</v>
      </c>
    </row>
    <row r="146" spans="1:5" ht="20.100000000000001" customHeight="1">
      <c r="A146" s="26">
        <v>13</v>
      </c>
      <c r="B146" s="17" t="s">
        <v>534</v>
      </c>
      <c r="C146" s="3" t="s">
        <v>535</v>
      </c>
      <c r="D146" s="14" t="s">
        <v>32</v>
      </c>
      <c r="E146" s="72">
        <v>68000</v>
      </c>
    </row>
    <row r="147" spans="1:5" ht="20.100000000000001" customHeight="1">
      <c r="A147" s="26">
        <v>14</v>
      </c>
      <c r="B147" s="10" t="s">
        <v>536</v>
      </c>
      <c r="C147" s="3" t="s">
        <v>537</v>
      </c>
      <c r="D147" s="14" t="s">
        <v>453</v>
      </c>
      <c r="E147" s="72">
        <v>68000</v>
      </c>
    </row>
    <row r="148" spans="1:5" ht="20.100000000000001" customHeight="1">
      <c r="A148" s="26">
        <v>15</v>
      </c>
      <c r="B148" s="10" t="s">
        <v>538</v>
      </c>
      <c r="C148" s="3" t="s">
        <v>537</v>
      </c>
      <c r="D148" s="14" t="s">
        <v>539</v>
      </c>
      <c r="E148" s="72">
        <v>68000</v>
      </c>
    </row>
    <row r="149" spans="1:5" ht="20.100000000000001" customHeight="1">
      <c r="A149" s="26">
        <v>16</v>
      </c>
      <c r="B149" s="10" t="s">
        <v>540</v>
      </c>
      <c r="C149" s="3" t="s">
        <v>537</v>
      </c>
      <c r="D149" s="14" t="s">
        <v>539</v>
      </c>
      <c r="E149" s="72">
        <v>68000</v>
      </c>
    </row>
    <row r="150" spans="1:5" ht="20.100000000000001" customHeight="1">
      <c r="A150" s="26">
        <v>17</v>
      </c>
      <c r="B150" s="10" t="s">
        <v>541</v>
      </c>
      <c r="C150" s="11" t="s">
        <v>542</v>
      </c>
      <c r="D150" s="14" t="s">
        <v>409</v>
      </c>
      <c r="E150" s="72">
        <v>68000</v>
      </c>
    </row>
    <row r="151" spans="1:5" ht="20.100000000000001" customHeight="1">
      <c r="A151" s="26">
        <v>18</v>
      </c>
      <c r="B151" s="10" t="s">
        <v>543</v>
      </c>
      <c r="C151" s="11" t="s">
        <v>544</v>
      </c>
      <c r="D151" s="9" t="s">
        <v>391</v>
      </c>
      <c r="E151" s="72">
        <v>54000</v>
      </c>
    </row>
    <row r="152" spans="1:5" ht="20.100000000000001" customHeight="1">
      <c r="A152" s="26">
        <v>19</v>
      </c>
      <c r="B152" s="10" t="s">
        <v>545</v>
      </c>
      <c r="C152" s="11" t="s">
        <v>546</v>
      </c>
      <c r="D152" s="14" t="s">
        <v>453</v>
      </c>
      <c r="E152" s="202">
        <v>68000</v>
      </c>
    </row>
    <row r="153" spans="1:5" ht="20.100000000000001" customHeight="1">
      <c r="A153" s="26">
        <v>20</v>
      </c>
      <c r="B153" s="10" t="s">
        <v>547</v>
      </c>
      <c r="C153" s="11" t="s">
        <v>548</v>
      </c>
      <c r="D153" s="14" t="s">
        <v>387</v>
      </c>
      <c r="E153" s="202">
        <v>54000</v>
      </c>
    </row>
    <row r="154" spans="1:5" ht="20.100000000000001" customHeight="1">
      <c r="A154" s="26">
        <v>21</v>
      </c>
      <c r="B154" s="10" t="s">
        <v>549</v>
      </c>
      <c r="C154" s="11" t="s">
        <v>550</v>
      </c>
      <c r="D154" s="14" t="s">
        <v>453</v>
      </c>
      <c r="E154" s="202">
        <v>68000</v>
      </c>
    </row>
    <row r="155" spans="1:5" ht="20.100000000000001" customHeight="1">
      <c r="A155" s="26">
        <v>22</v>
      </c>
      <c r="B155" s="10" t="s">
        <v>551</v>
      </c>
      <c r="C155" s="11" t="s">
        <v>552</v>
      </c>
      <c r="D155" s="14" t="s">
        <v>387</v>
      </c>
      <c r="E155" s="202">
        <v>54000</v>
      </c>
    </row>
    <row r="156" spans="1:5" ht="20.100000000000001" customHeight="1">
      <c r="A156" s="26">
        <v>23</v>
      </c>
      <c r="B156" s="17" t="s">
        <v>553</v>
      </c>
      <c r="C156" s="11" t="s">
        <v>554</v>
      </c>
      <c r="D156" s="14" t="s">
        <v>55</v>
      </c>
      <c r="E156" s="202">
        <v>54000</v>
      </c>
    </row>
    <row r="157" spans="1:5" ht="20.100000000000001" customHeight="1">
      <c r="A157" s="26">
        <v>24</v>
      </c>
      <c r="B157" s="17" t="s">
        <v>555</v>
      </c>
      <c r="C157" s="11" t="s">
        <v>556</v>
      </c>
      <c r="D157" s="14" t="s">
        <v>402</v>
      </c>
      <c r="E157" s="202">
        <v>54000</v>
      </c>
    </row>
    <row r="158" spans="1:5" ht="20.100000000000001" customHeight="1">
      <c r="A158" s="26">
        <v>25</v>
      </c>
      <c r="B158" s="17" t="s">
        <v>557</v>
      </c>
      <c r="C158" s="11" t="s">
        <v>558</v>
      </c>
      <c r="D158" s="14" t="s">
        <v>402</v>
      </c>
      <c r="E158" s="202">
        <v>54000</v>
      </c>
    </row>
    <row r="159" spans="1:5" ht="20.100000000000001" customHeight="1">
      <c r="A159" s="26">
        <v>26</v>
      </c>
      <c r="B159" s="17" t="s">
        <v>559</v>
      </c>
      <c r="C159" s="11" t="s">
        <v>560</v>
      </c>
      <c r="D159" s="14" t="s">
        <v>402</v>
      </c>
      <c r="E159" s="202">
        <v>54000</v>
      </c>
    </row>
    <row r="160" spans="1:5" ht="20.100000000000001" customHeight="1">
      <c r="A160" s="26">
        <v>27</v>
      </c>
      <c r="B160" s="17" t="s">
        <v>561</v>
      </c>
      <c r="C160" s="11" t="s">
        <v>562</v>
      </c>
      <c r="D160" s="14" t="s">
        <v>399</v>
      </c>
      <c r="E160" s="202">
        <v>54000</v>
      </c>
    </row>
    <row r="161" spans="1:5" ht="20.100000000000001" customHeight="1">
      <c r="A161" s="26">
        <v>28</v>
      </c>
      <c r="B161" s="17" t="s">
        <v>563</v>
      </c>
      <c r="C161" s="11" t="s">
        <v>558</v>
      </c>
      <c r="D161" s="14" t="s">
        <v>402</v>
      </c>
      <c r="E161" s="202">
        <v>54000</v>
      </c>
    </row>
    <row r="162" spans="1:5" ht="20.100000000000001" customHeight="1">
      <c r="A162" s="26">
        <v>29</v>
      </c>
      <c r="B162" s="10" t="s">
        <v>564</v>
      </c>
      <c r="C162" s="11" t="s">
        <v>565</v>
      </c>
      <c r="D162" s="14" t="s">
        <v>566</v>
      </c>
      <c r="E162" s="208">
        <v>36000</v>
      </c>
    </row>
    <row r="163" spans="1:5" ht="20.100000000000001" customHeight="1">
      <c r="A163" s="26">
        <v>30</v>
      </c>
      <c r="B163" s="10" t="s">
        <v>567</v>
      </c>
      <c r="C163" s="11" t="s">
        <v>565</v>
      </c>
      <c r="D163" s="14" t="s">
        <v>566</v>
      </c>
      <c r="E163" s="208">
        <v>36000</v>
      </c>
    </row>
    <row r="164" spans="1:5" ht="20.100000000000001" customHeight="1">
      <c r="A164" s="26">
        <v>31</v>
      </c>
      <c r="B164" s="10" t="s">
        <v>568</v>
      </c>
      <c r="C164" s="11" t="s">
        <v>565</v>
      </c>
      <c r="D164" s="14" t="s">
        <v>566</v>
      </c>
      <c r="E164" s="208">
        <v>36000</v>
      </c>
    </row>
    <row r="165" spans="1:5" ht="20.100000000000001" customHeight="1">
      <c r="A165" s="26">
        <v>32</v>
      </c>
      <c r="B165" s="10" t="s">
        <v>569</v>
      </c>
      <c r="C165" s="11" t="s">
        <v>565</v>
      </c>
      <c r="D165" s="14" t="s">
        <v>566</v>
      </c>
      <c r="E165" s="208">
        <v>36000</v>
      </c>
    </row>
    <row r="166" spans="1:5" ht="20.100000000000001" customHeight="1">
      <c r="A166" s="26">
        <v>33</v>
      </c>
      <c r="B166" s="10" t="s">
        <v>570</v>
      </c>
      <c r="C166" s="11" t="s">
        <v>565</v>
      </c>
      <c r="D166" s="14" t="s">
        <v>566</v>
      </c>
      <c r="E166" s="208">
        <v>36000</v>
      </c>
    </row>
    <row r="167" spans="1:5" ht="20.100000000000001" customHeight="1">
      <c r="A167" s="26">
        <v>34</v>
      </c>
      <c r="B167" s="10" t="s">
        <v>571</v>
      </c>
      <c r="C167" s="11" t="s">
        <v>565</v>
      </c>
      <c r="D167" s="14" t="s">
        <v>572</v>
      </c>
      <c r="E167" s="208">
        <v>36000</v>
      </c>
    </row>
    <row r="168" spans="1:5" ht="20.100000000000001" customHeight="1">
      <c r="A168" s="26">
        <v>35</v>
      </c>
      <c r="B168" s="10" t="s">
        <v>573</v>
      </c>
      <c r="C168" s="11" t="s">
        <v>565</v>
      </c>
      <c r="D168" s="14" t="s">
        <v>572</v>
      </c>
      <c r="E168" s="208">
        <v>36000</v>
      </c>
    </row>
    <row r="169" spans="1:5" ht="20.100000000000001" customHeight="1">
      <c r="A169" s="26">
        <v>36</v>
      </c>
      <c r="B169" s="13" t="s">
        <v>574</v>
      </c>
      <c r="C169" s="11" t="s">
        <v>565</v>
      </c>
      <c r="D169" s="14" t="s">
        <v>572</v>
      </c>
      <c r="E169" s="208">
        <v>36000</v>
      </c>
    </row>
    <row r="170" spans="1:5" ht="20.100000000000001" customHeight="1">
      <c r="A170" s="26">
        <v>37</v>
      </c>
      <c r="B170" s="10" t="s">
        <v>575</v>
      </c>
      <c r="C170" s="11" t="s">
        <v>565</v>
      </c>
      <c r="D170" s="14" t="s">
        <v>572</v>
      </c>
      <c r="E170" s="208">
        <v>36000</v>
      </c>
    </row>
    <row r="171" spans="1:5" ht="20.100000000000001" customHeight="1">
      <c r="A171" s="26">
        <v>38</v>
      </c>
      <c r="B171" s="17" t="s">
        <v>576</v>
      </c>
      <c r="C171" s="11" t="s">
        <v>565</v>
      </c>
      <c r="D171" s="14" t="s">
        <v>572</v>
      </c>
      <c r="E171" s="208">
        <v>36000</v>
      </c>
    </row>
    <row r="172" spans="1:5" ht="20.100000000000001" customHeight="1">
      <c r="A172" s="26">
        <v>39</v>
      </c>
      <c r="B172" s="17" t="s">
        <v>577</v>
      </c>
      <c r="C172" s="11" t="s">
        <v>565</v>
      </c>
      <c r="D172" s="14" t="s">
        <v>572</v>
      </c>
      <c r="E172" s="208">
        <v>36000</v>
      </c>
    </row>
    <row r="173" spans="1:5" ht="20.100000000000001" customHeight="1">
      <c r="A173" s="26">
        <v>40</v>
      </c>
      <c r="B173" s="10" t="s">
        <v>578</v>
      </c>
      <c r="C173" s="11" t="s">
        <v>579</v>
      </c>
      <c r="D173" s="14" t="s">
        <v>580</v>
      </c>
      <c r="E173" s="208">
        <v>36000</v>
      </c>
    </row>
    <row r="174" spans="1:5" ht="20.100000000000001" customHeight="1">
      <c r="A174" s="26">
        <v>41</v>
      </c>
      <c r="B174" s="10" t="s">
        <v>581</v>
      </c>
      <c r="C174" s="11" t="s">
        <v>579</v>
      </c>
      <c r="D174" s="14" t="s">
        <v>580</v>
      </c>
      <c r="E174" s="208">
        <v>36000</v>
      </c>
    </row>
    <row r="175" spans="1:5" ht="20.100000000000001" customHeight="1">
      <c r="A175" s="26">
        <v>42</v>
      </c>
      <c r="B175" s="17" t="s">
        <v>582</v>
      </c>
      <c r="C175" s="11" t="s">
        <v>579</v>
      </c>
      <c r="D175" s="14" t="s">
        <v>583</v>
      </c>
      <c r="E175" s="208">
        <v>36000</v>
      </c>
    </row>
    <row r="176" spans="1:5" ht="20.100000000000001" customHeight="1">
      <c r="A176" s="26">
        <v>43</v>
      </c>
      <c r="B176" s="10" t="s">
        <v>584</v>
      </c>
      <c r="C176" s="11" t="s">
        <v>585</v>
      </c>
      <c r="D176" s="14" t="s">
        <v>586</v>
      </c>
      <c r="E176" s="72">
        <v>36000</v>
      </c>
    </row>
    <row r="177" spans="1:5" ht="20.100000000000001" customHeight="1">
      <c r="A177" s="26">
        <v>44</v>
      </c>
      <c r="B177" s="10" t="s">
        <v>587</v>
      </c>
      <c r="C177" s="11" t="s">
        <v>588</v>
      </c>
      <c r="D177" s="14" t="s">
        <v>589</v>
      </c>
      <c r="E177" s="72">
        <v>36000</v>
      </c>
    </row>
    <row r="178" spans="1:5" ht="20.100000000000001" customHeight="1">
      <c r="A178" s="26">
        <v>45</v>
      </c>
      <c r="B178" s="10" t="s">
        <v>590</v>
      </c>
      <c r="C178" s="11" t="s">
        <v>588</v>
      </c>
      <c r="D178" s="14" t="s">
        <v>589</v>
      </c>
      <c r="E178" s="72">
        <v>36000</v>
      </c>
    </row>
    <row r="179" spans="1:5" ht="20.100000000000001" customHeight="1">
      <c r="A179" s="26">
        <v>46</v>
      </c>
      <c r="B179" s="10" t="s">
        <v>591</v>
      </c>
      <c r="C179" s="11" t="s">
        <v>588</v>
      </c>
      <c r="D179" s="14" t="s">
        <v>589</v>
      </c>
      <c r="E179" s="72">
        <v>36000</v>
      </c>
    </row>
    <row r="180" spans="1:5" ht="20.100000000000001" customHeight="1">
      <c r="A180" s="26">
        <v>47</v>
      </c>
      <c r="B180" s="10" t="s">
        <v>592</v>
      </c>
      <c r="C180" s="11" t="s">
        <v>588</v>
      </c>
      <c r="D180" s="14" t="s">
        <v>589</v>
      </c>
      <c r="E180" s="72">
        <v>36000</v>
      </c>
    </row>
    <row r="181" spans="1:5" ht="20.100000000000001" customHeight="1">
      <c r="A181" s="26">
        <v>48</v>
      </c>
      <c r="B181" s="10" t="s">
        <v>593</v>
      </c>
      <c r="C181" s="11" t="s">
        <v>588</v>
      </c>
      <c r="D181" s="14" t="s">
        <v>589</v>
      </c>
      <c r="E181" s="72">
        <v>36000</v>
      </c>
    </row>
    <row r="182" spans="1:5" ht="20.100000000000001" customHeight="1">
      <c r="A182" s="26">
        <v>49</v>
      </c>
      <c r="B182" s="17" t="s">
        <v>594</v>
      </c>
      <c r="C182" s="11" t="s">
        <v>588</v>
      </c>
      <c r="D182" s="14" t="s">
        <v>589</v>
      </c>
      <c r="E182" s="72">
        <v>36000</v>
      </c>
    </row>
    <row r="183" spans="1:5" ht="20.100000000000001" customHeight="1">
      <c r="A183" s="26">
        <v>50</v>
      </c>
      <c r="B183" s="17" t="s">
        <v>595</v>
      </c>
      <c r="C183" s="11" t="s">
        <v>588</v>
      </c>
      <c r="D183" s="14" t="s">
        <v>589</v>
      </c>
      <c r="E183" s="72">
        <v>36000</v>
      </c>
    </row>
    <row r="184" spans="1:5" ht="20.100000000000001" customHeight="1">
      <c r="A184" s="26">
        <v>51</v>
      </c>
      <c r="B184" s="10" t="s">
        <v>596</v>
      </c>
      <c r="C184" s="11" t="s">
        <v>585</v>
      </c>
      <c r="D184" s="14" t="s">
        <v>589</v>
      </c>
      <c r="E184" s="72">
        <v>36000</v>
      </c>
    </row>
    <row r="185" spans="1:5" ht="20.100000000000001" customHeight="1">
      <c r="A185" s="26">
        <v>52</v>
      </c>
      <c r="B185" s="10" t="s">
        <v>597</v>
      </c>
      <c r="C185" s="11" t="s">
        <v>585</v>
      </c>
      <c r="D185" s="14" t="s">
        <v>589</v>
      </c>
      <c r="E185" s="72">
        <v>36000</v>
      </c>
    </row>
    <row r="186" spans="1:5" ht="20.100000000000001" customHeight="1">
      <c r="A186" s="26">
        <v>53</v>
      </c>
      <c r="B186" s="17" t="s">
        <v>598</v>
      </c>
      <c r="C186" s="11" t="s">
        <v>286</v>
      </c>
      <c r="D186" s="14" t="s">
        <v>599</v>
      </c>
      <c r="E186" s="72">
        <v>36000</v>
      </c>
    </row>
    <row r="187" spans="1:5" ht="20.100000000000001" customHeight="1">
      <c r="A187" s="26">
        <v>54</v>
      </c>
      <c r="B187" s="17" t="s">
        <v>600</v>
      </c>
      <c r="C187" s="11" t="s">
        <v>588</v>
      </c>
      <c r="D187" s="14" t="s">
        <v>601</v>
      </c>
      <c r="E187" s="72">
        <v>36000</v>
      </c>
    </row>
    <row r="188" spans="1:5" ht="20.100000000000001" customHeight="1">
      <c r="A188" s="26">
        <v>55</v>
      </c>
      <c r="B188" s="17" t="s">
        <v>602</v>
      </c>
      <c r="C188" s="11" t="s">
        <v>603</v>
      </c>
      <c r="D188" s="14" t="s">
        <v>604</v>
      </c>
      <c r="E188" s="72">
        <v>36000</v>
      </c>
    </row>
    <row r="189" spans="1:5" ht="20.100000000000001" customHeight="1">
      <c r="A189" s="26">
        <v>56</v>
      </c>
      <c r="B189" s="17" t="s">
        <v>605</v>
      </c>
      <c r="C189" s="11" t="s">
        <v>603</v>
      </c>
      <c r="D189" s="14" t="s">
        <v>604</v>
      </c>
      <c r="E189" s="72">
        <v>36000</v>
      </c>
    </row>
    <row r="190" spans="1:5" ht="20.100000000000001" customHeight="1">
      <c r="A190" s="26">
        <v>57</v>
      </c>
      <c r="B190" s="17" t="s">
        <v>606</v>
      </c>
      <c r="C190" s="11" t="s">
        <v>603</v>
      </c>
      <c r="D190" s="14" t="s">
        <v>604</v>
      </c>
      <c r="E190" s="72">
        <v>36000</v>
      </c>
    </row>
    <row r="191" spans="1:5" ht="20.100000000000001" customHeight="1">
      <c r="A191" s="26">
        <v>58</v>
      </c>
      <c r="B191" s="17" t="s">
        <v>607</v>
      </c>
      <c r="C191" s="11" t="s">
        <v>608</v>
      </c>
      <c r="D191" s="14" t="s">
        <v>609</v>
      </c>
      <c r="E191" s="72">
        <v>36000</v>
      </c>
    </row>
    <row r="192" spans="1:5" ht="20.100000000000001" customHeight="1">
      <c r="A192" s="26">
        <v>59</v>
      </c>
      <c r="B192" s="17" t="s">
        <v>610</v>
      </c>
      <c r="C192" s="11" t="s">
        <v>608</v>
      </c>
      <c r="D192" s="14" t="s">
        <v>609</v>
      </c>
      <c r="E192" s="72">
        <v>36000</v>
      </c>
    </row>
    <row r="193" spans="1:5" ht="30.75" customHeight="1">
      <c r="A193" s="26"/>
      <c r="B193" s="7" t="s">
        <v>42</v>
      </c>
      <c r="C193" s="27" t="s">
        <v>611</v>
      </c>
      <c r="D193" s="28"/>
      <c r="E193" s="80">
        <f>SUM(E134:E192)</f>
        <v>3386000</v>
      </c>
    </row>
    <row r="194" spans="1:5" ht="42.75" customHeight="1">
      <c r="A194" s="3"/>
      <c r="B194" s="29" t="s">
        <v>125</v>
      </c>
      <c r="C194" s="30">
        <f>C34+C40+C54+C59+C72+C82+C95+C102+C112+C131+C193</f>
        <v>151</v>
      </c>
      <c r="D194" s="31"/>
      <c r="E194" s="209">
        <f>E193+E131+E118+E112+E102+E95+E82+E72+E59+E54+E40+E34</f>
        <v>13856000</v>
      </c>
    </row>
    <row r="195" spans="1:5" ht="38.25" customHeight="1">
      <c r="A195" s="2"/>
      <c r="B195" s="32"/>
      <c r="C195" s="2"/>
      <c r="D195" s="33"/>
      <c r="E195" s="33"/>
    </row>
    <row r="196" spans="1:5" ht="36.75" customHeight="1">
      <c r="A196" s="2"/>
      <c r="B196" s="32"/>
      <c r="C196" s="33"/>
      <c r="D196" s="33"/>
      <c r="E196" s="33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83" orientation="portrait" horizontalDpi="1200" verticalDpi="1200"/>
  <headerFooter alignWithMargins="0"/>
  <rowBreaks count="4" manualBreakCount="4">
    <brk id="41" max="4" man="1"/>
    <brk id="79" max="4" man="1"/>
    <brk id="118" max="4" man="1"/>
    <brk id="156" max="4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2.7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8"/>
  <sheetViews>
    <sheetView workbookViewId="0">
      <selection activeCell="F12" sqref="F12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0.28515625" style="1" customWidth="1"/>
    <col min="6" max="6" width="18" style="1" customWidth="1"/>
    <col min="7" max="7" width="18.28515625" style="1" customWidth="1"/>
    <col min="8" max="8" width="18.140625" style="1" customWidth="1"/>
    <col min="9" max="9" width="17.85546875" style="1" customWidth="1"/>
    <col min="10" max="12" width="20" style="1" customWidth="1"/>
    <col min="13" max="15" width="19.7109375" style="1" customWidth="1"/>
    <col min="16" max="16" width="3.7109375" style="1" customWidth="1"/>
    <col min="17" max="17" width="21.7109375" style="1" customWidth="1"/>
    <col min="18" max="16384" width="9.140625" style="1"/>
  </cols>
  <sheetData>
    <row r="1" spans="1:17" ht="27" customHeight="1">
      <c r="A1" s="857" t="s">
        <v>0</v>
      </c>
      <c r="B1" s="857"/>
      <c r="C1" s="857"/>
      <c r="D1" s="857"/>
      <c r="E1" s="857"/>
      <c r="F1" s="857"/>
      <c r="G1" s="199"/>
      <c r="H1" s="199"/>
      <c r="I1" s="199"/>
      <c r="J1" s="199"/>
      <c r="K1" s="199"/>
      <c r="L1" s="199"/>
    </row>
    <row r="2" spans="1:17" ht="33.75" customHeight="1">
      <c r="A2" s="483" t="s">
        <v>643</v>
      </c>
      <c r="B2" s="484"/>
      <c r="C2" s="483"/>
      <c r="D2" s="483"/>
      <c r="E2" s="485"/>
      <c r="F2" s="485"/>
      <c r="G2" s="279"/>
      <c r="H2" s="279"/>
      <c r="I2" s="279"/>
      <c r="J2" s="279"/>
      <c r="K2" s="279"/>
      <c r="L2" s="279"/>
      <c r="M2" s="65"/>
      <c r="N2" s="65"/>
      <c r="O2" s="65"/>
      <c r="P2" s="65"/>
    </row>
    <row r="3" spans="1:17" ht="9.75" customHeight="1">
      <c r="A3" s="2"/>
      <c r="B3" s="2"/>
      <c r="C3" s="2"/>
      <c r="D3" s="2"/>
      <c r="E3" s="199" t="e">
        <f>'[1]FEB 08'!E11/'[1]FEB 08'!M11</f>
        <v>#REF!</v>
      </c>
      <c r="F3" s="199"/>
      <c r="G3" s="199"/>
      <c r="H3" s="199"/>
      <c r="I3" s="199"/>
      <c r="J3" s="199"/>
      <c r="K3" s="199"/>
      <c r="L3" s="199"/>
    </row>
    <row r="4" spans="1:17" ht="52.5" customHeight="1">
      <c r="A4" s="3"/>
      <c r="B4" s="4" t="s">
        <v>2</v>
      </c>
      <c r="C4" s="5" t="s">
        <v>3</v>
      </c>
      <c r="D4" s="6" t="s">
        <v>4</v>
      </c>
      <c r="E4" s="200" t="s">
        <v>308</v>
      </c>
      <c r="F4" s="200" t="s">
        <v>644</v>
      </c>
      <c r="G4" s="200" t="s">
        <v>645</v>
      </c>
      <c r="H4" s="200" t="s">
        <v>646</v>
      </c>
      <c r="I4" s="200" t="s">
        <v>8</v>
      </c>
      <c r="J4" s="486" t="s">
        <v>647</v>
      </c>
      <c r="K4" s="486" t="s">
        <v>648</v>
      </c>
      <c r="L4" s="486" t="s">
        <v>649</v>
      </c>
      <c r="M4" s="487" t="s">
        <v>650</v>
      </c>
      <c r="N4" s="549" t="s">
        <v>651</v>
      </c>
      <c r="O4" s="549" t="s">
        <v>652</v>
      </c>
      <c r="P4" s="550"/>
      <c r="Q4" s="568" t="s">
        <v>653</v>
      </c>
    </row>
    <row r="5" spans="1:17" ht="17.25" customHeight="1">
      <c r="C5" s="7"/>
      <c r="D5" s="7"/>
      <c r="L5" s="349" t="s">
        <v>654</v>
      </c>
      <c r="O5" s="551" t="s">
        <v>655</v>
      </c>
      <c r="P5" s="552"/>
      <c r="Q5" s="349" t="s">
        <v>656</v>
      </c>
    </row>
    <row r="6" spans="1:17" ht="20.100000000000001" customHeight="1">
      <c r="A6" s="8" t="s">
        <v>21</v>
      </c>
      <c r="B6" s="7" t="s">
        <v>22</v>
      </c>
      <c r="C6" s="7"/>
      <c r="D6" s="7"/>
      <c r="E6" s="69" t="s">
        <v>20</v>
      </c>
      <c r="F6" s="69" t="s">
        <v>20</v>
      </c>
      <c r="G6" s="69" t="s">
        <v>20</v>
      </c>
      <c r="H6" s="69" t="s">
        <v>20</v>
      </c>
      <c r="I6" s="69" t="s">
        <v>20</v>
      </c>
      <c r="J6" s="69" t="s">
        <v>20</v>
      </c>
      <c r="K6" s="69" t="s">
        <v>20</v>
      </c>
      <c r="L6" s="69" t="s">
        <v>20</v>
      </c>
      <c r="M6" s="69" t="s">
        <v>20</v>
      </c>
      <c r="N6" s="553" t="s">
        <v>20</v>
      </c>
      <c r="O6" s="553" t="s">
        <v>20</v>
      </c>
      <c r="P6" s="554"/>
      <c r="Q6" s="569" t="s">
        <v>20</v>
      </c>
    </row>
    <row r="7" spans="1:17" ht="20.100000000000001" customHeight="1">
      <c r="A7" s="9">
        <v>1</v>
      </c>
      <c r="B7" s="10" t="s">
        <v>345</v>
      </c>
      <c r="C7" s="11" t="s">
        <v>346</v>
      </c>
      <c r="D7" s="11" t="s">
        <v>347</v>
      </c>
      <c r="E7" s="72">
        <v>1659751.1669999999</v>
      </c>
      <c r="F7" s="72"/>
      <c r="G7" s="202">
        <f>250000</f>
        <v>250000</v>
      </c>
      <c r="H7" s="202"/>
      <c r="I7" s="72">
        <v>25235</v>
      </c>
      <c r="J7" s="490">
        <f>E7+F7+G7+H7+I7</f>
        <v>1934986.1669999999</v>
      </c>
      <c r="K7" s="490">
        <v>1158849.8400000001</v>
      </c>
      <c r="L7" s="490">
        <f>J7-K7</f>
        <v>776136.32700000005</v>
      </c>
      <c r="M7" s="491">
        <v>350184.01073066698</v>
      </c>
      <c r="N7" s="555">
        <v>201165.83594666701</v>
      </c>
      <c r="O7" s="556">
        <f>M7-N7</f>
        <v>149018.174784</v>
      </c>
      <c r="P7" s="557"/>
      <c r="Q7" s="570">
        <f>L7-O7</f>
        <v>627118.15221600002</v>
      </c>
    </row>
    <row r="8" spans="1:17" ht="20.100000000000001" customHeight="1">
      <c r="A8" s="9">
        <v>2</v>
      </c>
      <c r="B8" s="10" t="s">
        <v>348</v>
      </c>
      <c r="C8" s="11" t="s">
        <v>349</v>
      </c>
      <c r="D8" s="9" t="s">
        <v>343</v>
      </c>
      <c r="E8" s="72">
        <v>762373.16666666698</v>
      </c>
      <c r="F8" s="72"/>
      <c r="G8" s="202"/>
      <c r="H8" s="202">
        <f>90000</f>
        <v>90000</v>
      </c>
      <c r="I8" s="72">
        <v>0</v>
      </c>
      <c r="J8" s="490">
        <f t="shared" ref="J8:J33" si="0">E8+F8+G8+H8+I8</f>
        <v>852373.16666666698</v>
      </c>
      <c r="K8" s="490">
        <v>541465.02474999998</v>
      </c>
      <c r="L8" s="490">
        <f t="shared" ref="L8:L33" si="1">J8-K8</f>
        <v>310908.14191666699</v>
      </c>
      <c r="M8" s="491">
        <v>130612.26282666701</v>
      </c>
      <c r="N8" s="555">
        <v>82627.951418666693</v>
      </c>
      <c r="O8" s="556">
        <f t="shared" ref="O8:O33" si="2">M8-N8</f>
        <v>47984.3114080003</v>
      </c>
      <c r="P8" s="557"/>
      <c r="Q8" s="570">
        <f t="shared" ref="Q8:Q33" si="3">L8-O8</f>
        <v>262923.83050866699</v>
      </c>
    </row>
    <row r="9" spans="1:17" ht="20.100000000000001" customHeight="1">
      <c r="A9" s="9">
        <v>3</v>
      </c>
      <c r="B9" s="13" t="s">
        <v>350</v>
      </c>
      <c r="C9" s="3" t="s">
        <v>351</v>
      </c>
      <c r="D9" s="9" t="s">
        <v>343</v>
      </c>
      <c r="E9" s="72">
        <v>762373.16666666698</v>
      </c>
      <c r="F9" s="72"/>
      <c r="G9" s="202"/>
      <c r="H9" s="202">
        <f>90000</f>
        <v>90000</v>
      </c>
      <c r="I9" s="72">
        <f>100000+100000</f>
        <v>200000</v>
      </c>
      <c r="J9" s="490">
        <f t="shared" si="0"/>
        <v>1052373.16666667</v>
      </c>
      <c r="K9" s="490">
        <v>741465.02474999998</v>
      </c>
      <c r="L9" s="490">
        <f t="shared" si="1"/>
        <v>310908.14191666699</v>
      </c>
      <c r="M9" s="491">
        <v>180722.31466666699</v>
      </c>
      <c r="N9" s="555">
        <v>121027.951418667</v>
      </c>
      <c r="O9" s="556">
        <f t="shared" si="2"/>
        <v>59694.363248000001</v>
      </c>
      <c r="P9" s="557"/>
      <c r="Q9" s="570">
        <f t="shared" si="3"/>
        <v>251213.77866866699</v>
      </c>
    </row>
    <row r="10" spans="1:17" ht="20.100000000000001" customHeight="1">
      <c r="A10" s="9">
        <v>4</v>
      </c>
      <c r="B10" s="10" t="s">
        <v>352</v>
      </c>
      <c r="C10" s="16" t="s">
        <v>353</v>
      </c>
      <c r="D10" s="9" t="s">
        <v>343</v>
      </c>
      <c r="E10" s="72">
        <v>762373.16666666698</v>
      </c>
      <c r="F10" s="72"/>
      <c r="G10" s="202">
        <v>180000</v>
      </c>
      <c r="H10" s="202"/>
      <c r="I10" s="72">
        <v>0</v>
      </c>
      <c r="J10" s="490">
        <f t="shared" si="0"/>
        <v>942373.16666666698</v>
      </c>
      <c r="K10" s="490">
        <v>631465.02474999998</v>
      </c>
      <c r="L10" s="490">
        <f t="shared" si="1"/>
        <v>310908.14191666699</v>
      </c>
      <c r="M10" s="491">
        <v>147687.52761066699</v>
      </c>
      <c r="N10" s="555">
        <v>99703.216202666707</v>
      </c>
      <c r="O10" s="556">
        <f t="shared" si="2"/>
        <v>47984.3114080003</v>
      </c>
      <c r="P10" s="557"/>
      <c r="Q10" s="570">
        <f t="shared" si="3"/>
        <v>262923.83050866699</v>
      </c>
    </row>
    <row r="11" spans="1:17" ht="20.100000000000001" customHeight="1">
      <c r="A11" s="9">
        <v>5</v>
      </c>
      <c r="B11" s="13" t="s">
        <v>354</v>
      </c>
      <c r="C11" s="3" t="s">
        <v>635</v>
      </c>
      <c r="D11" s="9" t="s">
        <v>343</v>
      </c>
      <c r="E11" s="72">
        <v>762373.16666666698</v>
      </c>
      <c r="F11" s="72"/>
      <c r="G11" s="202"/>
      <c r="H11" s="202">
        <f>80000+10000</f>
        <v>90000</v>
      </c>
      <c r="I11" s="72">
        <v>150000</v>
      </c>
      <c r="J11" s="490">
        <f t="shared" si="0"/>
        <v>1002373.16666667</v>
      </c>
      <c r="K11" s="490">
        <v>691465.02474999998</v>
      </c>
      <c r="L11" s="490">
        <f t="shared" si="1"/>
        <v>310908.14191666699</v>
      </c>
      <c r="M11" s="491">
        <v>159207.52761066699</v>
      </c>
      <c r="N11" s="555">
        <v>111223.216202667</v>
      </c>
      <c r="O11" s="556">
        <f t="shared" si="2"/>
        <v>47984.311408000001</v>
      </c>
      <c r="P11" s="557"/>
      <c r="Q11" s="570">
        <f t="shared" si="3"/>
        <v>262923.83050866699</v>
      </c>
    </row>
    <row r="12" spans="1:17" ht="20.100000000000001" customHeight="1">
      <c r="A12" s="9">
        <v>6</v>
      </c>
      <c r="B12" s="17" t="s">
        <v>341</v>
      </c>
      <c r="C12" s="9" t="s">
        <v>342</v>
      </c>
      <c r="D12" s="9" t="s">
        <v>343</v>
      </c>
      <c r="E12" s="72">
        <v>762373.16666666698</v>
      </c>
      <c r="F12" s="72"/>
      <c r="G12" s="202"/>
      <c r="H12" s="202">
        <f>90000</f>
        <v>90000</v>
      </c>
      <c r="I12" s="72">
        <v>100000</v>
      </c>
      <c r="J12" s="490">
        <f t="shared" si="0"/>
        <v>952373.16666666698</v>
      </c>
      <c r="K12" s="490">
        <v>641465.02474999998</v>
      </c>
      <c r="L12" s="490">
        <f t="shared" si="1"/>
        <v>310908.14191666699</v>
      </c>
      <c r="M12" s="491">
        <v>161522.31466666699</v>
      </c>
      <c r="N12" s="555">
        <v>101827.951418667</v>
      </c>
      <c r="O12" s="556">
        <f t="shared" si="2"/>
        <v>59694.363248000001</v>
      </c>
      <c r="P12" s="557"/>
      <c r="Q12" s="570">
        <f t="shared" si="3"/>
        <v>251213.77866866699</v>
      </c>
    </row>
    <row r="13" spans="1:17" ht="20.100000000000001" customHeight="1">
      <c r="A13" s="9">
        <v>7</v>
      </c>
      <c r="B13" s="10" t="s">
        <v>356</v>
      </c>
      <c r="C13" s="11" t="s">
        <v>357</v>
      </c>
      <c r="D13" s="14" t="s">
        <v>358</v>
      </c>
      <c r="E13" s="72">
        <v>620675.58333333302</v>
      </c>
      <c r="F13" s="72"/>
      <c r="G13" s="202"/>
      <c r="H13" s="202">
        <f t="shared" ref="H13:H124" si="4">80000</f>
        <v>80000</v>
      </c>
      <c r="I13" s="72">
        <v>50000</v>
      </c>
      <c r="J13" s="490">
        <f t="shared" si="0"/>
        <v>750675.58333333302</v>
      </c>
      <c r="K13" s="490">
        <v>497553.5025</v>
      </c>
      <c r="L13" s="490">
        <f t="shared" si="1"/>
        <v>253122.08083333299</v>
      </c>
      <c r="M13" s="491">
        <v>113101.965706667</v>
      </c>
      <c r="N13" s="555">
        <v>74036.103146666705</v>
      </c>
      <c r="O13" s="556">
        <f t="shared" si="2"/>
        <v>39065.8625600003</v>
      </c>
      <c r="P13" s="557"/>
      <c r="Q13" s="570">
        <f t="shared" si="3"/>
        <v>214056.21827333301</v>
      </c>
    </row>
    <row r="14" spans="1:17" ht="20.100000000000001" customHeight="1">
      <c r="A14" s="9">
        <v>8</v>
      </c>
      <c r="B14" s="10" t="s">
        <v>359</v>
      </c>
      <c r="C14" s="3" t="s">
        <v>360</v>
      </c>
      <c r="D14" s="9" t="s">
        <v>99</v>
      </c>
      <c r="E14" s="72">
        <v>582118.08333333302</v>
      </c>
      <c r="F14" s="72"/>
      <c r="G14" s="202">
        <v>160000</v>
      </c>
      <c r="H14" s="202"/>
      <c r="I14" s="72">
        <f>100000</f>
        <v>100000</v>
      </c>
      <c r="J14" s="490">
        <f t="shared" si="0"/>
        <v>842118.08333333302</v>
      </c>
      <c r="K14" s="490">
        <v>604729.22199999995</v>
      </c>
      <c r="L14" s="490">
        <f t="shared" si="1"/>
        <v>237388.86133333301</v>
      </c>
      <c r="M14" s="491">
        <v>131263.10967466701</v>
      </c>
      <c r="N14" s="555">
        <v>94625.782058666693</v>
      </c>
      <c r="O14" s="556">
        <f t="shared" si="2"/>
        <v>36637.327616000301</v>
      </c>
      <c r="P14" s="557"/>
      <c r="Q14" s="570">
        <f t="shared" si="3"/>
        <v>200751.53371733299</v>
      </c>
    </row>
    <row r="15" spans="1:17" ht="20.100000000000001" customHeight="1">
      <c r="A15" s="9">
        <v>9</v>
      </c>
      <c r="B15" s="10" t="s">
        <v>361</v>
      </c>
      <c r="C15" s="3" t="s">
        <v>362</v>
      </c>
      <c r="D15" s="14" t="s">
        <v>363</v>
      </c>
      <c r="E15" s="72">
        <v>484373.75</v>
      </c>
      <c r="F15" s="72"/>
      <c r="G15" s="202"/>
      <c r="H15" s="202">
        <f t="shared" ref="H15" si="5">70000</f>
        <v>70000</v>
      </c>
      <c r="I15" s="72">
        <f>0</f>
        <v>0</v>
      </c>
      <c r="J15" s="490">
        <f t="shared" si="0"/>
        <v>554373.75</v>
      </c>
      <c r="K15" s="490">
        <v>343333.03525000002</v>
      </c>
      <c r="L15" s="490">
        <f t="shared" si="1"/>
        <v>211040.71475000001</v>
      </c>
      <c r="M15" s="491">
        <v>77666.445866666705</v>
      </c>
      <c r="N15" s="555">
        <v>44846.6165886667</v>
      </c>
      <c r="O15" s="556">
        <f t="shared" si="2"/>
        <v>32819.829277999997</v>
      </c>
      <c r="P15" s="557"/>
      <c r="Q15" s="570">
        <f t="shared" si="3"/>
        <v>178220.88547199999</v>
      </c>
    </row>
    <row r="16" spans="1:17" ht="20.100000000000001" customHeight="1">
      <c r="A16" s="9">
        <v>10</v>
      </c>
      <c r="B16" s="13" t="s">
        <v>364</v>
      </c>
      <c r="C16" s="16" t="s">
        <v>365</v>
      </c>
      <c r="D16" s="14" t="s">
        <v>366</v>
      </c>
      <c r="E16" s="72">
        <v>470498</v>
      </c>
      <c r="F16" s="72"/>
      <c r="G16" s="202">
        <v>140000</v>
      </c>
      <c r="H16" s="202"/>
      <c r="I16" s="72">
        <v>50000</v>
      </c>
      <c r="J16" s="490">
        <f t="shared" si="0"/>
        <v>660498</v>
      </c>
      <c r="K16" s="490">
        <v>463333.03525000002</v>
      </c>
      <c r="L16" s="490">
        <f t="shared" si="1"/>
        <v>197164.96475000001</v>
      </c>
      <c r="M16" s="493">
        <v>98255.4333866667</v>
      </c>
      <c r="N16" s="555">
        <v>67626.609434666694</v>
      </c>
      <c r="O16" s="556">
        <f t="shared" si="2"/>
        <v>30628.823951999999</v>
      </c>
      <c r="P16" s="557"/>
      <c r="Q16" s="570">
        <f t="shared" si="3"/>
        <v>166536.14079800001</v>
      </c>
    </row>
    <row r="17" spans="1:17" ht="20.100000000000001" customHeight="1">
      <c r="A17" s="9">
        <v>11</v>
      </c>
      <c r="B17" s="10" t="s">
        <v>367</v>
      </c>
      <c r="C17" s="3" t="s">
        <v>368</v>
      </c>
      <c r="D17" s="9" t="s">
        <v>369</v>
      </c>
      <c r="E17" s="72">
        <v>442746.5</v>
      </c>
      <c r="F17" s="72"/>
      <c r="G17" s="202">
        <f>140000</f>
        <v>140000</v>
      </c>
      <c r="H17" s="202"/>
      <c r="I17" s="72">
        <v>150000</v>
      </c>
      <c r="J17" s="490">
        <f t="shared" si="0"/>
        <v>732746.5</v>
      </c>
      <c r="K17" s="490">
        <v>547211.36750000005</v>
      </c>
      <c r="L17" s="490">
        <f t="shared" si="1"/>
        <v>185535.13250000001</v>
      </c>
      <c r="M17" s="491">
        <v>112553.408426667</v>
      </c>
      <c r="N17" s="555">
        <v>83731.249226666696</v>
      </c>
      <c r="O17" s="556">
        <f t="shared" si="2"/>
        <v>28822.1592000003</v>
      </c>
      <c r="P17" s="557"/>
      <c r="Q17" s="570">
        <f t="shared" si="3"/>
        <v>156712.97330000001</v>
      </c>
    </row>
    <row r="18" spans="1:17" ht="20.100000000000001" customHeight="1">
      <c r="A18" s="9">
        <v>12</v>
      </c>
      <c r="B18" s="10" t="s">
        <v>370</v>
      </c>
      <c r="C18" s="3" t="s">
        <v>371</v>
      </c>
      <c r="D18" s="9" t="s">
        <v>372</v>
      </c>
      <c r="E18" s="72">
        <v>441804.91666666698</v>
      </c>
      <c r="F18" s="72"/>
      <c r="G18" s="202"/>
      <c r="H18" s="202">
        <v>70000</v>
      </c>
      <c r="I18" s="72"/>
      <c r="J18" s="490">
        <f t="shared" si="0"/>
        <v>511804.91666666698</v>
      </c>
      <c r="K18" s="490">
        <v>326663.07750000001</v>
      </c>
      <c r="L18" s="490">
        <f t="shared" si="1"/>
        <v>185141.83916666699</v>
      </c>
      <c r="M18" s="491">
        <v>70147.087146666701</v>
      </c>
      <c r="N18" s="555">
        <v>42046.063686666697</v>
      </c>
      <c r="O18" s="556">
        <f t="shared" si="2"/>
        <v>28101.02346</v>
      </c>
      <c r="P18" s="557"/>
      <c r="Q18" s="570">
        <f t="shared" si="3"/>
        <v>157040.815706667</v>
      </c>
    </row>
    <row r="19" spans="1:17" ht="20.100000000000001" customHeight="1">
      <c r="A19" s="9">
        <v>13</v>
      </c>
      <c r="B19" s="10" t="s">
        <v>373</v>
      </c>
      <c r="C19" s="11" t="s">
        <v>374</v>
      </c>
      <c r="D19" s="14" t="s">
        <v>375</v>
      </c>
      <c r="E19" s="72">
        <v>428915.91666666698</v>
      </c>
      <c r="F19" s="72"/>
      <c r="G19" s="202">
        <f>120000</f>
        <v>120000</v>
      </c>
      <c r="H19" s="202"/>
      <c r="I19" s="72">
        <v>0</v>
      </c>
      <c r="J19" s="490">
        <f t="shared" si="0"/>
        <v>548915.91666666698</v>
      </c>
      <c r="K19" s="490">
        <v>369177.65375</v>
      </c>
      <c r="L19" s="490">
        <f t="shared" si="1"/>
        <v>179738.26291666701</v>
      </c>
      <c r="M19" s="491">
        <v>77470.374186666697</v>
      </c>
      <c r="N19" s="555">
        <v>49548.776186666699</v>
      </c>
      <c r="O19" s="556">
        <f t="shared" si="2"/>
        <v>27921.598000000002</v>
      </c>
      <c r="P19" s="557"/>
      <c r="Q19" s="570">
        <f t="shared" si="3"/>
        <v>151816.66491666701</v>
      </c>
    </row>
    <row r="20" spans="1:17" ht="20.100000000000001" customHeight="1">
      <c r="A20" s="9">
        <v>14</v>
      </c>
      <c r="B20" s="17" t="s">
        <v>376</v>
      </c>
      <c r="C20" s="3" t="s">
        <v>636</v>
      </c>
      <c r="D20" s="14" t="s">
        <v>378</v>
      </c>
      <c r="E20" s="72">
        <v>416026.91666666698</v>
      </c>
      <c r="F20" s="72"/>
      <c r="G20" s="202">
        <f>120000</f>
        <v>120000</v>
      </c>
      <c r="H20" s="202"/>
      <c r="I20" s="72">
        <f>100000</f>
        <v>100000</v>
      </c>
      <c r="J20" s="490">
        <f t="shared" si="0"/>
        <v>636026.91666666698</v>
      </c>
      <c r="K20" s="490">
        <v>462001.06050000002</v>
      </c>
      <c r="L20" s="490">
        <f t="shared" si="1"/>
        <v>174025.85616666701</v>
      </c>
      <c r="M20" s="491">
        <v>94274.903466666699</v>
      </c>
      <c r="N20" s="555">
        <v>67370.870282666699</v>
      </c>
      <c r="O20" s="556">
        <f t="shared" si="2"/>
        <v>26904.033184</v>
      </c>
      <c r="P20" s="557"/>
      <c r="Q20" s="570">
        <f t="shared" si="3"/>
        <v>147121.82298266701</v>
      </c>
    </row>
    <row r="21" spans="1:17" ht="18.75" customHeight="1">
      <c r="A21" s="9">
        <v>15</v>
      </c>
      <c r="B21" s="10" t="s">
        <v>379</v>
      </c>
      <c r="C21" s="11" t="s">
        <v>233</v>
      </c>
      <c r="D21" s="14" t="s">
        <v>380</v>
      </c>
      <c r="E21" s="72">
        <v>377895.16666666698</v>
      </c>
      <c r="F21" s="72"/>
      <c r="G21" s="202"/>
      <c r="H21" s="202">
        <f>60000</f>
        <v>60000</v>
      </c>
      <c r="I21" s="72">
        <v>100000</v>
      </c>
      <c r="J21" s="490">
        <f t="shared" si="0"/>
        <v>537895.16666666698</v>
      </c>
      <c r="K21" s="490">
        <v>384536.99849999999</v>
      </c>
      <c r="L21" s="490">
        <f t="shared" si="1"/>
        <v>153358.16816666699</v>
      </c>
      <c r="M21" s="491">
        <v>76138.068906666696</v>
      </c>
      <c r="N21" s="555">
        <v>52497.770378666602</v>
      </c>
      <c r="O21" s="556">
        <f t="shared" si="2"/>
        <v>23640.298528000101</v>
      </c>
      <c r="P21" s="557"/>
      <c r="Q21" s="570">
        <f t="shared" si="3"/>
        <v>129717.86963866701</v>
      </c>
    </row>
    <row r="22" spans="1:17" ht="20.100000000000001" customHeight="1">
      <c r="A22" s="9">
        <v>16</v>
      </c>
      <c r="B22" s="13" t="s">
        <v>381</v>
      </c>
      <c r="C22" s="16" t="s">
        <v>637</v>
      </c>
      <c r="D22" s="9" t="s">
        <v>32</v>
      </c>
      <c r="E22" s="72">
        <v>353512.5</v>
      </c>
      <c r="F22" s="72"/>
      <c r="G22" s="202">
        <f t="shared" ref="G22" si="6">100000</f>
        <v>100000</v>
      </c>
      <c r="H22" s="202"/>
      <c r="I22" s="72">
        <v>100000</v>
      </c>
      <c r="J22" s="490">
        <f t="shared" si="0"/>
        <v>553512.5</v>
      </c>
      <c r="K22" s="490">
        <v>400372.07500000001</v>
      </c>
      <c r="L22" s="490">
        <f t="shared" si="1"/>
        <v>153140.42499999999</v>
      </c>
      <c r="M22" s="491">
        <v>79511.114666666705</v>
      </c>
      <c r="N22" s="555">
        <v>55538.1050666667</v>
      </c>
      <c r="O22" s="556">
        <f t="shared" si="2"/>
        <v>23973.009600000001</v>
      </c>
      <c r="P22" s="557"/>
      <c r="Q22" s="570">
        <f t="shared" si="3"/>
        <v>129167.4154</v>
      </c>
    </row>
    <row r="23" spans="1:17" ht="21.6" customHeight="1">
      <c r="A23" s="9">
        <v>17</v>
      </c>
      <c r="B23" s="10" t="s">
        <v>383</v>
      </c>
      <c r="C23" s="16" t="s">
        <v>34</v>
      </c>
      <c r="D23" s="14" t="s">
        <v>32</v>
      </c>
      <c r="E23" s="72">
        <v>353512.5</v>
      </c>
      <c r="F23" s="72"/>
      <c r="G23" s="202">
        <v>110000</v>
      </c>
      <c r="H23" s="202"/>
      <c r="I23" s="72">
        <v>0</v>
      </c>
      <c r="J23" s="490">
        <f t="shared" si="0"/>
        <v>463512.5</v>
      </c>
      <c r="K23" s="490">
        <f>1015372.075-700000</f>
        <v>315372.07500000001</v>
      </c>
      <c r="L23" s="490">
        <f t="shared" si="1"/>
        <v>148140.42499999999</v>
      </c>
      <c r="M23" s="491">
        <v>62231.114666666697</v>
      </c>
      <c r="N23" s="555">
        <v>40149.175266666702</v>
      </c>
      <c r="O23" s="556">
        <f t="shared" si="2"/>
        <v>22081.939399999999</v>
      </c>
      <c r="P23" s="557"/>
      <c r="Q23" s="570">
        <f t="shared" si="3"/>
        <v>126058.4856</v>
      </c>
    </row>
    <row r="24" spans="1:17" ht="20.100000000000001" customHeight="1">
      <c r="A24" s="9">
        <v>18</v>
      </c>
      <c r="B24" s="13" t="s">
        <v>384</v>
      </c>
      <c r="C24" s="16" t="s">
        <v>385</v>
      </c>
      <c r="D24" s="9" t="s">
        <v>37</v>
      </c>
      <c r="E24" s="72">
        <v>293029.66666666698</v>
      </c>
      <c r="F24" s="72"/>
      <c r="G24" s="202"/>
      <c r="H24" s="202">
        <f>50000+10000</f>
        <v>60000</v>
      </c>
      <c r="I24" s="72">
        <v>100000</v>
      </c>
      <c r="J24" s="490">
        <f t="shared" si="0"/>
        <v>453029.66666666698</v>
      </c>
      <c r="K24" s="490">
        <v>328602.07775</v>
      </c>
      <c r="L24" s="490">
        <f t="shared" si="1"/>
        <v>124427.58891666699</v>
      </c>
      <c r="M24" s="491">
        <v>61147.426986666702</v>
      </c>
      <c r="N24" s="555">
        <v>42371.815728666697</v>
      </c>
      <c r="O24" s="556">
        <f t="shared" si="2"/>
        <v>18775.611258000001</v>
      </c>
      <c r="P24" s="557"/>
      <c r="Q24" s="570">
        <f t="shared" si="3"/>
        <v>105651.97765866701</v>
      </c>
    </row>
    <row r="25" spans="1:17" ht="18.75" customHeight="1">
      <c r="A25" s="9">
        <v>19</v>
      </c>
      <c r="B25" s="3" t="s">
        <v>386</v>
      </c>
      <c r="C25" s="3" t="s">
        <v>289</v>
      </c>
      <c r="D25" s="9" t="s">
        <v>387</v>
      </c>
      <c r="E25" s="72">
        <v>270481.66666666698</v>
      </c>
      <c r="F25" s="72"/>
      <c r="G25" s="202"/>
      <c r="H25" s="202">
        <f>50000+10000</f>
        <v>60000</v>
      </c>
      <c r="I25" s="72"/>
      <c r="J25" s="490">
        <f t="shared" si="0"/>
        <v>330481.66666666698</v>
      </c>
      <c r="K25" s="490">
        <v>213508.01</v>
      </c>
      <c r="L25" s="490">
        <f t="shared" si="1"/>
        <v>116973.656666667</v>
      </c>
      <c r="M25" s="493">
        <v>39052.313066666698</v>
      </c>
      <c r="N25" s="555">
        <v>23036.012346666699</v>
      </c>
      <c r="O25" s="556">
        <f t="shared" si="2"/>
        <v>16016.300719999999</v>
      </c>
      <c r="P25" s="557"/>
      <c r="Q25" s="570">
        <f t="shared" si="3"/>
        <v>100957.355946667</v>
      </c>
    </row>
    <row r="26" spans="1:17" ht="18.75" customHeight="1">
      <c r="A26" s="9">
        <v>20</v>
      </c>
      <c r="B26" s="17" t="s">
        <v>388</v>
      </c>
      <c r="C26" s="11" t="s">
        <v>289</v>
      </c>
      <c r="D26" s="14" t="s">
        <v>387</v>
      </c>
      <c r="E26" s="72">
        <v>270481.66666666698</v>
      </c>
      <c r="F26" s="72"/>
      <c r="G26" s="202"/>
      <c r="H26" s="202">
        <f>50000+10000</f>
        <v>60000</v>
      </c>
      <c r="I26" s="72"/>
      <c r="J26" s="490">
        <f t="shared" si="0"/>
        <v>330481.66666666698</v>
      </c>
      <c r="K26" s="490">
        <v>213508.01</v>
      </c>
      <c r="L26" s="490">
        <f t="shared" si="1"/>
        <v>116973.656666667</v>
      </c>
      <c r="M26" s="491">
        <v>39052.313066666698</v>
      </c>
      <c r="N26" s="555">
        <v>23036.012346666699</v>
      </c>
      <c r="O26" s="556">
        <f t="shared" si="2"/>
        <v>16016.300719999999</v>
      </c>
      <c r="P26" s="557"/>
      <c r="Q26" s="570">
        <f t="shared" si="3"/>
        <v>100957.355946667</v>
      </c>
    </row>
    <row r="27" spans="1:17" ht="20.100000000000001" customHeight="1">
      <c r="A27" s="9">
        <v>21</v>
      </c>
      <c r="B27" s="10" t="s">
        <v>389</v>
      </c>
      <c r="C27" s="16" t="s">
        <v>382</v>
      </c>
      <c r="D27" s="9" t="s">
        <v>387</v>
      </c>
      <c r="E27" s="72">
        <v>270481.66666666698</v>
      </c>
      <c r="F27" s="72"/>
      <c r="G27" s="202">
        <f t="shared" ref="G27" si="7">100000</f>
        <v>100000</v>
      </c>
      <c r="H27" s="202"/>
      <c r="I27" s="72"/>
      <c r="J27" s="490">
        <f t="shared" si="0"/>
        <v>370481.66666666698</v>
      </c>
      <c r="K27" s="490">
        <v>253508.01</v>
      </c>
      <c r="L27" s="490">
        <f t="shared" si="1"/>
        <v>116973.656666667</v>
      </c>
      <c r="M27" s="491">
        <v>45772.313066666698</v>
      </c>
      <c r="N27" s="555">
        <v>29756.012346666699</v>
      </c>
      <c r="O27" s="556">
        <f t="shared" si="2"/>
        <v>16016.300719999999</v>
      </c>
      <c r="P27" s="557"/>
      <c r="Q27" s="570">
        <f t="shared" si="3"/>
        <v>100957.355946667</v>
      </c>
    </row>
    <row r="28" spans="1:17" ht="18.75" customHeight="1">
      <c r="A28" s="9">
        <v>22</v>
      </c>
      <c r="B28" s="17" t="s">
        <v>390</v>
      </c>
      <c r="C28" s="11" t="s">
        <v>220</v>
      </c>
      <c r="D28" s="14" t="s">
        <v>391</v>
      </c>
      <c r="E28" s="72">
        <v>263165.33333333302</v>
      </c>
      <c r="F28" s="72"/>
      <c r="G28" s="202"/>
      <c r="H28" s="202">
        <f>60000</f>
        <v>60000</v>
      </c>
      <c r="I28" s="3"/>
      <c r="J28" s="490">
        <f t="shared" si="0"/>
        <v>323165.33333333302</v>
      </c>
      <c r="K28" s="490">
        <v>209356.04725</v>
      </c>
      <c r="L28" s="490">
        <f t="shared" si="1"/>
        <v>113809.28608333301</v>
      </c>
      <c r="M28" s="491">
        <v>37921.500586666698</v>
      </c>
      <c r="N28" s="555">
        <v>22338.4826046667</v>
      </c>
      <c r="O28" s="556">
        <f t="shared" si="2"/>
        <v>15583.017981999999</v>
      </c>
      <c r="P28" s="557"/>
      <c r="Q28" s="570">
        <f t="shared" si="3"/>
        <v>98226.268101333</v>
      </c>
    </row>
    <row r="29" spans="1:17" ht="18.75" customHeight="1">
      <c r="A29" s="9">
        <v>23</v>
      </c>
      <c r="B29" s="17" t="s">
        <v>392</v>
      </c>
      <c r="C29" s="3" t="s">
        <v>393</v>
      </c>
      <c r="D29" s="9" t="s">
        <v>55</v>
      </c>
      <c r="E29" s="72">
        <v>255849</v>
      </c>
      <c r="F29" s="72"/>
      <c r="G29" s="202"/>
      <c r="H29" s="202">
        <f>60000</f>
        <v>60000</v>
      </c>
      <c r="I29" s="72"/>
      <c r="J29" s="490">
        <f t="shared" si="0"/>
        <v>315849</v>
      </c>
      <c r="K29" s="490">
        <v>205204.0845</v>
      </c>
      <c r="L29" s="490">
        <f t="shared" si="1"/>
        <v>110644.9155</v>
      </c>
      <c r="M29" s="491">
        <v>36790.688106666697</v>
      </c>
      <c r="N29" s="555">
        <v>21640.952862666702</v>
      </c>
      <c r="O29" s="556">
        <f t="shared" si="2"/>
        <v>15149.735244</v>
      </c>
      <c r="P29" s="557"/>
      <c r="Q29" s="570">
        <f t="shared" si="3"/>
        <v>95495.180256000007</v>
      </c>
    </row>
    <row r="30" spans="1:17" ht="18.75" customHeight="1">
      <c r="A30" s="9">
        <v>24</v>
      </c>
      <c r="B30" s="17" t="s">
        <v>394</v>
      </c>
      <c r="C30" s="3" t="s">
        <v>393</v>
      </c>
      <c r="D30" s="9" t="s">
        <v>55</v>
      </c>
      <c r="E30" s="72">
        <v>255849</v>
      </c>
      <c r="F30" s="72"/>
      <c r="G30" s="202"/>
      <c r="H30" s="202">
        <f>60000</f>
        <v>60000</v>
      </c>
      <c r="I30" s="72"/>
      <c r="J30" s="490">
        <f t="shared" si="0"/>
        <v>315849</v>
      </c>
      <c r="K30" s="490">
        <v>205204.0845</v>
      </c>
      <c r="L30" s="490">
        <f t="shared" si="1"/>
        <v>110644.9155</v>
      </c>
      <c r="M30" s="491">
        <v>36790.688106666697</v>
      </c>
      <c r="N30" s="555">
        <v>21640.952862666702</v>
      </c>
      <c r="O30" s="556">
        <f t="shared" si="2"/>
        <v>15149.735244</v>
      </c>
      <c r="P30" s="557"/>
      <c r="Q30" s="570">
        <f t="shared" si="3"/>
        <v>95495.180256000007</v>
      </c>
    </row>
    <row r="31" spans="1:17" ht="18.75" customHeight="1">
      <c r="A31" s="9">
        <v>25</v>
      </c>
      <c r="B31" s="17" t="s">
        <v>395</v>
      </c>
      <c r="C31" s="16" t="s">
        <v>396</v>
      </c>
      <c r="D31" s="14" t="s">
        <v>387</v>
      </c>
      <c r="E31" s="72">
        <v>270481.66666666698</v>
      </c>
      <c r="F31" s="72"/>
      <c r="G31" s="202"/>
      <c r="H31" s="202">
        <f>60000</f>
        <v>60000</v>
      </c>
      <c r="I31" s="72"/>
      <c r="J31" s="490">
        <f t="shared" si="0"/>
        <v>330481.66666666698</v>
      </c>
      <c r="K31" s="490">
        <v>209356.04725</v>
      </c>
      <c r="L31" s="490">
        <f t="shared" si="1"/>
        <v>121125.619416667</v>
      </c>
      <c r="M31" s="494">
        <v>39052.313066666698</v>
      </c>
      <c r="N31" s="558">
        <v>22338.4826046667</v>
      </c>
      <c r="O31" s="556">
        <f t="shared" si="2"/>
        <v>16713.830462000002</v>
      </c>
      <c r="P31" s="557"/>
      <c r="Q31" s="570">
        <f t="shared" si="3"/>
        <v>104411.788954667</v>
      </c>
    </row>
    <row r="32" spans="1:17" ht="18.75" customHeight="1">
      <c r="A32" s="9">
        <v>26</v>
      </c>
      <c r="B32" s="17" t="s">
        <v>397</v>
      </c>
      <c r="C32" s="3" t="s">
        <v>398</v>
      </c>
      <c r="D32" s="9" t="s">
        <v>399</v>
      </c>
      <c r="E32" s="72">
        <v>230631.91666666701</v>
      </c>
      <c r="F32" s="72"/>
      <c r="G32" s="202"/>
      <c r="H32" s="202">
        <f>50000</f>
        <v>50000</v>
      </c>
      <c r="I32" s="72"/>
      <c r="J32" s="490">
        <f t="shared" si="0"/>
        <v>280631.91666666698</v>
      </c>
      <c r="K32" s="490">
        <v>180304.068</v>
      </c>
      <c r="L32" s="490">
        <f t="shared" si="1"/>
        <v>100327.84866666701</v>
      </c>
      <c r="M32" s="491">
        <v>31213.135706666701</v>
      </c>
      <c r="N32" s="555">
        <v>17572.885002666699</v>
      </c>
      <c r="O32" s="556">
        <f t="shared" si="2"/>
        <v>13640.250704</v>
      </c>
      <c r="P32" s="557"/>
      <c r="Q32" s="570">
        <f t="shared" si="3"/>
        <v>86687.597962667001</v>
      </c>
    </row>
    <row r="33" spans="1:17" ht="18.75" customHeight="1">
      <c r="A33" s="9">
        <v>27</v>
      </c>
      <c r="B33" s="17" t="s">
        <v>400</v>
      </c>
      <c r="C33" s="11" t="s">
        <v>401</v>
      </c>
      <c r="D33" s="14" t="s">
        <v>402</v>
      </c>
      <c r="E33" s="72">
        <v>224459.75</v>
      </c>
      <c r="F33" s="72"/>
      <c r="G33" s="202"/>
      <c r="H33" s="202">
        <v>50000</v>
      </c>
      <c r="I33" s="72"/>
      <c r="J33" s="490">
        <f t="shared" si="0"/>
        <v>274459.75</v>
      </c>
      <c r="K33" s="490">
        <v>173329.04949999999</v>
      </c>
      <c r="L33" s="490">
        <f t="shared" si="1"/>
        <v>101130.70050000001</v>
      </c>
      <c r="M33" s="491">
        <v>30259.165626666701</v>
      </c>
      <c r="N33" s="555">
        <v>16512.682190666699</v>
      </c>
      <c r="O33" s="556">
        <f t="shared" si="2"/>
        <v>13746.483436</v>
      </c>
      <c r="P33" s="557"/>
      <c r="Q33" s="570">
        <f t="shared" si="3"/>
        <v>87384.217063999997</v>
      </c>
    </row>
    <row r="34" spans="1:17" ht="26.25" customHeight="1">
      <c r="A34" s="9"/>
      <c r="B34" s="19" t="s">
        <v>42</v>
      </c>
      <c r="C34" s="20">
        <v>27</v>
      </c>
      <c r="D34" s="14"/>
      <c r="E34" s="203">
        <f>SUM(E7:E33)</f>
        <v>13048608.166999999</v>
      </c>
      <c r="F34" s="203">
        <f t="shared" ref="F34:J34" si="8">SUM(F7:F33)</f>
        <v>0</v>
      </c>
      <c r="G34" s="203">
        <f t="shared" si="8"/>
        <v>1420000</v>
      </c>
      <c r="H34" s="203">
        <f t="shared" si="8"/>
        <v>1160000</v>
      </c>
      <c r="I34" s="203">
        <f t="shared" si="8"/>
        <v>1225235</v>
      </c>
      <c r="J34" s="203">
        <f t="shared" si="8"/>
        <v>16853843.166999999</v>
      </c>
      <c r="K34" s="203">
        <f t="shared" ref="K34:O34" si="9">SUM(K7:K33)</f>
        <v>11312337.55525</v>
      </c>
      <c r="L34" s="203">
        <f t="shared" si="9"/>
        <v>5541505.6117500002</v>
      </c>
      <c r="M34" s="203">
        <f t="shared" si="9"/>
        <v>2519600.8415999999</v>
      </c>
      <c r="N34" s="203">
        <f t="shared" si="9"/>
        <v>1629837.534828</v>
      </c>
      <c r="O34" s="203">
        <f t="shared" si="9"/>
        <v>889763.30677200202</v>
      </c>
      <c r="P34" s="559"/>
      <c r="Q34" s="571">
        <f>SUM(Q7:Q33)</f>
        <v>4651742.304978</v>
      </c>
    </row>
    <row r="35" spans="1:17" ht="18.75" customHeight="1">
      <c r="A35" s="9"/>
      <c r="B35" s="21"/>
      <c r="C35" s="3"/>
      <c r="D35" s="14"/>
      <c r="E35" s="203"/>
      <c r="F35" s="203"/>
      <c r="G35" s="202"/>
      <c r="H35" s="202"/>
      <c r="I35" s="203"/>
      <c r="J35" s="495"/>
      <c r="K35" s="495"/>
      <c r="L35" s="495"/>
      <c r="M35" s="496"/>
      <c r="N35" s="560"/>
      <c r="O35" s="560"/>
      <c r="P35" s="559"/>
      <c r="Q35" s="572"/>
    </row>
    <row r="36" spans="1:17" ht="18.75" customHeight="1">
      <c r="A36" s="9"/>
      <c r="B36" s="19" t="s">
        <v>225</v>
      </c>
      <c r="C36" s="3"/>
      <c r="D36" s="14"/>
      <c r="E36" s="72"/>
      <c r="F36" s="72"/>
      <c r="G36" s="202"/>
      <c r="H36" s="202"/>
      <c r="I36" s="72"/>
      <c r="J36" s="490"/>
      <c r="K36" s="490"/>
      <c r="L36" s="490"/>
      <c r="M36" s="491"/>
      <c r="N36" s="555"/>
      <c r="O36" s="555"/>
      <c r="P36" s="561"/>
      <c r="Q36" s="573"/>
    </row>
    <row r="37" spans="1:17" ht="18.75" customHeight="1">
      <c r="A37" s="9">
        <v>1</v>
      </c>
      <c r="B37" s="17" t="s">
        <v>403</v>
      </c>
      <c r="C37" s="3" t="s">
        <v>404</v>
      </c>
      <c r="D37" s="9" t="s">
        <v>405</v>
      </c>
      <c r="E37" s="72">
        <v>1435720</v>
      </c>
      <c r="F37" s="72"/>
      <c r="G37" s="202"/>
      <c r="H37" s="202">
        <f>100000</f>
        <v>100000</v>
      </c>
      <c r="I37" s="72"/>
      <c r="J37" s="490">
        <f>E37+F37+G37+H37+I37</f>
        <v>1535720</v>
      </c>
      <c r="K37" s="490">
        <v>950209.06350000005</v>
      </c>
      <c r="L37" s="490">
        <f>J37-K37</f>
        <v>585510.93649999995</v>
      </c>
      <c r="M37" s="492">
        <v>251472.247466667</v>
      </c>
      <c r="N37" s="555">
        <v>161106.806858667</v>
      </c>
      <c r="O37" s="556">
        <f>M37-N37</f>
        <v>90365.440608000004</v>
      </c>
      <c r="P37" s="557"/>
      <c r="Q37" s="570">
        <f>L37-O37</f>
        <v>495145.49589199998</v>
      </c>
    </row>
    <row r="38" spans="1:17" ht="18.75" customHeight="1">
      <c r="A38" s="9">
        <v>2</v>
      </c>
      <c r="B38" s="17" t="s">
        <v>406</v>
      </c>
      <c r="C38" s="3" t="s">
        <v>638</v>
      </c>
      <c r="D38" s="9" t="s">
        <v>37</v>
      </c>
      <c r="E38" s="72">
        <v>293029.66666666698</v>
      </c>
      <c r="F38" s="72"/>
      <c r="G38" s="202"/>
      <c r="H38" s="202">
        <f>60000</f>
        <v>60000</v>
      </c>
      <c r="I38" s="72"/>
      <c r="J38" s="490">
        <f t="shared" ref="J38:J39" si="10">E38+F38+G38+H38+I38</f>
        <v>353029.66666666698</v>
      </c>
      <c r="K38" s="490">
        <v>176816.1</v>
      </c>
      <c r="L38" s="490">
        <f t="shared" ref="L38:L39" si="11">J38-K38</f>
        <v>176213.566666667</v>
      </c>
      <c r="M38" s="492">
        <v>42537.331946666702</v>
      </c>
      <c r="N38" s="555">
        <v>17042.713866666702</v>
      </c>
      <c r="O38" s="556">
        <f>M38-N38</f>
        <v>25494.61808</v>
      </c>
      <c r="P38" s="557"/>
      <c r="Q38" s="570">
        <f t="shared" ref="Q38:Q39" si="12">L38-O38</f>
        <v>150718.94858666699</v>
      </c>
    </row>
    <row r="39" spans="1:17" ht="18.75" customHeight="1">
      <c r="A39" s="9">
        <v>3</v>
      </c>
      <c r="B39" s="10" t="s">
        <v>408</v>
      </c>
      <c r="C39" s="11" t="s">
        <v>639</v>
      </c>
      <c r="D39" s="14" t="s">
        <v>409</v>
      </c>
      <c r="E39" s="72">
        <v>300965.58333333302</v>
      </c>
      <c r="F39" s="72"/>
      <c r="G39" s="202"/>
      <c r="H39" s="202">
        <f>50000+10000</f>
        <v>60000</v>
      </c>
      <c r="I39" s="72"/>
      <c r="J39" s="490">
        <f t="shared" si="10"/>
        <v>360965.58333333302</v>
      </c>
      <c r="K39" s="490">
        <v>233169.11749999999</v>
      </c>
      <c r="L39" s="490">
        <f t="shared" si="11"/>
        <v>127796.465833333</v>
      </c>
      <c r="M39" s="492">
        <v>43763.907226666699</v>
      </c>
      <c r="N39" s="555">
        <v>26339.0784066667</v>
      </c>
      <c r="O39" s="556">
        <f>M39-N39</f>
        <v>17424.828819999999</v>
      </c>
      <c r="P39" s="557"/>
      <c r="Q39" s="570">
        <f t="shared" si="12"/>
        <v>110371.63701333301</v>
      </c>
    </row>
    <row r="40" spans="1:17" ht="19.5" customHeight="1">
      <c r="A40" s="9"/>
      <c r="B40" s="13"/>
      <c r="C40" s="20">
        <v>3</v>
      </c>
      <c r="D40" s="9"/>
      <c r="E40" s="203">
        <f>SUM(E37:E39)</f>
        <v>2029715.25</v>
      </c>
      <c r="F40" s="203">
        <f t="shared" ref="F40:O40" si="13">SUM(F37:F39)</f>
        <v>0</v>
      </c>
      <c r="G40" s="203">
        <f t="shared" si="13"/>
        <v>0</v>
      </c>
      <c r="H40" s="203">
        <f t="shared" si="13"/>
        <v>220000</v>
      </c>
      <c r="I40" s="203">
        <f t="shared" si="13"/>
        <v>0</v>
      </c>
      <c r="J40" s="203">
        <f t="shared" si="13"/>
        <v>2249715.25</v>
      </c>
      <c r="K40" s="203">
        <v>1360194.281</v>
      </c>
      <c r="L40" s="203">
        <f t="shared" si="13"/>
        <v>889520.96900000004</v>
      </c>
      <c r="M40" s="203">
        <f t="shared" si="13"/>
        <v>337773.48664000002</v>
      </c>
      <c r="N40" s="562">
        <v>204488.599132</v>
      </c>
      <c r="O40" s="562">
        <f t="shared" si="13"/>
        <v>133284.88750800001</v>
      </c>
      <c r="P40" s="559"/>
      <c r="Q40" s="571">
        <f>SUM(Q37:Q39)</f>
        <v>756236.08149200003</v>
      </c>
    </row>
    <row r="41" spans="1:17" ht="20.100000000000001" customHeight="1">
      <c r="A41" s="9"/>
      <c r="B41" s="13"/>
      <c r="C41" s="3"/>
      <c r="D41" s="9"/>
      <c r="E41" s="203"/>
      <c r="F41" s="203"/>
      <c r="G41" s="202"/>
      <c r="H41" s="202"/>
      <c r="I41" s="203"/>
      <c r="J41" s="495"/>
      <c r="K41" s="495"/>
      <c r="L41" s="495"/>
      <c r="M41" s="496"/>
      <c r="N41" s="560"/>
      <c r="O41" s="560"/>
      <c r="P41" s="559"/>
      <c r="Q41" s="572"/>
    </row>
    <row r="42" spans="1:17" ht="20.100000000000001" customHeight="1">
      <c r="A42" s="9"/>
      <c r="B42" s="22" t="s">
        <v>43</v>
      </c>
      <c r="C42" s="4"/>
      <c r="D42" s="23"/>
      <c r="E42" s="203"/>
      <c r="F42" s="203"/>
      <c r="G42" s="202"/>
      <c r="H42" s="202"/>
      <c r="I42" s="72"/>
      <c r="J42" s="490"/>
      <c r="K42" s="490"/>
      <c r="L42" s="490"/>
      <c r="M42" s="491"/>
      <c r="N42" s="555"/>
      <c r="O42" s="555"/>
      <c r="P42" s="561"/>
      <c r="Q42" s="573"/>
    </row>
    <row r="43" spans="1:17" ht="20.100000000000001" customHeight="1">
      <c r="A43" s="9">
        <v>1</v>
      </c>
      <c r="B43" s="10" t="s">
        <v>410</v>
      </c>
      <c r="C43" s="3" t="s">
        <v>411</v>
      </c>
      <c r="D43" s="9" t="s">
        <v>405</v>
      </c>
      <c r="E43" s="72">
        <v>1435720</v>
      </c>
      <c r="F43" s="72"/>
      <c r="G43" s="202">
        <f>200000</f>
        <v>200000</v>
      </c>
      <c r="H43" s="202"/>
      <c r="I43" s="72"/>
      <c r="J43" s="490">
        <f>E43+F43+G43+H43+I43</f>
        <v>1635720</v>
      </c>
      <c r="K43" s="490">
        <v>1050209.0634999999</v>
      </c>
      <c r="L43" s="490">
        <f>J43-K43</f>
        <v>585510.93649999995</v>
      </c>
      <c r="M43" s="492">
        <v>270672.24746666697</v>
      </c>
      <c r="N43" s="555">
        <v>180306.806858667</v>
      </c>
      <c r="O43" s="556">
        <f t="shared" ref="O43:O53" si="14">M43-N43</f>
        <v>90365.440608000004</v>
      </c>
      <c r="P43" s="557"/>
      <c r="Q43" s="570">
        <f>L43-O43</f>
        <v>495145.49589199998</v>
      </c>
    </row>
    <row r="44" spans="1:17" ht="20.100000000000001" customHeight="1">
      <c r="A44" s="9">
        <v>2</v>
      </c>
      <c r="B44" s="10" t="s">
        <v>412</v>
      </c>
      <c r="C44" s="3" t="s">
        <v>413</v>
      </c>
      <c r="D44" s="9" t="s">
        <v>358</v>
      </c>
      <c r="E44" s="72">
        <v>620675.58333333302</v>
      </c>
      <c r="F44" s="72"/>
      <c r="G44" s="202">
        <f>160000</f>
        <v>160000</v>
      </c>
      <c r="H44" s="202"/>
      <c r="I44" s="72">
        <v>0</v>
      </c>
      <c r="J44" s="490">
        <f t="shared" ref="J44:J53" si="15">E44+F44+G44+H44+I44</f>
        <v>780675.58333333302</v>
      </c>
      <c r="K44" s="490">
        <v>527553.50249999994</v>
      </c>
      <c r="L44" s="490">
        <f t="shared" ref="L44:L53" si="16">J44-K44</f>
        <v>253122.08083333299</v>
      </c>
      <c r="M44" s="492">
        <v>119022.801706667</v>
      </c>
      <c r="N44" s="555">
        <v>79956.9391466667</v>
      </c>
      <c r="O44" s="556">
        <f t="shared" si="14"/>
        <v>39065.8625600003</v>
      </c>
      <c r="P44" s="557"/>
      <c r="Q44" s="570">
        <f t="shared" ref="Q44:Q53" si="17">L44-O44</f>
        <v>214056.21827333301</v>
      </c>
    </row>
    <row r="45" spans="1:17" ht="20.100000000000001" customHeight="1">
      <c r="A45" s="9">
        <v>3</v>
      </c>
      <c r="B45" s="10" t="s">
        <v>414</v>
      </c>
      <c r="C45" s="3" t="s">
        <v>415</v>
      </c>
      <c r="D45" s="9" t="s">
        <v>416</v>
      </c>
      <c r="E45" s="72">
        <v>739203.58333333302</v>
      </c>
      <c r="F45" s="72"/>
      <c r="G45" s="202">
        <f>180000</f>
        <v>180000</v>
      </c>
      <c r="H45" s="202"/>
      <c r="I45" s="72"/>
      <c r="J45" s="490">
        <f t="shared" si="15"/>
        <v>919203.58333333302</v>
      </c>
      <c r="K45" s="490">
        <v>617743.99575</v>
      </c>
      <c r="L45" s="490">
        <f t="shared" si="16"/>
        <v>301459.58758333302</v>
      </c>
      <c r="M45" s="492">
        <v>143799.58762666699</v>
      </c>
      <c r="N45" s="555">
        <v>97273.513850666699</v>
      </c>
      <c r="O45" s="556">
        <f t="shared" si="14"/>
        <v>46526.073776000303</v>
      </c>
      <c r="P45" s="557"/>
      <c r="Q45" s="570">
        <f t="shared" si="17"/>
        <v>254933.51380733299</v>
      </c>
    </row>
    <row r="46" spans="1:17" ht="20.100000000000001" customHeight="1">
      <c r="A46" s="9">
        <v>4</v>
      </c>
      <c r="B46" s="10" t="s">
        <v>417</v>
      </c>
      <c r="C46" s="3" t="s">
        <v>418</v>
      </c>
      <c r="D46" s="9" t="s">
        <v>358</v>
      </c>
      <c r="E46" s="72">
        <v>620675.58333333302</v>
      </c>
      <c r="F46" s="72"/>
      <c r="G46" s="202">
        <f>160000</f>
        <v>160000</v>
      </c>
      <c r="H46" s="202"/>
      <c r="I46" s="72"/>
      <c r="J46" s="490">
        <f t="shared" si="15"/>
        <v>780675.58333333302</v>
      </c>
      <c r="K46" s="490">
        <v>527553.50249999994</v>
      </c>
      <c r="L46" s="490">
        <f t="shared" si="16"/>
        <v>253122.08083333299</v>
      </c>
      <c r="M46" s="492">
        <v>119022.801706667</v>
      </c>
      <c r="N46" s="555">
        <v>79956.9391466667</v>
      </c>
      <c r="O46" s="556">
        <f t="shared" si="14"/>
        <v>39065.8625600003</v>
      </c>
      <c r="P46" s="557"/>
      <c r="Q46" s="570">
        <f t="shared" si="17"/>
        <v>214056.21827333301</v>
      </c>
    </row>
    <row r="47" spans="1:17" ht="20.100000000000001" customHeight="1">
      <c r="A47" s="9">
        <v>5</v>
      </c>
      <c r="B47" s="10" t="s">
        <v>419</v>
      </c>
      <c r="C47" s="3" t="s">
        <v>418</v>
      </c>
      <c r="D47" s="9" t="s">
        <v>358</v>
      </c>
      <c r="E47" s="72">
        <v>620675.58333333302</v>
      </c>
      <c r="F47" s="72"/>
      <c r="G47" s="202">
        <f>140000+20000</f>
        <v>160000</v>
      </c>
      <c r="H47" s="202"/>
      <c r="I47" s="72">
        <v>0</v>
      </c>
      <c r="J47" s="490">
        <f t="shared" si="15"/>
        <v>780675.58333333302</v>
      </c>
      <c r="K47" s="490">
        <v>527553.50249999994</v>
      </c>
      <c r="L47" s="490">
        <f t="shared" si="16"/>
        <v>253122.08083333299</v>
      </c>
      <c r="M47" s="492">
        <v>118861.965706667</v>
      </c>
      <c r="N47" s="555">
        <v>79796.103146666603</v>
      </c>
      <c r="O47" s="556">
        <f t="shared" si="14"/>
        <v>39065.862560000402</v>
      </c>
      <c r="P47" s="557"/>
      <c r="Q47" s="570">
        <f t="shared" si="17"/>
        <v>214056.21827333301</v>
      </c>
    </row>
    <row r="48" spans="1:17" ht="20.100000000000001" customHeight="1">
      <c r="A48" s="9">
        <v>6</v>
      </c>
      <c r="B48" s="10" t="s">
        <v>420</v>
      </c>
      <c r="C48" s="3" t="s">
        <v>418</v>
      </c>
      <c r="D48" s="9" t="s">
        <v>99</v>
      </c>
      <c r="E48" s="72">
        <v>582118.08333333302</v>
      </c>
      <c r="F48" s="72"/>
      <c r="G48" s="202">
        <f>140000+20000</f>
        <v>160000</v>
      </c>
      <c r="H48" s="202"/>
      <c r="I48" s="72"/>
      <c r="J48" s="490">
        <f t="shared" si="15"/>
        <v>742118.08333333302</v>
      </c>
      <c r="K48" s="490">
        <v>504720.04700000002</v>
      </c>
      <c r="L48" s="490">
        <f t="shared" si="16"/>
        <v>237398.036333333</v>
      </c>
      <c r="M48" s="492">
        <v>112212.004906667</v>
      </c>
      <c r="N48" s="555">
        <v>75572.915690666705</v>
      </c>
      <c r="O48" s="556">
        <f t="shared" si="14"/>
        <v>36639.089216000299</v>
      </c>
      <c r="P48" s="557"/>
      <c r="Q48" s="570">
        <f t="shared" si="17"/>
        <v>200758.94711733301</v>
      </c>
    </row>
    <row r="49" spans="1:17" ht="20.100000000000001" customHeight="1">
      <c r="A49" s="9">
        <v>7</v>
      </c>
      <c r="B49" s="13" t="s">
        <v>421</v>
      </c>
      <c r="C49" s="3" t="s">
        <v>365</v>
      </c>
      <c r="D49" s="15" t="s">
        <v>366</v>
      </c>
      <c r="E49" s="72">
        <v>470498</v>
      </c>
      <c r="F49" s="72"/>
      <c r="G49" s="202">
        <f>140000</f>
        <v>140000</v>
      </c>
      <c r="H49" s="202"/>
      <c r="I49" s="72"/>
      <c r="J49" s="490">
        <f t="shared" si="15"/>
        <v>610498</v>
      </c>
      <c r="K49" s="490">
        <v>413333.03525000002</v>
      </c>
      <c r="L49" s="490">
        <f t="shared" si="16"/>
        <v>197164.96475000001</v>
      </c>
      <c r="M49" s="492">
        <v>88655.4333866667</v>
      </c>
      <c r="N49" s="555">
        <v>58026.609434666701</v>
      </c>
      <c r="O49" s="556">
        <f t="shared" si="14"/>
        <v>30628.823951999999</v>
      </c>
      <c r="P49" s="557"/>
      <c r="Q49" s="570">
        <f t="shared" si="17"/>
        <v>166536.14079800001</v>
      </c>
    </row>
    <row r="50" spans="1:17" ht="20.100000000000001" customHeight="1">
      <c r="A50" s="9">
        <v>8</v>
      </c>
      <c r="B50" s="10" t="s">
        <v>422</v>
      </c>
      <c r="C50" s="3" t="s">
        <v>64</v>
      </c>
      <c r="D50" s="9" t="s">
        <v>409</v>
      </c>
      <c r="E50" s="72">
        <v>300965.58333333302</v>
      </c>
      <c r="F50" s="72"/>
      <c r="G50" s="202">
        <v>100000</v>
      </c>
      <c r="H50" s="202"/>
      <c r="I50" s="72"/>
      <c r="J50" s="490">
        <f t="shared" si="15"/>
        <v>400965.58333333302</v>
      </c>
      <c r="K50" s="490">
        <v>273169.11749999999</v>
      </c>
      <c r="L50" s="490">
        <f t="shared" si="16"/>
        <v>127796.465833333</v>
      </c>
      <c r="M50" s="492">
        <v>51029.227306666697</v>
      </c>
      <c r="N50" s="555">
        <v>33059.078406666697</v>
      </c>
      <c r="O50" s="556">
        <f t="shared" si="14"/>
        <v>17970.1489</v>
      </c>
      <c r="P50" s="557"/>
      <c r="Q50" s="570">
        <f t="shared" si="17"/>
        <v>109826.316933333</v>
      </c>
    </row>
    <row r="51" spans="1:17" ht="20.100000000000001" customHeight="1">
      <c r="A51" s="9">
        <v>9</v>
      </c>
      <c r="B51" s="10" t="s">
        <v>423</v>
      </c>
      <c r="C51" s="3" t="s">
        <v>64</v>
      </c>
      <c r="D51" s="9" t="s">
        <v>391</v>
      </c>
      <c r="E51" s="72">
        <v>263165.33333333302</v>
      </c>
      <c r="F51" s="72"/>
      <c r="G51" s="202">
        <f>100000</f>
        <v>100000</v>
      </c>
      <c r="H51" s="202"/>
      <c r="I51" s="72"/>
      <c r="J51" s="490">
        <f t="shared" si="15"/>
        <v>363165.33333333302</v>
      </c>
      <c r="K51" s="490">
        <v>249356.04725</v>
      </c>
      <c r="L51" s="490">
        <f t="shared" si="16"/>
        <v>113809.28608333301</v>
      </c>
      <c r="M51" s="492">
        <v>44641.500586666698</v>
      </c>
      <c r="N51" s="555">
        <v>29058.4826046667</v>
      </c>
      <c r="O51" s="556">
        <f t="shared" si="14"/>
        <v>15583.017981999999</v>
      </c>
      <c r="P51" s="557"/>
      <c r="Q51" s="570">
        <f t="shared" si="17"/>
        <v>98226.268101333</v>
      </c>
    </row>
    <row r="52" spans="1:17" ht="20.100000000000001" customHeight="1">
      <c r="A52" s="9">
        <v>10</v>
      </c>
      <c r="B52" s="10" t="s">
        <v>424</v>
      </c>
      <c r="C52" s="3" t="s">
        <v>64</v>
      </c>
      <c r="D52" s="9" t="s">
        <v>391</v>
      </c>
      <c r="E52" s="72">
        <v>263165.33333333302</v>
      </c>
      <c r="F52" s="72"/>
      <c r="G52" s="202">
        <f>100000</f>
        <v>100000</v>
      </c>
      <c r="H52" s="202"/>
      <c r="I52" s="72"/>
      <c r="J52" s="490">
        <f t="shared" si="15"/>
        <v>363165.33333333302</v>
      </c>
      <c r="K52" s="490">
        <v>249356.04725</v>
      </c>
      <c r="L52" s="490">
        <f t="shared" si="16"/>
        <v>113809.28608333301</v>
      </c>
      <c r="M52" s="492">
        <v>44641.500586666698</v>
      </c>
      <c r="N52" s="555">
        <v>28360.952862666702</v>
      </c>
      <c r="O52" s="556">
        <f t="shared" si="14"/>
        <v>16280.547724</v>
      </c>
      <c r="P52" s="557"/>
      <c r="Q52" s="570">
        <f t="shared" si="17"/>
        <v>97528.738359333001</v>
      </c>
    </row>
    <row r="53" spans="1:17" ht="20.100000000000001" customHeight="1">
      <c r="A53" s="9">
        <v>11</v>
      </c>
      <c r="B53" s="10" t="s">
        <v>425</v>
      </c>
      <c r="C53" s="3" t="s">
        <v>64</v>
      </c>
      <c r="D53" s="9" t="s">
        <v>391</v>
      </c>
      <c r="E53" s="72">
        <v>263165.33333333302</v>
      </c>
      <c r="F53" s="72"/>
      <c r="G53" s="202">
        <f>100000</f>
        <v>100000</v>
      </c>
      <c r="H53" s="202"/>
      <c r="I53" s="72"/>
      <c r="J53" s="490">
        <f t="shared" si="15"/>
        <v>363165.33333333302</v>
      </c>
      <c r="K53" s="490">
        <v>249356.04725</v>
      </c>
      <c r="L53" s="490">
        <f t="shared" si="16"/>
        <v>113809.28608333301</v>
      </c>
      <c r="M53" s="492">
        <v>44641.500586666698</v>
      </c>
      <c r="N53" s="555">
        <v>29058.4826046667</v>
      </c>
      <c r="O53" s="556">
        <f t="shared" si="14"/>
        <v>15583.017981999999</v>
      </c>
      <c r="P53" s="557"/>
      <c r="Q53" s="570">
        <f t="shared" si="17"/>
        <v>98226.268101333</v>
      </c>
    </row>
    <row r="54" spans="1:17" ht="25.5" customHeight="1">
      <c r="A54" s="9"/>
      <c r="B54" s="19" t="s">
        <v>42</v>
      </c>
      <c r="C54" s="20">
        <v>11</v>
      </c>
      <c r="D54" s="20"/>
      <c r="E54" s="80">
        <f>SUM(E43:E53)</f>
        <v>6180028</v>
      </c>
      <c r="F54" s="80">
        <f t="shared" ref="F54:O54" si="18">SUM(F43:F53)</f>
        <v>0</v>
      </c>
      <c r="G54" s="80">
        <f t="shared" si="18"/>
        <v>1560000</v>
      </c>
      <c r="H54" s="80">
        <f t="shared" si="18"/>
        <v>0</v>
      </c>
      <c r="I54" s="80">
        <f t="shared" si="18"/>
        <v>0</v>
      </c>
      <c r="J54" s="80">
        <f t="shared" si="18"/>
        <v>7740028</v>
      </c>
      <c r="K54" s="80">
        <v>5189903.9082500003</v>
      </c>
      <c r="L54" s="80">
        <f t="shared" si="18"/>
        <v>2550124.0917500001</v>
      </c>
      <c r="M54" s="80">
        <f t="shared" si="18"/>
        <v>1157200.5715733401</v>
      </c>
      <c r="N54" s="563">
        <v>770426.82375333295</v>
      </c>
      <c r="O54" s="563">
        <f t="shared" si="18"/>
        <v>386773.74782000203</v>
      </c>
      <c r="P54" s="564"/>
      <c r="Q54" s="574">
        <f>SUM(Q43:Q53)</f>
        <v>2163350.34393</v>
      </c>
    </row>
    <row r="55" spans="1:17" ht="20.100000000000001" customHeight="1">
      <c r="A55" s="9"/>
      <c r="B55" s="21"/>
      <c r="C55" s="20"/>
      <c r="D55" s="20"/>
      <c r="E55" s="134"/>
      <c r="F55" s="134"/>
      <c r="G55" s="202"/>
      <c r="H55" s="202"/>
      <c r="I55" s="134"/>
      <c r="J55" s="497"/>
      <c r="K55" s="497"/>
      <c r="L55" s="497"/>
      <c r="M55" s="498"/>
      <c r="N55" s="565"/>
      <c r="O55" s="565"/>
      <c r="P55" s="566"/>
      <c r="Q55" s="575"/>
    </row>
    <row r="56" spans="1:17" ht="20.100000000000001" customHeight="1">
      <c r="A56" s="9"/>
      <c r="B56" s="19" t="s">
        <v>426</v>
      </c>
      <c r="C56" s="20"/>
      <c r="D56" s="20"/>
      <c r="E56" s="134"/>
      <c r="F56" s="134"/>
      <c r="G56" s="202"/>
      <c r="H56" s="202"/>
      <c r="I56" s="134"/>
      <c r="J56" s="497"/>
      <c r="K56" s="497"/>
      <c r="L56" s="497"/>
      <c r="M56" s="498"/>
      <c r="N56" s="565"/>
      <c r="O56" s="565"/>
      <c r="P56" s="566"/>
      <c r="Q56" s="575"/>
    </row>
    <row r="57" spans="1:17" ht="20.100000000000001" customHeight="1">
      <c r="A57" s="9">
        <v>1</v>
      </c>
      <c r="B57" s="10" t="s">
        <v>427</v>
      </c>
      <c r="C57" s="11" t="s">
        <v>428</v>
      </c>
      <c r="D57" s="14" t="s">
        <v>405</v>
      </c>
      <c r="E57" s="72">
        <v>1435720</v>
      </c>
      <c r="F57" s="72"/>
      <c r="G57" s="202">
        <f>200000</f>
        <v>200000</v>
      </c>
      <c r="H57" s="202"/>
      <c r="I57" s="72">
        <v>0</v>
      </c>
      <c r="J57" s="490">
        <f>E57+F57+G57+H57+I57</f>
        <v>1635720</v>
      </c>
      <c r="K57" s="490">
        <v>1050209.0634999999</v>
      </c>
      <c r="L57" s="490">
        <f>J57-K57</f>
        <v>585510.93649999995</v>
      </c>
      <c r="M57" s="492">
        <v>270672.24746666697</v>
      </c>
      <c r="N57" s="567">
        <v>180306.806858667</v>
      </c>
      <c r="O57" s="556">
        <f>M57-N57</f>
        <v>90365.440608000004</v>
      </c>
      <c r="P57" s="557"/>
      <c r="Q57" s="570">
        <f>L57-O57</f>
        <v>495145.49589199998</v>
      </c>
    </row>
    <row r="58" spans="1:17" ht="20.100000000000001" customHeight="1">
      <c r="A58" s="9">
        <v>2</v>
      </c>
      <c r="B58" s="10" t="s">
        <v>429</v>
      </c>
      <c r="C58" s="11" t="s">
        <v>430</v>
      </c>
      <c r="D58" s="14" t="s">
        <v>335</v>
      </c>
      <c r="E58" s="72">
        <v>620675.58333333302</v>
      </c>
      <c r="F58" s="72"/>
      <c r="G58" s="202"/>
      <c r="H58" s="202">
        <v>80000</v>
      </c>
      <c r="I58" s="72"/>
      <c r="J58" s="490">
        <f>E58+F58+G58+H58+I58</f>
        <v>700675.58333333302</v>
      </c>
      <c r="K58" s="490">
        <v>447553.5025</v>
      </c>
      <c r="L58" s="490">
        <f>J58-K58</f>
        <v>253122.08083333299</v>
      </c>
      <c r="M58" s="492">
        <v>103662.801706667</v>
      </c>
      <c r="N58" s="567">
        <v>64596.9391466667</v>
      </c>
      <c r="O58" s="556">
        <f>M58-N58</f>
        <v>39065.8625600003</v>
      </c>
      <c r="P58" s="557"/>
      <c r="Q58" s="570">
        <f>L58-O58</f>
        <v>214056.21827333301</v>
      </c>
    </row>
    <row r="59" spans="1:17" ht="20.100000000000001" customHeight="1">
      <c r="A59" s="9"/>
      <c r="B59" s="19" t="s">
        <v>42</v>
      </c>
      <c r="C59" s="20">
        <v>2</v>
      </c>
      <c r="D59" s="20"/>
      <c r="E59" s="80">
        <f>SUM(E57:E58)</f>
        <v>2056395.58333333</v>
      </c>
      <c r="F59" s="80">
        <f t="shared" ref="F59:O59" si="19">SUM(F57:F58)</f>
        <v>0</v>
      </c>
      <c r="G59" s="80">
        <f t="shared" si="19"/>
        <v>200000</v>
      </c>
      <c r="H59" s="80">
        <f t="shared" si="19"/>
        <v>80000</v>
      </c>
      <c r="I59" s="80">
        <f t="shared" si="19"/>
        <v>0</v>
      </c>
      <c r="J59" s="80">
        <f t="shared" si="19"/>
        <v>2336395.5833333302</v>
      </c>
      <c r="K59" s="80">
        <v>1497762.5660000001</v>
      </c>
      <c r="L59" s="80">
        <f t="shared" si="19"/>
        <v>838633.01733333303</v>
      </c>
      <c r="M59" s="80">
        <f t="shared" si="19"/>
        <v>374335.04917333397</v>
      </c>
      <c r="N59" s="563">
        <v>244903.746005333</v>
      </c>
      <c r="O59" s="563">
        <f t="shared" si="19"/>
        <v>129431.303168</v>
      </c>
      <c r="P59" s="564"/>
      <c r="Q59" s="574">
        <f>SUM(Q57:Q58)</f>
        <v>709201.71416533296</v>
      </c>
    </row>
    <row r="60" spans="1:17" ht="20.100000000000001" customHeight="1">
      <c r="A60" s="9"/>
      <c r="B60" s="19"/>
      <c r="C60" s="20"/>
      <c r="D60" s="20"/>
      <c r="E60" s="134"/>
      <c r="F60" s="134"/>
      <c r="G60" s="202"/>
      <c r="H60" s="202"/>
      <c r="I60" s="134"/>
      <c r="J60" s="497"/>
      <c r="K60" s="497"/>
      <c r="L60" s="497"/>
      <c r="M60" s="498"/>
      <c r="N60" s="565"/>
      <c r="O60" s="565"/>
      <c r="P60" s="566"/>
      <c r="Q60" s="575"/>
    </row>
    <row r="61" spans="1:17" ht="20.100000000000001" customHeight="1">
      <c r="A61" s="9"/>
      <c r="B61" s="19" t="s">
        <v>60</v>
      </c>
      <c r="C61" s="20"/>
      <c r="D61" s="20"/>
      <c r="E61" s="134"/>
      <c r="F61" s="134"/>
      <c r="G61" s="202"/>
      <c r="H61" s="202"/>
      <c r="I61" s="134"/>
      <c r="J61" s="497"/>
      <c r="K61" s="497"/>
      <c r="L61" s="497"/>
      <c r="M61" s="498"/>
      <c r="N61" s="565"/>
      <c r="O61" s="565"/>
      <c r="P61" s="566"/>
      <c r="Q61" s="575"/>
    </row>
    <row r="62" spans="1:17" ht="20.100000000000001" customHeight="1">
      <c r="A62" s="9">
        <v>1</v>
      </c>
      <c r="B62" s="10" t="s">
        <v>431</v>
      </c>
      <c r="C62" s="16" t="s">
        <v>432</v>
      </c>
      <c r="D62" s="9" t="s">
        <v>405</v>
      </c>
      <c r="E62" s="72">
        <v>1435720</v>
      </c>
      <c r="F62" s="72"/>
      <c r="G62" s="202">
        <f>200000</f>
        <v>200000</v>
      </c>
      <c r="H62" s="202"/>
      <c r="I62" s="72">
        <v>0</v>
      </c>
      <c r="J62" s="490">
        <f>E62+F62+G62+H62+I62</f>
        <v>1635720</v>
      </c>
      <c r="K62" s="490">
        <v>1050209.0634999999</v>
      </c>
      <c r="L62" s="490">
        <f>J62-K62</f>
        <v>585510.93649999995</v>
      </c>
      <c r="M62" s="492">
        <v>292724.90666666703</v>
      </c>
      <c r="N62" s="555">
        <v>180306.806858667</v>
      </c>
      <c r="O62" s="556">
        <f t="shared" ref="O62:O71" si="20">M62-N62</f>
        <v>112418.099808</v>
      </c>
      <c r="P62" s="557"/>
      <c r="Q62" s="570">
        <f>L62-O62</f>
        <v>473092.83669199998</v>
      </c>
    </row>
    <row r="63" spans="1:17" ht="20.100000000000001" customHeight="1">
      <c r="A63" s="9">
        <v>2</v>
      </c>
      <c r="B63" s="330" t="s">
        <v>433</v>
      </c>
      <c r="C63" s="16" t="s">
        <v>434</v>
      </c>
      <c r="D63" s="14" t="s">
        <v>435</v>
      </c>
      <c r="E63" s="72">
        <v>601396.83333333302</v>
      </c>
      <c r="F63" s="72"/>
      <c r="G63" s="202">
        <f>160000</f>
        <v>160000</v>
      </c>
      <c r="H63" s="202"/>
      <c r="I63" s="134">
        <v>0</v>
      </c>
      <c r="J63" s="490">
        <f t="shared" ref="J63:J71" si="21">E63+F63+G63+H63+I63</f>
        <v>761396.83333333302</v>
      </c>
      <c r="K63" s="490">
        <v>516137.05</v>
      </c>
      <c r="L63" s="490">
        <f t="shared" ref="L63:L71" si="22">J63-K63</f>
        <v>245259.78333333301</v>
      </c>
      <c r="M63" s="492">
        <v>115617.40330666699</v>
      </c>
      <c r="N63" s="555">
        <v>77764.980266666695</v>
      </c>
      <c r="O63" s="556">
        <f t="shared" si="20"/>
        <v>37852.4230400003</v>
      </c>
      <c r="P63" s="557"/>
      <c r="Q63" s="570">
        <f t="shared" ref="Q63:Q71" si="23">L63-O63</f>
        <v>207407.36029333301</v>
      </c>
    </row>
    <row r="64" spans="1:17" ht="20.100000000000001" customHeight="1">
      <c r="A64" s="9">
        <v>3</v>
      </c>
      <c r="B64" s="10" t="s">
        <v>436</v>
      </c>
      <c r="C64" s="3" t="s">
        <v>365</v>
      </c>
      <c r="D64" s="9" t="s">
        <v>369</v>
      </c>
      <c r="E64" s="72">
        <v>442746.5</v>
      </c>
      <c r="F64" s="72"/>
      <c r="G64" s="202">
        <v>140000</v>
      </c>
      <c r="H64" s="202"/>
      <c r="I64" s="72"/>
      <c r="J64" s="490">
        <f t="shared" si="21"/>
        <v>582746.5</v>
      </c>
      <c r="K64" s="490">
        <v>397211.36749999999</v>
      </c>
      <c r="L64" s="490">
        <f t="shared" si="22"/>
        <v>185535.13250000001</v>
      </c>
      <c r="M64" s="492">
        <v>83753.408426666603</v>
      </c>
      <c r="N64" s="555">
        <v>54931.249226666703</v>
      </c>
      <c r="O64" s="556">
        <f t="shared" si="20"/>
        <v>28822.1591999999</v>
      </c>
      <c r="P64" s="557"/>
      <c r="Q64" s="570">
        <f t="shared" si="23"/>
        <v>156712.97330000001</v>
      </c>
    </row>
    <row r="65" spans="1:17" ht="20.100000000000001" customHeight="1">
      <c r="A65" s="9">
        <v>4</v>
      </c>
      <c r="B65" s="17" t="s">
        <v>437</v>
      </c>
      <c r="C65" s="16" t="s">
        <v>231</v>
      </c>
      <c r="D65" s="14" t="s">
        <v>375</v>
      </c>
      <c r="E65" s="72">
        <v>428915.91666666698</v>
      </c>
      <c r="F65" s="72"/>
      <c r="G65" s="202">
        <f t="shared" ref="G65" si="24">120000</f>
        <v>120000</v>
      </c>
      <c r="H65" s="202"/>
      <c r="I65" s="72">
        <v>0</v>
      </c>
      <c r="J65" s="490">
        <f t="shared" si="21"/>
        <v>548915.91666666698</v>
      </c>
      <c r="K65" s="490">
        <v>369177.65375</v>
      </c>
      <c r="L65" s="490">
        <f t="shared" si="22"/>
        <v>179738.26291666701</v>
      </c>
      <c r="M65" s="492">
        <v>77470.374186666697</v>
      </c>
      <c r="N65" s="555">
        <v>49548.776186666699</v>
      </c>
      <c r="O65" s="556">
        <f t="shared" si="20"/>
        <v>27921.598000000002</v>
      </c>
      <c r="P65" s="557"/>
      <c r="Q65" s="570">
        <f t="shared" si="23"/>
        <v>151816.66491666701</v>
      </c>
    </row>
    <row r="66" spans="1:17" ht="20.100000000000001" customHeight="1">
      <c r="A66" s="9">
        <v>5</v>
      </c>
      <c r="B66" s="13" t="s">
        <v>438</v>
      </c>
      <c r="C66" s="16" t="s">
        <v>365</v>
      </c>
      <c r="D66" s="14" t="s">
        <v>363</v>
      </c>
      <c r="E66" s="72">
        <v>484373.75</v>
      </c>
      <c r="F66" s="72"/>
      <c r="G66" s="202">
        <f>140000</f>
        <v>140000</v>
      </c>
      <c r="H66" s="202"/>
      <c r="I66" s="72"/>
      <c r="J66" s="490">
        <f t="shared" si="21"/>
        <v>624373.75</v>
      </c>
      <c r="K66" s="490">
        <v>421394.00675</v>
      </c>
      <c r="L66" s="490">
        <f t="shared" si="22"/>
        <v>202979.74325</v>
      </c>
      <c r="M66" s="492">
        <v>91106.445866666705</v>
      </c>
      <c r="N66" s="555">
        <v>59574.315962666697</v>
      </c>
      <c r="O66" s="556">
        <f t="shared" si="20"/>
        <v>31532.129904000001</v>
      </c>
      <c r="P66" s="557"/>
      <c r="Q66" s="570">
        <f t="shared" si="23"/>
        <v>171447.613346</v>
      </c>
    </row>
    <row r="67" spans="1:17" ht="20.100000000000001" customHeight="1">
      <c r="A67" s="9">
        <v>7</v>
      </c>
      <c r="B67" s="10" t="s">
        <v>439</v>
      </c>
      <c r="C67" s="3" t="s">
        <v>64</v>
      </c>
      <c r="D67" s="9" t="s">
        <v>440</v>
      </c>
      <c r="E67" s="72">
        <v>365703.83333333302</v>
      </c>
      <c r="F67" s="72"/>
      <c r="G67" s="202">
        <f>110000</f>
        <v>110000</v>
      </c>
      <c r="H67" s="202"/>
      <c r="I67" s="72">
        <v>0</v>
      </c>
      <c r="J67" s="490">
        <f t="shared" si="21"/>
        <v>475703.83333333302</v>
      </c>
      <c r="K67" s="490">
        <v>322454.07400000002</v>
      </c>
      <c r="L67" s="490">
        <f t="shared" si="22"/>
        <v>153249.759333333</v>
      </c>
      <c r="M67" s="492">
        <v>64384.591786666701</v>
      </c>
      <c r="N67" s="555">
        <v>41338.951098666701</v>
      </c>
      <c r="O67" s="556">
        <f t="shared" si="20"/>
        <v>23045.640687999999</v>
      </c>
      <c r="P67" s="557"/>
      <c r="Q67" s="570">
        <f t="shared" si="23"/>
        <v>130204.118645333</v>
      </c>
    </row>
    <row r="68" spans="1:17" ht="20.100000000000001" customHeight="1">
      <c r="A68" s="9">
        <v>8</v>
      </c>
      <c r="B68" s="10" t="s">
        <v>441</v>
      </c>
      <c r="C68" s="16" t="s">
        <v>34</v>
      </c>
      <c r="D68" s="9" t="s">
        <v>440</v>
      </c>
      <c r="E68" s="72">
        <v>365703.83333333302</v>
      </c>
      <c r="F68" s="72"/>
      <c r="G68" s="202">
        <f t="shared" ref="G68:G70" si="25">110000</f>
        <v>110000</v>
      </c>
      <c r="H68" s="202"/>
      <c r="I68" s="72">
        <v>0</v>
      </c>
      <c r="J68" s="490">
        <f t="shared" si="21"/>
        <v>475703.83333333302</v>
      </c>
      <c r="K68" s="490">
        <v>322454.07400000002</v>
      </c>
      <c r="L68" s="490">
        <f t="shared" si="22"/>
        <v>153249.759333333</v>
      </c>
      <c r="M68" s="492">
        <v>64384.591786666701</v>
      </c>
      <c r="N68" s="555">
        <v>41338.951098666701</v>
      </c>
      <c r="O68" s="556">
        <f t="shared" si="20"/>
        <v>23045.640687999999</v>
      </c>
      <c r="P68" s="557"/>
      <c r="Q68" s="570">
        <f t="shared" si="23"/>
        <v>130204.118645333</v>
      </c>
    </row>
    <row r="69" spans="1:17" ht="20.100000000000001" customHeight="1">
      <c r="A69" s="9">
        <v>9</v>
      </c>
      <c r="B69" s="10" t="s">
        <v>442</v>
      </c>
      <c r="C69" s="16" t="s">
        <v>34</v>
      </c>
      <c r="D69" s="9" t="s">
        <v>440</v>
      </c>
      <c r="E69" s="72">
        <v>365703.83333333302</v>
      </c>
      <c r="F69" s="72"/>
      <c r="G69" s="202">
        <f t="shared" si="25"/>
        <v>110000</v>
      </c>
      <c r="H69" s="202"/>
      <c r="I69" s="72">
        <v>0</v>
      </c>
      <c r="J69" s="490">
        <f t="shared" si="21"/>
        <v>475703.83333333302</v>
      </c>
      <c r="K69" s="490">
        <v>322454.07400000002</v>
      </c>
      <c r="L69" s="490">
        <f t="shared" si="22"/>
        <v>153249.759333333</v>
      </c>
      <c r="M69" s="492">
        <v>64384.591786666701</v>
      </c>
      <c r="N69" s="555">
        <v>41338.951098666701</v>
      </c>
      <c r="O69" s="556">
        <f t="shared" si="20"/>
        <v>23045.640687999999</v>
      </c>
      <c r="P69" s="557"/>
      <c r="Q69" s="570">
        <f t="shared" si="23"/>
        <v>130204.118645333</v>
      </c>
    </row>
    <row r="70" spans="1:17" ht="20.100000000000001" customHeight="1">
      <c r="A70" s="9">
        <v>10</v>
      </c>
      <c r="B70" s="10" t="s">
        <v>443</v>
      </c>
      <c r="C70" s="3" t="s">
        <v>444</v>
      </c>
      <c r="D70" s="9" t="s">
        <v>380</v>
      </c>
      <c r="E70" s="441">
        <v>377895.16666666698</v>
      </c>
      <c r="F70" s="72"/>
      <c r="G70" s="202">
        <f t="shared" si="25"/>
        <v>110000</v>
      </c>
      <c r="H70" s="202"/>
      <c r="I70" s="72"/>
      <c r="J70" s="490">
        <f t="shared" si="21"/>
        <v>487895.16666666698</v>
      </c>
      <c r="K70" s="490">
        <v>334536.99849999999</v>
      </c>
      <c r="L70" s="490">
        <f t="shared" si="22"/>
        <v>153358.16816666699</v>
      </c>
      <c r="M70" s="492">
        <v>66538.068906666696</v>
      </c>
      <c r="N70" s="555">
        <v>43368.882414666703</v>
      </c>
      <c r="O70" s="556">
        <f t="shared" si="20"/>
        <v>23169.186492000001</v>
      </c>
      <c r="P70" s="557"/>
      <c r="Q70" s="570">
        <f t="shared" si="23"/>
        <v>130188.981674667</v>
      </c>
    </row>
    <row r="71" spans="1:17" ht="21.6" customHeight="1">
      <c r="A71" s="9">
        <v>11</v>
      </c>
      <c r="B71" s="10" t="s">
        <v>445</v>
      </c>
      <c r="C71" s="3" t="s">
        <v>64</v>
      </c>
      <c r="D71" s="9" t="s">
        <v>409</v>
      </c>
      <c r="E71" s="202">
        <v>300965.58333333302</v>
      </c>
      <c r="F71" s="72"/>
      <c r="G71" s="202">
        <v>100000</v>
      </c>
      <c r="H71" s="202"/>
      <c r="I71" s="72"/>
      <c r="J71" s="490">
        <f t="shared" si="21"/>
        <v>400965.58333333302</v>
      </c>
      <c r="K71" s="490">
        <v>277734.04700000002</v>
      </c>
      <c r="L71" s="490">
        <f t="shared" si="22"/>
        <v>123231.536333333</v>
      </c>
      <c r="M71" s="492">
        <v>51029.227306666697</v>
      </c>
      <c r="N71" s="555">
        <v>33825.986562666702</v>
      </c>
      <c r="O71" s="556">
        <f t="shared" si="20"/>
        <v>17203.240743999999</v>
      </c>
      <c r="P71" s="557"/>
      <c r="Q71" s="570">
        <f t="shared" si="23"/>
        <v>106028.29558933301</v>
      </c>
    </row>
    <row r="72" spans="1:17" ht="27" customHeight="1">
      <c r="A72" s="9"/>
      <c r="B72" s="19" t="s">
        <v>42</v>
      </c>
      <c r="C72" s="20">
        <v>12</v>
      </c>
      <c r="D72" s="20"/>
      <c r="E72" s="80">
        <f>SUM(E62:E71)</f>
        <v>5169125.25</v>
      </c>
      <c r="F72" s="80">
        <f t="shared" ref="F72:O72" si="26">SUM(F62:F71)</f>
        <v>0</v>
      </c>
      <c r="G72" s="80">
        <f t="shared" si="26"/>
        <v>1300000</v>
      </c>
      <c r="H72" s="80">
        <f t="shared" si="26"/>
        <v>0</v>
      </c>
      <c r="I72" s="80">
        <f t="shared" si="26"/>
        <v>0</v>
      </c>
      <c r="J72" s="80">
        <f t="shared" si="26"/>
        <v>6469125.25</v>
      </c>
      <c r="K72" s="80">
        <v>4333762.409</v>
      </c>
      <c r="L72" s="80">
        <f t="shared" si="26"/>
        <v>2135362.841</v>
      </c>
      <c r="M72" s="80">
        <f t="shared" si="26"/>
        <v>971393.61002666701</v>
      </c>
      <c r="N72" s="563">
        <v>623337.85077466699</v>
      </c>
      <c r="O72" s="563">
        <f t="shared" si="26"/>
        <v>348055.75925200002</v>
      </c>
      <c r="P72" s="564"/>
      <c r="Q72" s="574">
        <f>SUM(Q62:Q71)</f>
        <v>1787307.0817480001</v>
      </c>
    </row>
    <row r="73" spans="1:17" ht="20.100000000000001" customHeight="1">
      <c r="A73" s="9"/>
      <c r="B73" s="21"/>
      <c r="C73" s="20"/>
      <c r="D73" s="20"/>
      <c r="E73" s="134"/>
      <c r="F73" s="134"/>
      <c r="G73" s="202"/>
      <c r="H73" s="202"/>
      <c r="I73" s="134"/>
      <c r="J73" s="497"/>
      <c r="K73" s="497"/>
      <c r="L73" s="497"/>
      <c r="M73" s="498"/>
      <c r="N73" s="565"/>
      <c r="O73" s="565"/>
      <c r="P73" s="566"/>
      <c r="Q73" s="575"/>
    </row>
    <row r="74" spans="1:17" ht="20.100000000000001" customHeight="1">
      <c r="A74" s="9"/>
      <c r="B74" s="19" t="s">
        <v>65</v>
      </c>
      <c r="C74" s="20"/>
      <c r="D74" s="20"/>
      <c r="E74" s="134"/>
      <c r="F74" s="134"/>
      <c r="G74" s="202"/>
      <c r="H74" s="202"/>
      <c r="I74" s="134"/>
      <c r="J74" s="497"/>
      <c r="K74" s="497"/>
      <c r="L74" s="497"/>
      <c r="M74" s="498"/>
      <c r="N74" s="565"/>
      <c r="O74" s="565"/>
      <c r="P74" s="566"/>
      <c r="Q74" s="575"/>
    </row>
    <row r="75" spans="1:17" ht="20.100000000000001" customHeight="1">
      <c r="A75" s="9">
        <v>1</v>
      </c>
      <c r="B75" s="10" t="s">
        <v>446</v>
      </c>
      <c r="C75" s="3" t="s">
        <v>447</v>
      </c>
      <c r="D75" s="9" t="s">
        <v>405</v>
      </c>
      <c r="E75" s="72">
        <v>1435720</v>
      </c>
      <c r="F75" s="72"/>
      <c r="G75" s="202">
        <f>200000</f>
        <v>200000</v>
      </c>
      <c r="H75" s="202"/>
      <c r="I75" s="72">
        <v>0</v>
      </c>
      <c r="J75" s="490">
        <f>E75+F75+G75+H75+I75</f>
        <v>1635720</v>
      </c>
      <c r="K75" s="490">
        <v>1050209.0634999999</v>
      </c>
      <c r="L75" s="490">
        <f>J75-K75</f>
        <v>585510.93649999995</v>
      </c>
      <c r="M75" s="492">
        <v>270672.24746666697</v>
      </c>
      <c r="N75" s="555">
        <v>180306.806858667</v>
      </c>
      <c r="O75" s="556">
        <f t="shared" ref="O75:O81" si="27">M75-N75</f>
        <v>90365.440608000004</v>
      </c>
      <c r="P75" s="557"/>
      <c r="Q75" s="570">
        <f>L75-O75</f>
        <v>495145.49589199998</v>
      </c>
    </row>
    <row r="76" spans="1:17" ht="20.100000000000001" customHeight="1">
      <c r="A76" s="9">
        <v>2</v>
      </c>
      <c r="B76" s="13" t="s">
        <v>331</v>
      </c>
      <c r="C76" s="3" t="s">
        <v>76</v>
      </c>
      <c r="D76" s="14" t="s">
        <v>332</v>
      </c>
      <c r="E76" s="72">
        <v>601396.83333333302</v>
      </c>
      <c r="F76" s="72"/>
      <c r="G76" s="202">
        <f>160000</f>
        <v>160000</v>
      </c>
      <c r="H76" s="202"/>
      <c r="I76" s="134">
        <v>0</v>
      </c>
      <c r="J76" s="490">
        <f t="shared" ref="J76:J81" si="28">E76+F76+G76+H76+I76</f>
        <v>761396.83333333302</v>
      </c>
      <c r="K76" s="490">
        <v>516137.05</v>
      </c>
      <c r="L76" s="490">
        <f t="shared" ref="L76:L81" si="29">J76-K76</f>
        <v>245259.78333333301</v>
      </c>
      <c r="M76" s="492">
        <v>124854.858666667</v>
      </c>
      <c r="N76" s="555">
        <v>77764.980266666695</v>
      </c>
      <c r="O76" s="556">
        <f t="shared" si="27"/>
        <v>47089.8784000003</v>
      </c>
      <c r="P76" s="557"/>
      <c r="Q76" s="570">
        <f t="shared" ref="Q76:Q81" si="30">L76-O76</f>
        <v>198169.90493333299</v>
      </c>
    </row>
    <row r="77" spans="1:17" ht="20.100000000000001" customHeight="1">
      <c r="A77" s="9">
        <v>3</v>
      </c>
      <c r="B77" s="17" t="s">
        <v>333</v>
      </c>
      <c r="C77" s="11" t="s">
        <v>334</v>
      </c>
      <c r="D77" s="9" t="s">
        <v>335</v>
      </c>
      <c r="E77" s="72">
        <v>620675.58333333302</v>
      </c>
      <c r="F77" s="72"/>
      <c r="G77" s="202">
        <v>0</v>
      </c>
      <c r="H77" s="202">
        <v>80000</v>
      </c>
      <c r="I77" s="134">
        <v>0</v>
      </c>
      <c r="J77" s="490">
        <f t="shared" si="28"/>
        <v>700675.58333333302</v>
      </c>
      <c r="K77" s="490">
        <v>447553.5025</v>
      </c>
      <c r="L77" s="490">
        <f t="shared" si="29"/>
        <v>253122.08083333299</v>
      </c>
      <c r="M77" s="492">
        <v>113196.37866666701</v>
      </c>
      <c r="N77" s="555">
        <v>64596.9391466667</v>
      </c>
      <c r="O77" s="556">
        <f t="shared" si="27"/>
        <v>48599.439520000298</v>
      </c>
      <c r="P77" s="557"/>
      <c r="Q77" s="570">
        <f t="shared" si="30"/>
        <v>204522.64131333301</v>
      </c>
    </row>
    <row r="78" spans="1:17" ht="20.100000000000001" customHeight="1">
      <c r="A78" s="9">
        <v>4</v>
      </c>
      <c r="B78" s="10" t="s">
        <v>448</v>
      </c>
      <c r="C78" s="3" t="s">
        <v>449</v>
      </c>
      <c r="D78" s="14" t="s">
        <v>450</v>
      </c>
      <c r="E78" s="72">
        <v>456622.25</v>
      </c>
      <c r="F78" s="72"/>
      <c r="G78" s="202">
        <f>140000</f>
        <v>140000</v>
      </c>
      <c r="H78" s="202"/>
      <c r="I78" s="72">
        <v>0</v>
      </c>
      <c r="J78" s="490">
        <f t="shared" si="28"/>
        <v>596622.25</v>
      </c>
      <c r="K78" s="490">
        <v>405272.06374999997</v>
      </c>
      <c r="L78" s="490">
        <f t="shared" si="29"/>
        <v>191350.18625</v>
      </c>
      <c r="M78" s="492">
        <v>86076.104186666693</v>
      </c>
      <c r="N78" s="555">
        <v>56350.586186666696</v>
      </c>
      <c r="O78" s="556">
        <f t="shared" si="27"/>
        <v>29725.518</v>
      </c>
      <c r="P78" s="557"/>
      <c r="Q78" s="570">
        <f t="shared" si="30"/>
        <v>161624.66824999999</v>
      </c>
    </row>
    <row r="79" spans="1:17" ht="20.100000000000001" customHeight="1">
      <c r="A79" s="9">
        <v>5</v>
      </c>
      <c r="B79" s="10" t="s">
        <v>451</v>
      </c>
      <c r="C79" s="3" t="s">
        <v>452</v>
      </c>
      <c r="D79" s="9" t="s">
        <v>453</v>
      </c>
      <c r="E79" s="72">
        <v>308901.5</v>
      </c>
      <c r="F79" s="72"/>
      <c r="G79" s="202">
        <f>100000</f>
        <v>100000</v>
      </c>
      <c r="H79" s="202"/>
      <c r="I79" s="72"/>
      <c r="J79" s="490">
        <f t="shared" si="28"/>
        <v>408901.5</v>
      </c>
      <c r="K79" s="490">
        <v>273169.11749999999</v>
      </c>
      <c r="L79" s="490">
        <f t="shared" si="29"/>
        <v>135732.38250000001</v>
      </c>
      <c r="M79" s="492">
        <v>52431.027626666699</v>
      </c>
      <c r="N79" s="555">
        <v>33059.078406666697</v>
      </c>
      <c r="O79" s="556">
        <f t="shared" si="27"/>
        <v>19371.949219999999</v>
      </c>
      <c r="P79" s="557"/>
      <c r="Q79" s="570">
        <f t="shared" si="30"/>
        <v>116360.43328</v>
      </c>
    </row>
    <row r="80" spans="1:17" ht="20.100000000000001" customHeight="1">
      <c r="A80" s="9">
        <v>6</v>
      </c>
      <c r="B80" s="10" t="s">
        <v>454</v>
      </c>
      <c r="C80" s="3" t="s">
        <v>452</v>
      </c>
      <c r="D80" s="9" t="s">
        <v>391</v>
      </c>
      <c r="E80" s="72">
        <v>263165.33333333302</v>
      </c>
      <c r="F80" s="72"/>
      <c r="G80" s="202">
        <v>100000</v>
      </c>
      <c r="H80" s="202"/>
      <c r="I80" s="72"/>
      <c r="J80" s="490">
        <f t="shared" si="28"/>
        <v>363165.33333333302</v>
      </c>
      <c r="K80" s="490">
        <v>249356.04725</v>
      </c>
      <c r="L80" s="490">
        <f t="shared" si="29"/>
        <v>113809.28608333301</v>
      </c>
      <c r="M80" s="492">
        <v>44641.500586666698</v>
      </c>
      <c r="N80" s="555">
        <v>29058.4826046667</v>
      </c>
      <c r="O80" s="556">
        <f t="shared" si="27"/>
        <v>15583.017981999999</v>
      </c>
      <c r="P80" s="557"/>
      <c r="Q80" s="570">
        <f t="shared" si="30"/>
        <v>98226.268101333</v>
      </c>
    </row>
    <row r="81" spans="1:17" ht="20.100000000000001" customHeight="1">
      <c r="A81" s="9">
        <v>7</v>
      </c>
      <c r="B81" s="10" t="s">
        <v>455</v>
      </c>
      <c r="C81" s="3" t="s">
        <v>456</v>
      </c>
      <c r="D81" s="9" t="s">
        <v>402</v>
      </c>
      <c r="E81" s="72">
        <v>224459.75</v>
      </c>
      <c r="F81" s="72"/>
      <c r="G81" s="202">
        <v>100000</v>
      </c>
      <c r="H81" s="202">
        <v>0</v>
      </c>
      <c r="I81" s="72"/>
      <c r="J81" s="490">
        <f t="shared" si="28"/>
        <v>324459.75</v>
      </c>
      <c r="K81" s="490">
        <v>223717.28450000001</v>
      </c>
      <c r="L81" s="490">
        <f t="shared" si="29"/>
        <v>100742.46550000001</v>
      </c>
      <c r="M81" s="492">
        <v>38659.165626666698</v>
      </c>
      <c r="N81" s="555">
        <v>24751.170462666701</v>
      </c>
      <c r="O81" s="556">
        <f t="shared" si="27"/>
        <v>13907.995164</v>
      </c>
      <c r="P81" s="557"/>
      <c r="Q81" s="570">
        <f t="shared" si="30"/>
        <v>86834.470335999998</v>
      </c>
    </row>
    <row r="82" spans="1:17" ht="20.100000000000001" customHeight="1">
      <c r="A82" s="9"/>
      <c r="B82" s="19" t="s">
        <v>42</v>
      </c>
      <c r="C82" s="20">
        <v>7</v>
      </c>
      <c r="D82" s="20"/>
      <c r="E82" s="80">
        <f>SUM(E75:E81)</f>
        <v>3910941.25</v>
      </c>
      <c r="F82" s="80">
        <f t="shared" ref="F82:O82" si="31">SUM(F75:F81)</f>
        <v>0</v>
      </c>
      <c r="G82" s="80">
        <f t="shared" si="31"/>
        <v>800000</v>
      </c>
      <c r="H82" s="80">
        <f t="shared" si="31"/>
        <v>80000</v>
      </c>
      <c r="I82" s="80">
        <f t="shared" si="31"/>
        <v>0</v>
      </c>
      <c r="J82" s="80">
        <f t="shared" si="31"/>
        <v>4790941.25</v>
      </c>
      <c r="K82" s="80">
        <v>3165414.1290000002</v>
      </c>
      <c r="L82" s="80">
        <f t="shared" si="31"/>
        <v>1625527.121</v>
      </c>
      <c r="M82" s="80">
        <f t="shared" si="31"/>
        <v>730531.282826668</v>
      </c>
      <c r="N82" s="563">
        <v>465888.043932667</v>
      </c>
      <c r="O82" s="563">
        <f t="shared" si="31"/>
        <v>264643.238894001</v>
      </c>
      <c r="P82" s="564"/>
      <c r="Q82" s="574">
        <f>SUM(Q75:Q81)</f>
        <v>1360883.8821060001</v>
      </c>
    </row>
    <row r="83" spans="1:17" ht="20.100000000000001" customHeight="1">
      <c r="A83" s="9"/>
      <c r="B83" s="19"/>
      <c r="C83" s="20"/>
      <c r="D83" s="20"/>
      <c r="E83" s="134"/>
      <c r="F83" s="134"/>
      <c r="G83" s="202"/>
      <c r="H83" s="202"/>
      <c r="I83" s="134"/>
      <c r="J83" s="497"/>
      <c r="K83" s="497"/>
      <c r="L83" s="497"/>
      <c r="M83" s="498"/>
      <c r="N83" s="565"/>
      <c r="O83" s="565"/>
      <c r="P83" s="566"/>
      <c r="Q83" s="575"/>
    </row>
    <row r="84" spans="1:17" ht="20.100000000000001" customHeight="1">
      <c r="A84" s="9"/>
      <c r="B84" s="19" t="s">
        <v>74</v>
      </c>
      <c r="C84" s="24"/>
      <c r="D84" s="20"/>
      <c r="E84" s="134"/>
      <c r="F84" s="134"/>
      <c r="G84" s="202"/>
      <c r="H84" s="202"/>
      <c r="I84" s="134"/>
      <c r="J84" s="497"/>
      <c r="K84" s="497"/>
      <c r="L84" s="497"/>
      <c r="M84" s="498"/>
      <c r="N84" s="565"/>
      <c r="O84" s="565"/>
      <c r="P84" s="566"/>
      <c r="Q84" s="575"/>
    </row>
    <row r="85" spans="1:17" ht="20.100000000000001" customHeight="1">
      <c r="A85" s="9">
        <v>1</v>
      </c>
      <c r="B85" s="10" t="s">
        <v>457</v>
      </c>
      <c r="C85" s="3" t="s">
        <v>418</v>
      </c>
      <c r="D85" s="9" t="s">
        <v>358</v>
      </c>
      <c r="E85" s="72">
        <v>620675.58333333302</v>
      </c>
      <c r="F85" s="72"/>
      <c r="G85" s="202">
        <f>160000</f>
        <v>160000</v>
      </c>
      <c r="H85" s="202"/>
      <c r="I85" s="72">
        <v>100000</v>
      </c>
      <c r="J85" s="490">
        <f>E85+F85+G85+H85+I85</f>
        <v>880675.58333333302</v>
      </c>
      <c r="K85" s="490">
        <v>627553.50249999994</v>
      </c>
      <c r="L85" s="490">
        <f>J85-K85</f>
        <v>253122.08083333299</v>
      </c>
      <c r="M85" s="492">
        <v>138222.801706667</v>
      </c>
      <c r="N85" s="555">
        <v>99156.9391466667</v>
      </c>
      <c r="O85" s="556">
        <f t="shared" ref="O85:O94" si="32">M85-N85</f>
        <v>39065.8625600003</v>
      </c>
      <c r="P85" s="557"/>
      <c r="Q85" s="570">
        <f>L85-O85</f>
        <v>214056.21827333301</v>
      </c>
    </row>
    <row r="86" spans="1:17" ht="20.100000000000001" customHeight="1">
      <c r="A86" s="9">
        <v>2</v>
      </c>
      <c r="B86" s="10" t="s">
        <v>458</v>
      </c>
      <c r="C86" s="3" t="s">
        <v>418</v>
      </c>
      <c r="D86" s="9" t="s">
        <v>358</v>
      </c>
      <c r="E86" s="72">
        <v>620675.58333333302</v>
      </c>
      <c r="F86" s="72"/>
      <c r="G86" s="202">
        <f>160000</f>
        <v>160000</v>
      </c>
      <c r="H86" s="202"/>
      <c r="I86" s="72"/>
      <c r="J86" s="490">
        <f t="shared" ref="J86:J94" si="33">E86+F86+G86+H86+I86</f>
        <v>780675.58333333302</v>
      </c>
      <c r="K86" s="490">
        <v>527553.50249999994</v>
      </c>
      <c r="L86" s="490">
        <f t="shared" ref="L86:L94" si="34">J86-K86</f>
        <v>253122.08083333299</v>
      </c>
      <c r="M86" s="492">
        <v>118861.965706667</v>
      </c>
      <c r="N86" s="555">
        <v>79796.103146666603</v>
      </c>
      <c r="O86" s="556">
        <f t="shared" si="32"/>
        <v>39065.862560000402</v>
      </c>
      <c r="P86" s="557"/>
      <c r="Q86" s="570">
        <f t="shared" ref="Q86:Q94" si="35">L86-O86</f>
        <v>214056.21827333301</v>
      </c>
    </row>
    <row r="87" spans="1:17" ht="20.100000000000001" customHeight="1">
      <c r="A87" s="9">
        <v>3</v>
      </c>
      <c r="B87" s="10" t="s">
        <v>459</v>
      </c>
      <c r="C87" s="3" t="s">
        <v>418</v>
      </c>
      <c r="D87" s="9" t="s">
        <v>99</v>
      </c>
      <c r="E87" s="72">
        <v>582118.08333333302</v>
      </c>
      <c r="F87" s="72"/>
      <c r="G87" s="202">
        <v>160000</v>
      </c>
      <c r="H87" s="202"/>
      <c r="I87" s="72"/>
      <c r="J87" s="490">
        <f t="shared" si="33"/>
        <v>742118.08333333302</v>
      </c>
      <c r="K87" s="490">
        <v>504729.22200000001</v>
      </c>
      <c r="L87" s="490">
        <f t="shared" si="34"/>
        <v>237388.86133333301</v>
      </c>
      <c r="M87" s="492">
        <v>112212.004906667</v>
      </c>
      <c r="N87" s="555">
        <v>75574.677290666703</v>
      </c>
      <c r="O87" s="556">
        <f t="shared" si="32"/>
        <v>36637.327616000301</v>
      </c>
      <c r="P87" s="557"/>
      <c r="Q87" s="570">
        <f t="shared" si="35"/>
        <v>200751.53371733299</v>
      </c>
    </row>
    <row r="88" spans="1:17" ht="21.6" customHeight="1">
      <c r="A88" s="9">
        <v>4</v>
      </c>
      <c r="B88" s="10" t="s">
        <v>460</v>
      </c>
      <c r="C88" s="3" t="s">
        <v>461</v>
      </c>
      <c r="D88" s="14" t="s">
        <v>372</v>
      </c>
      <c r="E88" s="72">
        <v>441804.91666666698</v>
      </c>
      <c r="F88" s="72"/>
      <c r="G88" s="202">
        <f>120000</f>
        <v>120000</v>
      </c>
      <c r="H88" s="202"/>
      <c r="I88" s="72">
        <v>0</v>
      </c>
      <c r="J88" s="490">
        <f t="shared" si="33"/>
        <v>561804.91666666698</v>
      </c>
      <c r="K88" s="490">
        <v>376663.07750000001</v>
      </c>
      <c r="L88" s="490">
        <f t="shared" si="34"/>
        <v>185141.83916666699</v>
      </c>
      <c r="M88" s="492">
        <v>79747.087146666701</v>
      </c>
      <c r="N88" s="555">
        <v>50985.977546666698</v>
      </c>
      <c r="O88" s="556">
        <f t="shared" si="32"/>
        <v>28761.1096</v>
      </c>
      <c r="P88" s="557"/>
      <c r="Q88" s="570">
        <f t="shared" si="35"/>
        <v>156380.729566667</v>
      </c>
    </row>
    <row r="89" spans="1:17" ht="21.6" customHeight="1">
      <c r="A89" s="9">
        <v>5</v>
      </c>
      <c r="B89" s="10" t="s">
        <v>462</v>
      </c>
      <c r="C89" s="11" t="s">
        <v>231</v>
      </c>
      <c r="D89" s="14" t="s">
        <v>375</v>
      </c>
      <c r="E89" s="72">
        <v>428915.91666666698</v>
      </c>
      <c r="F89" s="72"/>
      <c r="G89" s="202">
        <f t="shared" ref="G89" si="36">120000</f>
        <v>120000</v>
      </c>
      <c r="H89" s="202"/>
      <c r="I89" s="72">
        <v>0</v>
      </c>
      <c r="J89" s="490">
        <f t="shared" si="33"/>
        <v>548915.91666666698</v>
      </c>
      <c r="K89" s="490">
        <v>369177.65375</v>
      </c>
      <c r="L89" s="490">
        <f t="shared" si="34"/>
        <v>179738.26291666701</v>
      </c>
      <c r="M89" s="492">
        <v>77470.374186666697</v>
      </c>
      <c r="N89" s="555">
        <v>49548.776186666699</v>
      </c>
      <c r="O89" s="556">
        <f t="shared" si="32"/>
        <v>27921.598000000002</v>
      </c>
      <c r="P89" s="557"/>
      <c r="Q89" s="570">
        <f t="shared" si="35"/>
        <v>151816.66491666701</v>
      </c>
    </row>
    <row r="90" spans="1:17" ht="21.6" customHeight="1">
      <c r="A90" s="9">
        <v>6</v>
      </c>
      <c r="B90" s="10" t="s">
        <v>463</v>
      </c>
      <c r="C90" s="11" t="s">
        <v>365</v>
      </c>
      <c r="D90" s="14" t="s">
        <v>29</v>
      </c>
      <c r="E90" s="72">
        <v>428870.75</v>
      </c>
      <c r="F90" s="72"/>
      <c r="G90" s="202">
        <f>140000</f>
        <v>140000</v>
      </c>
      <c r="H90" s="202"/>
      <c r="I90" s="72">
        <v>0</v>
      </c>
      <c r="J90" s="490">
        <f t="shared" si="33"/>
        <v>568870.75</v>
      </c>
      <c r="K90" s="490">
        <v>389153.05674999999</v>
      </c>
      <c r="L90" s="490">
        <f t="shared" si="34"/>
        <v>179717.69325000001</v>
      </c>
      <c r="M90" s="492">
        <v>81302.3959466667</v>
      </c>
      <c r="N90" s="555">
        <v>53384.053562666697</v>
      </c>
      <c r="O90" s="556">
        <f t="shared" si="32"/>
        <v>27918.342384</v>
      </c>
      <c r="P90" s="557"/>
      <c r="Q90" s="570">
        <f t="shared" si="35"/>
        <v>151799.35086599999</v>
      </c>
    </row>
    <row r="91" spans="1:17" ht="21.6" customHeight="1">
      <c r="A91" s="9">
        <v>7</v>
      </c>
      <c r="B91" s="10" t="s">
        <v>464</v>
      </c>
      <c r="C91" s="16" t="s">
        <v>34</v>
      </c>
      <c r="D91" s="14" t="s">
        <v>440</v>
      </c>
      <c r="E91" s="72">
        <v>365703.83333333302</v>
      </c>
      <c r="F91" s="72"/>
      <c r="G91" s="202">
        <f t="shared" ref="G91" si="37">110000</f>
        <v>110000</v>
      </c>
      <c r="H91" s="202"/>
      <c r="I91" s="72">
        <v>0</v>
      </c>
      <c r="J91" s="490">
        <f t="shared" si="33"/>
        <v>475703.83333333302</v>
      </c>
      <c r="K91" s="490">
        <v>322454.07400000002</v>
      </c>
      <c r="L91" s="490">
        <f t="shared" si="34"/>
        <v>153249.759333333</v>
      </c>
      <c r="M91" s="492">
        <v>64384.591786666701</v>
      </c>
      <c r="N91" s="555">
        <v>41338.951098666701</v>
      </c>
      <c r="O91" s="556">
        <f t="shared" si="32"/>
        <v>23045.640687999999</v>
      </c>
      <c r="P91" s="557"/>
      <c r="Q91" s="570">
        <f t="shared" si="35"/>
        <v>130204.118645333</v>
      </c>
    </row>
    <row r="92" spans="1:17" ht="21.6" customHeight="1">
      <c r="A92" s="9">
        <v>8</v>
      </c>
      <c r="B92" s="10" t="s">
        <v>465</v>
      </c>
      <c r="C92" s="16" t="s">
        <v>231</v>
      </c>
      <c r="D92" s="14" t="s">
        <v>81</v>
      </c>
      <c r="E92" s="72">
        <v>390248.91666666698</v>
      </c>
      <c r="F92" s="72"/>
      <c r="G92" s="202">
        <v>120000</v>
      </c>
      <c r="H92" s="202"/>
      <c r="I92" s="72">
        <v>0</v>
      </c>
      <c r="J92" s="490">
        <f t="shared" si="33"/>
        <v>510248.91666666698</v>
      </c>
      <c r="K92" s="490">
        <v>346713.03324999998</v>
      </c>
      <c r="L92" s="490">
        <f t="shared" si="34"/>
        <v>163535.883416667</v>
      </c>
      <c r="M92" s="492">
        <v>70529.475354666705</v>
      </c>
      <c r="N92" s="555">
        <v>45317.541294666698</v>
      </c>
      <c r="O92" s="556">
        <f t="shared" si="32"/>
        <v>25211.93406</v>
      </c>
      <c r="P92" s="557"/>
      <c r="Q92" s="570">
        <f t="shared" si="35"/>
        <v>138323.949356667</v>
      </c>
    </row>
    <row r="93" spans="1:17" ht="21.6" customHeight="1">
      <c r="A93" s="9">
        <v>9</v>
      </c>
      <c r="B93" s="10" t="s">
        <v>466</v>
      </c>
      <c r="C93" s="3" t="s">
        <v>467</v>
      </c>
      <c r="D93" s="9" t="s">
        <v>409</v>
      </c>
      <c r="E93" s="202">
        <v>300965.58333333302</v>
      </c>
      <c r="F93" s="72"/>
      <c r="G93" s="202">
        <v>100000</v>
      </c>
      <c r="H93" s="202"/>
      <c r="I93" s="72"/>
      <c r="J93" s="490">
        <f t="shared" si="33"/>
        <v>400965.58333333302</v>
      </c>
      <c r="K93" s="490">
        <v>277734.04700000002</v>
      </c>
      <c r="L93" s="490">
        <f t="shared" si="34"/>
        <v>123231.536333333</v>
      </c>
      <c r="M93" s="492">
        <v>51029.227306666697</v>
      </c>
      <c r="N93" s="555">
        <v>33825.986562666702</v>
      </c>
      <c r="O93" s="556">
        <f t="shared" si="32"/>
        <v>17203.240743999999</v>
      </c>
      <c r="P93" s="557"/>
      <c r="Q93" s="570">
        <f t="shared" si="35"/>
        <v>106028.29558933301</v>
      </c>
    </row>
    <row r="94" spans="1:17" ht="21.6" customHeight="1">
      <c r="A94" s="9">
        <v>10</v>
      </c>
      <c r="B94" s="10" t="s">
        <v>468</v>
      </c>
      <c r="C94" s="16" t="s">
        <v>469</v>
      </c>
      <c r="D94" s="14" t="s">
        <v>399</v>
      </c>
      <c r="E94" s="202">
        <v>230631.91666666701</v>
      </c>
      <c r="F94" s="72"/>
      <c r="G94" s="202">
        <f t="shared" ref="G94" si="38">100000</f>
        <v>100000</v>
      </c>
      <c r="H94" s="202"/>
      <c r="I94" s="72"/>
      <c r="J94" s="490">
        <f t="shared" si="33"/>
        <v>330631.91666666698</v>
      </c>
      <c r="K94" s="490">
        <v>254870.26344499999</v>
      </c>
      <c r="L94" s="490">
        <f t="shared" si="34"/>
        <v>75761.653221667002</v>
      </c>
      <c r="M94" s="492">
        <v>39613.135706666697</v>
      </c>
      <c r="N94" s="555">
        <v>29984.870925426701</v>
      </c>
      <c r="O94" s="556">
        <f t="shared" si="32"/>
        <v>9628.2647812399991</v>
      </c>
      <c r="P94" s="557"/>
      <c r="Q94" s="583">
        <f t="shared" si="35"/>
        <v>66133.388440427007</v>
      </c>
    </row>
    <row r="95" spans="1:17" ht="20.100000000000001" customHeight="1">
      <c r="A95" s="9"/>
      <c r="B95" s="19" t="s">
        <v>42</v>
      </c>
      <c r="C95" s="20">
        <v>11</v>
      </c>
      <c r="D95" s="20"/>
      <c r="E95" s="80">
        <f>SUM(E85:E94)</f>
        <v>4410611.0833333302</v>
      </c>
      <c r="F95" s="80">
        <f t="shared" ref="F95:O95" si="39">SUM(F85:F94)</f>
        <v>0</v>
      </c>
      <c r="G95" s="80">
        <f t="shared" si="39"/>
        <v>1290000</v>
      </c>
      <c r="H95" s="80">
        <f t="shared" si="39"/>
        <v>0</v>
      </c>
      <c r="I95" s="80">
        <f t="shared" si="39"/>
        <v>100000</v>
      </c>
      <c r="J95" s="80">
        <f t="shared" si="39"/>
        <v>5800611.0833333302</v>
      </c>
      <c r="K95" s="80">
        <v>3996601.432695</v>
      </c>
      <c r="L95" s="80">
        <f t="shared" si="39"/>
        <v>1804009.65063833</v>
      </c>
      <c r="M95" s="80">
        <f t="shared" si="39"/>
        <v>833373.05975466804</v>
      </c>
      <c r="N95" s="563">
        <v>558913.87676142703</v>
      </c>
      <c r="O95" s="563">
        <f t="shared" si="39"/>
        <v>274459.182993241</v>
      </c>
      <c r="P95" s="564"/>
      <c r="Q95" s="574">
        <f>SUM(Q85:Q94)</f>
        <v>1529550.4676450901</v>
      </c>
    </row>
    <row r="96" spans="1:17" ht="20.100000000000001" customHeight="1">
      <c r="A96" s="9"/>
      <c r="B96" s="21"/>
      <c r="C96" s="20"/>
      <c r="D96" s="20"/>
      <c r="E96" s="134"/>
      <c r="F96" s="134"/>
      <c r="G96" s="202"/>
      <c r="H96" s="202"/>
      <c r="I96" s="134"/>
      <c r="J96" s="497"/>
      <c r="K96" s="497"/>
      <c r="L96" s="497"/>
      <c r="M96" s="498"/>
      <c r="N96" s="565"/>
      <c r="O96" s="565"/>
      <c r="P96" s="566"/>
      <c r="Q96" s="575"/>
    </row>
    <row r="97" spans="1:17" ht="20.100000000000001" customHeight="1">
      <c r="A97" s="9"/>
      <c r="B97" s="19" t="s">
        <v>84</v>
      </c>
      <c r="C97" s="20"/>
      <c r="D97" s="20"/>
      <c r="E97" s="134"/>
      <c r="F97" s="134"/>
      <c r="G97" s="202"/>
      <c r="H97" s="202"/>
      <c r="I97" s="134"/>
      <c r="J97" s="497"/>
      <c r="K97" s="497"/>
      <c r="L97" s="497"/>
      <c r="M97" s="498"/>
      <c r="N97" s="565"/>
      <c r="O97" s="565"/>
      <c r="P97" s="566"/>
      <c r="Q97" s="575"/>
    </row>
    <row r="98" spans="1:17" ht="20.100000000000001" customHeight="1">
      <c r="A98" s="9">
        <v>1</v>
      </c>
      <c r="B98" s="13" t="s">
        <v>470</v>
      </c>
      <c r="C98" s="3" t="s">
        <v>471</v>
      </c>
      <c r="D98" s="15" t="s">
        <v>340</v>
      </c>
      <c r="E98" s="72">
        <v>762373.16666666698</v>
      </c>
      <c r="F98" s="72"/>
      <c r="G98" s="202"/>
      <c r="H98" s="202">
        <f>80000+10000</f>
        <v>90000</v>
      </c>
      <c r="I98" s="72"/>
      <c r="J98" s="490">
        <f>E98+F98+G98+H98+I98</f>
        <v>852373.16666666698</v>
      </c>
      <c r="K98" s="490">
        <v>541465.02474999998</v>
      </c>
      <c r="L98" s="490">
        <f>J98-K98</f>
        <v>310908.14191666699</v>
      </c>
      <c r="M98" s="492">
        <v>130407.52761066701</v>
      </c>
      <c r="N98" s="555">
        <v>82423.216202666707</v>
      </c>
      <c r="O98" s="556">
        <f>M98-N98</f>
        <v>47984.3114080003</v>
      </c>
      <c r="P98" s="557"/>
      <c r="Q98" s="570">
        <f>L98-O98</f>
        <v>262923.83050866699</v>
      </c>
    </row>
    <row r="99" spans="1:17" ht="20.100000000000001" customHeight="1">
      <c r="A99" s="9">
        <v>2</v>
      </c>
      <c r="B99" s="10" t="s">
        <v>473</v>
      </c>
      <c r="C99" s="3" t="s">
        <v>474</v>
      </c>
      <c r="D99" s="14" t="s">
        <v>450</v>
      </c>
      <c r="E99" s="72">
        <v>456622.25</v>
      </c>
      <c r="F99" s="72"/>
      <c r="G99" s="202"/>
      <c r="H99" s="202">
        <v>70000</v>
      </c>
      <c r="I99" s="72">
        <v>0</v>
      </c>
      <c r="J99" s="490">
        <f t="shared" ref="J99:J101" si="40">E99+F99+G99+H99+I99</f>
        <v>526622.25</v>
      </c>
      <c r="K99" s="490">
        <v>335272.06374999997</v>
      </c>
      <c r="L99" s="490">
        <f t="shared" ref="L99:L101" si="41">J99-K99</f>
        <v>191350.18625</v>
      </c>
      <c r="M99" s="492">
        <v>72764.420906666695</v>
      </c>
      <c r="N99" s="555">
        <v>43492.373376666699</v>
      </c>
      <c r="O99" s="556">
        <f>M99-N99</f>
        <v>29272.04753</v>
      </c>
      <c r="P99" s="557"/>
      <c r="Q99" s="570">
        <f t="shared" ref="Q99:Q101" si="42">L99-O99</f>
        <v>162078.13871999999</v>
      </c>
    </row>
    <row r="100" spans="1:17" ht="20.100000000000001" customHeight="1">
      <c r="A100" s="9">
        <v>3</v>
      </c>
      <c r="B100" s="10" t="s">
        <v>475</v>
      </c>
      <c r="C100" s="3" t="s">
        <v>476</v>
      </c>
      <c r="D100" s="14" t="s">
        <v>380</v>
      </c>
      <c r="E100" s="72">
        <v>377895.16666666698</v>
      </c>
      <c r="F100" s="72"/>
      <c r="G100" s="202"/>
      <c r="H100" s="202">
        <f>60000</f>
        <v>60000</v>
      </c>
      <c r="I100" s="72"/>
      <c r="J100" s="490">
        <f t="shared" si="40"/>
        <v>437895.16666666698</v>
      </c>
      <c r="K100" s="490">
        <v>284536.99849999999</v>
      </c>
      <c r="L100" s="490">
        <f t="shared" si="41"/>
        <v>153358.16816666699</v>
      </c>
      <c r="M100" s="492">
        <v>56938.068906666696</v>
      </c>
      <c r="N100" s="555">
        <v>34968.882414666703</v>
      </c>
      <c r="O100" s="556">
        <f>M100-N100</f>
        <v>21969.186492000001</v>
      </c>
      <c r="P100" s="557"/>
      <c r="Q100" s="570">
        <f t="shared" si="42"/>
        <v>131388.98167466701</v>
      </c>
    </row>
    <row r="101" spans="1:17" ht="20.100000000000001" customHeight="1">
      <c r="A101" s="9">
        <v>4</v>
      </c>
      <c r="B101" s="10" t="s">
        <v>477</v>
      </c>
      <c r="C101" s="3" t="s">
        <v>478</v>
      </c>
      <c r="D101" s="14" t="s">
        <v>409</v>
      </c>
      <c r="E101" s="202">
        <v>300965.58333333302</v>
      </c>
      <c r="F101" s="72"/>
      <c r="G101" s="202"/>
      <c r="H101" s="202">
        <f>60000</f>
        <v>60000</v>
      </c>
      <c r="I101" s="72"/>
      <c r="J101" s="490">
        <f t="shared" si="40"/>
        <v>360965.58333333302</v>
      </c>
      <c r="K101" s="490">
        <v>237734.04699999999</v>
      </c>
      <c r="L101" s="490">
        <f t="shared" si="41"/>
        <v>123231.536333333</v>
      </c>
      <c r="M101" s="492">
        <v>43763.907226666699</v>
      </c>
      <c r="N101" s="555">
        <v>27105.986562666702</v>
      </c>
      <c r="O101" s="556">
        <f>M101-N101</f>
        <v>16657.920664000001</v>
      </c>
      <c r="P101" s="557"/>
      <c r="Q101" s="570">
        <f t="shared" si="42"/>
        <v>106573.615669333</v>
      </c>
    </row>
    <row r="102" spans="1:17" ht="20.100000000000001" customHeight="1">
      <c r="A102" s="3"/>
      <c r="B102" s="19" t="s">
        <v>42</v>
      </c>
      <c r="C102" s="20">
        <v>4</v>
      </c>
      <c r="D102" s="25"/>
      <c r="E102" s="80">
        <f>SUM(E98:E101)</f>
        <v>1897856.16666667</v>
      </c>
      <c r="F102" s="80">
        <f t="shared" ref="F102:O102" si="43">SUM(F98:F101)</f>
        <v>0</v>
      </c>
      <c r="G102" s="80">
        <f t="shared" si="43"/>
        <v>0</v>
      </c>
      <c r="H102" s="80">
        <f t="shared" si="43"/>
        <v>280000</v>
      </c>
      <c r="I102" s="80">
        <f t="shared" si="43"/>
        <v>0</v>
      </c>
      <c r="J102" s="80">
        <f t="shared" si="43"/>
        <v>2177856.1666666698</v>
      </c>
      <c r="K102" s="80">
        <v>1399008.1340000001</v>
      </c>
      <c r="L102" s="80">
        <f t="shared" si="43"/>
        <v>778848.03266666702</v>
      </c>
      <c r="M102" s="80">
        <f t="shared" si="43"/>
        <v>303873.924650667</v>
      </c>
      <c r="N102" s="563">
        <v>187990.458556667</v>
      </c>
      <c r="O102" s="563">
        <f t="shared" si="43"/>
        <v>115883.466094</v>
      </c>
      <c r="P102" s="564"/>
      <c r="Q102" s="574">
        <f>SUM(Q98:Q101)</f>
        <v>662964.56657266698</v>
      </c>
    </row>
    <row r="103" spans="1:17" ht="20.100000000000001" customHeight="1">
      <c r="A103" s="3"/>
      <c r="B103" s="21"/>
      <c r="C103" s="20"/>
      <c r="D103" s="25"/>
      <c r="E103" s="134"/>
      <c r="F103" s="134"/>
      <c r="G103" s="202"/>
      <c r="H103" s="202"/>
      <c r="I103" s="134"/>
      <c r="J103" s="497"/>
      <c r="K103" s="497"/>
      <c r="L103" s="497"/>
      <c r="M103" s="498"/>
      <c r="N103" s="565"/>
      <c r="O103" s="565"/>
      <c r="P103" s="566"/>
      <c r="Q103" s="575"/>
    </row>
    <row r="104" spans="1:17" ht="20.100000000000001" customHeight="1">
      <c r="A104" s="3"/>
      <c r="B104" s="19" t="s">
        <v>479</v>
      </c>
      <c r="C104" s="3"/>
      <c r="D104" s="3"/>
      <c r="E104" s="3"/>
      <c r="F104" s="3"/>
      <c r="G104" s="202"/>
      <c r="H104" s="202"/>
      <c r="I104" s="3"/>
      <c r="J104" s="501"/>
      <c r="K104" s="501"/>
      <c r="L104" s="501"/>
      <c r="M104" s="502"/>
      <c r="N104" s="576"/>
      <c r="O104" s="576"/>
      <c r="P104" s="577"/>
      <c r="Q104" s="584"/>
    </row>
    <row r="105" spans="1:17" ht="20.100000000000001" customHeight="1">
      <c r="A105" s="3">
        <v>1</v>
      </c>
      <c r="B105" s="10" t="s">
        <v>480</v>
      </c>
      <c r="C105" s="11" t="s">
        <v>481</v>
      </c>
      <c r="D105" s="14" t="s">
        <v>405</v>
      </c>
      <c r="E105" s="72">
        <v>1435720</v>
      </c>
      <c r="F105" s="72"/>
      <c r="G105" s="202">
        <f>200000</f>
        <v>200000</v>
      </c>
      <c r="H105" s="202"/>
      <c r="I105" s="72">
        <v>0</v>
      </c>
      <c r="J105" s="490">
        <f>E105+F105+G105+H105+I105</f>
        <v>1635720</v>
      </c>
      <c r="K105" s="490">
        <v>1050209.0634999999</v>
      </c>
      <c r="L105" s="490">
        <f>J105-K105</f>
        <v>585510.93649999995</v>
      </c>
      <c r="M105" s="492">
        <v>270672.24746666697</v>
      </c>
      <c r="N105" s="555">
        <v>180306.806858667</v>
      </c>
      <c r="O105" s="556">
        <f t="shared" ref="O105:O111" si="44">M105-N105</f>
        <v>90365.440608000004</v>
      </c>
      <c r="P105" s="557"/>
      <c r="Q105" s="570">
        <f>L105-O105</f>
        <v>495145.49589199998</v>
      </c>
    </row>
    <row r="106" spans="1:17" ht="20.100000000000001" customHeight="1">
      <c r="A106" s="3">
        <v>2</v>
      </c>
      <c r="B106" s="10" t="s">
        <v>482</v>
      </c>
      <c r="C106" s="3" t="s">
        <v>483</v>
      </c>
      <c r="D106" s="15" t="s">
        <v>340</v>
      </c>
      <c r="E106" s="72">
        <v>762373.16666666698</v>
      </c>
      <c r="F106" s="72"/>
      <c r="G106" s="202">
        <f>160000+20000</f>
        <v>180000</v>
      </c>
      <c r="H106" s="202"/>
      <c r="I106" s="72">
        <v>0</v>
      </c>
      <c r="J106" s="490">
        <f t="shared" ref="J106:J111" si="45">E106+F106+G106+H106+I106</f>
        <v>942373.16666666698</v>
      </c>
      <c r="K106" s="490">
        <v>631465.02474999998</v>
      </c>
      <c r="L106" s="490">
        <f t="shared" ref="L106:L111" si="46">J106-K106</f>
        <v>310908.14191666699</v>
      </c>
      <c r="M106" s="492">
        <v>147687.52761066699</v>
      </c>
      <c r="N106" s="555">
        <v>99703.216202666707</v>
      </c>
      <c r="O106" s="556">
        <f t="shared" si="44"/>
        <v>47984.3114080003</v>
      </c>
      <c r="P106" s="557"/>
      <c r="Q106" s="570">
        <f t="shared" ref="Q106:Q111" si="47">L106-O106</f>
        <v>262923.83050866699</v>
      </c>
    </row>
    <row r="107" spans="1:17" ht="20.100000000000001" customHeight="1">
      <c r="A107" s="3">
        <v>3</v>
      </c>
      <c r="B107" s="10" t="s">
        <v>484</v>
      </c>
      <c r="C107" s="3" t="s">
        <v>485</v>
      </c>
      <c r="D107" s="9" t="s">
        <v>372</v>
      </c>
      <c r="E107" s="72">
        <v>441804.91666666698</v>
      </c>
      <c r="F107" s="72"/>
      <c r="G107" s="202">
        <f>120000</f>
        <v>120000</v>
      </c>
      <c r="H107" s="202"/>
      <c r="I107" s="72">
        <v>41432.938524999998</v>
      </c>
      <c r="J107" s="490">
        <f t="shared" si="45"/>
        <v>603237.85519166698</v>
      </c>
      <c r="K107" s="490">
        <v>418096.01602500002</v>
      </c>
      <c r="L107" s="490">
        <f t="shared" si="46"/>
        <v>185141.83916666699</v>
      </c>
      <c r="M107" s="492">
        <v>87575.782703466699</v>
      </c>
      <c r="N107" s="555">
        <v>58814.673103466703</v>
      </c>
      <c r="O107" s="556">
        <f t="shared" si="44"/>
        <v>28761.1096</v>
      </c>
      <c r="P107" s="557"/>
      <c r="Q107" s="570">
        <f t="shared" si="47"/>
        <v>156380.729566667</v>
      </c>
    </row>
    <row r="108" spans="1:17" ht="20.100000000000001" customHeight="1">
      <c r="A108" s="3">
        <v>4</v>
      </c>
      <c r="B108" s="10" t="s">
        <v>486</v>
      </c>
      <c r="C108" s="3" t="s">
        <v>485</v>
      </c>
      <c r="D108" s="9" t="s">
        <v>372</v>
      </c>
      <c r="E108" s="72">
        <v>441804.91666666698</v>
      </c>
      <c r="F108" s="72"/>
      <c r="G108" s="202">
        <f>120000</f>
        <v>120000</v>
      </c>
      <c r="H108" s="202"/>
      <c r="I108" s="72">
        <v>39820.116654999998</v>
      </c>
      <c r="J108" s="490">
        <f t="shared" si="45"/>
        <v>601625.033321667</v>
      </c>
      <c r="K108" s="490">
        <v>416483.19415499998</v>
      </c>
      <c r="L108" s="490">
        <f t="shared" si="46"/>
        <v>185141.83916666699</v>
      </c>
      <c r="M108" s="492">
        <v>87392.5495444267</v>
      </c>
      <c r="N108" s="555">
        <v>58631.439944426696</v>
      </c>
      <c r="O108" s="556">
        <f t="shared" si="44"/>
        <v>28761.1096</v>
      </c>
      <c r="P108" s="557"/>
      <c r="Q108" s="570">
        <f t="shared" si="47"/>
        <v>156380.729566667</v>
      </c>
    </row>
    <row r="109" spans="1:17" ht="20.100000000000001" customHeight="1">
      <c r="A109" s="3">
        <v>5</v>
      </c>
      <c r="B109" s="10" t="s">
        <v>487</v>
      </c>
      <c r="C109" s="3" t="s">
        <v>488</v>
      </c>
      <c r="D109" s="14" t="s">
        <v>489</v>
      </c>
      <c r="E109" s="202">
        <v>249148.41666666701</v>
      </c>
      <c r="F109" s="72"/>
      <c r="G109" s="202">
        <f>100000</f>
        <v>100000</v>
      </c>
      <c r="H109" s="202"/>
      <c r="I109" s="72">
        <v>25333.447479999999</v>
      </c>
      <c r="J109" s="490">
        <f t="shared" si="45"/>
        <v>374481.86414666701</v>
      </c>
      <c r="K109" s="490">
        <v>266099.21747999999</v>
      </c>
      <c r="L109" s="490">
        <f t="shared" si="46"/>
        <v>108382.646666667</v>
      </c>
      <c r="M109" s="492">
        <v>46740.264902826697</v>
      </c>
      <c r="N109" s="555">
        <v>31871.335203306699</v>
      </c>
      <c r="O109" s="556">
        <f t="shared" si="44"/>
        <v>14868.92969952</v>
      </c>
      <c r="P109" s="557"/>
      <c r="Q109" s="570">
        <f t="shared" si="47"/>
        <v>93513.716967147004</v>
      </c>
    </row>
    <row r="110" spans="1:17" ht="20.100000000000001" customHeight="1">
      <c r="A110" s="3">
        <v>6</v>
      </c>
      <c r="B110" s="17" t="s">
        <v>490</v>
      </c>
      <c r="C110" s="3" t="s">
        <v>488</v>
      </c>
      <c r="D110" s="9" t="s">
        <v>491</v>
      </c>
      <c r="E110" s="202">
        <v>242976.25</v>
      </c>
      <c r="F110" s="72"/>
      <c r="G110" s="202">
        <f>100000</f>
        <v>100000</v>
      </c>
      <c r="H110" s="202"/>
      <c r="I110" s="72">
        <v>24949.771000000001</v>
      </c>
      <c r="J110" s="490">
        <f t="shared" si="45"/>
        <v>367926.02100000001</v>
      </c>
      <c r="K110" s="490">
        <v>262229.04100000003</v>
      </c>
      <c r="L110" s="490">
        <f t="shared" si="46"/>
        <v>105696.98</v>
      </c>
      <c r="M110" s="492">
        <v>45712.637394666701</v>
      </c>
      <c r="N110" s="555">
        <v>31221.145554666698</v>
      </c>
      <c r="O110" s="556">
        <f t="shared" si="44"/>
        <v>14491.491840000001</v>
      </c>
      <c r="P110" s="557"/>
      <c r="Q110" s="570">
        <f t="shared" si="47"/>
        <v>91205.488159999994</v>
      </c>
    </row>
    <row r="111" spans="1:17" ht="20.100000000000001" customHeight="1">
      <c r="A111" s="3">
        <v>7</v>
      </c>
      <c r="B111" s="17" t="s">
        <v>492</v>
      </c>
      <c r="C111" s="3" t="s">
        <v>488</v>
      </c>
      <c r="D111" s="14" t="s">
        <v>399</v>
      </c>
      <c r="E111" s="202">
        <v>230631.91666666701</v>
      </c>
      <c r="F111" s="72"/>
      <c r="G111" s="202">
        <f t="shared" ref="G111" si="48">100000</f>
        <v>100000</v>
      </c>
      <c r="H111" s="202"/>
      <c r="I111" s="72">
        <v>24566.195445000001</v>
      </c>
      <c r="J111" s="490">
        <f t="shared" si="45"/>
        <v>355198.112111667</v>
      </c>
      <c r="K111" s="490">
        <v>254870.26344499999</v>
      </c>
      <c r="L111" s="490">
        <f t="shared" si="46"/>
        <v>100327.84866666701</v>
      </c>
      <c r="M111" s="492">
        <v>43740.256541426701</v>
      </c>
      <c r="N111" s="555">
        <v>29984.870925426701</v>
      </c>
      <c r="O111" s="556">
        <f t="shared" si="44"/>
        <v>13755.385616</v>
      </c>
      <c r="P111" s="557"/>
      <c r="Q111" s="570">
        <f t="shared" si="47"/>
        <v>86572.463050666993</v>
      </c>
    </row>
    <row r="112" spans="1:17" ht="25.5" customHeight="1">
      <c r="A112" s="3"/>
      <c r="B112" s="19" t="s">
        <v>42</v>
      </c>
      <c r="C112" s="20">
        <v>7</v>
      </c>
      <c r="D112" s="3"/>
      <c r="E112" s="205">
        <f>SUM(E105:E111)</f>
        <v>3804459.5833333302</v>
      </c>
      <c r="F112" s="205">
        <f t="shared" ref="F112:O112" si="49">SUM(F105:F111)</f>
        <v>0</v>
      </c>
      <c r="G112" s="205">
        <f t="shared" si="49"/>
        <v>920000</v>
      </c>
      <c r="H112" s="205">
        <f t="shared" si="49"/>
        <v>0</v>
      </c>
      <c r="I112" s="205">
        <f t="shared" si="49"/>
        <v>156102.469105</v>
      </c>
      <c r="J112" s="205">
        <f t="shared" si="49"/>
        <v>4880562.0524383401</v>
      </c>
      <c r="K112" s="205">
        <v>3299451.820355</v>
      </c>
      <c r="L112" s="205">
        <f t="shared" si="49"/>
        <v>1581110.2320833399</v>
      </c>
      <c r="M112" s="205">
        <f t="shared" si="49"/>
        <v>729521.26616414799</v>
      </c>
      <c r="N112" s="578">
        <v>490533.48779262701</v>
      </c>
      <c r="O112" s="578">
        <f t="shared" si="49"/>
        <v>238987.77837151999</v>
      </c>
      <c r="P112" s="579"/>
      <c r="Q112" s="585">
        <f>SUM(Q105:Q111)</f>
        <v>1342122.4537118101</v>
      </c>
    </row>
    <row r="113" spans="1:17" ht="20.100000000000001" customHeight="1">
      <c r="A113" s="3"/>
      <c r="B113" s="19"/>
      <c r="C113" s="20"/>
      <c r="D113" s="3"/>
      <c r="E113" s="205"/>
      <c r="F113" s="205"/>
      <c r="G113" s="499"/>
      <c r="H113" s="499"/>
      <c r="I113" s="205"/>
      <c r="J113" s="503"/>
      <c r="K113" s="503"/>
      <c r="L113" s="503"/>
      <c r="M113" s="504"/>
      <c r="N113" s="580"/>
      <c r="O113" s="580"/>
      <c r="P113" s="579"/>
      <c r="Q113" s="586"/>
    </row>
    <row r="114" spans="1:17" ht="20.100000000000001" customHeight="1">
      <c r="A114" s="9"/>
      <c r="B114" s="19" t="s">
        <v>242</v>
      </c>
      <c r="C114" s="20"/>
      <c r="D114" s="20"/>
      <c r="E114" s="134"/>
      <c r="F114" s="134"/>
      <c r="G114" s="202"/>
      <c r="H114" s="202"/>
      <c r="I114" s="134"/>
      <c r="J114" s="497"/>
      <c r="K114" s="497"/>
      <c r="L114" s="497"/>
      <c r="M114" s="498"/>
      <c r="N114" s="565"/>
      <c r="O114" s="565"/>
      <c r="P114" s="566"/>
      <c r="Q114" s="575"/>
    </row>
    <row r="115" spans="1:17" ht="20.100000000000001" customHeight="1">
      <c r="A115" s="9">
        <v>1</v>
      </c>
      <c r="B115" s="13" t="s">
        <v>493</v>
      </c>
      <c r="C115" s="3" t="s">
        <v>418</v>
      </c>
      <c r="D115" s="9" t="s">
        <v>435</v>
      </c>
      <c r="E115" s="72">
        <v>601396.83333333302</v>
      </c>
      <c r="F115" s="72"/>
      <c r="G115" s="202">
        <v>160000</v>
      </c>
      <c r="H115" s="202"/>
      <c r="I115" s="72">
        <v>0</v>
      </c>
      <c r="J115" s="490">
        <f>E115+F115+G115+H115+I115</f>
        <v>761396.83333333302</v>
      </c>
      <c r="K115" s="490">
        <v>516137.05</v>
      </c>
      <c r="L115" s="490">
        <f>J115-K115</f>
        <v>245259.78333333301</v>
      </c>
      <c r="M115" s="492">
        <v>115462.53994666701</v>
      </c>
      <c r="N115" s="555">
        <v>77610.116906666706</v>
      </c>
      <c r="O115" s="556">
        <f>M115-N115</f>
        <v>37852.4230400003</v>
      </c>
      <c r="P115" s="557"/>
      <c r="Q115" s="570">
        <f>L115-O115</f>
        <v>207407.36029333301</v>
      </c>
    </row>
    <row r="116" spans="1:17" ht="18.75" customHeight="1">
      <c r="A116" s="9">
        <v>2</v>
      </c>
      <c r="B116" s="10" t="s">
        <v>494</v>
      </c>
      <c r="C116" s="3" t="s">
        <v>495</v>
      </c>
      <c r="D116" s="14" t="s">
        <v>380</v>
      </c>
      <c r="E116" s="72">
        <v>377895.16666666698</v>
      </c>
      <c r="F116" s="72"/>
      <c r="G116" s="202">
        <v>110000</v>
      </c>
      <c r="H116" s="202">
        <v>0</v>
      </c>
      <c r="I116" s="72"/>
      <c r="J116" s="490">
        <f t="shared" ref="J116:J117" si="50">E116+F116+G116+H116+I116</f>
        <v>487895.16666666698</v>
      </c>
      <c r="K116" s="490">
        <v>334536.99849999999</v>
      </c>
      <c r="L116" s="490">
        <f t="shared" ref="L116:L117" si="51">J116-K116</f>
        <v>153358.16816666699</v>
      </c>
      <c r="M116" s="492">
        <v>66538.068906666696</v>
      </c>
      <c r="N116" s="555">
        <v>43368.882414666703</v>
      </c>
      <c r="O116" s="556">
        <f>M116-N116</f>
        <v>23169.186492000001</v>
      </c>
      <c r="P116" s="557"/>
      <c r="Q116" s="570">
        <f t="shared" ref="Q116:Q117" si="52">L116-O116</f>
        <v>130188.981674667</v>
      </c>
    </row>
    <row r="117" spans="1:17" ht="20.100000000000001" customHeight="1">
      <c r="A117" s="9">
        <v>3</v>
      </c>
      <c r="B117" s="10" t="s">
        <v>496</v>
      </c>
      <c r="C117" s="11" t="s">
        <v>497</v>
      </c>
      <c r="D117" s="14" t="s">
        <v>498</v>
      </c>
      <c r="E117" s="72">
        <v>390086.5</v>
      </c>
      <c r="F117" s="72"/>
      <c r="G117" s="202"/>
      <c r="H117" s="202">
        <f>60000</f>
        <v>60000</v>
      </c>
      <c r="I117" s="72"/>
      <c r="J117" s="490">
        <f t="shared" si="50"/>
        <v>450086.5</v>
      </c>
      <c r="K117" s="490">
        <v>286619.99875000003</v>
      </c>
      <c r="L117" s="490">
        <f t="shared" si="51"/>
        <v>163466.50125</v>
      </c>
      <c r="M117" s="492">
        <v>58980.834746666696</v>
      </c>
      <c r="N117" s="555">
        <v>35221.954086666701</v>
      </c>
      <c r="O117" s="556">
        <f>M117-N117</f>
        <v>23758.880659999999</v>
      </c>
      <c r="P117" s="557"/>
      <c r="Q117" s="570">
        <f t="shared" si="52"/>
        <v>139707.62059000001</v>
      </c>
    </row>
    <row r="118" spans="1:17" ht="24.75" customHeight="1">
      <c r="A118" s="3"/>
      <c r="B118" s="19" t="s">
        <v>42</v>
      </c>
      <c r="C118" s="20">
        <v>2</v>
      </c>
      <c r="D118" s="25"/>
      <c r="E118" s="80">
        <f>SUM(E115:E117)</f>
        <v>1369378.5</v>
      </c>
      <c r="F118" s="80">
        <f t="shared" ref="F118:O118" si="53">SUM(F115:F117)</f>
        <v>0</v>
      </c>
      <c r="G118" s="80">
        <f t="shared" si="53"/>
        <v>270000</v>
      </c>
      <c r="H118" s="80">
        <f t="shared" si="53"/>
        <v>60000</v>
      </c>
      <c r="I118" s="80">
        <f t="shared" si="53"/>
        <v>0</v>
      </c>
      <c r="J118" s="80">
        <f t="shared" si="53"/>
        <v>1699378.5</v>
      </c>
      <c r="K118" s="80">
        <v>1137294.0472500001</v>
      </c>
      <c r="L118" s="80">
        <f t="shared" si="53"/>
        <v>562084.45275000005</v>
      </c>
      <c r="M118" s="80">
        <f t="shared" si="53"/>
        <v>240981.4436</v>
      </c>
      <c r="N118" s="563">
        <v>156200.953408</v>
      </c>
      <c r="O118" s="563">
        <f t="shared" si="53"/>
        <v>84780.490192000303</v>
      </c>
      <c r="P118" s="564"/>
      <c r="Q118" s="574">
        <f>SUM(Q115:Q117)</f>
        <v>477303.962558</v>
      </c>
    </row>
    <row r="119" spans="1:17" ht="20.100000000000001" customHeight="1">
      <c r="A119" s="3"/>
      <c r="B119" s="21"/>
      <c r="C119" s="9"/>
      <c r="D119" s="3"/>
      <c r="E119" s="206"/>
      <c r="F119" s="8"/>
      <c r="G119" s="202"/>
      <c r="H119" s="202"/>
      <c r="I119" s="206"/>
      <c r="J119" s="505"/>
      <c r="K119" s="505"/>
      <c r="L119" s="505"/>
      <c r="M119" s="506"/>
      <c r="N119" s="581"/>
      <c r="O119" s="581"/>
      <c r="P119" s="582"/>
      <c r="Q119" s="587"/>
    </row>
    <row r="120" spans="1:17" ht="20.100000000000001" customHeight="1">
      <c r="A120" s="3"/>
      <c r="B120" s="19" t="s">
        <v>97</v>
      </c>
      <c r="C120" s="20"/>
      <c r="D120" s="20"/>
      <c r="E120" s="134"/>
      <c r="F120" s="134"/>
      <c r="G120" s="202"/>
      <c r="H120" s="202"/>
      <c r="I120" s="134"/>
      <c r="J120" s="497"/>
      <c r="K120" s="497"/>
      <c r="L120" s="497"/>
      <c r="M120" s="498"/>
      <c r="N120" s="565"/>
      <c r="O120" s="565"/>
      <c r="P120" s="566"/>
      <c r="Q120" s="575"/>
    </row>
    <row r="121" spans="1:17" ht="20.100000000000001" customHeight="1">
      <c r="A121" s="3">
        <v>1</v>
      </c>
      <c r="B121" s="10" t="s">
        <v>499</v>
      </c>
      <c r="C121" s="11" t="s">
        <v>500</v>
      </c>
      <c r="D121" s="14" t="s">
        <v>405</v>
      </c>
      <c r="E121" s="72">
        <v>1435720</v>
      </c>
      <c r="F121" s="72"/>
      <c r="G121" s="202"/>
      <c r="H121" s="202">
        <f>100000</f>
        <v>100000</v>
      </c>
      <c r="I121" s="72">
        <v>100000</v>
      </c>
      <c r="J121" s="490">
        <f>E121+F121+G121+H121+I121</f>
        <v>1635720</v>
      </c>
      <c r="K121" s="490">
        <v>1050209.0634999999</v>
      </c>
      <c r="L121" s="490">
        <f>J121-K121</f>
        <v>585510.93649999995</v>
      </c>
      <c r="M121" s="492">
        <v>270279.89537066699</v>
      </c>
      <c r="N121" s="555">
        <v>179914.45476266701</v>
      </c>
      <c r="O121" s="556">
        <f t="shared" ref="O121:O130" si="54">M121-N121</f>
        <v>90365.440608000004</v>
      </c>
      <c r="P121" s="557"/>
      <c r="Q121" s="570">
        <f>L121-O121</f>
        <v>495145.49589199998</v>
      </c>
    </row>
    <row r="122" spans="1:17" ht="20.100000000000001" customHeight="1">
      <c r="A122" s="3">
        <v>2</v>
      </c>
      <c r="B122" s="10" t="s">
        <v>178</v>
      </c>
      <c r="C122" s="11" t="s">
        <v>501</v>
      </c>
      <c r="D122" s="14" t="s">
        <v>416</v>
      </c>
      <c r="E122" s="72">
        <v>739203.58333333302</v>
      </c>
      <c r="F122" s="72"/>
      <c r="G122" s="202"/>
      <c r="H122" s="202">
        <f>90000</f>
        <v>90000</v>
      </c>
      <c r="I122" s="72">
        <v>100000</v>
      </c>
      <c r="J122" s="490">
        <f t="shared" ref="J122:J130" si="55">E122+F122+G122+H122+I122</f>
        <v>929203.58333333302</v>
      </c>
      <c r="K122" s="490">
        <v>627743.99575</v>
      </c>
      <c r="L122" s="490">
        <f t="shared" ref="L122:L130" si="56">J122-K122</f>
        <v>301459.58758333302</v>
      </c>
      <c r="M122" s="492">
        <v>145522.03071466699</v>
      </c>
      <c r="N122" s="555">
        <v>98995.956938666699</v>
      </c>
      <c r="O122" s="556">
        <f t="shared" si="54"/>
        <v>46526.073776000303</v>
      </c>
      <c r="P122" s="557"/>
      <c r="Q122" s="570">
        <f t="shared" ref="Q122:Q130" si="57">L122-O122</f>
        <v>254933.51380733299</v>
      </c>
    </row>
    <row r="123" spans="1:17" ht="20.100000000000001" customHeight="1">
      <c r="A123" s="3">
        <v>3</v>
      </c>
      <c r="B123" s="13" t="s">
        <v>502</v>
      </c>
      <c r="C123" s="11" t="s">
        <v>337</v>
      </c>
      <c r="D123" s="14" t="s">
        <v>358</v>
      </c>
      <c r="E123" s="72">
        <v>620675.58333333302</v>
      </c>
      <c r="F123" s="72"/>
      <c r="G123" s="202"/>
      <c r="H123" s="202">
        <f t="shared" si="4"/>
        <v>80000</v>
      </c>
      <c r="I123" s="72">
        <f>100000+30000</f>
        <v>130000</v>
      </c>
      <c r="J123" s="490">
        <f t="shared" si="55"/>
        <v>830675.58333333302</v>
      </c>
      <c r="K123" s="490">
        <v>577553.50249999994</v>
      </c>
      <c r="L123" s="490">
        <f t="shared" si="56"/>
        <v>253122.08083333299</v>
      </c>
      <c r="M123" s="492">
        <v>128461.965706667</v>
      </c>
      <c r="N123" s="555">
        <v>89396.103146666603</v>
      </c>
      <c r="O123" s="556">
        <f t="shared" si="54"/>
        <v>39065.862560000402</v>
      </c>
      <c r="P123" s="557"/>
      <c r="Q123" s="570">
        <f t="shared" si="57"/>
        <v>214056.21827333301</v>
      </c>
    </row>
    <row r="124" spans="1:17" ht="20.100000000000001" customHeight="1">
      <c r="A124" s="3">
        <v>4</v>
      </c>
      <c r="B124" s="13" t="s">
        <v>336</v>
      </c>
      <c r="C124" s="11" t="s">
        <v>337</v>
      </c>
      <c r="D124" s="14" t="s">
        <v>99</v>
      </c>
      <c r="E124" s="72">
        <v>582118.08333333302</v>
      </c>
      <c r="F124" s="72"/>
      <c r="G124" s="202"/>
      <c r="H124" s="202">
        <f t="shared" si="4"/>
        <v>80000</v>
      </c>
      <c r="I124" s="72">
        <v>0</v>
      </c>
      <c r="J124" s="490">
        <f t="shared" si="55"/>
        <v>662118.08333333302</v>
      </c>
      <c r="K124" s="490">
        <v>424729.22200000001</v>
      </c>
      <c r="L124" s="490">
        <f t="shared" si="56"/>
        <v>237388.86133333301</v>
      </c>
      <c r="M124" s="492">
        <v>105793.338666667</v>
      </c>
      <c r="N124" s="555">
        <v>60214.677290666703</v>
      </c>
      <c r="O124" s="556">
        <f t="shared" si="54"/>
        <v>45578.661376000302</v>
      </c>
      <c r="P124" s="557"/>
      <c r="Q124" s="570">
        <f t="shared" si="57"/>
        <v>191810.19995733301</v>
      </c>
    </row>
    <row r="125" spans="1:17" ht="20.100000000000001" customHeight="1">
      <c r="A125" s="3">
        <v>5</v>
      </c>
      <c r="B125" s="10" t="s">
        <v>503</v>
      </c>
      <c r="C125" s="11" t="s">
        <v>504</v>
      </c>
      <c r="D125" s="14" t="s">
        <v>366</v>
      </c>
      <c r="E125" s="72">
        <v>470498</v>
      </c>
      <c r="F125" s="72"/>
      <c r="G125" s="202"/>
      <c r="H125" s="202">
        <f>70000</f>
        <v>70000</v>
      </c>
      <c r="I125" s="72">
        <v>0</v>
      </c>
      <c r="J125" s="490">
        <f t="shared" si="55"/>
        <v>540498</v>
      </c>
      <c r="K125" s="490">
        <v>343333.03525000002</v>
      </c>
      <c r="L125" s="490">
        <f t="shared" si="56"/>
        <v>197164.96475000001</v>
      </c>
      <c r="M125" s="492">
        <v>75215.4333866667</v>
      </c>
      <c r="N125" s="555">
        <v>44846.6165886667</v>
      </c>
      <c r="O125" s="556">
        <f t="shared" si="54"/>
        <v>30368.816798</v>
      </c>
      <c r="P125" s="557"/>
      <c r="Q125" s="570">
        <f t="shared" si="57"/>
        <v>166796.147952</v>
      </c>
    </row>
    <row r="126" spans="1:17" ht="20.100000000000001" customHeight="1">
      <c r="A126" s="3">
        <v>6</v>
      </c>
      <c r="B126" s="10" t="s">
        <v>505</v>
      </c>
      <c r="C126" s="11" t="s">
        <v>506</v>
      </c>
      <c r="D126" s="14" t="s">
        <v>369</v>
      </c>
      <c r="E126" s="72">
        <v>442746.5</v>
      </c>
      <c r="F126" s="72"/>
      <c r="G126" s="202"/>
      <c r="H126" s="202">
        <f t="shared" ref="H126:H127" si="58">70000</f>
        <v>70000</v>
      </c>
      <c r="I126" s="72">
        <v>0</v>
      </c>
      <c r="J126" s="490">
        <f t="shared" si="55"/>
        <v>512746.5</v>
      </c>
      <c r="K126" s="490">
        <v>327211.36749999999</v>
      </c>
      <c r="L126" s="490">
        <f t="shared" si="56"/>
        <v>185535.13250000001</v>
      </c>
      <c r="M126" s="492">
        <v>70189.308746666706</v>
      </c>
      <c r="N126" s="555">
        <v>42029.589186666701</v>
      </c>
      <c r="O126" s="556">
        <f t="shared" si="54"/>
        <v>28159.719560000001</v>
      </c>
      <c r="P126" s="557"/>
      <c r="Q126" s="570">
        <f t="shared" si="57"/>
        <v>157375.41294000001</v>
      </c>
    </row>
    <row r="127" spans="1:17" ht="20.100000000000001" customHeight="1">
      <c r="A127" s="3">
        <v>7</v>
      </c>
      <c r="B127" s="10" t="s">
        <v>507</v>
      </c>
      <c r="C127" s="11" t="s">
        <v>504</v>
      </c>
      <c r="D127" s="14" t="s">
        <v>450</v>
      </c>
      <c r="E127" s="72">
        <v>456622.25</v>
      </c>
      <c r="F127" s="72"/>
      <c r="G127" s="202"/>
      <c r="H127" s="202">
        <f t="shared" si="58"/>
        <v>70000</v>
      </c>
      <c r="I127" s="72"/>
      <c r="J127" s="490">
        <f t="shared" si="55"/>
        <v>526622.25</v>
      </c>
      <c r="K127" s="490">
        <v>335272.06374999997</v>
      </c>
      <c r="L127" s="490">
        <f t="shared" si="56"/>
        <v>191350.18625</v>
      </c>
      <c r="M127" s="492">
        <v>72636.104186666693</v>
      </c>
      <c r="N127" s="555">
        <v>43380.096246666697</v>
      </c>
      <c r="O127" s="556">
        <f t="shared" si="54"/>
        <v>29256.00794</v>
      </c>
      <c r="P127" s="557"/>
      <c r="Q127" s="570">
        <f t="shared" si="57"/>
        <v>162094.17830999999</v>
      </c>
    </row>
    <row r="128" spans="1:17" ht="20.100000000000001" customHeight="1">
      <c r="A128" s="3">
        <v>8</v>
      </c>
      <c r="B128" s="10" t="s">
        <v>508</v>
      </c>
      <c r="C128" s="11" t="s">
        <v>509</v>
      </c>
      <c r="D128" s="9" t="s">
        <v>387</v>
      </c>
      <c r="E128" s="72">
        <v>270481.66666666698</v>
      </c>
      <c r="F128" s="72"/>
      <c r="G128" s="202"/>
      <c r="H128" s="202">
        <f>60000</f>
        <v>60000</v>
      </c>
      <c r="I128" s="72"/>
      <c r="J128" s="490">
        <f t="shared" si="55"/>
        <v>330481.66666666698</v>
      </c>
      <c r="K128" s="490">
        <v>213508.01</v>
      </c>
      <c r="L128" s="490">
        <f t="shared" si="56"/>
        <v>116973.656666667</v>
      </c>
      <c r="M128" s="492">
        <v>39052.313066666698</v>
      </c>
      <c r="N128" s="555">
        <v>23036.012346666699</v>
      </c>
      <c r="O128" s="556">
        <f t="shared" si="54"/>
        <v>16016.300719999999</v>
      </c>
      <c r="P128" s="557"/>
      <c r="Q128" s="570">
        <f t="shared" si="57"/>
        <v>100957.355946667</v>
      </c>
    </row>
    <row r="129" spans="1:17" ht="20.100000000000001" customHeight="1">
      <c r="A129" s="3">
        <v>9</v>
      </c>
      <c r="B129" s="17" t="s">
        <v>510</v>
      </c>
      <c r="C129" s="11" t="s">
        <v>511</v>
      </c>
      <c r="D129" s="14" t="s">
        <v>402</v>
      </c>
      <c r="E129" s="72">
        <v>224459.75</v>
      </c>
      <c r="F129" s="72"/>
      <c r="G129" s="202"/>
      <c r="H129" s="202">
        <f>50000</f>
        <v>50000</v>
      </c>
      <c r="I129" s="72"/>
      <c r="J129" s="490">
        <f t="shared" si="55"/>
        <v>274459.75</v>
      </c>
      <c r="K129" s="490">
        <v>176816.1</v>
      </c>
      <c r="L129" s="490">
        <f t="shared" si="56"/>
        <v>97643.65</v>
      </c>
      <c r="M129" s="492">
        <v>30259.165626666701</v>
      </c>
      <c r="N129" s="555">
        <v>17042.713866666702</v>
      </c>
      <c r="O129" s="556">
        <f t="shared" si="54"/>
        <v>13216.45176</v>
      </c>
      <c r="P129" s="557"/>
      <c r="Q129" s="570">
        <f t="shared" si="57"/>
        <v>84427.198239999998</v>
      </c>
    </row>
    <row r="130" spans="1:17" ht="20.100000000000001" customHeight="1">
      <c r="A130" s="3">
        <v>10</v>
      </c>
      <c r="B130" s="17" t="s">
        <v>512</v>
      </c>
      <c r="C130" s="11" t="s">
        <v>248</v>
      </c>
      <c r="D130" s="14" t="s">
        <v>402</v>
      </c>
      <c r="E130" s="72">
        <v>224459.75</v>
      </c>
      <c r="F130" s="72"/>
      <c r="G130" s="202"/>
      <c r="H130" s="202">
        <v>50000</v>
      </c>
      <c r="I130" s="72"/>
      <c r="J130" s="490">
        <f t="shared" si="55"/>
        <v>274459.75</v>
      </c>
      <c r="K130" s="490">
        <v>176816.1</v>
      </c>
      <c r="L130" s="490">
        <f t="shared" si="56"/>
        <v>97643.65</v>
      </c>
      <c r="M130" s="492">
        <v>30259.165626666701</v>
      </c>
      <c r="N130" s="555">
        <v>17042.713866666702</v>
      </c>
      <c r="O130" s="556">
        <f t="shared" si="54"/>
        <v>13216.45176</v>
      </c>
      <c r="P130" s="557"/>
      <c r="Q130" s="570">
        <f t="shared" si="57"/>
        <v>84427.198239999998</v>
      </c>
    </row>
    <row r="131" spans="1:17" ht="28.5" customHeight="1">
      <c r="A131" s="3"/>
      <c r="B131" s="19" t="s">
        <v>42</v>
      </c>
      <c r="C131" s="25" t="s">
        <v>513</v>
      </c>
      <c r="D131" s="14"/>
      <c r="E131" s="134">
        <f>SUM(E121:E130)</f>
        <v>5466985.1666666698</v>
      </c>
      <c r="F131" s="134">
        <f t="shared" ref="F131:O131" si="59">SUM(F121:F130)</f>
        <v>0</v>
      </c>
      <c r="G131" s="134">
        <f t="shared" si="59"/>
        <v>0</v>
      </c>
      <c r="H131" s="134">
        <f t="shared" si="59"/>
        <v>720000</v>
      </c>
      <c r="I131" s="134">
        <f t="shared" si="59"/>
        <v>330000</v>
      </c>
      <c r="J131" s="134">
        <f t="shared" si="59"/>
        <v>6516985.1666666698</v>
      </c>
      <c r="K131" s="134">
        <v>4253192.4602499995</v>
      </c>
      <c r="L131" s="134">
        <f t="shared" si="59"/>
        <v>2263792.7064166698</v>
      </c>
      <c r="M131" s="134">
        <f t="shared" si="59"/>
        <v>967668.72109866794</v>
      </c>
      <c r="N131" s="588">
        <v>615898.93424066703</v>
      </c>
      <c r="O131" s="588">
        <f t="shared" si="59"/>
        <v>351769.78685800103</v>
      </c>
      <c r="P131" s="566"/>
      <c r="Q131" s="589">
        <f>SUM(Q121:Q130)</f>
        <v>1912022.9195586699</v>
      </c>
    </row>
    <row r="132" spans="1:17" ht="20.100000000000001" customHeight="1">
      <c r="A132" s="3"/>
      <c r="B132" s="21"/>
      <c r="C132" s="25"/>
      <c r="D132" s="14"/>
      <c r="E132" s="134"/>
      <c r="F132" s="134"/>
      <c r="G132" s="202"/>
      <c r="H132" s="202"/>
      <c r="I132" s="134"/>
      <c r="J132" s="497"/>
      <c r="K132" s="497"/>
      <c r="L132" s="497"/>
      <c r="M132" s="498"/>
      <c r="N132" s="565"/>
      <c r="O132" s="565"/>
      <c r="P132" s="566"/>
      <c r="Q132" s="575"/>
    </row>
    <row r="133" spans="1:17" ht="20.100000000000001" customHeight="1">
      <c r="A133" s="3"/>
      <c r="B133" s="19" t="s">
        <v>103</v>
      </c>
      <c r="C133" s="11"/>
      <c r="D133" s="14"/>
      <c r="E133" s="72"/>
      <c r="F133" s="72"/>
      <c r="G133" s="202"/>
      <c r="H133" s="202"/>
      <c r="I133" s="72"/>
      <c r="J133" s="490"/>
      <c r="K133" s="490"/>
      <c r="L133" s="490"/>
      <c r="M133" s="491"/>
      <c r="N133" s="555"/>
      <c r="O133" s="555"/>
      <c r="P133" s="561"/>
      <c r="Q133" s="573"/>
    </row>
    <row r="134" spans="1:17" ht="20.100000000000001" customHeight="1">
      <c r="A134" s="26">
        <v>1</v>
      </c>
      <c r="B134" s="10" t="s">
        <v>514</v>
      </c>
      <c r="C134" s="11" t="s">
        <v>515</v>
      </c>
      <c r="D134" s="14" t="s">
        <v>405</v>
      </c>
      <c r="E134" s="72">
        <v>1435720</v>
      </c>
      <c r="F134" s="72"/>
      <c r="G134" s="202"/>
      <c r="H134" s="202">
        <f>100000</f>
        <v>100000</v>
      </c>
      <c r="I134" s="72">
        <v>0</v>
      </c>
      <c r="J134" s="490">
        <f>E134+F134+G134+H134+I134</f>
        <v>1535720</v>
      </c>
      <c r="K134" s="490">
        <v>950209.06350000005</v>
      </c>
      <c r="L134" s="490">
        <f>J134-K134</f>
        <v>585510.93649999995</v>
      </c>
      <c r="M134" s="492">
        <v>251472.247466667</v>
      </c>
      <c r="N134" s="555">
        <v>161106.806858667</v>
      </c>
      <c r="O134" s="556">
        <f t="shared" ref="O134:O192" si="60">M134-N134</f>
        <v>90365.440608000004</v>
      </c>
      <c r="P134" s="557"/>
      <c r="Q134" s="570">
        <f>L134-O134</f>
        <v>495145.49589199998</v>
      </c>
    </row>
    <row r="135" spans="1:17" ht="20.100000000000001" customHeight="1">
      <c r="A135" s="26">
        <v>2</v>
      </c>
      <c r="B135" s="10" t="s">
        <v>338</v>
      </c>
      <c r="C135" s="11" t="s">
        <v>339</v>
      </c>
      <c r="D135" s="14" t="s">
        <v>340</v>
      </c>
      <c r="E135" s="72">
        <v>762373.16666666698</v>
      </c>
      <c r="F135" s="72"/>
      <c r="G135" s="202"/>
      <c r="H135" s="202">
        <v>90000</v>
      </c>
      <c r="I135" s="72"/>
      <c r="J135" s="490">
        <f t="shared" ref="J135:J192" si="61">E135+F135+G135+H135+I135</f>
        <v>852373.16666666698</v>
      </c>
      <c r="K135" s="490">
        <v>541465.02474999998</v>
      </c>
      <c r="L135" s="490">
        <f t="shared" ref="L135:L192" si="62">J135-K135</f>
        <v>310908.14191666699</v>
      </c>
      <c r="M135" s="492">
        <v>142322.31466666699</v>
      </c>
      <c r="N135" s="555">
        <v>82627.951418666693</v>
      </c>
      <c r="O135" s="556">
        <f t="shared" si="60"/>
        <v>59694.3632480003</v>
      </c>
      <c r="P135" s="557"/>
      <c r="Q135" s="570">
        <f t="shared" ref="Q135:Q192" si="63">L135-O135</f>
        <v>251213.77866866699</v>
      </c>
    </row>
    <row r="136" spans="1:17" ht="20.100000000000001" customHeight="1">
      <c r="A136" s="26">
        <v>3</v>
      </c>
      <c r="B136" s="13" t="s">
        <v>516</v>
      </c>
      <c r="C136" s="3" t="s">
        <v>517</v>
      </c>
      <c r="D136" s="15" t="s">
        <v>340</v>
      </c>
      <c r="E136" s="72">
        <v>762373.16666666698</v>
      </c>
      <c r="F136" s="72"/>
      <c r="G136" s="202"/>
      <c r="H136" s="202">
        <f>80000+10000</f>
        <v>90000</v>
      </c>
      <c r="I136" s="72">
        <v>50000</v>
      </c>
      <c r="J136" s="490">
        <f t="shared" si="61"/>
        <v>902373.16666666698</v>
      </c>
      <c r="K136" s="490">
        <v>591465.02474999998</v>
      </c>
      <c r="L136" s="490">
        <f t="shared" si="62"/>
        <v>310908.14191666699</v>
      </c>
      <c r="M136" s="492">
        <v>140007.52761066699</v>
      </c>
      <c r="N136" s="555">
        <v>92023.216202666707</v>
      </c>
      <c r="O136" s="556">
        <f t="shared" si="60"/>
        <v>47984.3114080003</v>
      </c>
      <c r="P136" s="557"/>
      <c r="Q136" s="570">
        <f t="shared" si="63"/>
        <v>262923.83050866699</v>
      </c>
    </row>
    <row r="137" spans="1:17" ht="20.100000000000001" customHeight="1">
      <c r="A137" s="26">
        <v>4</v>
      </c>
      <c r="B137" s="10" t="s">
        <v>518</v>
      </c>
      <c r="C137" s="11" t="s">
        <v>519</v>
      </c>
      <c r="D137" s="14" t="s">
        <v>363</v>
      </c>
      <c r="E137" s="72">
        <v>484373.75</v>
      </c>
      <c r="F137" s="72"/>
      <c r="G137" s="202"/>
      <c r="H137" s="202">
        <v>70000</v>
      </c>
      <c r="I137" s="72"/>
      <c r="J137" s="490">
        <f t="shared" si="61"/>
        <v>554373.75</v>
      </c>
      <c r="K137" s="490">
        <v>351394.00675</v>
      </c>
      <c r="L137" s="490">
        <f t="shared" si="62"/>
        <v>202979.74325</v>
      </c>
      <c r="M137" s="492">
        <v>77529.694778666701</v>
      </c>
      <c r="N137" s="555">
        <v>46081.202598666699</v>
      </c>
      <c r="O137" s="556">
        <f t="shared" si="60"/>
        <v>31448.492180000001</v>
      </c>
      <c r="P137" s="557"/>
      <c r="Q137" s="570">
        <f t="shared" si="63"/>
        <v>171531.25107</v>
      </c>
    </row>
    <row r="138" spans="1:17" ht="20.100000000000001" customHeight="1">
      <c r="A138" s="26">
        <v>5</v>
      </c>
      <c r="B138" s="10" t="s">
        <v>520</v>
      </c>
      <c r="C138" s="3" t="s">
        <v>521</v>
      </c>
      <c r="D138" s="14" t="s">
        <v>363</v>
      </c>
      <c r="E138" s="72">
        <v>484373.75</v>
      </c>
      <c r="F138" s="72"/>
      <c r="G138" s="202"/>
      <c r="H138" s="202">
        <v>70000</v>
      </c>
      <c r="I138" s="72">
        <v>0</v>
      </c>
      <c r="J138" s="490">
        <f t="shared" si="61"/>
        <v>554373.75</v>
      </c>
      <c r="K138" s="490">
        <v>351394.00675</v>
      </c>
      <c r="L138" s="490">
        <f t="shared" si="62"/>
        <v>202979.74325</v>
      </c>
      <c r="M138" s="492">
        <v>77529.694778666701</v>
      </c>
      <c r="N138" s="555">
        <v>46081.202598666699</v>
      </c>
      <c r="O138" s="556">
        <f t="shared" si="60"/>
        <v>31448.492180000001</v>
      </c>
      <c r="P138" s="557"/>
      <c r="Q138" s="570">
        <f t="shared" si="63"/>
        <v>171531.25107</v>
      </c>
    </row>
    <row r="139" spans="1:17" ht="20.100000000000001" customHeight="1">
      <c r="A139" s="26">
        <v>6</v>
      </c>
      <c r="B139" s="10" t="s">
        <v>522</v>
      </c>
      <c r="C139" s="3" t="s">
        <v>521</v>
      </c>
      <c r="D139" s="14" t="s">
        <v>363</v>
      </c>
      <c r="E139" s="72">
        <v>484373.75</v>
      </c>
      <c r="F139" s="72"/>
      <c r="G139" s="202"/>
      <c r="H139" s="202">
        <v>70000</v>
      </c>
      <c r="I139" s="72">
        <v>0</v>
      </c>
      <c r="J139" s="490">
        <f t="shared" si="61"/>
        <v>554373.75</v>
      </c>
      <c r="K139" s="490">
        <v>351394.00675</v>
      </c>
      <c r="L139" s="490">
        <f t="shared" si="62"/>
        <v>202979.74325</v>
      </c>
      <c r="M139" s="492">
        <v>77529.694778666701</v>
      </c>
      <c r="N139" s="555">
        <v>46081.202598666699</v>
      </c>
      <c r="O139" s="556">
        <f t="shared" si="60"/>
        <v>31448.492180000001</v>
      </c>
      <c r="P139" s="557"/>
      <c r="Q139" s="570">
        <f t="shared" si="63"/>
        <v>171531.25107</v>
      </c>
    </row>
    <row r="140" spans="1:17" ht="20.100000000000001" customHeight="1">
      <c r="A140" s="26">
        <v>7</v>
      </c>
      <c r="B140" s="10" t="s">
        <v>523</v>
      </c>
      <c r="C140" s="11" t="s">
        <v>524</v>
      </c>
      <c r="D140" s="14" t="s">
        <v>498</v>
      </c>
      <c r="E140" s="72">
        <v>390086.5</v>
      </c>
      <c r="F140" s="72"/>
      <c r="G140" s="202"/>
      <c r="H140" s="202">
        <f t="shared" ref="H140:H145" si="64">60000</f>
        <v>60000</v>
      </c>
      <c r="I140" s="72">
        <v>0</v>
      </c>
      <c r="J140" s="490">
        <f t="shared" si="61"/>
        <v>450086.5</v>
      </c>
      <c r="K140" s="490">
        <v>286619.99875000003</v>
      </c>
      <c r="L140" s="490">
        <f t="shared" si="62"/>
        <v>163466.50125</v>
      </c>
      <c r="M140" s="492">
        <v>58980.834746666696</v>
      </c>
      <c r="N140" s="555">
        <v>35221.954086666701</v>
      </c>
      <c r="O140" s="556">
        <f t="shared" si="60"/>
        <v>23758.880659999999</v>
      </c>
      <c r="P140" s="557"/>
      <c r="Q140" s="570">
        <f t="shared" si="63"/>
        <v>139707.62059000001</v>
      </c>
    </row>
    <row r="141" spans="1:17" ht="20.100000000000001" customHeight="1">
      <c r="A141" s="26">
        <v>8</v>
      </c>
      <c r="B141" s="10" t="s">
        <v>525</v>
      </c>
      <c r="C141" s="11" t="s">
        <v>524</v>
      </c>
      <c r="D141" s="14" t="s">
        <v>498</v>
      </c>
      <c r="E141" s="72">
        <v>390086.5</v>
      </c>
      <c r="F141" s="72"/>
      <c r="G141" s="202"/>
      <c r="H141" s="202">
        <f t="shared" si="64"/>
        <v>60000</v>
      </c>
      <c r="I141" s="72">
        <v>0</v>
      </c>
      <c r="J141" s="490">
        <f t="shared" si="61"/>
        <v>450086.5</v>
      </c>
      <c r="K141" s="490">
        <v>286619.99875000003</v>
      </c>
      <c r="L141" s="490">
        <f t="shared" si="62"/>
        <v>163466.50125</v>
      </c>
      <c r="M141" s="492">
        <v>59091.5460266667</v>
      </c>
      <c r="N141" s="555">
        <v>35318.826456666699</v>
      </c>
      <c r="O141" s="556">
        <f t="shared" si="60"/>
        <v>23772.719570000001</v>
      </c>
      <c r="P141" s="557"/>
      <c r="Q141" s="570">
        <f t="shared" si="63"/>
        <v>139693.78167999999</v>
      </c>
    </row>
    <row r="142" spans="1:17" ht="20.100000000000001" customHeight="1">
      <c r="A142" s="26">
        <v>9</v>
      </c>
      <c r="B142" s="10" t="s">
        <v>526</v>
      </c>
      <c r="C142" s="3" t="s">
        <v>527</v>
      </c>
      <c r="D142" s="14" t="s">
        <v>498</v>
      </c>
      <c r="E142" s="72">
        <v>390086.5</v>
      </c>
      <c r="F142" s="72"/>
      <c r="G142" s="202"/>
      <c r="H142" s="202">
        <f t="shared" si="64"/>
        <v>60000</v>
      </c>
      <c r="I142" s="72"/>
      <c r="J142" s="490">
        <f t="shared" si="61"/>
        <v>450086.5</v>
      </c>
      <c r="K142" s="490">
        <v>286619.99875000003</v>
      </c>
      <c r="L142" s="490">
        <f t="shared" si="62"/>
        <v>163466.50125</v>
      </c>
      <c r="M142" s="492">
        <v>59091.5460266667</v>
      </c>
      <c r="N142" s="555">
        <v>35318.826456666699</v>
      </c>
      <c r="O142" s="556">
        <f t="shared" si="60"/>
        <v>23772.719570000001</v>
      </c>
      <c r="P142" s="557"/>
      <c r="Q142" s="570">
        <f t="shared" si="63"/>
        <v>139693.78167999999</v>
      </c>
    </row>
    <row r="143" spans="1:17" ht="20.100000000000001" customHeight="1">
      <c r="A143" s="26">
        <v>10</v>
      </c>
      <c r="B143" s="10" t="s">
        <v>528</v>
      </c>
      <c r="C143" s="11" t="s">
        <v>529</v>
      </c>
      <c r="D143" s="14" t="s">
        <v>380</v>
      </c>
      <c r="E143" s="72">
        <v>377895.16666666698</v>
      </c>
      <c r="F143" s="72"/>
      <c r="G143" s="202"/>
      <c r="H143" s="202">
        <f t="shared" si="64"/>
        <v>60000</v>
      </c>
      <c r="I143" s="72"/>
      <c r="J143" s="490">
        <f t="shared" si="61"/>
        <v>437895.16666666698</v>
      </c>
      <c r="K143" s="490">
        <v>284536.99849999999</v>
      </c>
      <c r="L143" s="490">
        <f t="shared" si="62"/>
        <v>153358.16816666699</v>
      </c>
      <c r="M143" s="492">
        <v>56938.068906666696</v>
      </c>
      <c r="N143" s="555">
        <v>34968.882414666703</v>
      </c>
      <c r="O143" s="556">
        <f t="shared" si="60"/>
        <v>21969.186492000001</v>
      </c>
      <c r="P143" s="557"/>
      <c r="Q143" s="570">
        <f t="shared" si="63"/>
        <v>131388.98167466701</v>
      </c>
    </row>
    <row r="144" spans="1:17" ht="20.100000000000001" customHeight="1">
      <c r="A144" s="26">
        <v>11</v>
      </c>
      <c r="B144" s="10" t="s">
        <v>530</v>
      </c>
      <c r="C144" s="11" t="s">
        <v>531</v>
      </c>
      <c r="D144" s="14" t="s">
        <v>440</v>
      </c>
      <c r="E144" s="72">
        <v>365703.83333333302</v>
      </c>
      <c r="F144" s="72"/>
      <c r="G144" s="202"/>
      <c r="H144" s="202">
        <f t="shared" si="64"/>
        <v>60000</v>
      </c>
      <c r="I144" s="72"/>
      <c r="J144" s="490">
        <f t="shared" si="61"/>
        <v>425703.83333333302</v>
      </c>
      <c r="K144" s="490">
        <v>272454.07400000002</v>
      </c>
      <c r="L144" s="490">
        <f t="shared" si="62"/>
        <v>153249.759333333</v>
      </c>
      <c r="M144" s="492">
        <v>54681.291562666702</v>
      </c>
      <c r="N144" s="555">
        <v>32848.563402666703</v>
      </c>
      <c r="O144" s="556">
        <f t="shared" si="60"/>
        <v>21832.728159999999</v>
      </c>
      <c r="P144" s="557"/>
      <c r="Q144" s="570">
        <f t="shared" si="63"/>
        <v>131417.031173333</v>
      </c>
    </row>
    <row r="145" spans="1:17" ht="20.100000000000001" customHeight="1">
      <c r="A145" s="26">
        <v>12</v>
      </c>
      <c r="B145" s="10" t="s">
        <v>532</v>
      </c>
      <c r="C145" s="11" t="s">
        <v>533</v>
      </c>
      <c r="D145" s="14" t="s">
        <v>498</v>
      </c>
      <c r="E145" s="72">
        <v>390086.5</v>
      </c>
      <c r="F145" s="72"/>
      <c r="G145" s="202"/>
      <c r="H145" s="202">
        <f t="shared" si="64"/>
        <v>60000</v>
      </c>
      <c r="I145" s="72"/>
      <c r="J145" s="490">
        <f t="shared" si="61"/>
        <v>450086.5</v>
      </c>
      <c r="K145" s="490">
        <v>286619.99875000003</v>
      </c>
      <c r="L145" s="490">
        <f t="shared" si="62"/>
        <v>163466.50125</v>
      </c>
      <c r="M145" s="492">
        <v>58980.834746666696</v>
      </c>
      <c r="N145" s="555">
        <v>35221.954086666701</v>
      </c>
      <c r="O145" s="556">
        <f t="shared" si="60"/>
        <v>23758.880659999999</v>
      </c>
      <c r="P145" s="557"/>
      <c r="Q145" s="570">
        <f t="shared" si="63"/>
        <v>139707.62059000001</v>
      </c>
    </row>
    <row r="146" spans="1:17" ht="20.100000000000001" customHeight="1">
      <c r="A146" s="26">
        <v>13</v>
      </c>
      <c r="B146" s="17" t="s">
        <v>534</v>
      </c>
      <c r="C146" s="3" t="s">
        <v>535</v>
      </c>
      <c r="D146" s="14" t="s">
        <v>32</v>
      </c>
      <c r="E146" s="202">
        <v>353512.5</v>
      </c>
      <c r="F146" s="72"/>
      <c r="G146" s="202"/>
      <c r="H146" s="202">
        <v>60000</v>
      </c>
      <c r="I146" s="72"/>
      <c r="J146" s="490">
        <f t="shared" si="61"/>
        <v>413512.5</v>
      </c>
      <c r="K146" s="490">
        <v>265372.07500000001</v>
      </c>
      <c r="L146" s="490">
        <f t="shared" si="62"/>
        <v>148140.42499999999</v>
      </c>
      <c r="M146" s="492">
        <v>52631.114666666697</v>
      </c>
      <c r="N146" s="555">
        <v>31749.175266666702</v>
      </c>
      <c r="O146" s="556">
        <f t="shared" si="60"/>
        <v>20881.939399999999</v>
      </c>
      <c r="P146" s="557"/>
      <c r="Q146" s="570">
        <f t="shared" si="63"/>
        <v>127258.4856</v>
      </c>
    </row>
    <row r="147" spans="1:17" ht="20.100000000000001" customHeight="1">
      <c r="A147" s="26">
        <v>14</v>
      </c>
      <c r="B147" s="10" t="s">
        <v>536</v>
      </c>
      <c r="C147" s="3" t="s">
        <v>537</v>
      </c>
      <c r="D147" s="14" t="s">
        <v>453</v>
      </c>
      <c r="E147" s="202">
        <v>308901.5</v>
      </c>
      <c r="F147" s="72"/>
      <c r="G147" s="202"/>
      <c r="H147" s="202">
        <f>60000</f>
        <v>60000</v>
      </c>
      <c r="I147" s="72"/>
      <c r="J147" s="490">
        <f t="shared" si="61"/>
        <v>368901.5</v>
      </c>
      <c r="K147" s="490">
        <v>237734.04699999999</v>
      </c>
      <c r="L147" s="490">
        <f t="shared" si="62"/>
        <v>131167.45300000001</v>
      </c>
      <c r="M147" s="492">
        <v>44990.482506666704</v>
      </c>
      <c r="N147" s="555">
        <v>27105.986562666702</v>
      </c>
      <c r="O147" s="556">
        <f t="shared" si="60"/>
        <v>17884.495943999998</v>
      </c>
      <c r="P147" s="557"/>
      <c r="Q147" s="570">
        <f t="shared" si="63"/>
        <v>113282.957056</v>
      </c>
    </row>
    <row r="148" spans="1:17" ht="20.100000000000001" customHeight="1">
      <c r="A148" s="26">
        <v>15</v>
      </c>
      <c r="B148" s="10" t="s">
        <v>538</v>
      </c>
      <c r="C148" s="3" t="s">
        <v>537</v>
      </c>
      <c r="D148" s="14" t="s">
        <v>539</v>
      </c>
      <c r="E148" s="202">
        <v>316837.41666666698</v>
      </c>
      <c r="F148" s="72"/>
      <c r="G148" s="202"/>
      <c r="H148" s="202">
        <f>60000</f>
        <v>60000</v>
      </c>
      <c r="I148" s="72"/>
      <c r="J148" s="490">
        <f t="shared" si="61"/>
        <v>376837.41666666698</v>
      </c>
      <c r="K148" s="490">
        <v>242300.07750000001</v>
      </c>
      <c r="L148" s="490">
        <f t="shared" si="62"/>
        <v>134537.33916666699</v>
      </c>
      <c r="M148" s="492">
        <v>46138.184726666703</v>
      </c>
      <c r="N148" s="555">
        <v>27794.206626666699</v>
      </c>
      <c r="O148" s="556">
        <f t="shared" si="60"/>
        <v>18343.9781</v>
      </c>
      <c r="P148" s="557"/>
      <c r="Q148" s="570">
        <f t="shared" si="63"/>
        <v>116193.361066667</v>
      </c>
    </row>
    <row r="149" spans="1:17" ht="20.100000000000001" customHeight="1">
      <c r="A149" s="26">
        <v>16</v>
      </c>
      <c r="B149" s="10" t="s">
        <v>540</v>
      </c>
      <c r="C149" s="3" t="s">
        <v>537</v>
      </c>
      <c r="D149" s="14" t="s">
        <v>539</v>
      </c>
      <c r="E149" s="202">
        <v>316837.41666666698</v>
      </c>
      <c r="F149" s="72"/>
      <c r="G149" s="202"/>
      <c r="H149" s="202">
        <f>60000</f>
        <v>60000</v>
      </c>
      <c r="I149" s="72"/>
      <c r="J149" s="490">
        <f t="shared" si="61"/>
        <v>376837.41666666698</v>
      </c>
      <c r="K149" s="490">
        <v>242300.07750000001</v>
      </c>
      <c r="L149" s="490">
        <f t="shared" si="62"/>
        <v>134537.33916666699</v>
      </c>
      <c r="M149" s="492">
        <v>46217.057786666701</v>
      </c>
      <c r="N149" s="555">
        <v>27873.079686666701</v>
      </c>
      <c r="O149" s="556">
        <f t="shared" si="60"/>
        <v>18343.9781</v>
      </c>
      <c r="P149" s="557"/>
      <c r="Q149" s="570">
        <f t="shared" si="63"/>
        <v>116193.361066667</v>
      </c>
    </row>
    <row r="150" spans="1:17" ht="20.100000000000001" customHeight="1">
      <c r="A150" s="26">
        <v>17</v>
      </c>
      <c r="B150" s="10" t="s">
        <v>541</v>
      </c>
      <c r="C150" s="11" t="s">
        <v>542</v>
      </c>
      <c r="D150" s="14" t="s">
        <v>409</v>
      </c>
      <c r="E150" s="202">
        <v>300965.58333333302</v>
      </c>
      <c r="F150" s="72"/>
      <c r="G150" s="202"/>
      <c r="H150" s="202">
        <f>60000</f>
        <v>60000</v>
      </c>
      <c r="I150" s="72"/>
      <c r="J150" s="490">
        <f t="shared" si="61"/>
        <v>360965.58333333302</v>
      </c>
      <c r="K150" s="490">
        <v>237734.04699999999</v>
      </c>
      <c r="L150" s="490">
        <f t="shared" si="62"/>
        <v>123231.536333333</v>
      </c>
      <c r="M150" s="492">
        <v>43763.907226666699</v>
      </c>
      <c r="N150" s="555">
        <v>27105.986562666702</v>
      </c>
      <c r="O150" s="556">
        <f t="shared" si="60"/>
        <v>16657.920664000001</v>
      </c>
      <c r="P150" s="557"/>
      <c r="Q150" s="570">
        <f t="shared" si="63"/>
        <v>106573.615669333</v>
      </c>
    </row>
    <row r="151" spans="1:17" ht="20.100000000000001" customHeight="1">
      <c r="A151" s="26">
        <v>18</v>
      </c>
      <c r="B151" s="10" t="s">
        <v>543</v>
      </c>
      <c r="C151" s="11" t="s">
        <v>544</v>
      </c>
      <c r="D151" s="9" t="s">
        <v>391</v>
      </c>
      <c r="E151" s="72">
        <v>263165.33333333302</v>
      </c>
      <c r="F151" s="72"/>
      <c r="G151" s="202"/>
      <c r="H151" s="202">
        <f>60000</f>
        <v>60000</v>
      </c>
      <c r="I151" s="72"/>
      <c r="J151" s="490">
        <f t="shared" si="61"/>
        <v>323165.33333333302</v>
      </c>
      <c r="K151" s="490">
        <v>209356.04725</v>
      </c>
      <c r="L151" s="490">
        <f t="shared" si="62"/>
        <v>113809.28608333301</v>
      </c>
      <c r="M151" s="492">
        <v>37921.500586666698</v>
      </c>
      <c r="N151" s="555">
        <v>22338.4826046667</v>
      </c>
      <c r="O151" s="556">
        <f t="shared" si="60"/>
        <v>15583.017981999999</v>
      </c>
      <c r="P151" s="557"/>
      <c r="Q151" s="570">
        <f t="shared" si="63"/>
        <v>98226.268101333</v>
      </c>
    </row>
    <row r="152" spans="1:17" ht="20.100000000000001" customHeight="1">
      <c r="A152" s="26">
        <v>19</v>
      </c>
      <c r="B152" s="10" t="s">
        <v>545</v>
      </c>
      <c r="C152" s="11" t="s">
        <v>546</v>
      </c>
      <c r="D152" s="14" t="s">
        <v>453</v>
      </c>
      <c r="E152" s="202">
        <v>308901.5</v>
      </c>
      <c r="F152" s="72"/>
      <c r="G152" s="202"/>
      <c r="H152" s="202">
        <f>50000+10000</f>
        <v>60000</v>
      </c>
      <c r="I152" s="72"/>
      <c r="J152" s="490">
        <f t="shared" si="61"/>
        <v>368901.5</v>
      </c>
      <c r="K152" s="490">
        <v>237734.04699999999</v>
      </c>
      <c r="L152" s="490">
        <f t="shared" si="62"/>
        <v>131167.45300000001</v>
      </c>
      <c r="M152" s="492">
        <v>44990.482506666704</v>
      </c>
      <c r="N152" s="555">
        <v>27105.986562666702</v>
      </c>
      <c r="O152" s="556">
        <f t="shared" si="60"/>
        <v>17884.495943999998</v>
      </c>
      <c r="P152" s="557"/>
      <c r="Q152" s="570">
        <f t="shared" si="63"/>
        <v>113282.957056</v>
      </c>
    </row>
    <row r="153" spans="1:17" ht="20.100000000000001" customHeight="1">
      <c r="A153" s="26">
        <v>20</v>
      </c>
      <c r="B153" s="10" t="s">
        <v>547</v>
      </c>
      <c r="C153" s="11" t="s">
        <v>548</v>
      </c>
      <c r="D153" s="14" t="s">
        <v>387</v>
      </c>
      <c r="E153" s="202">
        <v>270481.66666666698</v>
      </c>
      <c r="F153" s="72"/>
      <c r="G153" s="202"/>
      <c r="H153" s="202">
        <f>50000+10000</f>
        <v>60000</v>
      </c>
      <c r="I153" s="72"/>
      <c r="J153" s="490">
        <f t="shared" si="61"/>
        <v>330481.66666666698</v>
      </c>
      <c r="K153" s="490">
        <v>213508.01</v>
      </c>
      <c r="L153" s="490">
        <f t="shared" si="62"/>
        <v>116973.656666667</v>
      </c>
      <c r="M153" s="492">
        <v>39052.313066666698</v>
      </c>
      <c r="N153" s="555">
        <v>23036.012346666699</v>
      </c>
      <c r="O153" s="556">
        <f t="shared" si="60"/>
        <v>16016.300719999999</v>
      </c>
      <c r="P153" s="557"/>
      <c r="Q153" s="570">
        <f t="shared" si="63"/>
        <v>100957.355946667</v>
      </c>
    </row>
    <row r="154" spans="1:17" ht="20.100000000000001" customHeight="1">
      <c r="A154" s="26">
        <v>21</v>
      </c>
      <c r="B154" s="10" t="s">
        <v>549</v>
      </c>
      <c r="C154" s="11" t="s">
        <v>550</v>
      </c>
      <c r="D154" s="14" t="s">
        <v>453</v>
      </c>
      <c r="E154" s="202">
        <v>308901.5</v>
      </c>
      <c r="F154" s="72"/>
      <c r="G154" s="202"/>
      <c r="H154" s="202">
        <f>50000+10000</f>
        <v>60000</v>
      </c>
      <c r="I154" s="72"/>
      <c r="J154" s="490">
        <f t="shared" si="61"/>
        <v>368901.5</v>
      </c>
      <c r="K154" s="490">
        <v>237734.04699999999</v>
      </c>
      <c r="L154" s="490">
        <f t="shared" si="62"/>
        <v>131167.45300000001</v>
      </c>
      <c r="M154" s="492">
        <v>44913.699618666702</v>
      </c>
      <c r="N154" s="555">
        <v>27029.2036746667</v>
      </c>
      <c r="O154" s="556">
        <f t="shared" si="60"/>
        <v>17884.495943999998</v>
      </c>
      <c r="P154" s="557"/>
      <c r="Q154" s="570">
        <f t="shared" si="63"/>
        <v>113282.957056</v>
      </c>
    </row>
    <row r="155" spans="1:17" ht="20.100000000000001" customHeight="1">
      <c r="A155" s="26">
        <v>22</v>
      </c>
      <c r="B155" s="10" t="s">
        <v>551</v>
      </c>
      <c r="C155" s="11" t="s">
        <v>552</v>
      </c>
      <c r="D155" s="14" t="s">
        <v>387</v>
      </c>
      <c r="E155" s="202">
        <v>270481.66666666698</v>
      </c>
      <c r="F155" s="72"/>
      <c r="G155" s="202"/>
      <c r="H155" s="202">
        <f>50000+10000</f>
        <v>60000</v>
      </c>
      <c r="I155" s="72"/>
      <c r="J155" s="490">
        <f t="shared" si="61"/>
        <v>330481.66666666698</v>
      </c>
      <c r="K155" s="490">
        <v>209356.04725</v>
      </c>
      <c r="L155" s="490">
        <f t="shared" si="62"/>
        <v>121125.619416667</v>
      </c>
      <c r="M155" s="492">
        <v>39052.313066666698</v>
      </c>
      <c r="N155" s="555">
        <v>22338.4826046667</v>
      </c>
      <c r="O155" s="556">
        <f t="shared" si="60"/>
        <v>16713.830462000002</v>
      </c>
      <c r="P155" s="557"/>
      <c r="Q155" s="570">
        <f t="shared" si="63"/>
        <v>104411.788954667</v>
      </c>
    </row>
    <row r="156" spans="1:17" ht="20.100000000000001" customHeight="1">
      <c r="A156" s="26">
        <v>23</v>
      </c>
      <c r="B156" s="17" t="s">
        <v>553</v>
      </c>
      <c r="C156" s="11" t="s">
        <v>554</v>
      </c>
      <c r="D156" s="14" t="s">
        <v>55</v>
      </c>
      <c r="E156" s="202">
        <v>255849</v>
      </c>
      <c r="F156" s="72"/>
      <c r="G156" s="202"/>
      <c r="H156" s="202">
        <f>60000</f>
        <v>60000</v>
      </c>
      <c r="I156" s="3"/>
      <c r="J156" s="490">
        <f t="shared" si="61"/>
        <v>315849</v>
      </c>
      <c r="K156" s="490">
        <v>205204.0845</v>
      </c>
      <c r="L156" s="490">
        <f t="shared" si="62"/>
        <v>110644.9155</v>
      </c>
      <c r="M156" s="492">
        <v>36790.688106666697</v>
      </c>
      <c r="N156" s="555">
        <v>21640.952862666702</v>
      </c>
      <c r="O156" s="556">
        <f t="shared" si="60"/>
        <v>15149.735244</v>
      </c>
      <c r="P156" s="557"/>
      <c r="Q156" s="570">
        <f t="shared" si="63"/>
        <v>95495.180256000007</v>
      </c>
    </row>
    <row r="157" spans="1:17" ht="20.100000000000001" customHeight="1">
      <c r="A157" s="26">
        <v>24</v>
      </c>
      <c r="B157" s="17" t="s">
        <v>555</v>
      </c>
      <c r="C157" s="11" t="s">
        <v>556</v>
      </c>
      <c r="D157" s="14" t="s">
        <v>402</v>
      </c>
      <c r="E157" s="72">
        <v>224459.75</v>
      </c>
      <c r="F157" s="72"/>
      <c r="G157" s="202"/>
      <c r="H157" s="202">
        <f>50000</f>
        <v>50000</v>
      </c>
      <c r="I157" s="72"/>
      <c r="J157" s="490">
        <f t="shared" si="61"/>
        <v>274459.75</v>
      </c>
      <c r="K157" s="490">
        <v>176816.1</v>
      </c>
      <c r="L157" s="490">
        <f t="shared" si="62"/>
        <v>97643.65</v>
      </c>
      <c r="M157" s="492">
        <v>30259.165626666701</v>
      </c>
      <c r="N157" s="555">
        <v>17042.713866666702</v>
      </c>
      <c r="O157" s="556">
        <f t="shared" si="60"/>
        <v>13216.45176</v>
      </c>
      <c r="P157" s="557"/>
      <c r="Q157" s="570">
        <f t="shared" si="63"/>
        <v>84427.198239999998</v>
      </c>
    </row>
    <row r="158" spans="1:17" ht="20.100000000000001" customHeight="1">
      <c r="A158" s="26">
        <v>25</v>
      </c>
      <c r="B158" s="17" t="s">
        <v>557</v>
      </c>
      <c r="C158" s="11" t="s">
        <v>558</v>
      </c>
      <c r="D158" s="14" t="s">
        <v>402</v>
      </c>
      <c r="E158" s="72">
        <v>224459.75</v>
      </c>
      <c r="F158" s="72"/>
      <c r="G158" s="202"/>
      <c r="H158" s="202">
        <f>50000</f>
        <v>50000</v>
      </c>
      <c r="I158" s="72"/>
      <c r="J158" s="490">
        <f t="shared" si="61"/>
        <v>274459.75</v>
      </c>
      <c r="K158" s="490">
        <v>176816.1</v>
      </c>
      <c r="L158" s="490">
        <f t="shared" si="62"/>
        <v>97643.65</v>
      </c>
      <c r="M158" s="492">
        <v>30259.165626666701</v>
      </c>
      <c r="N158" s="555">
        <v>17042.713866666702</v>
      </c>
      <c r="O158" s="556">
        <f t="shared" si="60"/>
        <v>13216.45176</v>
      </c>
      <c r="P158" s="557"/>
      <c r="Q158" s="570">
        <f t="shared" si="63"/>
        <v>84427.198239999998</v>
      </c>
    </row>
    <row r="159" spans="1:17" ht="20.100000000000001" customHeight="1">
      <c r="A159" s="26">
        <v>26</v>
      </c>
      <c r="B159" s="17" t="s">
        <v>559</v>
      </c>
      <c r="C159" s="11" t="s">
        <v>560</v>
      </c>
      <c r="D159" s="14" t="s">
        <v>402</v>
      </c>
      <c r="E159" s="72">
        <v>224459.75</v>
      </c>
      <c r="F159" s="72"/>
      <c r="G159" s="202"/>
      <c r="H159" s="202">
        <f>50000</f>
        <v>50000</v>
      </c>
      <c r="I159" s="72"/>
      <c r="J159" s="490">
        <f t="shared" si="61"/>
        <v>274459.75</v>
      </c>
      <c r="K159" s="490">
        <v>176816.1</v>
      </c>
      <c r="L159" s="490">
        <f t="shared" si="62"/>
        <v>97643.65</v>
      </c>
      <c r="M159" s="492">
        <v>30259.165626666701</v>
      </c>
      <c r="N159" s="555">
        <v>17042.713866666702</v>
      </c>
      <c r="O159" s="556">
        <f t="shared" si="60"/>
        <v>13216.45176</v>
      </c>
      <c r="P159" s="557"/>
      <c r="Q159" s="570">
        <f t="shared" si="63"/>
        <v>84427.198239999998</v>
      </c>
    </row>
    <row r="160" spans="1:17" ht="20.100000000000001" customHeight="1">
      <c r="A160" s="26">
        <v>27</v>
      </c>
      <c r="B160" s="17" t="s">
        <v>561</v>
      </c>
      <c r="C160" s="11" t="s">
        <v>562</v>
      </c>
      <c r="D160" s="14" t="s">
        <v>399</v>
      </c>
      <c r="E160" s="72">
        <v>230631.91666666701</v>
      </c>
      <c r="F160" s="72"/>
      <c r="G160" s="202"/>
      <c r="H160" s="202">
        <f>50000</f>
        <v>50000</v>
      </c>
      <c r="I160" s="72"/>
      <c r="J160" s="490">
        <f t="shared" si="61"/>
        <v>280631.91666666698</v>
      </c>
      <c r="K160" s="490">
        <v>180304.068</v>
      </c>
      <c r="L160" s="490">
        <f t="shared" si="62"/>
        <v>100327.84866666701</v>
      </c>
      <c r="M160" s="492">
        <v>31213.135706666701</v>
      </c>
      <c r="N160" s="555">
        <v>17572.885002666699</v>
      </c>
      <c r="O160" s="556">
        <f t="shared" si="60"/>
        <v>13640.250704</v>
      </c>
      <c r="P160" s="557"/>
      <c r="Q160" s="570">
        <f t="shared" si="63"/>
        <v>86687.597962667001</v>
      </c>
    </row>
    <row r="161" spans="1:17" ht="20.100000000000001" customHeight="1">
      <c r="A161" s="26">
        <v>28</v>
      </c>
      <c r="B161" s="17" t="s">
        <v>563</v>
      </c>
      <c r="C161" s="11" t="s">
        <v>558</v>
      </c>
      <c r="D161" s="14" t="s">
        <v>402</v>
      </c>
      <c r="E161" s="72">
        <v>224459.75</v>
      </c>
      <c r="F161" s="72"/>
      <c r="G161" s="202"/>
      <c r="H161" s="202">
        <f>50000</f>
        <v>50000</v>
      </c>
      <c r="I161" s="72"/>
      <c r="J161" s="490">
        <f t="shared" si="61"/>
        <v>274459.75</v>
      </c>
      <c r="K161" s="490">
        <v>176816.1</v>
      </c>
      <c r="L161" s="490">
        <f t="shared" si="62"/>
        <v>97643.65</v>
      </c>
      <c r="M161" s="492">
        <v>30259.165626666701</v>
      </c>
      <c r="N161" s="555">
        <v>17042.713866666702</v>
      </c>
      <c r="O161" s="556">
        <f t="shared" si="60"/>
        <v>13216.45176</v>
      </c>
      <c r="P161" s="557"/>
      <c r="Q161" s="570">
        <f t="shared" si="63"/>
        <v>84427.198239999998</v>
      </c>
    </row>
    <row r="162" spans="1:17" ht="20.100000000000001" customHeight="1">
      <c r="A162" s="26">
        <v>29</v>
      </c>
      <c r="B162" s="10" t="s">
        <v>564</v>
      </c>
      <c r="C162" s="11" t="s">
        <v>565</v>
      </c>
      <c r="D162" s="14" t="s">
        <v>566</v>
      </c>
      <c r="E162" s="208">
        <v>168598.16666666701</v>
      </c>
      <c r="F162" s="202"/>
      <c r="G162" s="202"/>
      <c r="H162" s="202">
        <f>30000</f>
        <v>30000</v>
      </c>
      <c r="I162" s="72">
        <f>4000</f>
        <v>4000</v>
      </c>
      <c r="J162" s="490">
        <f t="shared" si="61"/>
        <v>202598.16666666701</v>
      </c>
      <c r="K162" s="490">
        <v>135590.73000000001</v>
      </c>
      <c r="L162" s="490">
        <f t="shared" si="62"/>
        <v>67007.436666666996</v>
      </c>
      <c r="M162" s="492">
        <v>18892.9833866667</v>
      </c>
      <c r="N162" s="555">
        <v>10739.3048</v>
      </c>
      <c r="O162" s="556">
        <f t="shared" si="60"/>
        <v>8153.6785866666996</v>
      </c>
      <c r="P162" s="557"/>
      <c r="Q162" s="570">
        <f t="shared" si="63"/>
        <v>58853.758080000298</v>
      </c>
    </row>
    <row r="163" spans="1:17" ht="20.100000000000001" customHeight="1">
      <c r="A163" s="26">
        <v>30</v>
      </c>
      <c r="B163" s="10" t="s">
        <v>567</v>
      </c>
      <c r="C163" s="11" t="s">
        <v>565</v>
      </c>
      <c r="D163" s="14" t="s">
        <v>566</v>
      </c>
      <c r="E163" s="208">
        <v>168598.16666666701</v>
      </c>
      <c r="F163" s="202"/>
      <c r="G163" s="202"/>
      <c r="H163" s="202">
        <f>30000</f>
        <v>30000</v>
      </c>
      <c r="I163" s="72">
        <f>7000</f>
        <v>7000</v>
      </c>
      <c r="J163" s="490">
        <f t="shared" si="61"/>
        <v>205598.16666666701</v>
      </c>
      <c r="K163" s="490">
        <v>138590.73000000001</v>
      </c>
      <c r="L163" s="490">
        <f t="shared" si="62"/>
        <v>67007.436666666996</v>
      </c>
      <c r="M163" s="492">
        <v>19441.199306666698</v>
      </c>
      <c r="N163" s="555">
        <v>11232.457626666701</v>
      </c>
      <c r="O163" s="556">
        <f t="shared" si="60"/>
        <v>8208.7416799999992</v>
      </c>
      <c r="P163" s="557"/>
      <c r="Q163" s="570">
        <f t="shared" si="63"/>
        <v>58798.694986666997</v>
      </c>
    </row>
    <row r="164" spans="1:17" ht="20.100000000000001" customHeight="1">
      <c r="A164" s="26">
        <v>31</v>
      </c>
      <c r="B164" s="10" t="s">
        <v>568</v>
      </c>
      <c r="C164" s="11" t="s">
        <v>565</v>
      </c>
      <c r="D164" s="14" t="s">
        <v>566</v>
      </c>
      <c r="E164" s="208">
        <v>168598.16666666701</v>
      </c>
      <c r="F164" s="202"/>
      <c r="G164" s="202"/>
      <c r="H164" s="202">
        <f>30000</f>
        <v>30000</v>
      </c>
      <c r="I164" s="72">
        <f>4000</f>
        <v>4000</v>
      </c>
      <c r="J164" s="490">
        <f t="shared" si="61"/>
        <v>202598.16666666701</v>
      </c>
      <c r="K164" s="490">
        <v>135590.73000000001</v>
      </c>
      <c r="L164" s="490">
        <f t="shared" si="62"/>
        <v>67007.436666666996</v>
      </c>
      <c r="M164" s="492">
        <v>18937.199306666698</v>
      </c>
      <c r="N164" s="555">
        <v>10776.457626666701</v>
      </c>
      <c r="O164" s="556">
        <f t="shared" si="60"/>
        <v>8160.7416800000001</v>
      </c>
      <c r="P164" s="557"/>
      <c r="Q164" s="570">
        <f t="shared" si="63"/>
        <v>58846.694986666997</v>
      </c>
    </row>
    <row r="165" spans="1:17" ht="20.100000000000001" customHeight="1">
      <c r="A165" s="26">
        <v>32</v>
      </c>
      <c r="B165" s="10" t="s">
        <v>569</v>
      </c>
      <c r="C165" s="11" t="s">
        <v>565</v>
      </c>
      <c r="D165" s="14" t="s">
        <v>566</v>
      </c>
      <c r="E165" s="208">
        <v>168598.16666666701</v>
      </c>
      <c r="F165" s="202"/>
      <c r="G165" s="202"/>
      <c r="H165" s="202">
        <f>30000</f>
        <v>30000</v>
      </c>
      <c r="I165" s="72">
        <f>4000</f>
        <v>4000</v>
      </c>
      <c r="J165" s="490">
        <f t="shared" si="61"/>
        <v>202598.16666666701</v>
      </c>
      <c r="K165" s="490">
        <v>135590.73000000001</v>
      </c>
      <c r="L165" s="490">
        <f t="shared" si="62"/>
        <v>67007.436666666996</v>
      </c>
      <c r="M165" s="492">
        <v>18892.9833866667</v>
      </c>
      <c r="N165" s="555">
        <v>10739.3048</v>
      </c>
      <c r="O165" s="556">
        <f t="shared" si="60"/>
        <v>8153.6785866666996</v>
      </c>
      <c r="P165" s="557"/>
      <c r="Q165" s="570">
        <f t="shared" si="63"/>
        <v>58853.758080000298</v>
      </c>
    </row>
    <row r="166" spans="1:17" ht="20.100000000000001" customHeight="1">
      <c r="A166" s="26">
        <v>33</v>
      </c>
      <c r="B166" s="10" t="s">
        <v>570</v>
      </c>
      <c r="C166" s="11" t="s">
        <v>565</v>
      </c>
      <c r="D166" s="14" t="s">
        <v>566</v>
      </c>
      <c r="E166" s="208">
        <v>168598.16666666701</v>
      </c>
      <c r="F166" s="202"/>
      <c r="G166" s="202"/>
      <c r="H166" s="202">
        <f>30000</f>
        <v>30000</v>
      </c>
      <c r="I166" s="72">
        <f>4000</f>
        <v>4000</v>
      </c>
      <c r="J166" s="490">
        <f t="shared" si="61"/>
        <v>202598.16666666701</v>
      </c>
      <c r="K166" s="490">
        <v>135590.73000000001</v>
      </c>
      <c r="L166" s="490">
        <f t="shared" si="62"/>
        <v>67007.436666666996</v>
      </c>
      <c r="M166" s="492">
        <v>18937.199306666698</v>
      </c>
      <c r="N166" s="555">
        <v>10776.457626666701</v>
      </c>
      <c r="O166" s="556">
        <f t="shared" si="60"/>
        <v>8160.7416800000001</v>
      </c>
      <c r="P166" s="557"/>
      <c r="Q166" s="570">
        <f t="shared" si="63"/>
        <v>58846.694986666997</v>
      </c>
    </row>
    <row r="167" spans="1:17" ht="20.100000000000001" customHeight="1">
      <c r="A167" s="26">
        <v>34</v>
      </c>
      <c r="B167" s="10" t="s">
        <v>571</v>
      </c>
      <c r="C167" s="11" t="s">
        <v>565</v>
      </c>
      <c r="D167" s="14" t="s">
        <v>572</v>
      </c>
      <c r="E167" s="208">
        <v>163336.83333333299</v>
      </c>
      <c r="F167" s="202"/>
      <c r="G167" s="202"/>
      <c r="H167" s="202">
        <f>20000+10000</f>
        <v>30000</v>
      </c>
      <c r="I167" s="72">
        <f>7000</f>
        <v>7000</v>
      </c>
      <c r="J167" s="490">
        <f t="shared" si="61"/>
        <v>200336.83333333299</v>
      </c>
      <c r="K167" s="490">
        <v>138590.73000000001</v>
      </c>
      <c r="L167" s="490">
        <f t="shared" si="62"/>
        <v>61746.103333332998</v>
      </c>
      <c r="M167" s="492">
        <v>18631.689439999998</v>
      </c>
      <c r="N167" s="555">
        <v>11232.457626666701</v>
      </c>
      <c r="O167" s="556">
        <f t="shared" si="60"/>
        <v>7399.2318133333001</v>
      </c>
      <c r="P167" s="557"/>
      <c r="Q167" s="570">
        <f t="shared" si="63"/>
        <v>54346.871519999702</v>
      </c>
    </row>
    <row r="168" spans="1:17" ht="20.100000000000001" customHeight="1">
      <c r="A168" s="26">
        <v>35</v>
      </c>
      <c r="B168" s="10" t="s">
        <v>573</v>
      </c>
      <c r="C168" s="11" t="s">
        <v>565</v>
      </c>
      <c r="D168" s="14" t="s">
        <v>572</v>
      </c>
      <c r="E168" s="208">
        <v>163336.83333333299</v>
      </c>
      <c r="F168" s="202"/>
      <c r="G168" s="202"/>
      <c r="H168" s="202">
        <f t="shared" ref="H168:H172" si="65">20000+10000</f>
        <v>30000</v>
      </c>
      <c r="I168" s="72">
        <f>4000</f>
        <v>4000</v>
      </c>
      <c r="J168" s="490">
        <f t="shared" si="61"/>
        <v>197336.83333333299</v>
      </c>
      <c r="K168" s="490">
        <v>135590.73000000001</v>
      </c>
      <c r="L168" s="490">
        <f t="shared" si="62"/>
        <v>61746.103333332998</v>
      </c>
      <c r="M168" s="492">
        <v>18175.689439999998</v>
      </c>
      <c r="N168" s="555">
        <v>10776.457626666701</v>
      </c>
      <c r="O168" s="556">
        <f t="shared" si="60"/>
        <v>7399.2318133333001</v>
      </c>
      <c r="P168" s="557"/>
      <c r="Q168" s="570">
        <f t="shared" si="63"/>
        <v>54346.871519999702</v>
      </c>
    </row>
    <row r="169" spans="1:17" ht="20.100000000000001" customHeight="1">
      <c r="A169" s="26">
        <v>36</v>
      </c>
      <c r="B169" s="13" t="s">
        <v>574</v>
      </c>
      <c r="C169" s="11" t="s">
        <v>565</v>
      </c>
      <c r="D169" s="14" t="s">
        <v>572</v>
      </c>
      <c r="E169" s="208">
        <v>163336.83333333299</v>
      </c>
      <c r="F169" s="202"/>
      <c r="G169" s="202"/>
      <c r="H169" s="202">
        <f t="shared" si="65"/>
        <v>30000</v>
      </c>
      <c r="I169" s="72">
        <f>7000</f>
        <v>7000</v>
      </c>
      <c r="J169" s="490">
        <f t="shared" si="61"/>
        <v>200336.83333333299</v>
      </c>
      <c r="K169" s="490">
        <v>138590.73000000001</v>
      </c>
      <c r="L169" s="490">
        <f t="shared" si="62"/>
        <v>61746.103333332998</v>
      </c>
      <c r="M169" s="492">
        <v>18631.689439999998</v>
      </c>
      <c r="N169" s="555">
        <v>11232.457626666701</v>
      </c>
      <c r="O169" s="556">
        <f t="shared" si="60"/>
        <v>7399.2318133333001</v>
      </c>
      <c r="P169" s="557"/>
      <c r="Q169" s="570">
        <f t="shared" si="63"/>
        <v>54346.871519999702</v>
      </c>
    </row>
    <row r="170" spans="1:17" ht="20.100000000000001" customHeight="1">
      <c r="A170" s="26">
        <v>37</v>
      </c>
      <c r="B170" s="10" t="s">
        <v>575</v>
      </c>
      <c r="C170" s="11" t="s">
        <v>565</v>
      </c>
      <c r="D170" s="14" t="s">
        <v>572</v>
      </c>
      <c r="E170" s="208">
        <v>163336.83333333299</v>
      </c>
      <c r="F170" s="202"/>
      <c r="G170" s="202"/>
      <c r="H170" s="202">
        <f t="shared" si="65"/>
        <v>30000</v>
      </c>
      <c r="I170" s="72">
        <f>4000</f>
        <v>4000</v>
      </c>
      <c r="J170" s="490">
        <f t="shared" si="61"/>
        <v>197336.83333333299</v>
      </c>
      <c r="K170" s="490">
        <v>135590.73000000001</v>
      </c>
      <c r="L170" s="490">
        <f t="shared" si="62"/>
        <v>61746.103333332998</v>
      </c>
      <c r="M170" s="492">
        <v>18175.689439999998</v>
      </c>
      <c r="N170" s="555">
        <v>10776.457626666701</v>
      </c>
      <c r="O170" s="556">
        <f t="shared" si="60"/>
        <v>7399.2318133333001</v>
      </c>
      <c r="P170" s="557"/>
      <c r="Q170" s="570">
        <f t="shared" si="63"/>
        <v>54346.871519999702</v>
      </c>
    </row>
    <row r="171" spans="1:17" ht="20.100000000000001" customHeight="1">
      <c r="A171" s="26">
        <v>38</v>
      </c>
      <c r="B171" s="17" t="s">
        <v>576</v>
      </c>
      <c r="C171" s="11" t="s">
        <v>565</v>
      </c>
      <c r="D171" s="14" t="s">
        <v>572</v>
      </c>
      <c r="E171" s="208">
        <v>163336.83333333299</v>
      </c>
      <c r="F171" s="202"/>
      <c r="G171" s="202"/>
      <c r="H171" s="202">
        <f t="shared" si="65"/>
        <v>30000</v>
      </c>
      <c r="I171" s="72">
        <f>4000</f>
        <v>4000</v>
      </c>
      <c r="J171" s="490">
        <f t="shared" si="61"/>
        <v>197336.83333333299</v>
      </c>
      <c r="K171" s="490">
        <v>135590.73000000001</v>
      </c>
      <c r="L171" s="490">
        <f t="shared" si="62"/>
        <v>61746.103333332998</v>
      </c>
      <c r="M171" s="492">
        <v>18175.689439999998</v>
      </c>
      <c r="N171" s="555">
        <v>10776.457626666701</v>
      </c>
      <c r="O171" s="556">
        <f t="shared" si="60"/>
        <v>7399.2318133333001</v>
      </c>
      <c r="P171" s="557"/>
      <c r="Q171" s="570">
        <f t="shared" si="63"/>
        <v>54346.871519999702</v>
      </c>
    </row>
    <row r="172" spans="1:17" ht="20.100000000000001" customHeight="1">
      <c r="A172" s="26">
        <v>39</v>
      </c>
      <c r="B172" s="17" t="s">
        <v>577</v>
      </c>
      <c r="C172" s="11" t="s">
        <v>565</v>
      </c>
      <c r="D172" s="14" t="s">
        <v>572</v>
      </c>
      <c r="E172" s="208">
        <v>163336.83333333299</v>
      </c>
      <c r="F172" s="202"/>
      <c r="G172" s="202"/>
      <c r="H172" s="202">
        <f t="shared" si="65"/>
        <v>30000</v>
      </c>
      <c r="I172" s="72">
        <f t="shared" ref="I172:I177" si="66">7000</f>
        <v>7000</v>
      </c>
      <c r="J172" s="490">
        <f t="shared" si="61"/>
        <v>200336.83333333299</v>
      </c>
      <c r="K172" s="490">
        <v>138590.73000000001</v>
      </c>
      <c r="L172" s="490">
        <f t="shared" si="62"/>
        <v>61746.103333332998</v>
      </c>
      <c r="M172" s="492">
        <v>18631.689439999998</v>
      </c>
      <c r="N172" s="555">
        <v>11232.457626666701</v>
      </c>
      <c r="O172" s="556">
        <f t="shared" si="60"/>
        <v>7399.2318133333001</v>
      </c>
      <c r="P172" s="557"/>
      <c r="Q172" s="570">
        <f t="shared" si="63"/>
        <v>54346.871519999702</v>
      </c>
    </row>
    <row r="173" spans="1:17" ht="20.100000000000001" customHeight="1">
      <c r="A173" s="26">
        <v>40</v>
      </c>
      <c r="B173" s="10" t="s">
        <v>578</v>
      </c>
      <c r="C173" s="11" t="s">
        <v>579</v>
      </c>
      <c r="D173" s="14" t="s">
        <v>580</v>
      </c>
      <c r="E173" s="72">
        <v>152814.16666666701</v>
      </c>
      <c r="F173" s="202"/>
      <c r="G173" s="202"/>
      <c r="H173" s="202">
        <f>30000</f>
        <v>30000</v>
      </c>
      <c r="I173" s="72">
        <f t="shared" si="66"/>
        <v>7000</v>
      </c>
      <c r="J173" s="490">
        <f t="shared" si="61"/>
        <v>189814.16666666701</v>
      </c>
      <c r="K173" s="490">
        <v>122104.99825</v>
      </c>
      <c r="L173" s="490">
        <f t="shared" si="62"/>
        <v>67709.168416667002</v>
      </c>
      <c r="M173" s="492">
        <v>17160.199733333298</v>
      </c>
      <c r="N173" s="555">
        <v>9152.5997900000002</v>
      </c>
      <c r="O173" s="556">
        <f t="shared" si="60"/>
        <v>8007.5999433333</v>
      </c>
      <c r="P173" s="557"/>
      <c r="Q173" s="570">
        <f t="shared" si="63"/>
        <v>59701.568473333697</v>
      </c>
    </row>
    <row r="174" spans="1:17" ht="20.100000000000001" customHeight="1">
      <c r="A174" s="26">
        <v>41</v>
      </c>
      <c r="B174" s="10" t="s">
        <v>581</v>
      </c>
      <c r="C174" s="11" t="s">
        <v>579</v>
      </c>
      <c r="D174" s="14" t="s">
        <v>580</v>
      </c>
      <c r="E174" s="72">
        <v>152814.16666666701</v>
      </c>
      <c r="F174" s="202"/>
      <c r="G174" s="202"/>
      <c r="H174" s="202">
        <f>30000</f>
        <v>30000</v>
      </c>
      <c r="I174" s="72">
        <f t="shared" si="66"/>
        <v>7000</v>
      </c>
      <c r="J174" s="490">
        <f t="shared" si="61"/>
        <v>189814.16666666701</v>
      </c>
      <c r="K174" s="490">
        <v>122104.99825</v>
      </c>
      <c r="L174" s="490">
        <f t="shared" si="62"/>
        <v>67709.168416667002</v>
      </c>
      <c r="M174" s="492">
        <v>17160.199733333298</v>
      </c>
      <c r="N174" s="555">
        <v>9152.5997900000002</v>
      </c>
      <c r="O174" s="556">
        <f t="shared" si="60"/>
        <v>8007.5999433333</v>
      </c>
      <c r="P174" s="557"/>
      <c r="Q174" s="570">
        <f t="shared" si="63"/>
        <v>59701.568473333697</v>
      </c>
    </row>
    <row r="175" spans="1:17" ht="20.100000000000001" customHeight="1">
      <c r="A175" s="26">
        <v>42</v>
      </c>
      <c r="B175" s="17" t="s">
        <v>582</v>
      </c>
      <c r="C175" s="11" t="s">
        <v>579</v>
      </c>
      <c r="D175" s="14" t="s">
        <v>583</v>
      </c>
      <c r="E175" s="72">
        <v>158075.5</v>
      </c>
      <c r="F175" s="202"/>
      <c r="G175" s="202"/>
      <c r="H175" s="202">
        <f>30000</f>
        <v>30000</v>
      </c>
      <c r="I175" s="72">
        <f t="shared" si="66"/>
        <v>7000</v>
      </c>
      <c r="J175" s="490">
        <f t="shared" si="61"/>
        <v>195075.5</v>
      </c>
      <c r="K175" s="490">
        <v>125035.03449999999</v>
      </c>
      <c r="L175" s="490">
        <f t="shared" si="62"/>
        <v>70040.465500000006</v>
      </c>
      <c r="M175" s="492">
        <v>17895.944586666701</v>
      </c>
      <c r="N175" s="555">
        <v>9504.2041399999998</v>
      </c>
      <c r="O175" s="556">
        <f t="shared" si="60"/>
        <v>8391.7404466666994</v>
      </c>
      <c r="P175" s="557"/>
      <c r="Q175" s="570">
        <f t="shared" si="63"/>
        <v>61648.725053333299</v>
      </c>
    </row>
    <row r="176" spans="1:17" ht="20.100000000000001" customHeight="1">
      <c r="A176" s="26">
        <v>43</v>
      </c>
      <c r="B176" s="10" t="s">
        <v>584</v>
      </c>
      <c r="C176" s="11" t="s">
        <v>585</v>
      </c>
      <c r="D176" s="14" t="s">
        <v>586</v>
      </c>
      <c r="E176" s="72">
        <v>94145.75</v>
      </c>
      <c r="F176" s="202"/>
      <c r="G176" s="202"/>
      <c r="H176" s="202">
        <f t="shared" ref="H176:H183" si="67">20000</f>
        <v>20000</v>
      </c>
      <c r="I176" s="72">
        <f t="shared" si="66"/>
        <v>7000</v>
      </c>
      <c r="J176" s="490">
        <f t="shared" si="61"/>
        <v>121145.75</v>
      </c>
      <c r="K176" s="490">
        <v>81803.001000000004</v>
      </c>
      <c r="L176" s="490">
        <f t="shared" si="62"/>
        <v>39342.749000000003</v>
      </c>
      <c r="M176" s="492">
        <v>8133.6908000000003</v>
      </c>
      <c r="N176" s="555">
        <v>4365.3307546666701</v>
      </c>
      <c r="O176" s="556">
        <f t="shared" si="60"/>
        <v>3768.3600453333302</v>
      </c>
      <c r="P176" s="557"/>
      <c r="Q176" s="570">
        <f t="shared" si="63"/>
        <v>35574.388954666698</v>
      </c>
    </row>
    <row r="177" spans="1:17" ht="20.100000000000001" customHeight="1">
      <c r="A177" s="26">
        <v>44</v>
      </c>
      <c r="B177" s="10" t="s">
        <v>587</v>
      </c>
      <c r="C177" s="11" t="s">
        <v>588</v>
      </c>
      <c r="D177" s="14" t="s">
        <v>589</v>
      </c>
      <c r="E177" s="72">
        <v>91598</v>
      </c>
      <c r="F177" s="202"/>
      <c r="G177" s="202"/>
      <c r="H177" s="202">
        <f t="shared" si="67"/>
        <v>20000</v>
      </c>
      <c r="I177" s="72">
        <f t="shared" si="66"/>
        <v>7000</v>
      </c>
      <c r="J177" s="490">
        <f t="shared" si="61"/>
        <v>118598</v>
      </c>
      <c r="K177" s="490">
        <v>80237.012000000002</v>
      </c>
      <c r="L177" s="490">
        <f t="shared" si="62"/>
        <v>38360.987999999998</v>
      </c>
      <c r="M177" s="492">
        <v>7852.4192000000003</v>
      </c>
      <c r="N177" s="555">
        <v>4227.5237226666704</v>
      </c>
      <c r="O177" s="556">
        <f t="shared" si="60"/>
        <v>3624.8954773333298</v>
      </c>
      <c r="P177" s="557"/>
      <c r="Q177" s="570">
        <f t="shared" si="63"/>
        <v>34736.092522666702</v>
      </c>
    </row>
    <row r="178" spans="1:17" ht="20.100000000000001" customHeight="1">
      <c r="A178" s="26">
        <v>45</v>
      </c>
      <c r="B178" s="10" t="s">
        <v>590</v>
      </c>
      <c r="C178" s="11" t="s">
        <v>588</v>
      </c>
      <c r="D178" s="14" t="s">
        <v>589</v>
      </c>
      <c r="E178" s="72">
        <v>91598</v>
      </c>
      <c r="F178" s="202"/>
      <c r="G178" s="202"/>
      <c r="H178" s="202">
        <f t="shared" si="67"/>
        <v>20000</v>
      </c>
      <c r="I178" s="72">
        <f>4000</f>
        <v>4000</v>
      </c>
      <c r="J178" s="490">
        <f t="shared" si="61"/>
        <v>115598</v>
      </c>
      <c r="K178" s="490">
        <v>77237.012000000002</v>
      </c>
      <c r="L178" s="490">
        <f t="shared" si="62"/>
        <v>38360.987999999998</v>
      </c>
      <c r="M178" s="492">
        <v>7492.4192000000003</v>
      </c>
      <c r="N178" s="555">
        <v>3963.52372266667</v>
      </c>
      <c r="O178" s="556">
        <f t="shared" si="60"/>
        <v>3528.8954773333298</v>
      </c>
      <c r="P178" s="557"/>
      <c r="Q178" s="570">
        <f t="shared" si="63"/>
        <v>34832.092522666702</v>
      </c>
    </row>
    <row r="179" spans="1:17" ht="20.100000000000001" customHeight="1">
      <c r="A179" s="26">
        <v>46</v>
      </c>
      <c r="B179" s="10" t="s">
        <v>591</v>
      </c>
      <c r="C179" s="11" t="s">
        <v>588</v>
      </c>
      <c r="D179" s="14" t="s">
        <v>589</v>
      </c>
      <c r="E179" s="72">
        <v>91598</v>
      </c>
      <c r="F179" s="202"/>
      <c r="G179" s="202"/>
      <c r="H179" s="202">
        <f t="shared" si="67"/>
        <v>20000</v>
      </c>
      <c r="I179" s="72">
        <f>7000</f>
        <v>7000</v>
      </c>
      <c r="J179" s="490">
        <f t="shared" si="61"/>
        <v>118598</v>
      </c>
      <c r="K179" s="490">
        <v>80237.012000000002</v>
      </c>
      <c r="L179" s="490">
        <f t="shared" si="62"/>
        <v>38360.987999999998</v>
      </c>
      <c r="M179" s="492">
        <v>7852.4192000000003</v>
      </c>
      <c r="N179" s="555">
        <v>4227.5237226666704</v>
      </c>
      <c r="O179" s="556">
        <f t="shared" si="60"/>
        <v>3624.8954773333298</v>
      </c>
      <c r="P179" s="557"/>
      <c r="Q179" s="570">
        <f t="shared" si="63"/>
        <v>34736.092522666702</v>
      </c>
    </row>
    <row r="180" spans="1:17" ht="20.100000000000001" customHeight="1">
      <c r="A180" s="26">
        <v>47</v>
      </c>
      <c r="B180" s="10" t="s">
        <v>592</v>
      </c>
      <c r="C180" s="11" t="s">
        <v>588</v>
      </c>
      <c r="D180" s="14" t="s">
        <v>589</v>
      </c>
      <c r="E180" s="72">
        <v>91598</v>
      </c>
      <c r="F180" s="202"/>
      <c r="G180" s="202"/>
      <c r="H180" s="202">
        <f t="shared" si="67"/>
        <v>20000</v>
      </c>
      <c r="I180" s="72">
        <f>4000</f>
        <v>4000</v>
      </c>
      <c r="J180" s="490">
        <f t="shared" si="61"/>
        <v>115598</v>
      </c>
      <c r="K180" s="490">
        <v>77237.012000000002</v>
      </c>
      <c r="L180" s="490">
        <f t="shared" si="62"/>
        <v>38360.987999999998</v>
      </c>
      <c r="M180" s="492">
        <v>7492.4192000000003</v>
      </c>
      <c r="N180" s="555">
        <v>3963.52372266667</v>
      </c>
      <c r="O180" s="556">
        <f t="shared" si="60"/>
        <v>3528.8954773333298</v>
      </c>
      <c r="P180" s="557"/>
      <c r="Q180" s="570">
        <f t="shared" si="63"/>
        <v>34832.092522666702</v>
      </c>
    </row>
    <row r="181" spans="1:17" ht="20.100000000000001" customHeight="1">
      <c r="A181" s="26">
        <v>48</v>
      </c>
      <c r="B181" s="10" t="s">
        <v>593</v>
      </c>
      <c r="C181" s="11" t="s">
        <v>588</v>
      </c>
      <c r="D181" s="14" t="s">
        <v>589</v>
      </c>
      <c r="E181" s="72">
        <v>91598</v>
      </c>
      <c r="F181" s="202"/>
      <c r="G181" s="202"/>
      <c r="H181" s="202">
        <f t="shared" si="67"/>
        <v>20000</v>
      </c>
      <c r="I181" s="72">
        <f>7000</f>
        <v>7000</v>
      </c>
      <c r="J181" s="490">
        <f t="shared" si="61"/>
        <v>118598</v>
      </c>
      <c r="K181" s="490">
        <v>80237.012000000002</v>
      </c>
      <c r="L181" s="490">
        <f t="shared" si="62"/>
        <v>38360.987999999998</v>
      </c>
      <c r="M181" s="492">
        <v>7852.4192000000003</v>
      </c>
      <c r="N181" s="555">
        <v>4227.5237226666704</v>
      </c>
      <c r="O181" s="556">
        <f t="shared" si="60"/>
        <v>3624.8954773333298</v>
      </c>
      <c r="P181" s="557"/>
      <c r="Q181" s="570">
        <f t="shared" si="63"/>
        <v>34736.092522666702</v>
      </c>
    </row>
    <row r="182" spans="1:17" ht="20.100000000000001" customHeight="1">
      <c r="A182" s="26">
        <v>49</v>
      </c>
      <c r="B182" s="17" t="s">
        <v>594</v>
      </c>
      <c r="C182" s="11" t="s">
        <v>588</v>
      </c>
      <c r="D182" s="14" t="s">
        <v>589</v>
      </c>
      <c r="E182" s="72">
        <v>91598</v>
      </c>
      <c r="F182" s="202"/>
      <c r="G182" s="202"/>
      <c r="H182" s="202">
        <f t="shared" si="67"/>
        <v>20000</v>
      </c>
      <c r="I182" s="72">
        <f>4000</f>
        <v>4000</v>
      </c>
      <c r="J182" s="490">
        <f t="shared" si="61"/>
        <v>115598</v>
      </c>
      <c r="K182" s="490">
        <v>77237.012000000002</v>
      </c>
      <c r="L182" s="490">
        <f t="shared" si="62"/>
        <v>38360.987999999998</v>
      </c>
      <c r="M182" s="492">
        <v>7492.4192000000003</v>
      </c>
      <c r="N182" s="555">
        <v>3963.52372266667</v>
      </c>
      <c r="O182" s="556">
        <f t="shared" si="60"/>
        <v>3528.8954773333298</v>
      </c>
      <c r="P182" s="557"/>
      <c r="Q182" s="570">
        <f t="shared" si="63"/>
        <v>34832.092522666702</v>
      </c>
    </row>
    <row r="183" spans="1:17" ht="20.100000000000001" customHeight="1">
      <c r="A183" s="26">
        <v>50</v>
      </c>
      <c r="B183" s="17" t="s">
        <v>595</v>
      </c>
      <c r="C183" s="11" t="s">
        <v>588</v>
      </c>
      <c r="D183" s="14" t="s">
        <v>589</v>
      </c>
      <c r="E183" s="72">
        <v>91598</v>
      </c>
      <c r="F183" s="202"/>
      <c r="G183" s="202"/>
      <c r="H183" s="202">
        <f t="shared" si="67"/>
        <v>20000</v>
      </c>
      <c r="I183" s="72">
        <f>7000</f>
        <v>7000</v>
      </c>
      <c r="J183" s="490">
        <f t="shared" si="61"/>
        <v>118598</v>
      </c>
      <c r="K183" s="490">
        <v>80237.012000000002</v>
      </c>
      <c r="L183" s="490">
        <f t="shared" si="62"/>
        <v>38360.987999999998</v>
      </c>
      <c r="M183" s="492">
        <v>7852.4192000000003</v>
      </c>
      <c r="N183" s="555">
        <v>4227.5237226666704</v>
      </c>
      <c r="O183" s="556">
        <f t="shared" si="60"/>
        <v>3624.8954773333298</v>
      </c>
      <c r="P183" s="557"/>
      <c r="Q183" s="570">
        <f t="shared" si="63"/>
        <v>34736.092522666702</v>
      </c>
    </row>
    <row r="184" spans="1:17" ht="20.100000000000001" customHeight="1">
      <c r="A184" s="26">
        <v>51</v>
      </c>
      <c r="B184" s="10" t="s">
        <v>596</v>
      </c>
      <c r="C184" s="11" t="s">
        <v>585</v>
      </c>
      <c r="D184" s="14" t="s">
        <v>589</v>
      </c>
      <c r="E184" s="72">
        <v>91598</v>
      </c>
      <c r="F184" s="202"/>
      <c r="G184" s="202"/>
      <c r="H184" s="202">
        <v>20000</v>
      </c>
      <c r="I184" s="72">
        <v>7000</v>
      </c>
      <c r="J184" s="490">
        <f t="shared" si="61"/>
        <v>118598</v>
      </c>
      <c r="K184" s="490">
        <v>78671.023000000001</v>
      </c>
      <c r="L184" s="490">
        <f t="shared" si="62"/>
        <v>39926.976999999999</v>
      </c>
      <c r="M184" s="492">
        <v>7852.4192000000003</v>
      </c>
      <c r="N184" s="555">
        <v>4089.7166906666698</v>
      </c>
      <c r="O184" s="556">
        <f t="shared" si="60"/>
        <v>3762.70250933333</v>
      </c>
      <c r="P184" s="557"/>
      <c r="Q184" s="570">
        <f t="shared" si="63"/>
        <v>36164.274490666699</v>
      </c>
    </row>
    <row r="185" spans="1:17" ht="20.100000000000001" customHeight="1">
      <c r="A185" s="26">
        <v>52</v>
      </c>
      <c r="B185" s="10" t="s">
        <v>597</v>
      </c>
      <c r="C185" s="11" t="s">
        <v>585</v>
      </c>
      <c r="D185" s="14" t="s">
        <v>589</v>
      </c>
      <c r="E185" s="72">
        <v>91598</v>
      </c>
      <c r="F185" s="202"/>
      <c r="G185" s="202"/>
      <c r="H185" s="202">
        <v>20000</v>
      </c>
      <c r="I185" s="72">
        <f>7000</f>
        <v>7000</v>
      </c>
      <c r="J185" s="490">
        <f t="shared" si="61"/>
        <v>118598</v>
      </c>
      <c r="K185" s="490">
        <v>80237.012000000002</v>
      </c>
      <c r="L185" s="490">
        <f t="shared" si="62"/>
        <v>38360.987999999998</v>
      </c>
      <c r="M185" s="492">
        <v>7852.4192000000003</v>
      </c>
      <c r="N185" s="555">
        <v>4227.5237226666704</v>
      </c>
      <c r="O185" s="556">
        <f t="shared" si="60"/>
        <v>3624.8954773333298</v>
      </c>
      <c r="P185" s="557"/>
      <c r="Q185" s="570">
        <f t="shared" si="63"/>
        <v>34736.092522666702</v>
      </c>
    </row>
    <row r="186" spans="1:17" ht="20.100000000000001" customHeight="1">
      <c r="A186" s="26">
        <v>53</v>
      </c>
      <c r="B186" s="17" t="s">
        <v>598</v>
      </c>
      <c r="C186" s="11" t="s">
        <v>286</v>
      </c>
      <c r="D186" s="14" t="s">
        <v>599</v>
      </c>
      <c r="E186" s="72">
        <v>89050.25</v>
      </c>
      <c r="F186" s="202"/>
      <c r="G186" s="202"/>
      <c r="H186" s="202">
        <f>20000</f>
        <v>20000</v>
      </c>
      <c r="I186" s="72">
        <f>4000+3000</f>
        <v>7000</v>
      </c>
      <c r="J186" s="490">
        <f t="shared" si="61"/>
        <v>116050.25</v>
      </c>
      <c r="K186" s="490">
        <v>78671.023000000001</v>
      </c>
      <c r="L186" s="490">
        <f t="shared" si="62"/>
        <v>37379.226999999999</v>
      </c>
      <c r="M186" s="492">
        <v>7571.1476000000002</v>
      </c>
      <c r="N186" s="555">
        <v>4089.7166906666698</v>
      </c>
      <c r="O186" s="556">
        <f t="shared" si="60"/>
        <v>3481.43090933333</v>
      </c>
      <c r="P186" s="557"/>
      <c r="Q186" s="570">
        <f t="shared" si="63"/>
        <v>33897.796090666699</v>
      </c>
    </row>
    <row r="187" spans="1:17" ht="20.100000000000001" customHeight="1">
      <c r="A187" s="26">
        <v>54</v>
      </c>
      <c r="B187" s="17" t="s">
        <v>600</v>
      </c>
      <c r="C187" s="11" t="s">
        <v>588</v>
      </c>
      <c r="D187" s="14" t="s">
        <v>601</v>
      </c>
      <c r="E187" s="202">
        <v>80926.916666666701</v>
      </c>
      <c r="F187" s="202"/>
      <c r="G187" s="202"/>
      <c r="H187" s="202">
        <f>15000</f>
        <v>15000</v>
      </c>
      <c r="I187" s="72">
        <f>7000</f>
        <v>7000</v>
      </c>
      <c r="J187" s="490">
        <f t="shared" si="61"/>
        <v>102926.91666666701</v>
      </c>
      <c r="K187" s="490">
        <v>68675.997025000004</v>
      </c>
      <c r="L187" s="490">
        <f t="shared" si="62"/>
        <v>34250.919641666696</v>
      </c>
      <c r="M187" s="492">
        <v>6074.3316000000004</v>
      </c>
      <c r="N187" s="555">
        <v>3210.1544048666701</v>
      </c>
      <c r="O187" s="556">
        <f t="shared" si="60"/>
        <v>2864.1771951333299</v>
      </c>
      <c r="P187" s="557"/>
      <c r="Q187" s="570">
        <f t="shared" si="63"/>
        <v>31386.742446533401</v>
      </c>
    </row>
    <row r="188" spans="1:17" ht="20.100000000000001" customHeight="1">
      <c r="A188" s="26">
        <v>55</v>
      </c>
      <c r="B188" s="17" t="s">
        <v>602</v>
      </c>
      <c r="C188" s="11" t="s">
        <v>603</v>
      </c>
      <c r="D188" s="14" t="s">
        <v>604</v>
      </c>
      <c r="E188" s="72">
        <v>76540.75</v>
      </c>
      <c r="F188" s="112"/>
      <c r="G188" s="3"/>
      <c r="H188" s="112">
        <v>15000</v>
      </c>
      <c r="I188" s="112">
        <v>4000</v>
      </c>
      <c r="J188" s="490">
        <f t="shared" si="61"/>
        <v>95540.75</v>
      </c>
      <c r="K188" s="490">
        <v>62980.079250000003</v>
      </c>
      <c r="L188" s="490">
        <f t="shared" si="62"/>
        <v>32560.670750000001</v>
      </c>
      <c r="M188" s="492">
        <v>5230.0987999999998</v>
      </c>
      <c r="N188" s="555">
        <v>2708.9136406666698</v>
      </c>
      <c r="O188" s="556">
        <f t="shared" si="60"/>
        <v>2521.1851593333299</v>
      </c>
      <c r="P188" s="557"/>
      <c r="Q188" s="570">
        <f t="shared" si="63"/>
        <v>30039.4855906667</v>
      </c>
    </row>
    <row r="189" spans="1:17" ht="20.100000000000001" customHeight="1">
      <c r="A189" s="26">
        <v>56</v>
      </c>
      <c r="B189" s="17" t="s">
        <v>605</v>
      </c>
      <c r="C189" s="11" t="s">
        <v>603</v>
      </c>
      <c r="D189" s="14" t="s">
        <v>604</v>
      </c>
      <c r="E189" s="72">
        <v>76540.75</v>
      </c>
      <c r="F189" s="112"/>
      <c r="G189" s="3"/>
      <c r="H189" s="112">
        <v>15000</v>
      </c>
      <c r="I189" s="112">
        <v>4000</v>
      </c>
      <c r="J189" s="490">
        <f t="shared" si="61"/>
        <v>95540.75</v>
      </c>
      <c r="K189" s="490">
        <v>62980.079250000003</v>
      </c>
      <c r="L189" s="490">
        <f t="shared" si="62"/>
        <v>32560.670750000001</v>
      </c>
      <c r="M189" s="492">
        <v>5230.0987999999998</v>
      </c>
      <c r="N189" s="555">
        <v>2708.9136406666698</v>
      </c>
      <c r="O189" s="556">
        <f t="shared" si="60"/>
        <v>2521.1851593333299</v>
      </c>
      <c r="P189" s="557"/>
      <c r="Q189" s="570">
        <f t="shared" si="63"/>
        <v>30039.4855906667</v>
      </c>
    </row>
    <row r="190" spans="1:17" ht="20.100000000000001" customHeight="1">
      <c r="A190" s="26">
        <v>57</v>
      </c>
      <c r="B190" s="17" t="s">
        <v>606</v>
      </c>
      <c r="C190" s="11" t="s">
        <v>603</v>
      </c>
      <c r="D190" s="14" t="s">
        <v>604</v>
      </c>
      <c r="E190" s="72">
        <v>76540.75</v>
      </c>
      <c r="F190" s="112"/>
      <c r="G190" s="3"/>
      <c r="H190" s="112">
        <v>15000</v>
      </c>
      <c r="I190" s="112">
        <v>4000</v>
      </c>
      <c r="J190" s="490">
        <f t="shared" si="61"/>
        <v>95540.75</v>
      </c>
      <c r="K190" s="490">
        <v>62980.079250000003</v>
      </c>
      <c r="L190" s="490">
        <f t="shared" si="62"/>
        <v>32560.670750000001</v>
      </c>
      <c r="M190" s="492">
        <v>5230.0987999999998</v>
      </c>
      <c r="N190" s="555">
        <v>2708.9136406666698</v>
      </c>
      <c r="O190" s="556">
        <f t="shared" si="60"/>
        <v>2521.1851593333299</v>
      </c>
      <c r="P190" s="557"/>
      <c r="Q190" s="570">
        <f t="shared" si="63"/>
        <v>30039.4855906667</v>
      </c>
    </row>
    <row r="191" spans="1:17" ht="20.100000000000001" customHeight="1">
      <c r="A191" s="26">
        <v>58</v>
      </c>
      <c r="B191" s="17" t="s">
        <v>607</v>
      </c>
      <c r="C191" s="11" t="s">
        <v>608</v>
      </c>
      <c r="D191" s="14" t="s">
        <v>609</v>
      </c>
      <c r="E191" s="72">
        <v>86502.5</v>
      </c>
      <c r="F191" s="112"/>
      <c r="G191" s="202"/>
      <c r="H191" s="202">
        <f>15000</f>
        <v>15000</v>
      </c>
      <c r="I191" s="72">
        <v>7000</v>
      </c>
      <c r="J191" s="490">
        <f t="shared" si="61"/>
        <v>108502.5</v>
      </c>
      <c r="K191" s="490">
        <v>72103.749500000005</v>
      </c>
      <c r="L191" s="490">
        <f t="shared" si="62"/>
        <v>36398.750500000002</v>
      </c>
      <c r="M191" s="492">
        <v>6689.8760000000002</v>
      </c>
      <c r="N191" s="555">
        <v>3511.7966226666699</v>
      </c>
      <c r="O191" s="556">
        <f t="shared" si="60"/>
        <v>3178.0793773333298</v>
      </c>
      <c r="P191" s="557"/>
      <c r="Q191" s="570">
        <f t="shared" si="63"/>
        <v>33220.671122666703</v>
      </c>
    </row>
    <row r="192" spans="1:17" ht="20.100000000000001" customHeight="1">
      <c r="A192" s="26">
        <v>59</v>
      </c>
      <c r="B192" s="17" t="s">
        <v>610</v>
      </c>
      <c r="C192" s="11" t="s">
        <v>608</v>
      </c>
      <c r="D192" s="14" t="s">
        <v>609</v>
      </c>
      <c r="E192" s="72">
        <v>86502.5</v>
      </c>
      <c r="F192" s="112"/>
      <c r="G192" s="202"/>
      <c r="H192" s="202">
        <f>15000</f>
        <v>15000</v>
      </c>
      <c r="I192" s="72">
        <v>7000</v>
      </c>
      <c r="J192" s="490">
        <f t="shared" si="61"/>
        <v>108502.5</v>
      </c>
      <c r="K192" s="490">
        <v>72103.749500000005</v>
      </c>
      <c r="L192" s="490">
        <f t="shared" si="62"/>
        <v>36398.750500000002</v>
      </c>
      <c r="M192" s="492">
        <v>6689.8760000000002</v>
      </c>
      <c r="N192" s="555">
        <v>3511.7966226666699</v>
      </c>
      <c r="O192" s="556">
        <f t="shared" si="60"/>
        <v>3178.0793773333298</v>
      </c>
      <c r="P192" s="557"/>
      <c r="Q192" s="570">
        <f t="shared" si="63"/>
        <v>33220.671122666703</v>
      </c>
    </row>
    <row r="193" spans="1:17" ht="20.100000000000001" customHeight="1">
      <c r="A193" s="26"/>
      <c r="B193" s="7" t="s">
        <v>42</v>
      </c>
      <c r="C193" s="27" t="s">
        <v>611</v>
      </c>
      <c r="D193" s="28"/>
      <c r="E193" s="80">
        <f>SUM(E134:E192)</f>
        <v>14898686.4166667</v>
      </c>
      <c r="F193" s="80">
        <f t="shared" ref="F193:O193" si="68">SUM(F134:F192)</f>
        <v>0</v>
      </c>
      <c r="G193" s="80">
        <f t="shared" si="68"/>
        <v>0</v>
      </c>
      <c r="H193" s="80">
        <f t="shared" si="68"/>
        <v>2490000</v>
      </c>
      <c r="I193" s="80">
        <f t="shared" si="68"/>
        <v>228000</v>
      </c>
      <c r="J193" s="80">
        <f t="shared" si="68"/>
        <v>17616686.416666701</v>
      </c>
      <c r="K193" s="80">
        <v>11413301.213524999</v>
      </c>
      <c r="L193" s="80">
        <f t="shared" si="68"/>
        <v>6203385.2031416697</v>
      </c>
      <c r="M193" s="80">
        <f t="shared" si="68"/>
        <v>2121047.87476133</v>
      </c>
      <c r="N193" s="563">
        <v>1265795.4594602</v>
      </c>
      <c r="O193" s="563">
        <f t="shared" si="68"/>
        <v>855252.41530113399</v>
      </c>
      <c r="P193" s="564"/>
      <c r="Q193" s="574">
        <f>SUM(Q134:Q192)</f>
        <v>5348132.7878405303</v>
      </c>
    </row>
    <row r="194" spans="1:17" ht="30.75" customHeight="1">
      <c r="A194" s="3"/>
      <c r="B194" s="29" t="s">
        <v>125</v>
      </c>
      <c r="C194" s="30">
        <f>C34+C40+C54+C59+C72+C82+C95+C102+C112+C131+C193</f>
        <v>153</v>
      </c>
      <c r="D194" s="31"/>
      <c r="E194" s="209">
        <f>E193+E131+E118+E112+E102+E95+E82+E72+E59+E54+E40+E34</f>
        <v>64242790.417000003</v>
      </c>
      <c r="F194" s="209">
        <f t="shared" ref="F194:Q194" si="69">F193+F131+F118+F112+F102+F95+F82+F72+F59+F54+F40+F34</f>
        <v>0</v>
      </c>
      <c r="G194" s="209">
        <f t="shared" si="69"/>
        <v>7760000</v>
      </c>
      <c r="H194" s="209">
        <f t="shared" si="69"/>
        <v>5090000</v>
      </c>
      <c r="I194" s="209">
        <f t="shared" si="69"/>
        <v>2039337.4691049999</v>
      </c>
      <c r="J194" s="209">
        <f t="shared" si="69"/>
        <v>79132127.886105001</v>
      </c>
      <c r="K194" s="209">
        <f t="shared" si="69"/>
        <v>52358223.956574999</v>
      </c>
      <c r="L194" s="209">
        <f t="shared" si="69"/>
        <v>26773903.929529998</v>
      </c>
      <c r="M194" s="209">
        <f t="shared" si="69"/>
        <v>11287301.131869501</v>
      </c>
      <c r="N194" s="209">
        <f t="shared" si="69"/>
        <v>7214215.7686455902</v>
      </c>
      <c r="O194" s="209">
        <f t="shared" si="69"/>
        <v>4073085.3632239001</v>
      </c>
      <c r="P194" s="209">
        <f t="shared" si="69"/>
        <v>0</v>
      </c>
      <c r="Q194" s="507">
        <f t="shared" si="69"/>
        <v>22700818.566306099</v>
      </c>
    </row>
    <row r="195" spans="1:17" ht="20.100000000000001" customHeight="1">
      <c r="A195" s="2"/>
      <c r="B195" s="32"/>
      <c r="C195" s="2"/>
      <c r="D195" s="33"/>
      <c r="E195" s="33"/>
      <c r="F195" s="33"/>
      <c r="G195" s="210"/>
      <c r="H195" s="210"/>
      <c r="I195" s="210"/>
      <c r="J195" s="210"/>
      <c r="K195" s="210" t="s">
        <v>657</v>
      </c>
      <c r="L195" s="210"/>
      <c r="M195" s="210"/>
      <c r="N195" s="210"/>
      <c r="O195" s="210"/>
      <c r="P195" s="210"/>
      <c r="Q195" s="34"/>
    </row>
    <row r="196" spans="1:17" ht="36.75" customHeight="1">
      <c r="A196" s="2"/>
      <c r="B196" s="32"/>
      <c r="C196" s="33"/>
      <c r="D196" s="33"/>
      <c r="E196" s="33"/>
      <c r="F196" s="33"/>
      <c r="G196" s="210"/>
      <c r="H196" s="210"/>
      <c r="J196" s="34"/>
      <c r="L196" s="34"/>
      <c r="M196" s="210"/>
      <c r="N196" s="210"/>
      <c r="O196" s="210"/>
      <c r="P196" s="210"/>
    </row>
    <row r="197" spans="1:17">
      <c r="J197" s="34"/>
      <c r="K197" s="34"/>
      <c r="M197" s="34"/>
    </row>
    <row r="198" spans="1:17" ht="20.100000000000001" customHeight="1">
      <c r="J198" s="34"/>
    </row>
  </sheetData>
  <mergeCells count="1">
    <mergeCell ref="A1:F1"/>
  </mergeCells>
  <pageMargins left="0.70866141732283505" right="0.70866141732283505" top="0.74803149606299202" bottom="0.74803149606299202" header="0.31496062992126" footer="0.31496062992126"/>
  <pageSetup paperSize="9" scale="35" orientation="landscape"/>
  <rowBreaks count="2" manualBreakCount="2">
    <brk id="124" max="16" man="1"/>
    <brk id="194" max="16383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6"/>
  <sheetViews>
    <sheetView topLeftCell="Q13" workbookViewId="0">
      <selection activeCell="V24" sqref="V24"/>
    </sheetView>
  </sheetViews>
  <sheetFormatPr defaultColWidth="9" defaultRowHeight="12.75"/>
  <cols>
    <col min="1" max="1" width="6.85546875" customWidth="1"/>
    <col min="2" max="2" width="39.140625" customWidth="1"/>
    <col min="3" max="3" width="16.85546875" customWidth="1"/>
    <col min="4" max="4" width="6.7109375" customWidth="1"/>
    <col min="5" max="5" width="13.140625" customWidth="1"/>
    <col min="6" max="6" width="10.28515625" customWidth="1"/>
    <col min="7" max="7" width="9.28515625" customWidth="1"/>
    <col min="8" max="8" width="5.85546875" customWidth="1"/>
    <col min="9" max="9" width="12.85546875" customWidth="1"/>
    <col min="10" max="10" width="11.5703125" customWidth="1"/>
    <col min="11" max="11" width="6.85546875" customWidth="1"/>
    <col min="12" max="12" width="10.85546875" customWidth="1"/>
    <col min="13" max="13" width="12.5703125" customWidth="1"/>
    <col min="14" max="14" width="11" customWidth="1"/>
    <col min="15" max="15" width="12.140625" customWidth="1"/>
    <col min="16" max="16" width="15.42578125" customWidth="1"/>
    <col min="17" max="17" width="16.5703125" customWidth="1"/>
    <col min="18" max="18" width="9.85546875" customWidth="1"/>
    <col min="19" max="19" width="10.5703125" customWidth="1"/>
    <col min="20" max="20" width="11.5703125" customWidth="1"/>
    <col min="21" max="21" width="12.42578125" customWidth="1"/>
    <col min="22" max="22" width="11.5703125" customWidth="1"/>
    <col min="23" max="23" width="9.5703125" customWidth="1"/>
    <col min="24" max="24" width="10.85546875" customWidth="1"/>
    <col min="25" max="25" width="9" customWidth="1"/>
    <col min="26" max="26" width="14.140625" customWidth="1"/>
    <col min="27" max="27" width="16.28515625" customWidth="1"/>
    <col min="28" max="28" width="14.7109375" customWidth="1"/>
    <col min="29" max="29" width="27.42578125" customWidth="1"/>
  </cols>
  <sheetData>
    <row r="1" spans="1:31" hidden="1">
      <c r="A1" s="858" t="s">
        <v>0</v>
      </c>
      <c r="B1" s="858"/>
      <c r="C1" s="858"/>
      <c r="D1" s="858"/>
      <c r="E1" s="858"/>
      <c r="F1" s="858"/>
      <c r="G1" s="858"/>
      <c r="H1" s="858"/>
      <c r="I1" s="858"/>
      <c r="J1" s="858"/>
      <c r="K1" s="858"/>
      <c r="L1" s="858"/>
      <c r="M1" s="858"/>
      <c r="N1" s="858"/>
      <c r="O1" s="858"/>
      <c r="P1" s="858"/>
      <c r="Q1" s="858"/>
      <c r="R1" s="858"/>
      <c r="S1" s="858"/>
      <c r="T1" s="858"/>
      <c r="U1" s="858"/>
      <c r="V1" s="858"/>
      <c r="W1" s="858"/>
      <c r="X1" s="858"/>
      <c r="Y1" s="858"/>
      <c r="Z1" s="528"/>
    </row>
    <row r="2" spans="1:31" hidden="1">
      <c r="A2" s="859" t="s">
        <v>266</v>
      </c>
      <c r="B2" s="859"/>
      <c r="C2" s="859"/>
      <c r="D2" s="859"/>
      <c r="E2" s="859"/>
      <c r="F2" s="859"/>
      <c r="G2" s="859"/>
      <c r="H2" s="859"/>
      <c r="I2" s="859"/>
      <c r="J2" s="859"/>
      <c r="K2" s="859"/>
      <c r="L2" s="859"/>
      <c r="M2" s="859"/>
      <c r="N2" s="859"/>
      <c r="O2" s="859"/>
      <c r="P2" s="859"/>
      <c r="Q2" s="859"/>
      <c r="R2" s="859"/>
      <c r="S2" s="859"/>
      <c r="T2" s="859"/>
      <c r="U2" s="859"/>
      <c r="V2" s="859"/>
      <c r="W2" s="859"/>
      <c r="X2" s="859"/>
      <c r="Y2" s="859"/>
      <c r="Z2" s="528"/>
    </row>
    <row r="3" spans="1:31" hidden="1">
      <c r="A3" s="860" t="s">
        <v>267</v>
      </c>
      <c r="B3" s="858"/>
      <c r="C3" s="858"/>
      <c r="D3" s="858"/>
      <c r="E3" s="858"/>
      <c r="F3" s="858"/>
      <c r="G3" s="858"/>
      <c r="H3" s="858"/>
      <c r="I3" s="858"/>
      <c r="J3" s="858"/>
      <c r="K3" s="858"/>
      <c r="L3" s="858"/>
      <c r="M3" s="858"/>
      <c r="N3" s="858"/>
      <c r="O3" s="858"/>
      <c r="P3" s="858"/>
      <c r="Q3" s="858"/>
      <c r="R3" s="858"/>
      <c r="S3" s="858"/>
      <c r="T3" s="858"/>
      <c r="U3" s="858"/>
      <c r="V3" s="858"/>
      <c r="W3" s="858"/>
      <c r="X3" s="858"/>
      <c r="Y3" s="858"/>
      <c r="Z3" s="528"/>
    </row>
    <row r="4" spans="1:31" ht="83.25" customHeight="1">
      <c r="A4" s="519" t="s">
        <v>181</v>
      </c>
      <c r="B4" s="520" t="s">
        <v>182</v>
      </c>
      <c r="C4" s="521" t="s">
        <v>268</v>
      </c>
      <c r="D4" s="520" t="s">
        <v>183</v>
      </c>
      <c r="E4" s="521" t="s">
        <v>184</v>
      </c>
      <c r="F4" s="521" t="s">
        <v>186</v>
      </c>
      <c r="G4" s="521" t="s">
        <v>187</v>
      </c>
      <c r="H4" s="521" t="s">
        <v>188</v>
      </c>
      <c r="I4" s="521" t="s">
        <v>269</v>
      </c>
      <c r="J4" s="521"/>
      <c r="K4" s="521"/>
      <c r="L4" s="521"/>
      <c r="M4" s="521" t="s">
        <v>270</v>
      </c>
      <c r="N4" s="521" t="s">
        <v>189</v>
      </c>
      <c r="O4" s="521" t="s">
        <v>190</v>
      </c>
      <c r="P4" s="521" t="s">
        <v>271</v>
      </c>
      <c r="Q4" s="521" t="s">
        <v>272</v>
      </c>
      <c r="R4" s="521" t="s">
        <v>273</v>
      </c>
      <c r="S4" s="521" t="s">
        <v>274</v>
      </c>
      <c r="T4" s="521" t="s">
        <v>275</v>
      </c>
      <c r="U4" s="521" t="s">
        <v>276</v>
      </c>
      <c r="V4" s="521" t="s">
        <v>191</v>
      </c>
      <c r="W4" s="521"/>
      <c r="X4" s="521" t="s">
        <v>277</v>
      </c>
      <c r="Y4" s="521" t="s">
        <v>278</v>
      </c>
      <c r="Z4" s="521" t="s">
        <v>279</v>
      </c>
      <c r="AA4" s="529"/>
      <c r="AB4" s="529" t="s">
        <v>625</v>
      </c>
    </row>
    <row r="5" spans="1:31" ht="18.75">
      <c r="A5" s="522">
        <v>1</v>
      </c>
      <c r="B5" s="7" t="s">
        <v>22</v>
      </c>
      <c r="C5" s="523"/>
      <c r="D5" s="524"/>
      <c r="E5" s="525"/>
      <c r="F5" s="525"/>
      <c r="G5" s="525"/>
      <c r="H5" s="525"/>
      <c r="I5" s="525"/>
      <c r="J5" s="525"/>
      <c r="K5" s="525"/>
      <c r="L5" s="525"/>
      <c r="M5" s="525"/>
      <c r="N5" s="525"/>
      <c r="O5" s="525"/>
      <c r="P5" s="525"/>
      <c r="Q5" s="525"/>
      <c r="R5" s="525"/>
      <c r="S5" s="525"/>
      <c r="T5" s="525"/>
      <c r="U5" s="525"/>
      <c r="V5" s="525"/>
      <c r="W5" s="527"/>
      <c r="X5" s="525"/>
      <c r="Y5" s="525"/>
      <c r="Z5" s="525"/>
      <c r="AA5" s="193"/>
      <c r="AB5" s="193"/>
      <c r="AC5" s="193"/>
      <c r="AD5" s="193"/>
      <c r="AE5" s="193"/>
    </row>
    <row r="6" spans="1:31" ht="37.5">
      <c r="A6" s="522">
        <v>3</v>
      </c>
      <c r="B6" s="10" t="s">
        <v>345</v>
      </c>
      <c r="C6" s="446">
        <v>1158849.8400000001</v>
      </c>
      <c r="D6" s="447">
        <v>12</v>
      </c>
      <c r="E6" s="448">
        <f>C6*D6</f>
        <v>13906198.08</v>
      </c>
      <c r="F6" s="448"/>
      <c r="G6" s="448"/>
      <c r="H6" s="448"/>
      <c r="I6" s="448">
        <f t="shared" ref="I6:I75" si="0">E6-F6-G6-H6</f>
        <v>13906198.08</v>
      </c>
      <c r="J6" s="448">
        <v>200000</v>
      </c>
      <c r="K6" s="448">
        <v>0.2</v>
      </c>
      <c r="L6" s="448">
        <f t="shared" ref="L6:L75" si="1">I6*K6</f>
        <v>2781239.6159999999</v>
      </c>
      <c r="M6" s="448">
        <f t="shared" ref="M6:M75" si="2">J6+L6</f>
        <v>2981239.6159999999</v>
      </c>
      <c r="N6" s="448">
        <f t="shared" ref="N6:N75" si="3">F6+G6+H6+M6</f>
        <v>2981239.6159999999</v>
      </c>
      <c r="O6" s="448">
        <f t="shared" ref="O6:O75" si="4">E6-N6</f>
        <v>10924958.464</v>
      </c>
      <c r="P6" s="448">
        <f t="shared" ref="P6:P75" si="5">IF(O6&lt;300000,0.07*O6,21000)</f>
        <v>21000</v>
      </c>
      <c r="Q6" s="448">
        <f t="shared" ref="Q6:Q75" si="6">IF((O6-300000)&lt;0,0,IF((O6-300000)&lt;300000,0.11*(O6-300000),33000))</f>
        <v>33000</v>
      </c>
      <c r="R6" s="448">
        <f t="shared" ref="R6:R75" si="7">IF((O6-600000)&lt;0,0,IF((O6-600000)&lt;500000,0.15*(O6-600000),75000))</f>
        <v>75000</v>
      </c>
      <c r="S6" s="448">
        <f t="shared" ref="S6:S75" si="8">IF((O6-1100000)&lt;0,0,IF((O6-1100000)&lt;500000,0.19*(O6-1100000),95000))</f>
        <v>95000</v>
      </c>
      <c r="T6" s="448">
        <f t="shared" ref="T6:T75" si="9">IF((O6-1600000)&lt;0,0,IF((O6-1600000)&lt;1600000,0.21*(O6-1600000),336000))</f>
        <v>336000</v>
      </c>
      <c r="U6" s="448">
        <f t="shared" ref="U6:U73" si="10">24%*(O6-3200000)</f>
        <v>1853990.0313599999</v>
      </c>
      <c r="V6" s="448">
        <f t="shared" ref="V6:V75" si="11">P6+Q6+R6+S6+T6+U6</f>
        <v>2413990.0313599999</v>
      </c>
      <c r="W6" s="455">
        <v>12</v>
      </c>
      <c r="X6" s="448">
        <f t="shared" ref="X6:X75" si="12">V6/W6</f>
        <v>201165.83594666701</v>
      </c>
      <c r="Y6" s="448"/>
      <c r="Z6" s="448">
        <f t="shared" ref="Z6:Z75" si="13">X6</f>
        <v>201165.83594666701</v>
      </c>
      <c r="AA6" s="193">
        <v>201165.83594666701</v>
      </c>
      <c r="AB6" s="193">
        <f>Z6-AA6</f>
        <v>-3.20142135024071E-10</v>
      </c>
      <c r="AC6" s="193"/>
      <c r="AD6" s="193"/>
      <c r="AE6" s="193"/>
    </row>
    <row r="7" spans="1:31" ht="18.75">
      <c r="A7" s="522">
        <v>4</v>
      </c>
      <c r="B7" s="10" t="s">
        <v>348</v>
      </c>
      <c r="C7" s="446">
        <v>541465.02474999998</v>
      </c>
      <c r="D7" s="447">
        <v>12</v>
      </c>
      <c r="E7" s="448">
        <f t="shared" ref="E7:E32" si="14">C7*D7</f>
        <v>6497580.2970000003</v>
      </c>
      <c r="F7" s="448"/>
      <c r="G7" s="448"/>
      <c r="H7" s="448"/>
      <c r="I7" s="448">
        <f t="shared" si="0"/>
        <v>6497580.2970000003</v>
      </c>
      <c r="J7" s="448">
        <v>200000</v>
      </c>
      <c r="K7" s="448">
        <v>0.2</v>
      </c>
      <c r="L7" s="448">
        <f t="shared" si="1"/>
        <v>1299516.0593999999</v>
      </c>
      <c r="M7" s="448">
        <f t="shared" si="2"/>
        <v>1499516.0593999999</v>
      </c>
      <c r="N7" s="448">
        <f t="shared" si="3"/>
        <v>1499516.0593999999</v>
      </c>
      <c r="O7" s="448">
        <f t="shared" si="4"/>
        <v>4998064.2375999996</v>
      </c>
      <c r="P7" s="448">
        <f t="shared" si="5"/>
        <v>21000</v>
      </c>
      <c r="Q7" s="448">
        <f t="shared" si="6"/>
        <v>33000</v>
      </c>
      <c r="R7" s="448">
        <f t="shared" si="7"/>
        <v>75000</v>
      </c>
      <c r="S7" s="448">
        <f t="shared" si="8"/>
        <v>95000</v>
      </c>
      <c r="T7" s="448">
        <f t="shared" si="9"/>
        <v>336000</v>
      </c>
      <c r="U7" s="448">
        <f t="shared" si="10"/>
        <v>431535.41702400002</v>
      </c>
      <c r="V7" s="448">
        <f t="shared" si="11"/>
        <v>991535.41702399997</v>
      </c>
      <c r="W7" s="455">
        <v>12</v>
      </c>
      <c r="X7" s="448">
        <f t="shared" si="12"/>
        <v>82627.951418666693</v>
      </c>
      <c r="Y7" s="448"/>
      <c r="Z7" s="448">
        <f t="shared" si="13"/>
        <v>82627.951418666693</v>
      </c>
      <c r="AA7" s="193">
        <v>82627.951418666693</v>
      </c>
      <c r="AB7" s="193">
        <f t="shared" ref="AB7:AB32" si="15">Z7-AA7</f>
        <v>0</v>
      </c>
      <c r="AC7" s="193"/>
      <c r="AD7" s="193"/>
      <c r="AE7" s="193"/>
    </row>
    <row r="8" spans="1:31" ht="18.75">
      <c r="A8" s="522">
        <v>5</v>
      </c>
      <c r="B8" s="13" t="s">
        <v>350</v>
      </c>
      <c r="C8" s="446">
        <v>741465.02474999998</v>
      </c>
      <c r="D8" s="447">
        <v>12</v>
      </c>
      <c r="E8" s="448">
        <f t="shared" si="14"/>
        <v>8897580.2970000003</v>
      </c>
      <c r="F8" s="448"/>
      <c r="G8" s="448"/>
      <c r="H8" s="448"/>
      <c r="I8" s="448">
        <f t="shared" si="0"/>
        <v>8897580.2970000003</v>
      </c>
      <c r="J8" s="448">
        <v>200000</v>
      </c>
      <c r="K8" s="448">
        <v>0.2</v>
      </c>
      <c r="L8" s="448">
        <f t="shared" si="1"/>
        <v>1779516.0593999999</v>
      </c>
      <c r="M8" s="448">
        <f t="shared" si="2"/>
        <v>1979516.0593999999</v>
      </c>
      <c r="N8" s="448">
        <f t="shared" si="3"/>
        <v>1979516.0593999999</v>
      </c>
      <c r="O8" s="448">
        <f t="shared" si="4"/>
        <v>6918064.2375999996</v>
      </c>
      <c r="P8" s="448">
        <f t="shared" si="5"/>
        <v>21000</v>
      </c>
      <c r="Q8" s="448">
        <f t="shared" si="6"/>
        <v>33000</v>
      </c>
      <c r="R8" s="448">
        <f t="shared" si="7"/>
        <v>75000</v>
      </c>
      <c r="S8" s="448">
        <f t="shared" si="8"/>
        <v>95000</v>
      </c>
      <c r="T8" s="448">
        <f t="shared" si="9"/>
        <v>336000</v>
      </c>
      <c r="U8" s="448">
        <f t="shared" si="10"/>
        <v>892335.41702399997</v>
      </c>
      <c r="V8" s="448">
        <f t="shared" si="11"/>
        <v>1452335.4170240001</v>
      </c>
      <c r="W8" s="455">
        <v>12</v>
      </c>
      <c r="X8" s="448">
        <f t="shared" si="12"/>
        <v>121027.951418667</v>
      </c>
      <c r="Y8" s="448"/>
      <c r="Z8" s="448">
        <f t="shared" si="13"/>
        <v>121027.951418667</v>
      </c>
      <c r="AA8" s="193">
        <v>121027.951418667</v>
      </c>
      <c r="AB8" s="193">
        <f t="shared" si="15"/>
        <v>-3.20142135024071E-10</v>
      </c>
      <c r="AC8" s="193"/>
      <c r="AD8" s="193"/>
      <c r="AE8" s="193"/>
    </row>
    <row r="9" spans="1:31" ht="18.75">
      <c r="A9" s="522">
        <v>6</v>
      </c>
      <c r="B9" s="10" t="s">
        <v>352</v>
      </c>
      <c r="C9" s="446">
        <v>631465.02474999998</v>
      </c>
      <c r="D9" s="447">
        <v>12</v>
      </c>
      <c r="E9" s="448">
        <f t="shared" si="14"/>
        <v>7577580.2970000003</v>
      </c>
      <c r="F9" s="448">
        <f>'[8]JANUARY 2024'!$V$10*12</f>
        <v>12795.950999999999</v>
      </c>
      <c r="G9" s="448"/>
      <c r="H9" s="448"/>
      <c r="I9" s="448">
        <f t="shared" si="0"/>
        <v>7564784.3459999999</v>
      </c>
      <c r="J9" s="448">
        <v>200000</v>
      </c>
      <c r="K9" s="448">
        <v>0.2</v>
      </c>
      <c r="L9" s="448">
        <f t="shared" si="1"/>
        <v>1512956.8692000001</v>
      </c>
      <c r="M9" s="448">
        <f t="shared" si="2"/>
        <v>1712956.8692000001</v>
      </c>
      <c r="N9" s="448">
        <f t="shared" si="3"/>
        <v>1725752.8202</v>
      </c>
      <c r="O9" s="448">
        <f t="shared" si="4"/>
        <v>5851827.4768000003</v>
      </c>
      <c r="P9" s="448">
        <f t="shared" si="5"/>
        <v>21000</v>
      </c>
      <c r="Q9" s="448">
        <f t="shared" si="6"/>
        <v>33000</v>
      </c>
      <c r="R9" s="448">
        <f t="shared" si="7"/>
        <v>75000</v>
      </c>
      <c r="S9" s="448">
        <f t="shared" si="8"/>
        <v>95000</v>
      </c>
      <c r="T9" s="448">
        <f t="shared" si="9"/>
        <v>336000</v>
      </c>
      <c r="U9" s="448">
        <f t="shared" si="10"/>
        <v>636438.59443199995</v>
      </c>
      <c r="V9" s="448">
        <f t="shared" si="11"/>
        <v>1196438.5944320001</v>
      </c>
      <c r="W9" s="455">
        <v>12</v>
      </c>
      <c r="X9" s="448">
        <f t="shared" si="12"/>
        <v>99703.216202666707</v>
      </c>
      <c r="Y9" s="448"/>
      <c r="Z9" s="448">
        <f t="shared" si="13"/>
        <v>99703.216202666707</v>
      </c>
      <c r="AA9" s="193">
        <v>99703.216202666707</v>
      </c>
      <c r="AB9" s="193">
        <f t="shared" si="15"/>
        <v>0</v>
      </c>
      <c r="AC9" s="193"/>
      <c r="AD9" s="193"/>
      <c r="AE9" s="193"/>
    </row>
    <row r="10" spans="1:31" ht="18.75">
      <c r="A10" s="522">
        <v>7</v>
      </c>
      <c r="B10" s="13" t="s">
        <v>354</v>
      </c>
      <c r="C10" s="446">
        <v>691465.02474999998</v>
      </c>
      <c r="D10" s="447">
        <v>12</v>
      </c>
      <c r="E10" s="448">
        <f t="shared" si="14"/>
        <v>8297580.2970000003</v>
      </c>
      <c r="F10" s="448">
        <f>'[8]JANUARY 2024'!$V$10*12</f>
        <v>12795.950999999999</v>
      </c>
      <c r="G10" s="448"/>
      <c r="H10" s="448"/>
      <c r="I10" s="448">
        <f t="shared" si="0"/>
        <v>8284784.3459999999</v>
      </c>
      <c r="J10" s="448">
        <v>200000</v>
      </c>
      <c r="K10" s="448">
        <v>0.2</v>
      </c>
      <c r="L10" s="448">
        <f t="shared" si="1"/>
        <v>1656956.8692000001</v>
      </c>
      <c r="M10" s="448">
        <f t="shared" si="2"/>
        <v>1856956.8692000001</v>
      </c>
      <c r="N10" s="448">
        <f t="shared" si="3"/>
        <v>1869752.8202</v>
      </c>
      <c r="O10" s="448">
        <f t="shared" si="4"/>
        <v>6427827.4768000003</v>
      </c>
      <c r="P10" s="448">
        <f t="shared" si="5"/>
        <v>21000</v>
      </c>
      <c r="Q10" s="448">
        <f t="shared" si="6"/>
        <v>33000</v>
      </c>
      <c r="R10" s="448">
        <f t="shared" si="7"/>
        <v>75000</v>
      </c>
      <c r="S10" s="448">
        <f t="shared" si="8"/>
        <v>95000</v>
      </c>
      <c r="T10" s="448">
        <f t="shared" si="9"/>
        <v>336000</v>
      </c>
      <c r="U10" s="448">
        <f t="shared" si="10"/>
        <v>774678.59443199995</v>
      </c>
      <c r="V10" s="448">
        <f t="shared" si="11"/>
        <v>1334678.5944320001</v>
      </c>
      <c r="W10" s="455">
        <v>12</v>
      </c>
      <c r="X10" s="448">
        <f t="shared" si="12"/>
        <v>111223.216202667</v>
      </c>
      <c r="Y10" s="448"/>
      <c r="Z10" s="448">
        <f t="shared" si="13"/>
        <v>111223.216202667</v>
      </c>
      <c r="AA10" s="193">
        <v>111223.216202667</v>
      </c>
      <c r="AB10" s="193">
        <f t="shared" si="15"/>
        <v>-3.20142135024071E-10</v>
      </c>
      <c r="AC10" s="193"/>
      <c r="AD10" s="193"/>
      <c r="AE10" s="193"/>
    </row>
    <row r="11" spans="1:31" ht="18.75">
      <c r="A11" s="522">
        <v>8</v>
      </c>
      <c r="B11" s="17" t="s">
        <v>341</v>
      </c>
      <c r="C11" s="446">
        <v>641465.02474999998</v>
      </c>
      <c r="D11" s="447">
        <v>12</v>
      </c>
      <c r="E11" s="448">
        <f t="shared" si="14"/>
        <v>7697580.2970000003</v>
      </c>
      <c r="F11" s="448"/>
      <c r="G11" s="448"/>
      <c r="H11" s="448"/>
      <c r="I11" s="448">
        <f t="shared" si="0"/>
        <v>7697580.2970000003</v>
      </c>
      <c r="J11" s="448">
        <v>200000</v>
      </c>
      <c r="K11" s="448">
        <v>0.2</v>
      </c>
      <c r="L11" s="448">
        <f t="shared" si="1"/>
        <v>1539516.0593999999</v>
      </c>
      <c r="M11" s="448">
        <f t="shared" si="2"/>
        <v>1739516.0593999999</v>
      </c>
      <c r="N11" s="448">
        <f t="shared" si="3"/>
        <v>1739516.0593999999</v>
      </c>
      <c r="O11" s="448">
        <f t="shared" si="4"/>
        <v>5958064.2375999996</v>
      </c>
      <c r="P11" s="448">
        <f t="shared" si="5"/>
        <v>21000</v>
      </c>
      <c r="Q11" s="448">
        <f t="shared" si="6"/>
        <v>33000</v>
      </c>
      <c r="R11" s="448">
        <f t="shared" si="7"/>
        <v>75000</v>
      </c>
      <c r="S11" s="448">
        <f t="shared" si="8"/>
        <v>95000</v>
      </c>
      <c r="T11" s="448">
        <f t="shared" si="9"/>
        <v>336000</v>
      </c>
      <c r="U11" s="448">
        <f t="shared" si="10"/>
        <v>661935.41702399997</v>
      </c>
      <c r="V11" s="448">
        <f t="shared" si="11"/>
        <v>1221935.4170240001</v>
      </c>
      <c r="W11" s="455">
        <v>12</v>
      </c>
      <c r="X11" s="448">
        <f t="shared" si="12"/>
        <v>101827.951418667</v>
      </c>
      <c r="Y11" s="448"/>
      <c r="Z11" s="448">
        <f t="shared" si="13"/>
        <v>101827.951418667</v>
      </c>
      <c r="AA11" s="193">
        <v>101827.951418667</v>
      </c>
      <c r="AB11" s="193">
        <f t="shared" si="15"/>
        <v>-3.20142135024071E-10</v>
      </c>
      <c r="AC11" s="193"/>
      <c r="AD11" s="193"/>
      <c r="AE11" s="193"/>
    </row>
    <row r="12" spans="1:31" ht="18.75">
      <c r="A12" s="522">
        <v>9</v>
      </c>
      <c r="B12" s="10" t="s">
        <v>356</v>
      </c>
      <c r="C12" s="446">
        <v>497553.5025</v>
      </c>
      <c r="D12" s="447">
        <v>12</v>
      </c>
      <c r="E12" s="448">
        <f t="shared" si="14"/>
        <v>5970642.0300000003</v>
      </c>
      <c r="F12" s="448">
        <f>'[8]JANUARY 2024'!$V$13*12</f>
        <v>10052.25</v>
      </c>
      <c r="G12" s="448"/>
      <c r="H12" s="448"/>
      <c r="I12" s="448">
        <f t="shared" si="0"/>
        <v>5960589.7800000003</v>
      </c>
      <c r="J12" s="448">
        <v>200000</v>
      </c>
      <c r="K12" s="448">
        <v>0.2</v>
      </c>
      <c r="L12" s="448">
        <f t="shared" si="1"/>
        <v>1192117.956</v>
      </c>
      <c r="M12" s="448">
        <f t="shared" si="2"/>
        <v>1392117.956</v>
      </c>
      <c r="N12" s="448">
        <f t="shared" si="3"/>
        <v>1402170.206</v>
      </c>
      <c r="O12" s="448">
        <f t="shared" si="4"/>
        <v>4568471.824</v>
      </c>
      <c r="P12" s="448">
        <f t="shared" si="5"/>
        <v>21000</v>
      </c>
      <c r="Q12" s="448">
        <f t="shared" si="6"/>
        <v>33000</v>
      </c>
      <c r="R12" s="448">
        <f t="shared" si="7"/>
        <v>75000</v>
      </c>
      <c r="S12" s="448">
        <f t="shared" si="8"/>
        <v>95000</v>
      </c>
      <c r="T12" s="448">
        <f t="shared" si="9"/>
        <v>336000</v>
      </c>
      <c r="U12" s="448">
        <f t="shared" si="10"/>
        <v>328433.23775999999</v>
      </c>
      <c r="V12" s="448">
        <f t="shared" si="11"/>
        <v>888433.23776000005</v>
      </c>
      <c r="W12" s="455">
        <v>12</v>
      </c>
      <c r="X12" s="448">
        <f t="shared" si="12"/>
        <v>74036.103146666705</v>
      </c>
      <c r="Y12" s="448"/>
      <c r="Z12" s="448">
        <f t="shared" si="13"/>
        <v>74036.103146666705</v>
      </c>
      <c r="AA12" s="193">
        <v>74036.103146666705</v>
      </c>
      <c r="AB12" s="193">
        <f t="shared" si="15"/>
        <v>0</v>
      </c>
      <c r="AC12" s="193"/>
      <c r="AD12" s="193"/>
      <c r="AE12" s="193"/>
    </row>
    <row r="13" spans="1:31" ht="18.75">
      <c r="A13" s="522">
        <v>10</v>
      </c>
      <c r="B13" s="10" t="s">
        <v>359</v>
      </c>
      <c r="C13" s="446">
        <v>604729.22199999995</v>
      </c>
      <c r="D13" s="447">
        <v>12</v>
      </c>
      <c r="E13" s="448">
        <f t="shared" si="14"/>
        <v>7256750.6639999999</v>
      </c>
      <c r="F13" s="448">
        <f>'[8]JANUARY 2024'!$V$14*12</f>
        <v>9305.9519999999993</v>
      </c>
      <c r="G13" s="448"/>
      <c r="H13" s="448"/>
      <c r="I13" s="448">
        <f t="shared" si="0"/>
        <v>7247444.7120000003</v>
      </c>
      <c r="J13" s="448">
        <v>200000</v>
      </c>
      <c r="K13" s="448">
        <v>0.2</v>
      </c>
      <c r="L13" s="448">
        <f t="shared" si="1"/>
        <v>1449488.9424000001</v>
      </c>
      <c r="M13" s="448">
        <f t="shared" si="2"/>
        <v>1649488.9424000001</v>
      </c>
      <c r="N13" s="448">
        <f t="shared" si="3"/>
        <v>1658794.8944000001</v>
      </c>
      <c r="O13" s="448">
        <f t="shared" si="4"/>
        <v>5597955.7696000002</v>
      </c>
      <c r="P13" s="448">
        <f t="shared" si="5"/>
        <v>21000</v>
      </c>
      <c r="Q13" s="448">
        <f t="shared" si="6"/>
        <v>33000</v>
      </c>
      <c r="R13" s="448">
        <f t="shared" si="7"/>
        <v>75000</v>
      </c>
      <c r="S13" s="448">
        <f t="shared" si="8"/>
        <v>95000</v>
      </c>
      <c r="T13" s="448">
        <f t="shared" si="9"/>
        <v>336000</v>
      </c>
      <c r="U13" s="448">
        <f t="shared" si="10"/>
        <v>575509.38470399997</v>
      </c>
      <c r="V13" s="448">
        <f t="shared" si="11"/>
        <v>1135509.3847040001</v>
      </c>
      <c r="W13" s="455">
        <v>12</v>
      </c>
      <c r="X13" s="448">
        <f t="shared" si="12"/>
        <v>94625.782058666606</v>
      </c>
      <c r="Y13" s="448"/>
      <c r="Z13" s="448">
        <f t="shared" si="13"/>
        <v>94625.782058666606</v>
      </c>
      <c r="AA13" s="193">
        <v>94625.782058666693</v>
      </c>
      <c r="AB13" s="193">
        <f t="shared" si="15"/>
        <v>0</v>
      </c>
      <c r="AC13" s="193"/>
      <c r="AD13" s="193"/>
      <c r="AE13" s="193"/>
    </row>
    <row r="14" spans="1:31" ht="18.75">
      <c r="A14" s="522">
        <v>11</v>
      </c>
      <c r="B14" s="10" t="s">
        <v>361</v>
      </c>
      <c r="C14" s="446">
        <v>343333.03525000002</v>
      </c>
      <c r="D14" s="447">
        <v>12</v>
      </c>
      <c r="E14" s="448">
        <f t="shared" si="14"/>
        <v>4119996.423</v>
      </c>
      <c r="F14" s="448"/>
      <c r="G14" s="448"/>
      <c r="H14" s="448"/>
      <c r="I14" s="448">
        <f t="shared" si="0"/>
        <v>4119996.423</v>
      </c>
      <c r="J14" s="448">
        <v>200000</v>
      </c>
      <c r="K14" s="448">
        <v>0.2</v>
      </c>
      <c r="L14" s="448">
        <f t="shared" si="1"/>
        <v>823999.28460000001</v>
      </c>
      <c r="M14" s="448">
        <f t="shared" si="2"/>
        <v>1023999.2846</v>
      </c>
      <c r="N14" s="448">
        <f t="shared" si="3"/>
        <v>1023999.2846</v>
      </c>
      <c r="O14" s="448">
        <f t="shared" si="4"/>
        <v>3095997.1384000001</v>
      </c>
      <c r="P14" s="448">
        <f t="shared" si="5"/>
        <v>21000</v>
      </c>
      <c r="Q14" s="448">
        <f t="shared" si="6"/>
        <v>33000</v>
      </c>
      <c r="R14" s="448">
        <f t="shared" si="7"/>
        <v>75000</v>
      </c>
      <c r="S14" s="448">
        <f t="shared" si="8"/>
        <v>95000</v>
      </c>
      <c r="T14" s="448">
        <f t="shared" si="9"/>
        <v>314159.399064</v>
      </c>
      <c r="U14" s="448"/>
      <c r="V14" s="448">
        <f t="shared" si="11"/>
        <v>538159.399064</v>
      </c>
      <c r="W14" s="455">
        <v>12</v>
      </c>
      <c r="X14" s="448">
        <f t="shared" si="12"/>
        <v>44846.6165886667</v>
      </c>
      <c r="Y14" s="448"/>
      <c r="Z14" s="448">
        <f t="shared" si="13"/>
        <v>44846.6165886667</v>
      </c>
      <c r="AA14" s="193">
        <v>44846.6165886667</v>
      </c>
      <c r="AB14" s="193">
        <f t="shared" si="15"/>
        <v>0</v>
      </c>
      <c r="AC14" s="193"/>
      <c r="AD14" s="193"/>
      <c r="AE14" s="193"/>
    </row>
    <row r="15" spans="1:31" ht="18.75">
      <c r="A15" s="522">
        <v>12</v>
      </c>
      <c r="B15" s="13" t="s">
        <v>364</v>
      </c>
      <c r="C15" s="446">
        <v>463333.03525000002</v>
      </c>
      <c r="D15" s="447">
        <v>12</v>
      </c>
      <c r="E15" s="448">
        <f t="shared" si="14"/>
        <v>5559996.4230000004</v>
      </c>
      <c r="F15" s="448"/>
      <c r="G15" s="448"/>
      <c r="H15" s="448"/>
      <c r="I15" s="448">
        <f t="shared" si="0"/>
        <v>5559996.4230000004</v>
      </c>
      <c r="J15" s="448">
        <v>200000</v>
      </c>
      <c r="K15" s="448">
        <v>0.2</v>
      </c>
      <c r="L15" s="448">
        <f t="shared" si="1"/>
        <v>1111999.2845999999</v>
      </c>
      <c r="M15" s="448">
        <f t="shared" si="2"/>
        <v>1311999.2845999999</v>
      </c>
      <c r="N15" s="448">
        <f t="shared" si="3"/>
        <v>1311999.2845999999</v>
      </c>
      <c r="O15" s="448">
        <f t="shared" si="4"/>
        <v>4247997.1383999996</v>
      </c>
      <c r="P15" s="448">
        <f t="shared" si="5"/>
        <v>21000</v>
      </c>
      <c r="Q15" s="448">
        <f t="shared" si="6"/>
        <v>33000</v>
      </c>
      <c r="R15" s="448">
        <f t="shared" si="7"/>
        <v>75000</v>
      </c>
      <c r="S15" s="448">
        <f t="shared" si="8"/>
        <v>95000</v>
      </c>
      <c r="T15" s="448">
        <f t="shared" si="9"/>
        <v>336000</v>
      </c>
      <c r="U15" s="448">
        <f t="shared" si="10"/>
        <v>251519.31321600001</v>
      </c>
      <c r="V15" s="448">
        <f t="shared" si="11"/>
        <v>811519.31321599998</v>
      </c>
      <c r="W15" s="455">
        <v>12</v>
      </c>
      <c r="X15" s="448">
        <f t="shared" si="12"/>
        <v>67626.609434666694</v>
      </c>
      <c r="Y15" s="448"/>
      <c r="Z15" s="530">
        <f t="shared" si="13"/>
        <v>67626.609434666694</v>
      </c>
      <c r="AA15" s="531">
        <v>46666.666666666701</v>
      </c>
      <c r="AB15" s="531">
        <f t="shared" si="15"/>
        <v>20959.942768000001</v>
      </c>
      <c r="AC15" s="193"/>
      <c r="AD15" s="193"/>
      <c r="AE15" s="193"/>
    </row>
    <row r="16" spans="1:31" ht="18.75">
      <c r="A16" s="522">
        <v>13</v>
      </c>
      <c r="B16" s="10" t="s">
        <v>367</v>
      </c>
      <c r="C16" s="446">
        <v>547211.36750000005</v>
      </c>
      <c r="D16" s="447">
        <v>12</v>
      </c>
      <c r="E16" s="448">
        <f t="shared" si="14"/>
        <v>6566536.4100000001</v>
      </c>
      <c r="F16" s="448"/>
      <c r="G16" s="448"/>
      <c r="H16" s="448"/>
      <c r="I16" s="448">
        <f t="shared" si="0"/>
        <v>6566536.4100000001</v>
      </c>
      <c r="J16" s="448">
        <v>200000</v>
      </c>
      <c r="K16" s="448">
        <v>0.2</v>
      </c>
      <c r="L16" s="448">
        <f t="shared" si="1"/>
        <v>1313307.2819999999</v>
      </c>
      <c r="M16" s="448">
        <f t="shared" si="2"/>
        <v>1513307.2819999999</v>
      </c>
      <c r="N16" s="448">
        <f t="shared" si="3"/>
        <v>1513307.2819999999</v>
      </c>
      <c r="O16" s="448">
        <f t="shared" si="4"/>
        <v>5053229.1279999996</v>
      </c>
      <c r="P16" s="448">
        <f t="shared" si="5"/>
        <v>21000</v>
      </c>
      <c r="Q16" s="448">
        <f t="shared" si="6"/>
        <v>33000</v>
      </c>
      <c r="R16" s="448">
        <f t="shared" si="7"/>
        <v>75000</v>
      </c>
      <c r="S16" s="448">
        <f t="shared" si="8"/>
        <v>95000</v>
      </c>
      <c r="T16" s="448">
        <f t="shared" si="9"/>
        <v>336000</v>
      </c>
      <c r="U16" s="448">
        <f t="shared" si="10"/>
        <v>444774.99072</v>
      </c>
      <c r="V16" s="448">
        <f t="shared" si="11"/>
        <v>1004774.99072</v>
      </c>
      <c r="W16" s="455">
        <v>12</v>
      </c>
      <c r="X16" s="448">
        <f t="shared" si="12"/>
        <v>83731.249226666696</v>
      </c>
      <c r="Y16" s="448"/>
      <c r="Z16" s="530">
        <f t="shared" si="13"/>
        <v>83731.249226666696</v>
      </c>
      <c r="AA16" s="531">
        <v>46666.666666666701</v>
      </c>
      <c r="AB16" s="531">
        <f t="shared" si="15"/>
        <v>37064.582560000003</v>
      </c>
      <c r="AC16" s="193"/>
      <c r="AD16" s="193"/>
      <c r="AE16" s="193"/>
    </row>
    <row r="17" spans="1:31" ht="18.75">
      <c r="A17" s="522">
        <v>14</v>
      </c>
      <c r="B17" s="10" t="s">
        <v>370</v>
      </c>
      <c r="C17" s="446">
        <v>326663.07750000001</v>
      </c>
      <c r="D17" s="447">
        <v>12</v>
      </c>
      <c r="E17" s="448">
        <f t="shared" si="14"/>
        <v>3919956.93</v>
      </c>
      <c r="F17" s="448"/>
      <c r="G17" s="448"/>
      <c r="H17" s="448"/>
      <c r="I17" s="448">
        <f t="shared" si="0"/>
        <v>3919956.93</v>
      </c>
      <c r="J17" s="448">
        <v>200000</v>
      </c>
      <c r="K17" s="448">
        <v>0.2</v>
      </c>
      <c r="L17" s="448">
        <f t="shared" si="1"/>
        <v>783991.38600000006</v>
      </c>
      <c r="M17" s="448">
        <f t="shared" si="2"/>
        <v>983991.38600000006</v>
      </c>
      <c r="N17" s="448">
        <f t="shared" si="3"/>
        <v>983991.38600000006</v>
      </c>
      <c r="O17" s="448">
        <f t="shared" si="4"/>
        <v>2935965.5440000002</v>
      </c>
      <c r="P17" s="448">
        <f t="shared" si="5"/>
        <v>21000</v>
      </c>
      <c r="Q17" s="448">
        <f t="shared" si="6"/>
        <v>33000</v>
      </c>
      <c r="R17" s="448">
        <f t="shared" si="7"/>
        <v>75000</v>
      </c>
      <c r="S17" s="448">
        <f t="shared" si="8"/>
        <v>95000</v>
      </c>
      <c r="T17" s="448">
        <f t="shared" si="9"/>
        <v>280552.76423999999</v>
      </c>
      <c r="U17" s="448"/>
      <c r="V17" s="448">
        <f t="shared" si="11"/>
        <v>504552.76423999999</v>
      </c>
      <c r="W17" s="455">
        <v>12</v>
      </c>
      <c r="X17" s="448">
        <f t="shared" si="12"/>
        <v>42046.063686666697</v>
      </c>
      <c r="Y17" s="448"/>
      <c r="Z17" s="448">
        <f t="shared" si="13"/>
        <v>42046.063686666697</v>
      </c>
      <c r="AA17" s="193">
        <v>42046.063686666697</v>
      </c>
      <c r="AB17" s="193">
        <f t="shared" si="15"/>
        <v>0</v>
      </c>
      <c r="AC17" s="193"/>
      <c r="AD17" s="193"/>
      <c r="AE17" s="193"/>
    </row>
    <row r="18" spans="1:31" ht="18.75">
      <c r="A18" s="522">
        <v>15</v>
      </c>
      <c r="B18" s="10" t="s">
        <v>373</v>
      </c>
      <c r="C18" s="446">
        <v>369177.65375</v>
      </c>
      <c r="D18" s="447">
        <v>12</v>
      </c>
      <c r="E18" s="448">
        <f t="shared" si="14"/>
        <v>4430131.8449999997</v>
      </c>
      <c r="F18" s="448"/>
      <c r="G18" s="448"/>
      <c r="H18" s="448"/>
      <c r="I18" s="448">
        <f t="shared" si="0"/>
        <v>4430131.8449999997</v>
      </c>
      <c r="J18" s="448">
        <v>200000</v>
      </c>
      <c r="K18" s="448">
        <v>0.2</v>
      </c>
      <c r="L18" s="448">
        <f t="shared" si="1"/>
        <v>886026.36899999995</v>
      </c>
      <c r="M18" s="448">
        <f t="shared" si="2"/>
        <v>1086026.3689999999</v>
      </c>
      <c r="N18" s="448">
        <f t="shared" si="3"/>
        <v>1086026.3689999999</v>
      </c>
      <c r="O18" s="448">
        <f t="shared" si="4"/>
        <v>3344105.4759999998</v>
      </c>
      <c r="P18" s="448">
        <f t="shared" si="5"/>
        <v>21000</v>
      </c>
      <c r="Q18" s="448">
        <f t="shared" si="6"/>
        <v>33000</v>
      </c>
      <c r="R18" s="448">
        <f t="shared" si="7"/>
        <v>75000</v>
      </c>
      <c r="S18" s="448">
        <f t="shared" si="8"/>
        <v>95000</v>
      </c>
      <c r="T18" s="448">
        <f t="shared" si="9"/>
        <v>336000</v>
      </c>
      <c r="U18" s="448">
        <f t="shared" si="10"/>
        <v>34585.314239999898</v>
      </c>
      <c r="V18" s="448">
        <f t="shared" si="11"/>
        <v>594585.31423999998</v>
      </c>
      <c r="W18" s="455">
        <v>12</v>
      </c>
      <c r="X18" s="448">
        <f t="shared" si="12"/>
        <v>49548.776186666699</v>
      </c>
      <c r="Y18" s="448"/>
      <c r="Z18" s="530">
        <f t="shared" si="13"/>
        <v>49548.776186666699</v>
      </c>
      <c r="AA18" s="531">
        <v>46666.666666666701</v>
      </c>
      <c r="AB18" s="531">
        <f t="shared" si="15"/>
        <v>2882.10951999996</v>
      </c>
      <c r="AC18" s="193"/>
      <c r="AD18" s="193"/>
      <c r="AE18" s="193"/>
    </row>
    <row r="19" spans="1:31" ht="18.75">
      <c r="A19" s="522">
        <v>16</v>
      </c>
      <c r="B19" s="17" t="s">
        <v>376</v>
      </c>
      <c r="C19" s="446">
        <v>462001.06050000002</v>
      </c>
      <c r="D19" s="447">
        <v>12</v>
      </c>
      <c r="E19" s="448">
        <f t="shared" si="14"/>
        <v>5544012.7259999998</v>
      </c>
      <c r="F19" s="448"/>
      <c r="G19" s="448"/>
      <c r="H19" s="448"/>
      <c r="I19" s="448">
        <f t="shared" si="0"/>
        <v>5544012.7259999998</v>
      </c>
      <c r="J19" s="448">
        <v>200000</v>
      </c>
      <c r="K19" s="448">
        <v>0.2</v>
      </c>
      <c r="L19" s="448">
        <f t="shared" si="1"/>
        <v>1108802.5452000001</v>
      </c>
      <c r="M19" s="448">
        <f t="shared" si="2"/>
        <v>1308802.5452000001</v>
      </c>
      <c r="N19" s="448">
        <f t="shared" si="3"/>
        <v>1308802.5452000001</v>
      </c>
      <c r="O19" s="448">
        <f t="shared" si="4"/>
        <v>4235210.1808000002</v>
      </c>
      <c r="P19" s="448">
        <f t="shared" si="5"/>
        <v>21000</v>
      </c>
      <c r="Q19" s="448">
        <f t="shared" si="6"/>
        <v>33000</v>
      </c>
      <c r="R19" s="448">
        <f t="shared" si="7"/>
        <v>75000</v>
      </c>
      <c r="S19" s="448">
        <f t="shared" si="8"/>
        <v>95000</v>
      </c>
      <c r="T19" s="448">
        <f t="shared" si="9"/>
        <v>336000</v>
      </c>
      <c r="U19" s="448">
        <f t="shared" si="10"/>
        <v>248450.44339199999</v>
      </c>
      <c r="V19" s="448">
        <f t="shared" si="11"/>
        <v>808450.44339200004</v>
      </c>
      <c r="W19" s="455">
        <v>12</v>
      </c>
      <c r="X19" s="448">
        <f t="shared" si="12"/>
        <v>67370.870282666699</v>
      </c>
      <c r="Y19" s="448"/>
      <c r="Z19" s="530">
        <f t="shared" si="13"/>
        <v>67370.870282666699</v>
      </c>
      <c r="AA19" s="531">
        <v>46666.666666666701</v>
      </c>
      <c r="AB19" s="531">
        <f t="shared" si="15"/>
        <v>20704.203615999999</v>
      </c>
      <c r="AC19" s="193"/>
      <c r="AD19" s="193"/>
      <c r="AE19" s="193"/>
    </row>
    <row r="20" spans="1:31" ht="18.75">
      <c r="A20" s="522">
        <v>17</v>
      </c>
      <c r="B20" s="10" t="s">
        <v>379</v>
      </c>
      <c r="C20" s="446">
        <v>384536.99849999999</v>
      </c>
      <c r="D20" s="447">
        <v>12</v>
      </c>
      <c r="E20" s="448">
        <f t="shared" si="14"/>
        <v>4614443.9819999998</v>
      </c>
      <c r="F20" s="448"/>
      <c r="G20" s="448"/>
      <c r="H20" s="448"/>
      <c r="I20" s="448">
        <f t="shared" si="0"/>
        <v>4614443.9819999998</v>
      </c>
      <c r="J20" s="448">
        <v>200000</v>
      </c>
      <c r="K20" s="448">
        <v>0.2</v>
      </c>
      <c r="L20" s="448">
        <f t="shared" si="1"/>
        <v>922888.79639999999</v>
      </c>
      <c r="M20" s="448">
        <f t="shared" si="2"/>
        <v>1122888.7964000001</v>
      </c>
      <c r="N20" s="448">
        <f t="shared" si="3"/>
        <v>1122888.7964000001</v>
      </c>
      <c r="O20" s="448">
        <f t="shared" si="4"/>
        <v>3491555.1856</v>
      </c>
      <c r="P20" s="448">
        <f t="shared" si="5"/>
        <v>21000</v>
      </c>
      <c r="Q20" s="448">
        <f t="shared" si="6"/>
        <v>33000</v>
      </c>
      <c r="R20" s="448">
        <f t="shared" si="7"/>
        <v>75000</v>
      </c>
      <c r="S20" s="448">
        <f t="shared" si="8"/>
        <v>95000</v>
      </c>
      <c r="T20" s="448">
        <f t="shared" si="9"/>
        <v>336000</v>
      </c>
      <c r="U20" s="448">
        <f t="shared" si="10"/>
        <v>69973.244544000001</v>
      </c>
      <c r="V20" s="448">
        <f t="shared" si="11"/>
        <v>629973.24454400002</v>
      </c>
      <c r="W20" s="455">
        <v>12</v>
      </c>
      <c r="X20" s="448">
        <f t="shared" si="12"/>
        <v>52497.770378666697</v>
      </c>
      <c r="Y20" s="448"/>
      <c r="Z20" s="448">
        <f t="shared" si="13"/>
        <v>52497.770378666697</v>
      </c>
      <c r="AA20" s="193">
        <v>52497.770378666602</v>
      </c>
      <c r="AB20" s="193">
        <f t="shared" si="15"/>
        <v>6.5483618527650794E-11</v>
      </c>
      <c r="AC20" s="193"/>
      <c r="AD20" s="193"/>
      <c r="AE20" s="193"/>
    </row>
    <row r="21" spans="1:31" ht="18.75">
      <c r="A21" s="522">
        <v>18</v>
      </c>
      <c r="B21" s="13" t="s">
        <v>381</v>
      </c>
      <c r="C21" s="446">
        <v>400372.07500000001</v>
      </c>
      <c r="D21" s="447">
        <v>12</v>
      </c>
      <c r="E21" s="448">
        <f t="shared" si="14"/>
        <v>4804464.9000000004</v>
      </c>
      <c r="F21" s="448"/>
      <c r="G21" s="448"/>
      <c r="H21" s="448"/>
      <c r="I21" s="448">
        <f t="shared" si="0"/>
        <v>4804464.9000000004</v>
      </c>
      <c r="J21" s="448">
        <v>200000</v>
      </c>
      <c r="K21" s="448">
        <v>0.2</v>
      </c>
      <c r="L21" s="448">
        <f t="shared" si="1"/>
        <v>960892.98</v>
      </c>
      <c r="M21" s="448">
        <f t="shared" si="2"/>
        <v>1160892.98</v>
      </c>
      <c r="N21" s="448">
        <f t="shared" si="3"/>
        <v>1160892.98</v>
      </c>
      <c r="O21" s="448">
        <f t="shared" si="4"/>
        <v>3643571.92</v>
      </c>
      <c r="P21" s="448">
        <f t="shared" si="5"/>
        <v>21000</v>
      </c>
      <c r="Q21" s="448">
        <f t="shared" si="6"/>
        <v>33000</v>
      </c>
      <c r="R21" s="448">
        <f t="shared" si="7"/>
        <v>75000</v>
      </c>
      <c r="S21" s="448">
        <f t="shared" si="8"/>
        <v>95000</v>
      </c>
      <c r="T21" s="448">
        <f t="shared" si="9"/>
        <v>336000</v>
      </c>
      <c r="U21" s="448">
        <f t="shared" si="10"/>
        <v>106457.2608</v>
      </c>
      <c r="V21" s="448">
        <f t="shared" si="11"/>
        <v>666457.26080000005</v>
      </c>
      <c r="W21" s="455">
        <v>12</v>
      </c>
      <c r="X21" s="448">
        <f t="shared" si="12"/>
        <v>55538.1050666667</v>
      </c>
      <c r="Y21" s="448"/>
      <c r="Z21" s="530">
        <f t="shared" si="13"/>
        <v>55538.1050666667</v>
      </c>
      <c r="AA21" s="531">
        <v>46666.666666666701</v>
      </c>
      <c r="AB21" s="531">
        <f t="shared" si="15"/>
        <v>8871.43839999997</v>
      </c>
      <c r="AC21" s="193"/>
      <c r="AD21" s="193"/>
      <c r="AE21" s="193"/>
    </row>
    <row r="22" spans="1:31" ht="18.75">
      <c r="A22" s="522">
        <v>19</v>
      </c>
      <c r="B22" s="10" t="s">
        <v>383</v>
      </c>
      <c r="C22" s="446">
        <f>1015372.075-700000</f>
        <v>315372.07500000001</v>
      </c>
      <c r="D22" s="447">
        <v>12</v>
      </c>
      <c r="E22" s="448">
        <f t="shared" si="14"/>
        <v>3784464.9</v>
      </c>
      <c r="F22" s="448"/>
      <c r="G22" s="448"/>
      <c r="H22" s="448"/>
      <c r="I22" s="448">
        <f t="shared" si="0"/>
        <v>3784464.9</v>
      </c>
      <c r="J22" s="448">
        <v>200000</v>
      </c>
      <c r="K22" s="448">
        <v>0.2</v>
      </c>
      <c r="L22" s="448">
        <f t="shared" si="1"/>
        <v>756892.98</v>
      </c>
      <c r="M22" s="448">
        <f t="shared" si="2"/>
        <v>956892.98</v>
      </c>
      <c r="N22" s="448">
        <f t="shared" si="3"/>
        <v>956892.98</v>
      </c>
      <c r="O22" s="448">
        <f t="shared" si="4"/>
        <v>2827571.92</v>
      </c>
      <c r="P22" s="448">
        <f t="shared" si="5"/>
        <v>21000</v>
      </c>
      <c r="Q22" s="448">
        <f t="shared" si="6"/>
        <v>33000</v>
      </c>
      <c r="R22" s="448">
        <f t="shared" si="7"/>
        <v>75000</v>
      </c>
      <c r="S22" s="448">
        <f t="shared" si="8"/>
        <v>95000</v>
      </c>
      <c r="T22" s="448">
        <f t="shared" si="9"/>
        <v>257790.10320000001</v>
      </c>
      <c r="U22" s="448"/>
      <c r="V22" s="448">
        <f t="shared" si="11"/>
        <v>481790.10320000001</v>
      </c>
      <c r="W22" s="455">
        <v>12</v>
      </c>
      <c r="X22" s="448">
        <f t="shared" si="12"/>
        <v>40149.175266666702</v>
      </c>
      <c r="Y22" s="448"/>
      <c r="Z22" s="532">
        <f t="shared" si="13"/>
        <v>40149.175266666702</v>
      </c>
      <c r="AA22" s="533">
        <v>46666.666666666701</v>
      </c>
      <c r="AB22" s="533">
        <f t="shared" si="15"/>
        <v>-6517.4914000000399</v>
      </c>
      <c r="AC22" s="534" t="s">
        <v>658</v>
      </c>
      <c r="AD22" s="193"/>
      <c r="AE22" s="193"/>
    </row>
    <row r="23" spans="1:31" ht="18.75">
      <c r="A23" s="522">
        <v>20</v>
      </c>
      <c r="B23" s="13" t="s">
        <v>384</v>
      </c>
      <c r="C23" s="446">
        <v>328602.07775</v>
      </c>
      <c r="D23" s="447">
        <v>12</v>
      </c>
      <c r="E23" s="448">
        <f t="shared" si="14"/>
        <v>3943224.9330000002</v>
      </c>
      <c r="F23" s="448"/>
      <c r="G23" s="448"/>
      <c r="H23" s="448"/>
      <c r="I23" s="448">
        <f t="shared" si="0"/>
        <v>3943224.9330000002</v>
      </c>
      <c r="J23" s="448">
        <v>200000</v>
      </c>
      <c r="K23" s="448">
        <v>0.2</v>
      </c>
      <c r="L23" s="448">
        <f t="shared" si="1"/>
        <v>788644.98659999995</v>
      </c>
      <c r="M23" s="448">
        <f t="shared" si="2"/>
        <v>988644.98659999995</v>
      </c>
      <c r="N23" s="448">
        <f t="shared" si="3"/>
        <v>988644.98659999995</v>
      </c>
      <c r="O23" s="448">
        <f t="shared" si="4"/>
        <v>2954579.9463999998</v>
      </c>
      <c r="P23" s="448">
        <f t="shared" si="5"/>
        <v>21000</v>
      </c>
      <c r="Q23" s="448">
        <f t="shared" si="6"/>
        <v>33000</v>
      </c>
      <c r="R23" s="448">
        <f t="shared" si="7"/>
        <v>75000</v>
      </c>
      <c r="S23" s="448">
        <f t="shared" si="8"/>
        <v>95000</v>
      </c>
      <c r="T23" s="448">
        <f t="shared" si="9"/>
        <v>284461.78874400002</v>
      </c>
      <c r="U23" s="448"/>
      <c r="V23" s="448">
        <f t="shared" si="11"/>
        <v>508461.78874400002</v>
      </c>
      <c r="W23" s="455">
        <v>12</v>
      </c>
      <c r="X23" s="448">
        <f t="shared" si="12"/>
        <v>42371.815728666697</v>
      </c>
      <c r="Y23" s="448"/>
      <c r="Z23" s="448">
        <f t="shared" si="13"/>
        <v>42371.815728666697</v>
      </c>
      <c r="AA23" s="193">
        <v>42371.815728666697</v>
      </c>
      <c r="AB23" s="193">
        <f t="shared" si="15"/>
        <v>0</v>
      </c>
      <c r="AC23" s="193"/>
      <c r="AD23" s="193"/>
      <c r="AE23" s="193"/>
    </row>
    <row r="24" spans="1:31" s="518" customFormat="1" ht="18.75">
      <c r="A24" s="526">
        <v>21</v>
      </c>
      <c r="B24" s="3" t="s">
        <v>386</v>
      </c>
      <c r="C24" s="446">
        <v>213508.01</v>
      </c>
      <c r="D24" s="447">
        <v>12</v>
      </c>
      <c r="E24" s="448">
        <f t="shared" si="14"/>
        <v>2562096.12</v>
      </c>
      <c r="F24" s="448"/>
      <c r="G24" s="448"/>
      <c r="H24" s="448"/>
      <c r="I24" s="448">
        <f t="shared" si="0"/>
        <v>2562096.12</v>
      </c>
      <c r="J24" s="448">
        <v>200000</v>
      </c>
      <c r="K24" s="448">
        <v>0.2</v>
      </c>
      <c r="L24" s="448">
        <f t="shared" si="1"/>
        <v>512419.22399999999</v>
      </c>
      <c r="M24" s="448">
        <f t="shared" si="2"/>
        <v>712419.22400000005</v>
      </c>
      <c r="N24" s="448">
        <f t="shared" si="3"/>
        <v>712419.22400000005</v>
      </c>
      <c r="O24" s="448">
        <f t="shared" si="4"/>
        <v>1849676.8959999999</v>
      </c>
      <c r="P24" s="448">
        <f t="shared" si="5"/>
        <v>21000</v>
      </c>
      <c r="Q24" s="448">
        <f t="shared" si="6"/>
        <v>33000</v>
      </c>
      <c r="R24" s="448">
        <f t="shared" si="7"/>
        <v>75000</v>
      </c>
      <c r="S24" s="448">
        <f t="shared" si="8"/>
        <v>95000</v>
      </c>
      <c r="T24" s="448">
        <f t="shared" si="9"/>
        <v>52432.148159999997</v>
      </c>
      <c r="U24" s="448"/>
      <c r="V24" s="448">
        <f t="shared" si="11"/>
        <v>276432.14815999998</v>
      </c>
      <c r="W24" s="455">
        <v>12</v>
      </c>
      <c r="X24" s="448">
        <f t="shared" si="12"/>
        <v>23036.012346666699</v>
      </c>
      <c r="Y24" s="448"/>
      <c r="Z24" s="448">
        <f t="shared" si="13"/>
        <v>23036.012346666699</v>
      </c>
      <c r="AA24" s="535">
        <v>23036.012346666699</v>
      </c>
      <c r="AB24" s="193">
        <f t="shared" si="15"/>
        <v>-2.91038304567337E-11</v>
      </c>
      <c r="AC24" s="535"/>
      <c r="AD24" s="535"/>
      <c r="AE24" s="535"/>
    </row>
    <row r="25" spans="1:31" ht="18.75">
      <c r="A25" s="522">
        <v>22</v>
      </c>
      <c r="B25" s="17" t="s">
        <v>388</v>
      </c>
      <c r="C25" s="446">
        <v>213508.01</v>
      </c>
      <c r="D25" s="447">
        <v>12</v>
      </c>
      <c r="E25" s="448">
        <f t="shared" si="14"/>
        <v>2562096.12</v>
      </c>
      <c r="F25" s="448"/>
      <c r="G25" s="448"/>
      <c r="H25" s="448"/>
      <c r="I25" s="448">
        <f t="shared" si="0"/>
        <v>2562096.12</v>
      </c>
      <c r="J25" s="448">
        <v>200000</v>
      </c>
      <c r="K25" s="448">
        <v>0.2</v>
      </c>
      <c r="L25" s="448">
        <f t="shared" si="1"/>
        <v>512419.22399999999</v>
      </c>
      <c r="M25" s="448">
        <f t="shared" si="2"/>
        <v>712419.22400000005</v>
      </c>
      <c r="N25" s="448">
        <f t="shared" si="3"/>
        <v>712419.22400000005</v>
      </c>
      <c r="O25" s="448">
        <f t="shared" si="4"/>
        <v>1849676.8959999999</v>
      </c>
      <c r="P25" s="448">
        <f t="shared" si="5"/>
        <v>21000</v>
      </c>
      <c r="Q25" s="448">
        <f t="shared" si="6"/>
        <v>33000</v>
      </c>
      <c r="R25" s="448">
        <f t="shared" si="7"/>
        <v>75000</v>
      </c>
      <c r="S25" s="448">
        <f t="shared" si="8"/>
        <v>95000</v>
      </c>
      <c r="T25" s="448">
        <f t="shared" si="9"/>
        <v>52432.148159999997</v>
      </c>
      <c r="U25" s="448"/>
      <c r="V25" s="448">
        <f t="shared" si="11"/>
        <v>276432.14815999998</v>
      </c>
      <c r="W25" s="455">
        <v>12</v>
      </c>
      <c r="X25" s="448">
        <f t="shared" si="12"/>
        <v>23036.012346666699</v>
      </c>
      <c r="Y25" s="448"/>
      <c r="Z25" s="448">
        <f t="shared" si="13"/>
        <v>23036.012346666699</v>
      </c>
      <c r="AA25" s="193">
        <v>23036.012346666699</v>
      </c>
      <c r="AB25" s="193">
        <f t="shared" si="15"/>
        <v>-2.91038304567337E-11</v>
      </c>
      <c r="AC25" s="193"/>
      <c r="AD25" s="193"/>
      <c r="AE25" s="193"/>
    </row>
    <row r="26" spans="1:31" ht="18.75">
      <c r="A26" s="522">
        <v>23</v>
      </c>
      <c r="B26" s="10" t="s">
        <v>389</v>
      </c>
      <c r="C26" s="446">
        <v>253508.01</v>
      </c>
      <c r="D26" s="447">
        <v>12</v>
      </c>
      <c r="E26" s="448">
        <f t="shared" si="14"/>
        <v>3042096.12</v>
      </c>
      <c r="F26" s="448"/>
      <c r="G26" s="448"/>
      <c r="H26" s="448"/>
      <c r="I26" s="448">
        <f t="shared" si="0"/>
        <v>3042096.12</v>
      </c>
      <c r="J26" s="448">
        <v>200000</v>
      </c>
      <c r="K26" s="448">
        <v>0.2</v>
      </c>
      <c r="L26" s="448">
        <f t="shared" si="1"/>
        <v>608419.22400000005</v>
      </c>
      <c r="M26" s="448">
        <f t="shared" si="2"/>
        <v>808419.22400000005</v>
      </c>
      <c r="N26" s="448">
        <f t="shared" si="3"/>
        <v>808419.22400000005</v>
      </c>
      <c r="O26" s="448">
        <f t="shared" si="4"/>
        <v>2233676.8960000002</v>
      </c>
      <c r="P26" s="448">
        <f t="shared" si="5"/>
        <v>21000</v>
      </c>
      <c r="Q26" s="448">
        <f t="shared" si="6"/>
        <v>33000</v>
      </c>
      <c r="R26" s="448">
        <f t="shared" si="7"/>
        <v>75000</v>
      </c>
      <c r="S26" s="448">
        <f t="shared" si="8"/>
        <v>95000</v>
      </c>
      <c r="T26" s="448">
        <f t="shared" si="9"/>
        <v>133072.14816000001</v>
      </c>
      <c r="U26" s="448"/>
      <c r="V26" s="448">
        <f t="shared" si="11"/>
        <v>357072.14815999998</v>
      </c>
      <c r="W26" s="455">
        <v>12</v>
      </c>
      <c r="X26" s="448">
        <f t="shared" si="12"/>
        <v>29756.012346666699</v>
      </c>
      <c r="Y26" s="448"/>
      <c r="Z26" s="448">
        <f t="shared" si="13"/>
        <v>29756.012346666699</v>
      </c>
      <c r="AA26" s="193">
        <v>29756.012346666699</v>
      </c>
      <c r="AB26" s="193">
        <f t="shared" si="15"/>
        <v>-2.91038304567337E-11</v>
      </c>
      <c r="AC26" s="193"/>
      <c r="AD26" s="193"/>
      <c r="AE26" s="193"/>
    </row>
    <row r="27" spans="1:31" ht="37.5">
      <c r="A27" s="522">
        <v>24</v>
      </c>
      <c r="B27" s="17" t="s">
        <v>390</v>
      </c>
      <c r="C27" s="446">
        <v>209356.04725</v>
      </c>
      <c r="D27" s="447">
        <v>12</v>
      </c>
      <c r="E27" s="448">
        <f t="shared" si="14"/>
        <v>2512272.5669999998</v>
      </c>
      <c r="F27" s="448"/>
      <c r="G27" s="448"/>
      <c r="H27" s="448"/>
      <c r="I27" s="448">
        <f t="shared" ref="I27" si="16">E27-F27-G27-H27</f>
        <v>2512272.5669999998</v>
      </c>
      <c r="J27" s="448">
        <v>200000</v>
      </c>
      <c r="K27" s="448">
        <v>0.2</v>
      </c>
      <c r="L27" s="448">
        <f t="shared" ref="L27" si="17">I27*K27</f>
        <v>502454.5134</v>
      </c>
      <c r="M27" s="448">
        <f t="shared" ref="M27" si="18">J27+L27</f>
        <v>702454.51340000005</v>
      </c>
      <c r="N27" s="448">
        <f t="shared" ref="N27" si="19">F27+G27+H27+M27</f>
        <v>702454.51340000005</v>
      </c>
      <c r="O27" s="448">
        <f t="shared" ref="O27" si="20">E27-N27</f>
        <v>1809818.0536</v>
      </c>
      <c r="P27" s="448">
        <f t="shared" ref="P27" si="21">IF(O27&lt;300000,0.07*O27,21000)</f>
        <v>21000</v>
      </c>
      <c r="Q27" s="448">
        <f t="shared" ref="Q27" si="22">IF((O27-300000)&lt;0,0,IF((O27-300000)&lt;300000,0.11*(O27-300000),33000))</f>
        <v>33000</v>
      </c>
      <c r="R27" s="448">
        <f t="shared" ref="R27" si="23">IF((O27-600000)&lt;0,0,IF((O27-600000)&lt;500000,0.15*(O27-600000),75000))</f>
        <v>75000</v>
      </c>
      <c r="S27" s="448">
        <f t="shared" ref="S27" si="24">IF((O27-1100000)&lt;0,0,IF((O27-1100000)&lt;500000,0.19*(O27-1100000),95000))</f>
        <v>95000</v>
      </c>
      <c r="T27" s="448">
        <f t="shared" ref="T27" si="25">IF((O27-1600000)&lt;0,0,IF((O27-1600000)&lt;1600000,0.21*(O27-1600000),336000))</f>
        <v>44061.791255999902</v>
      </c>
      <c r="U27" s="448"/>
      <c r="V27" s="448">
        <f t="shared" ref="V27" si="26">P27+Q27+R27+S27+T27+U27</f>
        <v>268061.791256</v>
      </c>
      <c r="W27" s="455">
        <v>12</v>
      </c>
      <c r="X27" s="448">
        <f t="shared" ref="X27" si="27">V27/W27</f>
        <v>22338.4826046667</v>
      </c>
      <c r="Y27" s="448"/>
      <c r="Z27" s="448">
        <f t="shared" ref="Z27" si="28">X27</f>
        <v>22338.4826046667</v>
      </c>
      <c r="AA27" s="193">
        <v>22338.4826046667</v>
      </c>
      <c r="AB27" s="193">
        <f t="shared" si="15"/>
        <v>-4.0017766878008797E-11</v>
      </c>
      <c r="AC27" s="193"/>
      <c r="AD27" s="193"/>
      <c r="AE27" s="193"/>
    </row>
    <row r="28" spans="1:31" ht="18.75">
      <c r="A28" s="522">
        <v>25</v>
      </c>
      <c r="B28" s="17" t="s">
        <v>392</v>
      </c>
      <c r="C28" s="446">
        <v>205204.0845</v>
      </c>
      <c r="D28" s="447">
        <v>12</v>
      </c>
      <c r="E28" s="448">
        <f t="shared" si="14"/>
        <v>2462449.014</v>
      </c>
      <c r="F28" s="448"/>
      <c r="G28" s="448"/>
      <c r="H28" s="448"/>
      <c r="I28" s="448">
        <f t="shared" si="0"/>
        <v>2462449.014</v>
      </c>
      <c r="J28" s="448">
        <v>200000</v>
      </c>
      <c r="K28" s="448">
        <v>0.2</v>
      </c>
      <c r="L28" s="448">
        <f t="shared" si="1"/>
        <v>492489.8028</v>
      </c>
      <c r="M28" s="448">
        <f t="shared" si="2"/>
        <v>692489.80279999995</v>
      </c>
      <c r="N28" s="448">
        <f t="shared" si="3"/>
        <v>692489.80279999995</v>
      </c>
      <c r="O28" s="448">
        <f t="shared" si="4"/>
        <v>1769959.2112</v>
      </c>
      <c r="P28" s="448">
        <f t="shared" si="5"/>
        <v>21000</v>
      </c>
      <c r="Q28" s="448">
        <f t="shared" si="6"/>
        <v>33000</v>
      </c>
      <c r="R28" s="448">
        <f t="shared" si="7"/>
        <v>75000</v>
      </c>
      <c r="S28" s="448">
        <f t="shared" si="8"/>
        <v>95000</v>
      </c>
      <c r="T28" s="448">
        <f t="shared" si="9"/>
        <v>35691.434351999997</v>
      </c>
      <c r="U28" s="448"/>
      <c r="V28" s="448">
        <f t="shared" si="11"/>
        <v>259691.43435200001</v>
      </c>
      <c r="W28" s="455">
        <v>12</v>
      </c>
      <c r="X28" s="448">
        <f t="shared" si="12"/>
        <v>21640.952862666702</v>
      </c>
      <c r="Y28" s="448"/>
      <c r="Z28" s="448">
        <f t="shared" si="13"/>
        <v>21640.952862666702</v>
      </c>
      <c r="AA28" s="193">
        <v>21640.952862666702</v>
      </c>
      <c r="AB28" s="193">
        <f t="shared" si="15"/>
        <v>-3.2741809263825397E-11</v>
      </c>
      <c r="AC28" s="193"/>
      <c r="AD28" s="193"/>
      <c r="AE28" s="193"/>
    </row>
    <row r="29" spans="1:31" s="518" customFormat="1" ht="37.5">
      <c r="A29" s="526">
        <v>26</v>
      </c>
      <c r="B29" s="17" t="s">
        <v>394</v>
      </c>
      <c r="C29" s="446">
        <v>205204.0845</v>
      </c>
      <c r="D29" s="447">
        <v>12</v>
      </c>
      <c r="E29" s="448">
        <f t="shared" si="14"/>
        <v>2462449.014</v>
      </c>
      <c r="F29" s="448"/>
      <c r="G29" s="448"/>
      <c r="H29" s="448"/>
      <c r="I29" s="448">
        <f t="shared" si="0"/>
        <v>2462449.014</v>
      </c>
      <c r="J29" s="448">
        <v>200000</v>
      </c>
      <c r="K29" s="448">
        <v>0.2</v>
      </c>
      <c r="L29" s="448">
        <f t="shared" si="1"/>
        <v>492489.8028</v>
      </c>
      <c r="M29" s="448">
        <f t="shared" si="2"/>
        <v>692489.80279999995</v>
      </c>
      <c r="N29" s="448">
        <f t="shared" si="3"/>
        <v>692489.80279999995</v>
      </c>
      <c r="O29" s="448">
        <f t="shared" si="4"/>
        <v>1769959.2112</v>
      </c>
      <c r="P29" s="448">
        <f t="shared" si="5"/>
        <v>21000</v>
      </c>
      <c r="Q29" s="448">
        <f t="shared" si="6"/>
        <v>33000</v>
      </c>
      <c r="R29" s="448">
        <f t="shared" si="7"/>
        <v>75000</v>
      </c>
      <c r="S29" s="448">
        <f t="shared" si="8"/>
        <v>95000</v>
      </c>
      <c r="T29" s="448">
        <f t="shared" si="9"/>
        <v>35691.434351999997</v>
      </c>
      <c r="U29" s="448"/>
      <c r="V29" s="448">
        <f t="shared" si="11"/>
        <v>259691.43435200001</v>
      </c>
      <c r="W29" s="455">
        <v>12</v>
      </c>
      <c r="X29" s="448">
        <f t="shared" si="12"/>
        <v>21640.952862666702</v>
      </c>
      <c r="Y29" s="448"/>
      <c r="Z29" s="448">
        <f t="shared" si="13"/>
        <v>21640.952862666702</v>
      </c>
      <c r="AA29" s="535">
        <v>21640.952862666702</v>
      </c>
      <c r="AB29" s="193">
        <f t="shared" si="15"/>
        <v>-3.2741809263825397E-11</v>
      </c>
      <c r="AC29" s="535"/>
      <c r="AD29" s="535"/>
      <c r="AE29" s="535"/>
    </row>
    <row r="30" spans="1:31" s="518" customFormat="1" ht="18.75">
      <c r="A30" s="526">
        <v>27</v>
      </c>
      <c r="B30" s="17" t="s">
        <v>395</v>
      </c>
      <c r="C30" s="446">
        <v>209356.04725</v>
      </c>
      <c r="D30" s="447">
        <v>12</v>
      </c>
      <c r="E30" s="448">
        <f t="shared" si="14"/>
        <v>2512272.5669999998</v>
      </c>
      <c r="F30" s="448"/>
      <c r="G30" s="448"/>
      <c r="H30" s="448"/>
      <c r="I30" s="448">
        <f t="shared" si="0"/>
        <v>2512272.5669999998</v>
      </c>
      <c r="J30" s="448">
        <v>200000</v>
      </c>
      <c r="K30" s="448">
        <v>0.2</v>
      </c>
      <c r="L30" s="448">
        <f t="shared" si="1"/>
        <v>502454.5134</v>
      </c>
      <c r="M30" s="448">
        <f t="shared" si="2"/>
        <v>702454.51340000005</v>
      </c>
      <c r="N30" s="448">
        <f t="shared" si="3"/>
        <v>702454.51340000005</v>
      </c>
      <c r="O30" s="448">
        <f t="shared" si="4"/>
        <v>1809818.0536</v>
      </c>
      <c r="P30" s="448">
        <f t="shared" si="5"/>
        <v>21000</v>
      </c>
      <c r="Q30" s="448">
        <f t="shared" si="6"/>
        <v>33000</v>
      </c>
      <c r="R30" s="448">
        <f t="shared" si="7"/>
        <v>75000</v>
      </c>
      <c r="S30" s="448">
        <f t="shared" si="8"/>
        <v>95000</v>
      </c>
      <c r="T30" s="448">
        <f t="shared" si="9"/>
        <v>44061.791255999902</v>
      </c>
      <c r="U30" s="448"/>
      <c r="V30" s="448">
        <f t="shared" si="11"/>
        <v>268061.791256</v>
      </c>
      <c r="W30" s="455">
        <v>12</v>
      </c>
      <c r="X30" s="448">
        <f t="shared" si="12"/>
        <v>22338.4826046667</v>
      </c>
      <c r="Y30" s="448"/>
      <c r="Z30" s="448">
        <f t="shared" si="13"/>
        <v>22338.4826046667</v>
      </c>
      <c r="AA30" s="535">
        <v>22338.4826046667</v>
      </c>
      <c r="AB30" s="193">
        <f t="shared" si="15"/>
        <v>-4.0017766878008797E-11</v>
      </c>
      <c r="AC30" s="535"/>
      <c r="AD30" s="535"/>
      <c r="AE30" s="535"/>
    </row>
    <row r="31" spans="1:31" ht="18.75">
      <c r="A31" s="522">
        <v>28</v>
      </c>
      <c r="B31" s="17" t="s">
        <v>397</v>
      </c>
      <c r="C31" s="446">
        <v>180304.068</v>
      </c>
      <c r="D31" s="447">
        <v>12</v>
      </c>
      <c r="E31" s="448">
        <f t="shared" si="14"/>
        <v>2163648.8160000001</v>
      </c>
      <c r="F31" s="448"/>
      <c r="G31" s="448"/>
      <c r="H31" s="448"/>
      <c r="I31" s="448">
        <f t="shared" si="0"/>
        <v>2163648.8160000001</v>
      </c>
      <c r="J31" s="448">
        <v>200000</v>
      </c>
      <c r="K31" s="448">
        <v>0.2</v>
      </c>
      <c r="L31" s="448">
        <f t="shared" si="1"/>
        <v>432729.76319999999</v>
      </c>
      <c r="M31" s="448">
        <f t="shared" si="2"/>
        <v>632729.76320000004</v>
      </c>
      <c r="N31" s="448">
        <f t="shared" si="3"/>
        <v>632729.76320000004</v>
      </c>
      <c r="O31" s="448">
        <f t="shared" si="4"/>
        <v>1530919.0527999999</v>
      </c>
      <c r="P31" s="448">
        <f t="shared" si="5"/>
        <v>21000</v>
      </c>
      <c r="Q31" s="448">
        <f t="shared" si="6"/>
        <v>33000</v>
      </c>
      <c r="R31" s="448">
        <f t="shared" si="7"/>
        <v>75000</v>
      </c>
      <c r="S31" s="448">
        <f t="shared" si="8"/>
        <v>81874.620032000006</v>
      </c>
      <c r="T31" s="448">
        <f t="shared" si="9"/>
        <v>0</v>
      </c>
      <c r="U31" s="448"/>
      <c r="V31" s="448">
        <f t="shared" si="11"/>
        <v>210874.62003200001</v>
      </c>
      <c r="W31" s="455">
        <v>12</v>
      </c>
      <c r="X31" s="448">
        <f t="shared" si="12"/>
        <v>17572.885002666699</v>
      </c>
      <c r="Y31" s="448"/>
      <c r="Z31" s="448">
        <f t="shared" si="13"/>
        <v>17572.885002666699</v>
      </c>
      <c r="AA31" s="193">
        <v>17572.885002666699</v>
      </c>
      <c r="AB31" s="193">
        <f t="shared" si="15"/>
        <v>-2.91038304567337E-11</v>
      </c>
      <c r="AC31" s="193"/>
      <c r="AD31" s="193"/>
      <c r="AE31" s="193"/>
    </row>
    <row r="32" spans="1:31" ht="18.75">
      <c r="A32" s="522">
        <v>29</v>
      </c>
      <c r="B32" s="17" t="s">
        <v>400</v>
      </c>
      <c r="C32" s="446">
        <v>173329.04949999999</v>
      </c>
      <c r="D32" s="447">
        <v>12</v>
      </c>
      <c r="E32" s="448">
        <f t="shared" si="14"/>
        <v>2079948.594</v>
      </c>
      <c r="F32" s="448"/>
      <c r="G32" s="448"/>
      <c r="H32" s="448"/>
      <c r="I32" s="448">
        <f t="shared" si="0"/>
        <v>2079948.594</v>
      </c>
      <c r="J32" s="448">
        <v>200000</v>
      </c>
      <c r="K32" s="448">
        <v>0.2</v>
      </c>
      <c r="L32" s="448">
        <f t="shared" si="1"/>
        <v>415989.71879999997</v>
      </c>
      <c r="M32" s="448">
        <f t="shared" si="2"/>
        <v>615989.71880000003</v>
      </c>
      <c r="N32" s="448">
        <f t="shared" si="3"/>
        <v>615989.71880000003</v>
      </c>
      <c r="O32" s="448">
        <f t="shared" si="4"/>
        <v>1463958.8751999999</v>
      </c>
      <c r="P32" s="448">
        <f t="shared" si="5"/>
        <v>21000</v>
      </c>
      <c r="Q32" s="448">
        <f t="shared" si="6"/>
        <v>33000</v>
      </c>
      <c r="R32" s="448">
        <f t="shared" si="7"/>
        <v>75000</v>
      </c>
      <c r="S32" s="448">
        <f t="shared" si="8"/>
        <v>69152.186287999997</v>
      </c>
      <c r="T32" s="448">
        <f t="shared" si="9"/>
        <v>0</v>
      </c>
      <c r="U32" s="448"/>
      <c r="V32" s="448">
        <f t="shared" si="11"/>
        <v>198152.186288</v>
      </c>
      <c r="W32" s="455">
        <v>12</v>
      </c>
      <c r="X32" s="448">
        <f t="shared" si="12"/>
        <v>16512.682190666699</v>
      </c>
      <c r="Y32" s="448"/>
      <c r="Z32" s="448">
        <f t="shared" si="13"/>
        <v>16512.682190666699</v>
      </c>
      <c r="AA32" s="193">
        <v>16512.682190666699</v>
      </c>
      <c r="AB32" s="193">
        <f t="shared" si="15"/>
        <v>-2.91038304567337E-11</v>
      </c>
      <c r="AC32" s="193"/>
      <c r="AD32" s="193"/>
      <c r="AE32" s="193"/>
    </row>
    <row r="33" spans="1:31" ht="18.75">
      <c r="A33" s="522">
        <v>31</v>
      </c>
      <c r="B33" s="21"/>
      <c r="C33" s="448"/>
      <c r="D33" s="447"/>
      <c r="E33" s="448"/>
      <c r="F33" s="451"/>
      <c r="G33" s="451"/>
      <c r="H33" s="451"/>
      <c r="I33" s="448"/>
      <c r="J33" s="448"/>
      <c r="K33" s="448"/>
      <c r="L33" s="448"/>
      <c r="M33" s="448"/>
      <c r="N33" s="448"/>
      <c r="O33" s="448"/>
      <c r="P33" s="448"/>
      <c r="Q33" s="448"/>
      <c r="R33" s="448"/>
      <c r="S33" s="448"/>
      <c r="T33" s="448"/>
      <c r="U33" s="448"/>
      <c r="V33" s="448"/>
      <c r="W33" s="455"/>
      <c r="X33" s="448"/>
      <c r="Y33" s="451"/>
      <c r="Z33" s="448"/>
      <c r="AA33" s="193"/>
      <c r="AB33" s="193">
        <f>SUM(AB6:AB32)</f>
        <v>83964.785463998298</v>
      </c>
      <c r="AC33" s="193"/>
      <c r="AD33" s="193"/>
      <c r="AE33" s="193"/>
    </row>
    <row r="34" spans="1:31" ht="18.75">
      <c r="A34" s="522">
        <v>32</v>
      </c>
      <c r="B34" s="19" t="s">
        <v>225</v>
      </c>
      <c r="C34" s="448"/>
      <c r="D34" s="447"/>
      <c r="E34" s="448"/>
      <c r="F34" s="451"/>
      <c r="G34" s="451"/>
      <c r="H34" s="451"/>
      <c r="I34" s="448"/>
      <c r="J34" s="448"/>
      <c r="K34" s="448"/>
      <c r="L34" s="448"/>
      <c r="M34" s="448"/>
      <c r="N34" s="448"/>
      <c r="O34" s="448"/>
      <c r="P34" s="448"/>
      <c r="Q34" s="448"/>
      <c r="R34" s="448"/>
      <c r="S34" s="448"/>
      <c r="T34" s="448"/>
      <c r="U34" s="448"/>
      <c r="V34" s="448"/>
      <c r="W34" s="455"/>
      <c r="X34" s="448"/>
      <c r="Y34" s="451"/>
      <c r="Z34" s="448"/>
      <c r="AA34" s="193"/>
      <c r="AB34" s="193"/>
      <c r="AC34" s="193"/>
      <c r="AD34" s="193"/>
      <c r="AE34" s="193"/>
    </row>
    <row r="35" spans="1:31" ht="18.75">
      <c r="A35" s="522"/>
      <c r="B35" s="17" t="s">
        <v>403</v>
      </c>
      <c r="C35" s="452">
        <v>950209.06350000005</v>
      </c>
      <c r="D35" s="448">
        <v>12</v>
      </c>
      <c r="E35" s="448">
        <f>C35*D35</f>
        <v>11402508.762</v>
      </c>
      <c r="F35" s="448"/>
      <c r="G35" s="448">
        <f>SUM(G5:G34)</f>
        <v>0</v>
      </c>
      <c r="H35" s="448"/>
      <c r="I35" s="448">
        <f>E35-F35-G35-H35</f>
        <v>11402508.762</v>
      </c>
      <c r="J35" s="448">
        <v>200000</v>
      </c>
      <c r="K35" s="448">
        <v>0.2</v>
      </c>
      <c r="L35" s="448">
        <f>I35*K35</f>
        <v>2280501.7524000001</v>
      </c>
      <c r="M35" s="448">
        <f>J35+L35</f>
        <v>2480501.7524000001</v>
      </c>
      <c r="N35" s="448">
        <f>F35+G35+H35+M35</f>
        <v>2480501.7524000001</v>
      </c>
      <c r="O35" s="448">
        <f>E35-N35</f>
        <v>8922007.0096000005</v>
      </c>
      <c r="P35" s="448">
        <f t="shared" si="5"/>
        <v>21000</v>
      </c>
      <c r="Q35" s="448">
        <f t="shared" ref="Q35:Q37" si="29">IF((O35-300000)&lt;0,0,IF((O35-300000)&lt;300000,0.11*(O35-300000),33000))</f>
        <v>33000</v>
      </c>
      <c r="R35" s="448">
        <f t="shared" ref="R35:R37" si="30">IF((O35-600000)&lt;0,0,IF((O35-600000)&lt;500000,0.15*(O35-600000),75000))</f>
        <v>75000</v>
      </c>
      <c r="S35" s="448">
        <f t="shared" ref="S35:S37" si="31">IF((O35-1100000)&lt;0,0,IF((O35-1100000)&lt;500000,0.19*(O35-1100000),95000))</f>
        <v>95000</v>
      </c>
      <c r="T35" s="448">
        <f t="shared" ref="T35:T37" si="32">IF((O35-1600000)&lt;0,0,IF((O35-1600000)&lt;1600000,0.21*(O35-1600000),336000))</f>
        <v>336000</v>
      </c>
      <c r="U35" s="448">
        <f t="shared" si="10"/>
        <v>1373281.682304</v>
      </c>
      <c r="V35" s="448">
        <f>P35+Q35+R35+S35+T35+U35</f>
        <v>1933281.682304</v>
      </c>
      <c r="W35" s="448">
        <v>12</v>
      </c>
      <c r="X35" s="448">
        <f>V35/W35</f>
        <v>161106.806858667</v>
      </c>
      <c r="Y35" s="448"/>
      <c r="Z35" s="448">
        <f>X35</f>
        <v>161106.806858667</v>
      </c>
      <c r="AA35" s="525">
        <v>161106.806858667</v>
      </c>
      <c r="AB35" s="525">
        <f>Z35-AA35</f>
        <v>-3.20142135024071E-10</v>
      </c>
      <c r="AC35" s="193"/>
      <c r="AD35" s="193"/>
      <c r="AE35" s="193"/>
    </row>
    <row r="36" spans="1:31" ht="18.75">
      <c r="A36" s="522"/>
      <c r="B36" s="17" t="s">
        <v>406</v>
      </c>
      <c r="C36" s="448">
        <v>176816.1</v>
      </c>
      <c r="D36" s="447">
        <v>12</v>
      </c>
      <c r="E36" s="448">
        <f t="shared" ref="E36:E37" si="33">C36*D36</f>
        <v>2121793.2000000002</v>
      </c>
      <c r="F36" s="448"/>
      <c r="G36" s="448">
        <f>SUM(G6:G35)</f>
        <v>0</v>
      </c>
      <c r="H36" s="448"/>
      <c r="I36" s="448">
        <f>E36-F36-G36-H36</f>
        <v>2121793.2000000002</v>
      </c>
      <c r="J36" s="448">
        <v>200000</v>
      </c>
      <c r="K36" s="448">
        <v>0.2</v>
      </c>
      <c r="L36" s="448">
        <f>I36*K36</f>
        <v>424358.64</v>
      </c>
      <c r="M36" s="448">
        <f>J36+L36</f>
        <v>624358.64</v>
      </c>
      <c r="N36" s="448">
        <f>F36+G36+H36+M36</f>
        <v>624358.64</v>
      </c>
      <c r="O36" s="448">
        <f>E36-N36</f>
        <v>1497434.56</v>
      </c>
      <c r="P36" s="448">
        <f t="shared" si="5"/>
        <v>21000</v>
      </c>
      <c r="Q36" s="448">
        <f t="shared" si="29"/>
        <v>33000</v>
      </c>
      <c r="R36" s="448">
        <f t="shared" si="30"/>
        <v>75000</v>
      </c>
      <c r="S36" s="448">
        <f t="shared" si="31"/>
        <v>75512.566399999996</v>
      </c>
      <c r="T36" s="448">
        <f t="shared" si="32"/>
        <v>0</v>
      </c>
      <c r="U36" s="448"/>
      <c r="V36" s="448">
        <f>P36+Q36+R36+S36+T36+U36</f>
        <v>204512.56640000001</v>
      </c>
      <c r="W36" s="448">
        <v>12</v>
      </c>
      <c r="X36" s="448">
        <f>V36/W36</f>
        <v>17042.713866666702</v>
      </c>
      <c r="Y36" s="448"/>
      <c r="Z36" s="448">
        <f>X36</f>
        <v>17042.713866666702</v>
      </c>
      <c r="AA36" s="193">
        <v>17042.713866666702</v>
      </c>
      <c r="AB36" s="525">
        <f t="shared" ref="AB36:AB37" si="34">Z36-AA36</f>
        <v>-3.2741809263825397E-11</v>
      </c>
      <c r="AC36" s="193"/>
      <c r="AD36" s="193"/>
      <c r="AE36" s="193"/>
    </row>
    <row r="37" spans="1:31" ht="18.75">
      <c r="A37" s="522">
        <v>33</v>
      </c>
      <c r="B37" s="10" t="s">
        <v>408</v>
      </c>
      <c r="C37" s="446">
        <v>233169.11749999999</v>
      </c>
      <c r="D37" s="447">
        <v>12</v>
      </c>
      <c r="E37" s="448">
        <f t="shared" si="33"/>
        <v>2798029.41</v>
      </c>
      <c r="F37" s="448"/>
      <c r="G37" s="448">
        <f>SUM(G7:G36)</f>
        <v>0</v>
      </c>
      <c r="H37" s="448"/>
      <c r="I37" s="448">
        <f>E37-F37-G37-H37</f>
        <v>2798029.41</v>
      </c>
      <c r="J37" s="448">
        <v>200000</v>
      </c>
      <c r="K37" s="448">
        <v>0.2</v>
      </c>
      <c r="L37" s="448">
        <f>I37*K37</f>
        <v>559605.88199999998</v>
      </c>
      <c r="M37" s="448">
        <f>J37+L37</f>
        <v>759605.88199999998</v>
      </c>
      <c r="N37" s="448">
        <f>F37+G37+H37+M37</f>
        <v>759605.88199999998</v>
      </c>
      <c r="O37" s="448">
        <f>E37-N37</f>
        <v>2038423.5279999999</v>
      </c>
      <c r="P37" s="448">
        <f t="shared" si="5"/>
        <v>21000</v>
      </c>
      <c r="Q37" s="448">
        <f t="shared" si="29"/>
        <v>33000</v>
      </c>
      <c r="R37" s="448">
        <f t="shared" si="30"/>
        <v>75000</v>
      </c>
      <c r="S37" s="448">
        <f t="shared" si="31"/>
        <v>95000</v>
      </c>
      <c r="T37" s="448">
        <f t="shared" si="32"/>
        <v>92068.940879999995</v>
      </c>
      <c r="U37" s="448"/>
      <c r="V37" s="448">
        <f>P37+Q37+R37+S37+T37+U37</f>
        <v>316068.94088000001</v>
      </c>
      <c r="W37" s="448">
        <v>12</v>
      </c>
      <c r="X37" s="448">
        <f>V37/W37</f>
        <v>26339.0784066667</v>
      </c>
      <c r="Y37" s="448"/>
      <c r="Z37" s="448">
        <f>X37</f>
        <v>26339.0784066667</v>
      </c>
      <c r="AA37" s="193">
        <v>26339.0784066667</v>
      </c>
      <c r="AB37" s="525">
        <f t="shared" si="34"/>
        <v>-3.2741809263825397E-11</v>
      </c>
      <c r="AC37" s="193"/>
      <c r="AD37" s="193"/>
      <c r="AE37" s="193"/>
    </row>
    <row r="38" spans="1:31" ht="18.75">
      <c r="A38" s="522"/>
      <c r="B38" s="13"/>
      <c r="C38" s="448"/>
      <c r="D38" s="447"/>
      <c r="E38" s="448"/>
      <c r="F38" s="451"/>
      <c r="G38" s="451"/>
      <c r="H38" s="451"/>
      <c r="I38" s="448"/>
      <c r="J38" s="448"/>
      <c r="K38" s="448"/>
      <c r="L38" s="448"/>
      <c r="M38" s="448"/>
      <c r="N38" s="448"/>
      <c r="O38" s="448"/>
      <c r="P38" s="448"/>
      <c r="Q38" s="448"/>
      <c r="R38" s="448"/>
      <c r="S38" s="448"/>
      <c r="T38" s="448"/>
      <c r="U38" s="448"/>
      <c r="V38" s="448"/>
      <c r="W38" s="455"/>
      <c r="X38" s="448"/>
      <c r="Y38" s="451"/>
      <c r="Z38" s="448"/>
      <c r="AA38" s="193"/>
      <c r="AB38" s="193"/>
      <c r="AC38" s="193"/>
      <c r="AD38" s="193"/>
      <c r="AE38" s="193"/>
    </row>
    <row r="39" spans="1:31" ht="18.75">
      <c r="A39" s="522"/>
      <c r="B39" s="22" t="s">
        <v>43</v>
      </c>
      <c r="C39" s="448"/>
      <c r="D39" s="447"/>
      <c r="E39" s="448"/>
      <c r="F39" s="451"/>
      <c r="G39" s="451"/>
      <c r="H39" s="451"/>
      <c r="I39" s="448"/>
      <c r="J39" s="448"/>
      <c r="K39" s="448"/>
      <c r="L39" s="448"/>
      <c r="M39" s="448"/>
      <c r="N39" s="448"/>
      <c r="O39" s="448"/>
      <c r="P39" s="448"/>
      <c r="Q39" s="448"/>
      <c r="R39" s="448"/>
      <c r="S39" s="448"/>
      <c r="T39" s="448"/>
      <c r="U39" s="448"/>
      <c r="V39" s="448"/>
      <c r="W39" s="455"/>
      <c r="X39" s="448"/>
      <c r="Y39" s="451"/>
      <c r="Z39" s="448"/>
      <c r="AA39" s="193"/>
      <c r="AB39" s="193"/>
      <c r="AC39" s="193"/>
      <c r="AD39" s="193"/>
      <c r="AE39" s="193"/>
    </row>
    <row r="40" spans="1:31" ht="37.5">
      <c r="A40" s="522">
        <v>35</v>
      </c>
      <c r="B40" s="10" t="s">
        <v>410</v>
      </c>
      <c r="C40" s="446">
        <v>1050209.0634999999</v>
      </c>
      <c r="D40" s="447">
        <v>12</v>
      </c>
      <c r="E40" s="448">
        <f>C40*D40</f>
        <v>12602508.762</v>
      </c>
      <c r="F40" s="448"/>
      <c r="G40" s="448"/>
      <c r="H40" s="448"/>
      <c r="I40" s="448">
        <f>E40-F40-G40-H40</f>
        <v>12602508.762</v>
      </c>
      <c r="J40" s="448">
        <v>200000</v>
      </c>
      <c r="K40" s="448">
        <v>0.2</v>
      </c>
      <c r="L40" s="448">
        <f>I40*K40</f>
        <v>2520501.7524000001</v>
      </c>
      <c r="M40" s="448">
        <f>J40+L40</f>
        <v>2720501.7524000001</v>
      </c>
      <c r="N40" s="448">
        <f>F40+G40+H40+M40</f>
        <v>2720501.7524000001</v>
      </c>
      <c r="O40" s="448">
        <f>E40-N40</f>
        <v>9882007.0096000005</v>
      </c>
      <c r="P40" s="448">
        <f>IF(O40&lt;300000,0.07*O40,21000)</f>
        <v>21000</v>
      </c>
      <c r="Q40" s="448">
        <f>IF((O40-300000)&lt;0,0,IF((O40-300000)&lt;300000,0.11*(O40-300000),33000))</f>
        <v>33000</v>
      </c>
      <c r="R40" s="448">
        <f>IF((O40-600000)&lt;0,0,IF((O40-600000)&lt;500000,0.15*(O40-600000),75000))</f>
        <v>75000</v>
      </c>
      <c r="S40" s="448">
        <f>IF((O40-1100000)&lt;0,0,IF((O40-1100000)&lt;500000,0.19*(O40-1100000),95000))</f>
        <v>95000</v>
      </c>
      <c r="T40" s="448">
        <f>IF((O40-1600000)&lt;0,0,IF((O40-1600000)&lt;1600000,0.21*(O40-1600000),336000))</f>
        <v>336000</v>
      </c>
      <c r="U40" s="448">
        <f>0.24*(O40-3200000)</f>
        <v>1603681.682304</v>
      </c>
      <c r="V40" s="448">
        <f>P40+Q40+R40+S40+T40+U40</f>
        <v>2163681.682304</v>
      </c>
      <c r="W40" s="455">
        <v>12</v>
      </c>
      <c r="X40" s="448">
        <f>V40/W40</f>
        <v>180306.806858667</v>
      </c>
      <c r="Y40" s="448"/>
      <c r="Z40" s="448">
        <f>X40</f>
        <v>180306.806858667</v>
      </c>
      <c r="AA40" s="193">
        <v>180306.806858667</v>
      </c>
      <c r="AB40" s="193">
        <f>Z40-AA40</f>
        <v>-3.7834979593753799E-10</v>
      </c>
      <c r="AC40" s="193"/>
      <c r="AD40" s="193"/>
      <c r="AE40" s="193"/>
    </row>
    <row r="41" spans="1:31" ht="18.75">
      <c r="A41" s="522">
        <v>36</v>
      </c>
      <c r="B41" s="10" t="s">
        <v>412</v>
      </c>
      <c r="C41" s="448">
        <v>527553.50249999994</v>
      </c>
      <c r="D41" s="447">
        <v>12</v>
      </c>
      <c r="E41" s="448">
        <f t="shared" ref="E41:E50" si="35">C41*D41</f>
        <v>6330642.0300000003</v>
      </c>
      <c r="F41" s="451"/>
      <c r="G41" s="451"/>
      <c r="H41" s="451"/>
      <c r="I41" s="448">
        <f t="shared" si="0"/>
        <v>6330642.0300000003</v>
      </c>
      <c r="J41" s="448">
        <v>200000</v>
      </c>
      <c r="K41" s="448">
        <v>0.2</v>
      </c>
      <c r="L41" s="448">
        <f t="shared" si="1"/>
        <v>1266128.406</v>
      </c>
      <c r="M41" s="448">
        <f t="shared" si="2"/>
        <v>1466128.406</v>
      </c>
      <c r="N41" s="448">
        <f t="shared" si="3"/>
        <v>1466128.406</v>
      </c>
      <c r="O41" s="448">
        <f t="shared" si="4"/>
        <v>4864513.6239999998</v>
      </c>
      <c r="P41" s="448">
        <f t="shared" si="5"/>
        <v>21000</v>
      </c>
      <c r="Q41" s="448">
        <f t="shared" si="6"/>
        <v>33000</v>
      </c>
      <c r="R41" s="448">
        <f t="shared" si="7"/>
        <v>75000</v>
      </c>
      <c r="S41" s="448">
        <f t="shared" si="8"/>
        <v>95000</v>
      </c>
      <c r="T41" s="448">
        <f t="shared" si="9"/>
        <v>336000</v>
      </c>
      <c r="U41" s="448">
        <f t="shared" si="10"/>
        <v>399483.26976</v>
      </c>
      <c r="V41" s="448">
        <f t="shared" si="11"/>
        <v>959483.26976000005</v>
      </c>
      <c r="W41" s="455">
        <v>12</v>
      </c>
      <c r="X41" s="448">
        <f t="shared" si="12"/>
        <v>79956.9391466667</v>
      </c>
      <c r="Y41" s="451"/>
      <c r="Z41" s="448">
        <f t="shared" si="13"/>
        <v>79956.9391466667</v>
      </c>
      <c r="AA41" s="193">
        <v>79956.9391466667</v>
      </c>
      <c r="AB41" s="193">
        <f t="shared" ref="AB41:AB50" si="36">Z41-AA41</f>
        <v>0</v>
      </c>
      <c r="AC41" s="193"/>
      <c r="AD41" s="193"/>
      <c r="AE41" s="193"/>
    </row>
    <row r="42" spans="1:31" ht="18.75">
      <c r="A42" s="522">
        <v>37</v>
      </c>
      <c r="B42" s="10" t="s">
        <v>414</v>
      </c>
      <c r="C42" s="448">
        <v>617743.99575</v>
      </c>
      <c r="D42" s="447">
        <v>12</v>
      </c>
      <c r="E42" s="448">
        <f t="shared" si="35"/>
        <v>7412927.949</v>
      </c>
      <c r="F42" s="451"/>
      <c r="G42" s="451"/>
      <c r="H42" s="451"/>
      <c r="I42" s="448">
        <f t="shared" si="0"/>
        <v>7412927.949</v>
      </c>
      <c r="J42" s="448">
        <v>200000</v>
      </c>
      <c r="K42" s="448">
        <v>0.2</v>
      </c>
      <c r="L42" s="448">
        <f t="shared" si="1"/>
        <v>1482585.5898</v>
      </c>
      <c r="M42" s="448">
        <f t="shared" si="2"/>
        <v>1682585.5898</v>
      </c>
      <c r="N42" s="448">
        <f t="shared" si="3"/>
        <v>1682585.5898</v>
      </c>
      <c r="O42" s="448">
        <f t="shared" si="4"/>
        <v>5730342.3591999998</v>
      </c>
      <c r="P42" s="448">
        <f t="shared" si="5"/>
        <v>21000</v>
      </c>
      <c r="Q42" s="448">
        <f t="shared" si="6"/>
        <v>33000</v>
      </c>
      <c r="R42" s="448">
        <f t="shared" si="7"/>
        <v>75000</v>
      </c>
      <c r="S42" s="448">
        <f t="shared" si="8"/>
        <v>95000</v>
      </c>
      <c r="T42" s="448">
        <f t="shared" si="9"/>
        <v>336000</v>
      </c>
      <c r="U42" s="448">
        <f t="shared" si="10"/>
        <v>607282.16620800004</v>
      </c>
      <c r="V42" s="448">
        <f t="shared" si="11"/>
        <v>1167282.1662079999</v>
      </c>
      <c r="W42" s="455">
        <v>12</v>
      </c>
      <c r="X42" s="448">
        <f t="shared" si="12"/>
        <v>97273.513850666699</v>
      </c>
      <c r="Y42" s="451"/>
      <c r="Z42" s="448">
        <f t="shared" si="13"/>
        <v>97273.513850666699</v>
      </c>
      <c r="AA42" s="193">
        <v>97273.513850666699</v>
      </c>
      <c r="AB42" s="193">
        <f t="shared" si="36"/>
        <v>0</v>
      </c>
      <c r="AC42" s="193"/>
      <c r="AD42" s="193"/>
      <c r="AE42" s="193"/>
    </row>
    <row r="43" spans="1:31" ht="18.75">
      <c r="A43" s="522">
        <v>38</v>
      </c>
      <c r="B43" s="10" t="s">
        <v>417</v>
      </c>
      <c r="C43" s="448">
        <v>527553.50249999994</v>
      </c>
      <c r="D43" s="447">
        <v>12</v>
      </c>
      <c r="E43" s="448">
        <f t="shared" si="35"/>
        <v>6330642.0300000003</v>
      </c>
      <c r="F43" s="451"/>
      <c r="G43" s="451"/>
      <c r="H43" s="451"/>
      <c r="I43" s="448">
        <f t="shared" si="0"/>
        <v>6330642.0300000003</v>
      </c>
      <c r="J43" s="448">
        <v>200000</v>
      </c>
      <c r="K43" s="448">
        <v>0.2</v>
      </c>
      <c r="L43" s="448">
        <f t="shared" si="1"/>
        <v>1266128.406</v>
      </c>
      <c r="M43" s="448">
        <f t="shared" si="2"/>
        <v>1466128.406</v>
      </c>
      <c r="N43" s="448">
        <f t="shared" si="3"/>
        <v>1466128.406</v>
      </c>
      <c r="O43" s="448">
        <f t="shared" si="4"/>
        <v>4864513.6239999998</v>
      </c>
      <c r="P43" s="448">
        <f t="shared" si="5"/>
        <v>21000</v>
      </c>
      <c r="Q43" s="448">
        <f t="shared" si="6"/>
        <v>33000</v>
      </c>
      <c r="R43" s="448">
        <f t="shared" si="7"/>
        <v>75000</v>
      </c>
      <c r="S43" s="448">
        <f t="shared" si="8"/>
        <v>95000</v>
      </c>
      <c r="T43" s="448">
        <f t="shared" si="9"/>
        <v>336000</v>
      </c>
      <c r="U43" s="448">
        <f t="shared" si="10"/>
        <v>399483.26976</v>
      </c>
      <c r="V43" s="448">
        <f t="shared" si="11"/>
        <v>959483.26976000005</v>
      </c>
      <c r="W43" s="455">
        <v>12</v>
      </c>
      <c r="X43" s="448">
        <f t="shared" si="12"/>
        <v>79956.9391466667</v>
      </c>
      <c r="Y43" s="451"/>
      <c r="Z43" s="448">
        <f t="shared" si="13"/>
        <v>79956.9391466667</v>
      </c>
      <c r="AA43" s="193">
        <v>79956.9391466667</v>
      </c>
      <c r="AB43" s="193">
        <f t="shared" si="36"/>
        <v>0</v>
      </c>
      <c r="AC43" s="193"/>
      <c r="AD43" s="193"/>
      <c r="AE43" s="193"/>
    </row>
    <row r="44" spans="1:31" ht="18.75">
      <c r="A44" s="522">
        <v>39</v>
      </c>
      <c r="B44" s="10" t="s">
        <v>419</v>
      </c>
      <c r="C44" s="448">
        <v>527553.50249999994</v>
      </c>
      <c r="D44" s="447">
        <v>12</v>
      </c>
      <c r="E44" s="448">
        <f t="shared" si="35"/>
        <v>6330642.0300000003</v>
      </c>
      <c r="F44" s="451">
        <f>'[8]JANUARY 2024'!$V$47*12</f>
        <v>10052.25</v>
      </c>
      <c r="G44" s="451"/>
      <c r="H44" s="451"/>
      <c r="I44" s="448">
        <f t="shared" si="0"/>
        <v>6320589.7800000003</v>
      </c>
      <c r="J44" s="448">
        <v>200000</v>
      </c>
      <c r="K44" s="448">
        <v>0.2</v>
      </c>
      <c r="L44" s="448">
        <f t="shared" si="1"/>
        <v>1264117.956</v>
      </c>
      <c r="M44" s="448">
        <f t="shared" si="2"/>
        <v>1464117.956</v>
      </c>
      <c r="N44" s="448">
        <f t="shared" si="3"/>
        <v>1474170.206</v>
      </c>
      <c r="O44" s="448">
        <f t="shared" si="4"/>
        <v>4856471.824</v>
      </c>
      <c r="P44" s="448">
        <f t="shared" si="5"/>
        <v>21000</v>
      </c>
      <c r="Q44" s="448">
        <f t="shared" si="6"/>
        <v>33000</v>
      </c>
      <c r="R44" s="448">
        <f t="shared" si="7"/>
        <v>75000</v>
      </c>
      <c r="S44" s="448">
        <f t="shared" si="8"/>
        <v>95000</v>
      </c>
      <c r="T44" s="448">
        <f t="shared" si="9"/>
        <v>336000</v>
      </c>
      <c r="U44" s="448">
        <f t="shared" si="10"/>
        <v>397553.23775999999</v>
      </c>
      <c r="V44" s="448">
        <f t="shared" si="11"/>
        <v>957553.23776000005</v>
      </c>
      <c r="W44" s="455">
        <v>12</v>
      </c>
      <c r="X44" s="448">
        <f t="shared" si="12"/>
        <v>79796.103146666603</v>
      </c>
      <c r="Y44" s="451"/>
      <c r="Z44" s="448">
        <f t="shared" si="13"/>
        <v>79796.103146666603</v>
      </c>
      <c r="AA44" s="193">
        <v>79796.103146666603</v>
      </c>
      <c r="AB44" s="193">
        <f t="shared" si="36"/>
        <v>0</v>
      </c>
      <c r="AC44" s="193"/>
      <c r="AD44" s="193"/>
      <c r="AE44" s="193"/>
    </row>
    <row r="45" spans="1:31" ht="18.75">
      <c r="A45" s="522">
        <v>40</v>
      </c>
      <c r="B45" s="10" t="s">
        <v>420</v>
      </c>
      <c r="C45" s="448">
        <v>504720.04700000002</v>
      </c>
      <c r="D45" s="447">
        <v>12</v>
      </c>
      <c r="E45" s="448">
        <f t="shared" si="35"/>
        <v>6056640.5640000002</v>
      </c>
      <c r="F45" s="448"/>
      <c r="G45" s="451"/>
      <c r="H45" s="451"/>
      <c r="I45" s="448">
        <f t="shared" si="0"/>
        <v>6056640.5640000002</v>
      </c>
      <c r="J45" s="448">
        <v>200000</v>
      </c>
      <c r="K45" s="448">
        <v>0.2</v>
      </c>
      <c r="L45" s="448">
        <f t="shared" si="1"/>
        <v>1211328.1128</v>
      </c>
      <c r="M45" s="448">
        <f t="shared" si="2"/>
        <v>1411328.1128</v>
      </c>
      <c r="N45" s="448">
        <f t="shared" si="3"/>
        <v>1411328.1128</v>
      </c>
      <c r="O45" s="448">
        <f t="shared" si="4"/>
        <v>4645312.4512</v>
      </c>
      <c r="P45" s="448">
        <f t="shared" si="5"/>
        <v>21000</v>
      </c>
      <c r="Q45" s="448">
        <f t="shared" si="6"/>
        <v>33000</v>
      </c>
      <c r="R45" s="448">
        <f t="shared" si="7"/>
        <v>75000</v>
      </c>
      <c r="S45" s="448">
        <f t="shared" si="8"/>
        <v>95000</v>
      </c>
      <c r="T45" s="448">
        <f t="shared" si="9"/>
        <v>336000</v>
      </c>
      <c r="U45" s="448">
        <f t="shared" si="10"/>
        <v>346874.98828799999</v>
      </c>
      <c r="V45" s="448">
        <f t="shared" si="11"/>
        <v>906874.98828799999</v>
      </c>
      <c r="W45" s="455">
        <v>12</v>
      </c>
      <c r="X45" s="448">
        <f t="shared" si="12"/>
        <v>75572.915690666705</v>
      </c>
      <c r="Y45" s="451"/>
      <c r="Z45" s="448">
        <f t="shared" si="13"/>
        <v>75572.915690666705</v>
      </c>
      <c r="AA45" s="193">
        <v>75572.915690666705</v>
      </c>
      <c r="AB45" s="193">
        <f t="shared" si="36"/>
        <v>0</v>
      </c>
      <c r="AC45" s="193"/>
      <c r="AD45" s="193"/>
      <c r="AE45" s="193"/>
    </row>
    <row r="46" spans="1:31" ht="18.75">
      <c r="A46" s="522">
        <v>41</v>
      </c>
      <c r="B46" s="13" t="s">
        <v>421</v>
      </c>
      <c r="C46" s="448">
        <v>413333.03525000002</v>
      </c>
      <c r="D46" s="447">
        <v>12</v>
      </c>
      <c r="E46" s="448">
        <f t="shared" si="35"/>
        <v>4959996.4230000004</v>
      </c>
      <c r="F46" s="448"/>
      <c r="G46" s="451"/>
      <c r="H46" s="451"/>
      <c r="I46" s="448">
        <f t="shared" si="0"/>
        <v>4959996.4230000004</v>
      </c>
      <c r="J46" s="448">
        <v>200000</v>
      </c>
      <c r="K46" s="448">
        <v>0.2</v>
      </c>
      <c r="L46" s="448">
        <f t="shared" si="1"/>
        <v>991999.28460000001</v>
      </c>
      <c r="M46" s="448">
        <f t="shared" si="2"/>
        <v>1191999.2845999999</v>
      </c>
      <c r="N46" s="448">
        <f t="shared" si="3"/>
        <v>1191999.2845999999</v>
      </c>
      <c r="O46" s="448">
        <f t="shared" si="4"/>
        <v>3767997.1384000001</v>
      </c>
      <c r="P46" s="448">
        <f t="shared" si="5"/>
        <v>21000</v>
      </c>
      <c r="Q46" s="448">
        <f t="shared" si="6"/>
        <v>33000</v>
      </c>
      <c r="R46" s="448">
        <f t="shared" si="7"/>
        <v>75000</v>
      </c>
      <c r="S46" s="448">
        <f t="shared" si="8"/>
        <v>95000</v>
      </c>
      <c r="T46" s="448">
        <f t="shared" si="9"/>
        <v>336000</v>
      </c>
      <c r="U46" s="448">
        <f t="shared" si="10"/>
        <v>136319.31321600001</v>
      </c>
      <c r="V46" s="448">
        <f t="shared" si="11"/>
        <v>696319.31321599998</v>
      </c>
      <c r="W46" s="455">
        <v>12</v>
      </c>
      <c r="X46" s="448">
        <f t="shared" si="12"/>
        <v>58026.609434666701</v>
      </c>
      <c r="Y46" s="451"/>
      <c r="Z46" s="448">
        <f t="shared" si="13"/>
        <v>58026.609434666701</v>
      </c>
      <c r="AA46" s="193">
        <v>58026.609434666701</v>
      </c>
      <c r="AB46" s="193">
        <f t="shared" si="36"/>
        <v>0</v>
      </c>
      <c r="AC46" s="193"/>
      <c r="AD46" s="193"/>
      <c r="AE46" s="193"/>
    </row>
    <row r="47" spans="1:31" ht="18.75">
      <c r="A47" s="522">
        <v>42</v>
      </c>
      <c r="B47" s="10" t="s">
        <v>422</v>
      </c>
      <c r="C47" s="448">
        <v>273169.11749999999</v>
      </c>
      <c r="D47" s="447">
        <v>12</v>
      </c>
      <c r="E47" s="448">
        <f t="shared" si="35"/>
        <v>3278029.41</v>
      </c>
      <c r="F47" s="448"/>
      <c r="G47" s="451"/>
      <c r="H47" s="451"/>
      <c r="I47" s="448">
        <f t="shared" si="0"/>
        <v>3278029.41</v>
      </c>
      <c r="J47" s="448">
        <v>200000</v>
      </c>
      <c r="K47" s="448">
        <v>0.2</v>
      </c>
      <c r="L47" s="448">
        <f t="shared" si="1"/>
        <v>655605.88199999998</v>
      </c>
      <c r="M47" s="448">
        <f t="shared" si="2"/>
        <v>855605.88199999998</v>
      </c>
      <c r="N47" s="448">
        <f t="shared" si="3"/>
        <v>855605.88199999998</v>
      </c>
      <c r="O47" s="448">
        <f t="shared" si="4"/>
        <v>2422423.5279999999</v>
      </c>
      <c r="P47" s="448">
        <f t="shared" si="5"/>
        <v>21000</v>
      </c>
      <c r="Q47" s="448">
        <f t="shared" si="6"/>
        <v>33000</v>
      </c>
      <c r="R47" s="448">
        <f t="shared" si="7"/>
        <v>75000</v>
      </c>
      <c r="S47" s="448">
        <f t="shared" si="8"/>
        <v>95000</v>
      </c>
      <c r="T47" s="448">
        <f t="shared" si="9"/>
        <v>172708.94088000001</v>
      </c>
      <c r="U47" s="448"/>
      <c r="V47" s="448">
        <f t="shared" si="11"/>
        <v>396708.94088000001</v>
      </c>
      <c r="W47" s="455">
        <v>12</v>
      </c>
      <c r="X47" s="448">
        <f t="shared" si="12"/>
        <v>33059.078406666697</v>
      </c>
      <c r="Y47" s="451"/>
      <c r="Z47" s="448">
        <f t="shared" si="13"/>
        <v>33059.078406666697</v>
      </c>
      <c r="AA47" s="193">
        <v>33059.078406666697</v>
      </c>
      <c r="AB47" s="193">
        <f t="shared" si="36"/>
        <v>0</v>
      </c>
      <c r="AC47" s="193"/>
      <c r="AD47" s="193"/>
      <c r="AE47" s="193"/>
    </row>
    <row r="48" spans="1:31" s="518" customFormat="1" ht="18.75">
      <c r="A48" s="526">
        <v>43</v>
      </c>
      <c r="B48" s="10" t="s">
        <v>423</v>
      </c>
      <c r="C48" s="448">
        <v>249356.04725</v>
      </c>
      <c r="D48" s="447">
        <v>12</v>
      </c>
      <c r="E48" s="448">
        <f t="shared" si="35"/>
        <v>2992272.5669999998</v>
      </c>
      <c r="F48" s="448"/>
      <c r="G48" s="451"/>
      <c r="H48" s="451"/>
      <c r="I48" s="448">
        <f t="shared" si="0"/>
        <v>2992272.5669999998</v>
      </c>
      <c r="J48" s="448">
        <v>200000</v>
      </c>
      <c r="K48" s="448">
        <v>0.2</v>
      </c>
      <c r="L48" s="448">
        <f t="shared" si="1"/>
        <v>598454.51340000005</v>
      </c>
      <c r="M48" s="448">
        <f t="shared" si="2"/>
        <v>798454.51340000005</v>
      </c>
      <c r="N48" s="448">
        <f t="shared" si="3"/>
        <v>798454.51340000005</v>
      </c>
      <c r="O48" s="448">
        <f t="shared" si="4"/>
        <v>2193818.0536000002</v>
      </c>
      <c r="P48" s="448">
        <f t="shared" si="5"/>
        <v>21000</v>
      </c>
      <c r="Q48" s="448">
        <f t="shared" si="6"/>
        <v>33000</v>
      </c>
      <c r="R48" s="448">
        <f t="shared" si="7"/>
        <v>75000</v>
      </c>
      <c r="S48" s="448">
        <f t="shared" si="8"/>
        <v>95000</v>
      </c>
      <c r="T48" s="448">
        <f t="shared" si="9"/>
        <v>124701.791256</v>
      </c>
      <c r="U48" s="448"/>
      <c r="V48" s="448">
        <f t="shared" si="11"/>
        <v>348701.791256</v>
      </c>
      <c r="W48" s="455">
        <v>12</v>
      </c>
      <c r="X48" s="448">
        <f t="shared" si="12"/>
        <v>29058.4826046667</v>
      </c>
      <c r="Y48" s="451"/>
      <c r="Z48" s="448">
        <f t="shared" si="13"/>
        <v>29058.4826046667</v>
      </c>
      <c r="AA48" s="535">
        <v>29058.4826046667</v>
      </c>
      <c r="AB48" s="193">
        <f t="shared" si="36"/>
        <v>-4.0017766878008797E-11</v>
      </c>
      <c r="AC48" s="535"/>
      <c r="AD48" s="535"/>
      <c r="AE48" s="535"/>
    </row>
    <row r="49" spans="1:31" ht="18.75">
      <c r="A49" s="522">
        <v>44</v>
      </c>
      <c r="B49" s="10" t="s">
        <v>424</v>
      </c>
      <c r="C49" s="448">
        <v>249356.04725</v>
      </c>
      <c r="D49" s="447">
        <v>12</v>
      </c>
      <c r="E49" s="448">
        <f t="shared" si="35"/>
        <v>2992272.5669999998</v>
      </c>
      <c r="F49" s="448"/>
      <c r="G49" s="451"/>
      <c r="H49" s="451"/>
      <c r="I49" s="448">
        <f t="shared" si="0"/>
        <v>2992272.5669999998</v>
      </c>
      <c r="J49" s="448">
        <v>200000</v>
      </c>
      <c r="K49" s="448">
        <v>0.2</v>
      </c>
      <c r="L49" s="448">
        <f t="shared" si="1"/>
        <v>598454.51340000005</v>
      </c>
      <c r="M49" s="448">
        <f t="shared" si="2"/>
        <v>798454.51340000005</v>
      </c>
      <c r="N49" s="448">
        <f t="shared" si="3"/>
        <v>798454.51340000005</v>
      </c>
      <c r="O49" s="448">
        <f t="shared" si="4"/>
        <v>2193818.0536000002</v>
      </c>
      <c r="P49" s="448">
        <f t="shared" si="5"/>
        <v>21000</v>
      </c>
      <c r="Q49" s="448">
        <f t="shared" si="6"/>
        <v>33000</v>
      </c>
      <c r="R49" s="448">
        <f t="shared" si="7"/>
        <v>75000</v>
      </c>
      <c r="S49" s="448">
        <f t="shared" si="8"/>
        <v>95000</v>
      </c>
      <c r="T49" s="448">
        <f t="shared" si="9"/>
        <v>124701.791256</v>
      </c>
      <c r="U49" s="448"/>
      <c r="V49" s="448">
        <f t="shared" si="11"/>
        <v>348701.791256</v>
      </c>
      <c r="W49" s="455">
        <v>12</v>
      </c>
      <c r="X49" s="448">
        <v>28360.952862666702</v>
      </c>
      <c r="Y49" s="451"/>
      <c r="Z49" s="448">
        <f t="shared" si="13"/>
        <v>28360.952862666702</v>
      </c>
      <c r="AA49" s="193">
        <v>28360.952862666702</v>
      </c>
      <c r="AB49" s="193">
        <f t="shared" si="36"/>
        <v>0</v>
      </c>
      <c r="AC49" s="193"/>
      <c r="AD49" s="193"/>
      <c r="AE49" s="193"/>
    </row>
    <row r="50" spans="1:31" ht="18.75">
      <c r="A50" s="522">
        <v>45</v>
      </c>
      <c r="B50" s="10" t="s">
        <v>425</v>
      </c>
      <c r="C50" s="448">
        <v>249356.04725</v>
      </c>
      <c r="D50" s="447">
        <v>12</v>
      </c>
      <c r="E50" s="448">
        <f t="shared" si="35"/>
        <v>2992272.5669999998</v>
      </c>
      <c r="F50" s="448"/>
      <c r="G50" s="451"/>
      <c r="H50" s="451"/>
      <c r="I50" s="448">
        <f t="shared" si="0"/>
        <v>2992272.5669999998</v>
      </c>
      <c r="J50" s="448">
        <v>200000</v>
      </c>
      <c r="K50" s="448">
        <v>0.2</v>
      </c>
      <c r="L50" s="448">
        <f t="shared" si="1"/>
        <v>598454.51340000005</v>
      </c>
      <c r="M50" s="448">
        <f t="shared" si="2"/>
        <v>798454.51340000005</v>
      </c>
      <c r="N50" s="448">
        <f t="shared" si="3"/>
        <v>798454.51340000005</v>
      </c>
      <c r="O50" s="448">
        <f t="shared" si="4"/>
        <v>2193818.0536000002</v>
      </c>
      <c r="P50" s="448">
        <f t="shared" si="5"/>
        <v>21000</v>
      </c>
      <c r="Q50" s="448">
        <f t="shared" si="6"/>
        <v>33000</v>
      </c>
      <c r="R50" s="448">
        <f t="shared" si="7"/>
        <v>75000</v>
      </c>
      <c r="S50" s="448">
        <f t="shared" si="8"/>
        <v>95000</v>
      </c>
      <c r="T50" s="448">
        <f t="shared" si="9"/>
        <v>124701.791256</v>
      </c>
      <c r="U50" s="448"/>
      <c r="V50" s="448">
        <f t="shared" si="11"/>
        <v>348701.791256</v>
      </c>
      <c r="W50" s="455">
        <v>12</v>
      </c>
      <c r="X50" s="448">
        <f t="shared" si="12"/>
        <v>29058.4826046667</v>
      </c>
      <c r="Y50" s="451"/>
      <c r="Z50" s="448">
        <f t="shared" si="13"/>
        <v>29058.4826046667</v>
      </c>
      <c r="AA50" s="193">
        <v>29058.4826046667</v>
      </c>
      <c r="AB50" s="193">
        <f t="shared" si="36"/>
        <v>-4.0017766878008797E-11</v>
      </c>
      <c r="AC50" s="193"/>
      <c r="AD50" s="193"/>
      <c r="AE50" s="193"/>
    </row>
    <row r="51" spans="1:31" ht="18.75">
      <c r="A51" s="522"/>
      <c r="B51" s="21"/>
      <c r="C51" s="448"/>
      <c r="D51" s="447"/>
      <c r="E51" s="448"/>
      <c r="F51" s="448"/>
      <c r="G51" s="451"/>
      <c r="H51" s="451"/>
      <c r="I51" s="448"/>
      <c r="J51" s="448"/>
      <c r="K51" s="448"/>
      <c r="L51" s="448"/>
      <c r="M51" s="448"/>
      <c r="N51" s="448"/>
      <c r="O51" s="448"/>
      <c r="P51" s="448"/>
      <c r="Q51" s="448"/>
      <c r="R51" s="448"/>
      <c r="S51" s="448"/>
      <c r="T51" s="448"/>
      <c r="U51" s="448"/>
      <c r="V51" s="448"/>
      <c r="W51" s="455"/>
      <c r="X51" s="448"/>
      <c r="Y51" s="451"/>
      <c r="Z51" s="448"/>
      <c r="AA51" s="193"/>
      <c r="AB51" s="193"/>
      <c r="AC51" s="193"/>
      <c r="AD51" s="193"/>
      <c r="AE51" s="193"/>
    </row>
    <row r="52" spans="1:31" ht="18.75">
      <c r="A52" s="522"/>
      <c r="B52" s="19" t="s">
        <v>426</v>
      </c>
      <c r="C52" s="448"/>
      <c r="D52" s="447"/>
      <c r="E52" s="448"/>
      <c r="F52" s="448"/>
      <c r="G52" s="451"/>
      <c r="H52" s="451"/>
      <c r="I52" s="448"/>
      <c r="J52" s="448"/>
      <c r="K52" s="448"/>
      <c r="L52" s="448"/>
      <c r="M52" s="448"/>
      <c r="N52" s="448"/>
      <c r="O52" s="448"/>
      <c r="P52" s="448"/>
      <c r="Q52" s="448"/>
      <c r="R52" s="448"/>
      <c r="S52" s="448"/>
      <c r="T52" s="448"/>
      <c r="U52" s="448"/>
      <c r="V52" s="448"/>
      <c r="W52" s="455"/>
      <c r="X52" s="448"/>
      <c r="Y52" s="451"/>
      <c r="Z52" s="448"/>
      <c r="AA52" s="193"/>
      <c r="AB52" s="193"/>
      <c r="AC52" s="193"/>
      <c r="AD52" s="193"/>
      <c r="AE52" s="193"/>
    </row>
    <row r="53" spans="1:31" ht="18.75">
      <c r="A53" s="522">
        <v>47</v>
      </c>
      <c r="B53" s="10" t="s">
        <v>427</v>
      </c>
      <c r="C53" s="448">
        <v>1050209.0634999999</v>
      </c>
      <c r="D53" s="447">
        <v>12</v>
      </c>
      <c r="E53" s="448">
        <f>C53*D53</f>
        <v>12602508.762</v>
      </c>
      <c r="F53" s="448"/>
      <c r="G53" s="451"/>
      <c r="H53" s="451"/>
      <c r="I53" s="448">
        <f t="shared" si="0"/>
        <v>12602508.762</v>
      </c>
      <c r="J53" s="448">
        <v>200000</v>
      </c>
      <c r="K53" s="448">
        <v>0.2</v>
      </c>
      <c r="L53" s="448">
        <f t="shared" si="1"/>
        <v>2520501.7524000001</v>
      </c>
      <c r="M53" s="448">
        <f t="shared" si="2"/>
        <v>2720501.7524000001</v>
      </c>
      <c r="N53" s="448">
        <f t="shared" si="3"/>
        <v>2720501.7524000001</v>
      </c>
      <c r="O53" s="448">
        <f t="shared" si="4"/>
        <v>9882007.0096000005</v>
      </c>
      <c r="P53" s="448">
        <f t="shared" si="5"/>
        <v>21000</v>
      </c>
      <c r="Q53" s="448">
        <f t="shared" si="6"/>
        <v>33000</v>
      </c>
      <c r="R53" s="448">
        <f t="shared" si="7"/>
        <v>75000</v>
      </c>
      <c r="S53" s="448">
        <f t="shared" si="8"/>
        <v>95000</v>
      </c>
      <c r="T53" s="448">
        <f t="shared" si="9"/>
        <v>336000</v>
      </c>
      <c r="U53" s="448">
        <f t="shared" si="10"/>
        <v>1603681.682304</v>
      </c>
      <c r="V53" s="448">
        <f t="shared" si="11"/>
        <v>2163681.682304</v>
      </c>
      <c r="W53" s="455">
        <v>12</v>
      </c>
      <c r="X53" s="448">
        <f t="shared" si="12"/>
        <v>180306.806858667</v>
      </c>
      <c r="Y53" s="451"/>
      <c r="Z53" s="448">
        <f t="shared" si="13"/>
        <v>180306.806858667</v>
      </c>
      <c r="AA53" s="193">
        <v>180306.806858667</v>
      </c>
      <c r="AB53" s="193">
        <f>Z53-AA53</f>
        <v>-3.7834979593753799E-10</v>
      </c>
      <c r="AC53" s="193"/>
      <c r="AD53" s="193"/>
      <c r="AE53" s="193"/>
    </row>
    <row r="54" spans="1:31" ht="18.75">
      <c r="A54" s="522">
        <v>48</v>
      </c>
      <c r="B54" s="10" t="s">
        <v>429</v>
      </c>
      <c r="C54" s="448">
        <v>447553.5025</v>
      </c>
      <c r="D54" s="447">
        <v>12</v>
      </c>
      <c r="E54" s="448">
        <f>C54*D54</f>
        <v>5370642.0300000003</v>
      </c>
      <c r="F54" s="448"/>
      <c r="G54" s="451"/>
      <c r="H54" s="451"/>
      <c r="I54" s="448">
        <f t="shared" si="0"/>
        <v>5370642.0300000003</v>
      </c>
      <c r="J54" s="448">
        <v>200000</v>
      </c>
      <c r="K54" s="448">
        <v>0.2</v>
      </c>
      <c r="L54" s="448">
        <f t="shared" si="1"/>
        <v>1074128.406</v>
      </c>
      <c r="M54" s="448">
        <f t="shared" si="2"/>
        <v>1274128.406</v>
      </c>
      <c r="N54" s="448">
        <f t="shared" si="3"/>
        <v>1274128.406</v>
      </c>
      <c r="O54" s="448">
        <f t="shared" si="4"/>
        <v>4096513.6239999998</v>
      </c>
      <c r="P54" s="448">
        <f t="shared" si="5"/>
        <v>21000</v>
      </c>
      <c r="Q54" s="448">
        <f t="shared" si="6"/>
        <v>33000</v>
      </c>
      <c r="R54" s="448">
        <f t="shared" si="7"/>
        <v>75000</v>
      </c>
      <c r="S54" s="448">
        <f t="shared" si="8"/>
        <v>95000</v>
      </c>
      <c r="T54" s="448">
        <f t="shared" si="9"/>
        <v>336000</v>
      </c>
      <c r="U54" s="448">
        <f t="shared" si="10"/>
        <v>215163.26976</v>
      </c>
      <c r="V54" s="448">
        <f t="shared" si="11"/>
        <v>775163.26976000005</v>
      </c>
      <c r="W54" s="455">
        <v>12</v>
      </c>
      <c r="X54" s="448">
        <f t="shared" si="12"/>
        <v>64596.9391466667</v>
      </c>
      <c r="Y54" s="451"/>
      <c r="Z54" s="448">
        <f t="shared" si="13"/>
        <v>64596.9391466667</v>
      </c>
      <c r="AA54" s="193">
        <v>64596.9391466667</v>
      </c>
      <c r="AB54" s="193">
        <f>Z54-AA54</f>
        <v>0</v>
      </c>
      <c r="AC54" s="193"/>
      <c r="AD54" s="193"/>
      <c r="AE54" s="193"/>
    </row>
    <row r="55" spans="1:31" ht="18.75">
      <c r="A55" s="522"/>
      <c r="B55" s="19"/>
      <c r="C55" s="448"/>
      <c r="D55" s="447"/>
      <c r="E55" s="448"/>
      <c r="F55" s="448"/>
      <c r="G55" s="451"/>
      <c r="H55" s="451"/>
      <c r="I55" s="448"/>
      <c r="J55" s="448"/>
      <c r="K55" s="448"/>
      <c r="L55" s="448"/>
      <c r="M55" s="448"/>
      <c r="N55" s="448"/>
      <c r="O55" s="448"/>
      <c r="P55" s="448"/>
      <c r="Q55" s="448"/>
      <c r="R55" s="448"/>
      <c r="S55" s="448"/>
      <c r="T55" s="448"/>
      <c r="U55" s="448"/>
      <c r="V55" s="448"/>
      <c r="W55" s="455"/>
      <c r="X55" s="448"/>
      <c r="Y55" s="451"/>
      <c r="Z55" s="448"/>
      <c r="AA55" s="193"/>
      <c r="AB55" s="193"/>
      <c r="AC55" s="193"/>
      <c r="AD55" s="193"/>
      <c r="AE55" s="193"/>
    </row>
    <row r="56" spans="1:31" ht="37.5">
      <c r="A56" s="522">
        <v>49</v>
      </c>
      <c r="B56" s="19" t="s">
        <v>60</v>
      </c>
      <c r="C56" s="448"/>
      <c r="D56" s="447"/>
      <c r="E56" s="448"/>
      <c r="F56" s="448"/>
      <c r="G56" s="451"/>
      <c r="H56" s="451"/>
      <c r="I56" s="448"/>
      <c r="J56" s="448"/>
      <c r="K56" s="448"/>
      <c r="L56" s="448"/>
      <c r="M56" s="448"/>
      <c r="N56" s="448"/>
      <c r="O56" s="448"/>
      <c r="P56" s="448"/>
      <c r="Q56" s="448"/>
      <c r="R56" s="448"/>
      <c r="S56" s="448"/>
      <c r="T56" s="448"/>
      <c r="U56" s="448"/>
      <c r="V56" s="448"/>
      <c r="W56" s="455"/>
      <c r="X56" s="448"/>
      <c r="Y56" s="451"/>
      <c r="Z56" s="448"/>
      <c r="AA56" s="193"/>
      <c r="AB56" s="193"/>
      <c r="AC56" s="193"/>
      <c r="AD56" s="193"/>
      <c r="AE56" s="193"/>
    </row>
    <row r="57" spans="1:31" ht="18.75">
      <c r="A57" s="522">
        <v>50</v>
      </c>
      <c r="B57" s="10" t="s">
        <v>431</v>
      </c>
      <c r="C57" s="448">
        <v>1050209.0634999999</v>
      </c>
      <c r="D57" s="447">
        <v>12</v>
      </c>
      <c r="E57" s="448">
        <f>C57*D57</f>
        <v>12602508.762</v>
      </c>
      <c r="F57" s="448"/>
      <c r="G57" s="451"/>
      <c r="H57" s="451"/>
      <c r="I57" s="448">
        <f t="shared" si="0"/>
        <v>12602508.762</v>
      </c>
      <c r="J57" s="448">
        <v>200000</v>
      </c>
      <c r="K57" s="448">
        <v>0.2</v>
      </c>
      <c r="L57" s="448">
        <f t="shared" si="1"/>
        <v>2520501.7524000001</v>
      </c>
      <c r="M57" s="448">
        <f t="shared" si="2"/>
        <v>2720501.7524000001</v>
      </c>
      <c r="N57" s="448">
        <f t="shared" si="3"/>
        <v>2720501.7524000001</v>
      </c>
      <c r="O57" s="448">
        <f t="shared" si="4"/>
        <v>9882007.0096000005</v>
      </c>
      <c r="P57" s="448">
        <f t="shared" si="5"/>
        <v>21000</v>
      </c>
      <c r="Q57" s="448">
        <f t="shared" si="6"/>
        <v>33000</v>
      </c>
      <c r="R57" s="448">
        <f t="shared" si="7"/>
        <v>75000</v>
      </c>
      <c r="S57" s="448">
        <f t="shared" si="8"/>
        <v>95000</v>
      </c>
      <c r="T57" s="448">
        <f t="shared" si="9"/>
        <v>336000</v>
      </c>
      <c r="U57" s="448">
        <f t="shared" si="10"/>
        <v>1603681.682304</v>
      </c>
      <c r="V57" s="448">
        <f t="shared" si="11"/>
        <v>2163681.682304</v>
      </c>
      <c r="W57" s="455">
        <v>12</v>
      </c>
      <c r="X57" s="448">
        <f t="shared" si="12"/>
        <v>180306.806858667</v>
      </c>
      <c r="Y57" s="451"/>
      <c r="Z57" s="448">
        <f t="shared" si="13"/>
        <v>180306.806858667</v>
      </c>
      <c r="AA57" s="193">
        <v>180306.806858667</v>
      </c>
      <c r="AB57" s="193">
        <f>Z57-AA57</f>
        <v>-3.7834979593753799E-10</v>
      </c>
      <c r="AC57" s="193"/>
      <c r="AD57" s="193"/>
      <c r="AE57" s="193"/>
    </row>
    <row r="58" spans="1:31" s="518" customFormat="1" ht="31.5">
      <c r="A58" s="526">
        <v>51</v>
      </c>
      <c r="B58" s="330" t="s">
        <v>433</v>
      </c>
      <c r="C58" s="448">
        <v>516137.05</v>
      </c>
      <c r="D58" s="447">
        <v>12</v>
      </c>
      <c r="E58" s="448">
        <f t="shared" ref="E58:E66" si="37">C58*D58</f>
        <v>6193644.5999999996</v>
      </c>
      <c r="F58" s="448"/>
      <c r="G58" s="451"/>
      <c r="H58" s="451"/>
      <c r="I58" s="448">
        <f t="shared" si="0"/>
        <v>6193644.5999999996</v>
      </c>
      <c r="J58" s="448">
        <v>200000</v>
      </c>
      <c r="K58" s="448">
        <v>0.2</v>
      </c>
      <c r="L58" s="448">
        <f t="shared" si="1"/>
        <v>1238728.92</v>
      </c>
      <c r="M58" s="448">
        <f t="shared" si="2"/>
        <v>1438728.92</v>
      </c>
      <c r="N58" s="448">
        <f t="shared" si="3"/>
        <v>1438728.92</v>
      </c>
      <c r="O58" s="448">
        <f t="shared" si="4"/>
        <v>4754915.68</v>
      </c>
      <c r="P58" s="448">
        <f t="shared" si="5"/>
        <v>21000</v>
      </c>
      <c r="Q58" s="448">
        <f t="shared" si="6"/>
        <v>33000</v>
      </c>
      <c r="R58" s="448">
        <f t="shared" si="7"/>
        <v>75000</v>
      </c>
      <c r="S58" s="448">
        <f t="shared" si="8"/>
        <v>95000</v>
      </c>
      <c r="T58" s="448">
        <f t="shared" si="9"/>
        <v>336000</v>
      </c>
      <c r="U58" s="448">
        <f t="shared" si="10"/>
        <v>373179.76319999999</v>
      </c>
      <c r="V58" s="448">
        <f t="shared" si="11"/>
        <v>933179.76320000004</v>
      </c>
      <c r="W58" s="455">
        <v>12</v>
      </c>
      <c r="X58" s="448">
        <f t="shared" si="12"/>
        <v>77764.980266666695</v>
      </c>
      <c r="Y58" s="451"/>
      <c r="Z58" s="448">
        <f t="shared" si="13"/>
        <v>77764.980266666695</v>
      </c>
      <c r="AA58" s="535">
        <v>77764.980266666695</v>
      </c>
      <c r="AB58" s="193">
        <f t="shared" ref="AB58:AB66" si="38">Z58-AA58</f>
        <v>0</v>
      </c>
      <c r="AC58" s="535"/>
      <c r="AD58" s="535"/>
      <c r="AE58" s="535"/>
    </row>
    <row r="59" spans="1:31" ht="18.75">
      <c r="A59" s="522">
        <v>52</v>
      </c>
      <c r="B59" s="10" t="s">
        <v>436</v>
      </c>
      <c r="C59" s="448">
        <v>397211.36749999999</v>
      </c>
      <c r="D59" s="447">
        <v>12</v>
      </c>
      <c r="E59" s="448">
        <f t="shared" si="37"/>
        <v>4766536.41</v>
      </c>
      <c r="F59" s="448"/>
      <c r="G59" s="451"/>
      <c r="H59" s="451"/>
      <c r="I59" s="448">
        <f t="shared" si="0"/>
        <v>4766536.41</v>
      </c>
      <c r="J59" s="448">
        <v>200000</v>
      </c>
      <c r="K59" s="448">
        <v>0.2</v>
      </c>
      <c r="L59" s="448">
        <f t="shared" si="1"/>
        <v>953307.28200000001</v>
      </c>
      <c r="M59" s="448">
        <f t="shared" si="2"/>
        <v>1153307.2819999999</v>
      </c>
      <c r="N59" s="448">
        <f t="shared" si="3"/>
        <v>1153307.2819999999</v>
      </c>
      <c r="O59" s="448">
        <f t="shared" si="4"/>
        <v>3613229.128</v>
      </c>
      <c r="P59" s="448">
        <f t="shared" si="5"/>
        <v>21000</v>
      </c>
      <c r="Q59" s="448">
        <f t="shared" si="6"/>
        <v>33000</v>
      </c>
      <c r="R59" s="448">
        <f t="shared" si="7"/>
        <v>75000</v>
      </c>
      <c r="S59" s="448">
        <f t="shared" si="8"/>
        <v>95000</v>
      </c>
      <c r="T59" s="448">
        <f t="shared" si="9"/>
        <v>336000</v>
      </c>
      <c r="U59" s="448">
        <f t="shared" si="10"/>
        <v>99174.990720000002</v>
      </c>
      <c r="V59" s="448">
        <f t="shared" si="11"/>
        <v>659174.99072</v>
      </c>
      <c r="W59" s="455">
        <v>12</v>
      </c>
      <c r="X59" s="448">
        <f t="shared" si="12"/>
        <v>54931.249226666703</v>
      </c>
      <c r="Y59" s="451"/>
      <c r="Z59" s="448">
        <f t="shared" si="13"/>
        <v>54931.249226666703</v>
      </c>
      <c r="AA59" s="193">
        <v>54931.249226666703</v>
      </c>
      <c r="AB59" s="193">
        <f t="shared" si="38"/>
        <v>0</v>
      </c>
      <c r="AC59" s="193"/>
      <c r="AD59" s="193"/>
      <c r="AE59" s="193"/>
    </row>
    <row r="60" spans="1:31" ht="18.75">
      <c r="A60" s="522">
        <v>53</v>
      </c>
      <c r="B60" s="17" t="s">
        <v>437</v>
      </c>
      <c r="C60" s="448">
        <v>369177.65375</v>
      </c>
      <c r="D60" s="447">
        <v>12</v>
      </c>
      <c r="E60" s="448">
        <f t="shared" si="37"/>
        <v>4430131.8449999997</v>
      </c>
      <c r="F60" s="448"/>
      <c r="G60" s="451"/>
      <c r="H60" s="451"/>
      <c r="I60" s="448">
        <f t="shared" si="0"/>
        <v>4430131.8449999997</v>
      </c>
      <c r="J60" s="448">
        <v>200000</v>
      </c>
      <c r="K60" s="448">
        <v>0.2</v>
      </c>
      <c r="L60" s="448">
        <f t="shared" si="1"/>
        <v>886026.36899999995</v>
      </c>
      <c r="M60" s="448">
        <f t="shared" si="2"/>
        <v>1086026.3689999999</v>
      </c>
      <c r="N60" s="448">
        <f t="shared" si="3"/>
        <v>1086026.3689999999</v>
      </c>
      <c r="O60" s="448">
        <f t="shared" si="4"/>
        <v>3344105.4759999998</v>
      </c>
      <c r="P60" s="448">
        <f t="shared" si="5"/>
        <v>21000</v>
      </c>
      <c r="Q60" s="448">
        <f t="shared" si="6"/>
        <v>33000</v>
      </c>
      <c r="R60" s="448">
        <f t="shared" si="7"/>
        <v>75000</v>
      </c>
      <c r="S60" s="448">
        <f t="shared" si="8"/>
        <v>95000</v>
      </c>
      <c r="T60" s="448">
        <f t="shared" si="9"/>
        <v>336000</v>
      </c>
      <c r="U60" s="448">
        <f t="shared" si="10"/>
        <v>34585.314239999898</v>
      </c>
      <c r="V60" s="448">
        <f t="shared" si="11"/>
        <v>594585.31423999998</v>
      </c>
      <c r="W60" s="455">
        <v>12</v>
      </c>
      <c r="X60" s="448">
        <f t="shared" si="12"/>
        <v>49548.776186666699</v>
      </c>
      <c r="Y60" s="451"/>
      <c r="Z60" s="448">
        <f t="shared" si="13"/>
        <v>49548.776186666699</v>
      </c>
      <c r="AA60" s="193">
        <v>49548.776186666699</v>
      </c>
      <c r="AB60" s="193">
        <f t="shared" si="38"/>
        <v>0</v>
      </c>
      <c r="AC60" s="193"/>
      <c r="AD60" s="193"/>
      <c r="AE60" s="193"/>
    </row>
    <row r="61" spans="1:31" ht="18.75">
      <c r="A61" s="522">
        <v>54</v>
      </c>
      <c r="B61" s="13" t="s">
        <v>438</v>
      </c>
      <c r="C61" s="448">
        <v>421394.00675</v>
      </c>
      <c r="D61" s="447">
        <v>12</v>
      </c>
      <c r="E61" s="448">
        <f t="shared" si="37"/>
        <v>5056728.0810000002</v>
      </c>
      <c r="F61" s="448"/>
      <c r="G61" s="451"/>
      <c r="H61" s="451"/>
      <c r="I61" s="448">
        <f t="shared" si="0"/>
        <v>5056728.0810000002</v>
      </c>
      <c r="J61" s="448">
        <v>200000</v>
      </c>
      <c r="K61" s="448">
        <v>0.2</v>
      </c>
      <c r="L61" s="448">
        <f t="shared" si="1"/>
        <v>1011345.6162</v>
      </c>
      <c r="M61" s="448">
        <f t="shared" si="2"/>
        <v>1211345.6162</v>
      </c>
      <c r="N61" s="448">
        <f t="shared" si="3"/>
        <v>1211345.6162</v>
      </c>
      <c r="O61" s="448">
        <f t="shared" si="4"/>
        <v>3845382.4648000002</v>
      </c>
      <c r="P61" s="448">
        <f t="shared" si="5"/>
        <v>21000</v>
      </c>
      <c r="Q61" s="448">
        <f t="shared" si="6"/>
        <v>33000</v>
      </c>
      <c r="R61" s="448">
        <f t="shared" si="7"/>
        <v>75000</v>
      </c>
      <c r="S61" s="448">
        <f t="shared" si="8"/>
        <v>95000</v>
      </c>
      <c r="T61" s="448">
        <f t="shared" si="9"/>
        <v>336000</v>
      </c>
      <c r="U61" s="448">
        <f t="shared" si="10"/>
        <v>154891.79155200001</v>
      </c>
      <c r="V61" s="448">
        <f t="shared" si="11"/>
        <v>714891.79155199998</v>
      </c>
      <c r="W61" s="455">
        <v>12</v>
      </c>
      <c r="X61" s="448">
        <f t="shared" si="12"/>
        <v>59574.315962666697</v>
      </c>
      <c r="Y61" s="451"/>
      <c r="Z61" s="536">
        <f t="shared" si="13"/>
        <v>59574.315962666697</v>
      </c>
      <c r="AA61" s="537">
        <v>46666.666666666701</v>
      </c>
      <c r="AB61" s="537">
        <f t="shared" si="38"/>
        <v>12907.649296</v>
      </c>
      <c r="AC61" s="193"/>
      <c r="AD61" s="193"/>
      <c r="AE61" s="193"/>
    </row>
    <row r="62" spans="1:31" ht="37.5">
      <c r="A62" s="522">
        <v>55</v>
      </c>
      <c r="B62" s="10" t="s">
        <v>439</v>
      </c>
      <c r="C62" s="448">
        <v>322454.07400000002</v>
      </c>
      <c r="D62" s="447">
        <v>12</v>
      </c>
      <c r="E62" s="448">
        <f t="shared" si="37"/>
        <v>3869448.8879999998</v>
      </c>
      <c r="F62" s="448"/>
      <c r="G62" s="451"/>
      <c r="H62" s="451"/>
      <c r="I62" s="448">
        <f t="shared" si="0"/>
        <v>3869448.8879999998</v>
      </c>
      <c r="J62" s="448">
        <v>200000</v>
      </c>
      <c r="K62" s="448">
        <v>0.2</v>
      </c>
      <c r="L62" s="448">
        <f t="shared" si="1"/>
        <v>773889.77760000003</v>
      </c>
      <c r="M62" s="448">
        <f t="shared" si="2"/>
        <v>973889.77760000003</v>
      </c>
      <c r="N62" s="448">
        <f t="shared" si="3"/>
        <v>973889.77760000003</v>
      </c>
      <c r="O62" s="448">
        <f t="shared" si="4"/>
        <v>2895559.1104000001</v>
      </c>
      <c r="P62" s="448">
        <f t="shared" si="5"/>
        <v>21000</v>
      </c>
      <c r="Q62" s="448">
        <f t="shared" si="6"/>
        <v>33000</v>
      </c>
      <c r="R62" s="448">
        <f t="shared" si="7"/>
        <v>75000</v>
      </c>
      <c r="S62" s="448">
        <f t="shared" si="8"/>
        <v>95000</v>
      </c>
      <c r="T62" s="448">
        <f t="shared" si="9"/>
        <v>272067.413184</v>
      </c>
      <c r="U62" s="448"/>
      <c r="V62" s="448">
        <f t="shared" si="11"/>
        <v>496067.413184</v>
      </c>
      <c r="W62" s="455">
        <v>12</v>
      </c>
      <c r="X62" s="448">
        <f t="shared" si="12"/>
        <v>41338.951098666701</v>
      </c>
      <c r="Y62" s="451"/>
      <c r="Z62" s="448">
        <f t="shared" si="13"/>
        <v>41338.951098666701</v>
      </c>
      <c r="AA62" s="193">
        <v>41338.951098666701</v>
      </c>
      <c r="AB62" s="193">
        <f t="shared" si="38"/>
        <v>0</v>
      </c>
      <c r="AC62" s="193"/>
      <c r="AD62" s="193"/>
      <c r="AE62" s="193"/>
    </row>
    <row r="63" spans="1:31" ht="18.75">
      <c r="A63" s="522">
        <v>56</v>
      </c>
      <c r="B63" s="10" t="s">
        <v>441</v>
      </c>
      <c r="C63" s="448">
        <v>322454.07400000002</v>
      </c>
      <c r="D63" s="447">
        <v>12</v>
      </c>
      <c r="E63" s="448">
        <f t="shared" si="37"/>
        <v>3869448.8879999998</v>
      </c>
      <c r="F63" s="448"/>
      <c r="G63" s="451"/>
      <c r="H63" s="451"/>
      <c r="I63" s="448">
        <f t="shared" si="0"/>
        <v>3869448.8879999998</v>
      </c>
      <c r="J63" s="448">
        <v>200000</v>
      </c>
      <c r="K63" s="448">
        <v>0.2</v>
      </c>
      <c r="L63" s="448">
        <f t="shared" si="1"/>
        <v>773889.77760000003</v>
      </c>
      <c r="M63" s="448">
        <f t="shared" si="2"/>
        <v>973889.77760000003</v>
      </c>
      <c r="N63" s="448">
        <f t="shared" si="3"/>
        <v>973889.77760000003</v>
      </c>
      <c r="O63" s="448">
        <f t="shared" si="4"/>
        <v>2895559.1104000001</v>
      </c>
      <c r="P63" s="448">
        <f t="shared" si="5"/>
        <v>21000</v>
      </c>
      <c r="Q63" s="448">
        <f t="shared" si="6"/>
        <v>33000</v>
      </c>
      <c r="R63" s="448">
        <f t="shared" si="7"/>
        <v>75000</v>
      </c>
      <c r="S63" s="448">
        <f t="shared" si="8"/>
        <v>95000</v>
      </c>
      <c r="T63" s="448">
        <f t="shared" si="9"/>
        <v>272067.413184</v>
      </c>
      <c r="U63" s="448"/>
      <c r="V63" s="448">
        <f t="shared" si="11"/>
        <v>496067.413184</v>
      </c>
      <c r="W63" s="455">
        <v>12</v>
      </c>
      <c r="X63" s="448">
        <f t="shared" si="12"/>
        <v>41338.951098666701</v>
      </c>
      <c r="Y63" s="451"/>
      <c r="Z63" s="448">
        <f t="shared" si="13"/>
        <v>41338.951098666701</v>
      </c>
      <c r="AA63" s="193">
        <v>41338.951098666701</v>
      </c>
      <c r="AB63" s="193">
        <f t="shared" si="38"/>
        <v>0</v>
      </c>
      <c r="AC63" s="193"/>
      <c r="AD63" s="193"/>
      <c r="AE63" s="193"/>
    </row>
    <row r="64" spans="1:31" ht="18.75">
      <c r="A64" s="522">
        <v>57</v>
      </c>
      <c r="B64" s="10" t="s">
        <v>442</v>
      </c>
      <c r="C64" s="448">
        <v>322454.07400000002</v>
      </c>
      <c r="D64" s="447">
        <v>12</v>
      </c>
      <c r="E64" s="448">
        <f t="shared" si="37"/>
        <v>3869448.8879999998</v>
      </c>
      <c r="F64" s="448"/>
      <c r="G64" s="451"/>
      <c r="H64" s="451"/>
      <c r="I64" s="448">
        <f t="shared" si="0"/>
        <v>3869448.8879999998</v>
      </c>
      <c r="J64" s="448">
        <v>200000</v>
      </c>
      <c r="K64" s="448">
        <v>0.2</v>
      </c>
      <c r="L64" s="448">
        <f t="shared" si="1"/>
        <v>773889.77760000003</v>
      </c>
      <c r="M64" s="448">
        <f t="shared" si="2"/>
        <v>973889.77760000003</v>
      </c>
      <c r="N64" s="448">
        <f t="shared" si="3"/>
        <v>973889.77760000003</v>
      </c>
      <c r="O64" s="448">
        <f t="shared" si="4"/>
        <v>2895559.1104000001</v>
      </c>
      <c r="P64" s="448">
        <f t="shared" si="5"/>
        <v>21000</v>
      </c>
      <c r="Q64" s="448">
        <f t="shared" si="6"/>
        <v>33000</v>
      </c>
      <c r="R64" s="448">
        <f t="shared" si="7"/>
        <v>75000</v>
      </c>
      <c r="S64" s="448">
        <f t="shared" si="8"/>
        <v>95000</v>
      </c>
      <c r="T64" s="448">
        <f t="shared" si="9"/>
        <v>272067.413184</v>
      </c>
      <c r="U64" s="448"/>
      <c r="V64" s="448">
        <f t="shared" si="11"/>
        <v>496067.413184</v>
      </c>
      <c r="W64" s="455">
        <v>12</v>
      </c>
      <c r="X64" s="448">
        <f t="shared" si="12"/>
        <v>41338.951098666701</v>
      </c>
      <c r="Y64" s="451"/>
      <c r="Z64" s="448">
        <f t="shared" si="13"/>
        <v>41338.951098666701</v>
      </c>
      <c r="AA64" s="193">
        <v>41338.951098666701</v>
      </c>
      <c r="AB64" s="193">
        <f t="shared" si="38"/>
        <v>0</v>
      </c>
      <c r="AC64" s="193"/>
      <c r="AD64" s="193"/>
      <c r="AE64" s="193"/>
    </row>
    <row r="65" spans="1:31" ht="18.75">
      <c r="A65" s="522">
        <v>58</v>
      </c>
      <c r="B65" s="10" t="s">
        <v>443</v>
      </c>
      <c r="C65" s="448">
        <v>334536.99849999999</v>
      </c>
      <c r="D65" s="447">
        <v>12</v>
      </c>
      <c r="E65" s="448">
        <f t="shared" si="37"/>
        <v>4014443.9819999998</v>
      </c>
      <c r="F65" s="448"/>
      <c r="G65" s="451"/>
      <c r="H65" s="451"/>
      <c r="I65" s="448">
        <f t="shared" si="0"/>
        <v>4014443.9819999998</v>
      </c>
      <c r="J65" s="448">
        <v>200000</v>
      </c>
      <c r="K65" s="448">
        <v>0.2</v>
      </c>
      <c r="L65" s="448">
        <f t="shared" si="1"/>
        <v>802888.79639999999</v>
      </c>
      <c r="M65" s="448">
        <f t="shared" si="2"/>
        <v>1002888.7964</v>
      </c>
      <c r="N65" s="448">
        <f t="shared" si="3"/>
        <v>1002888.7964</v>
      </c>
      <c r="O65" s="448">
        <f t="shared" si="4"/>
        <v>3011555.1856</v>
      </c>
      <c r="P65" s="448">
        <f t="shared" si="5"/>
        <v>21000</v>
      </c>
      <c r="Q65" s="448">
        <f t="shared" si="6"/>
        <v>33000</v>
      </c>
      <c r="R65" s="448">
        <f t="shared" si="7"/>
        <v>75000</v>
      </c>
      <c r="S65" s="448">
        <f t="shared" si="8"/>
        <v>95000</v>
      </c>
      <c r="T65" s="448">
        <f t="shared" si="9"/>
        <v>296426.58897600003</v>
      </c>
      <c r="U65" s="448"/>
      <c r="V65" s="448">
        <f t="shared" si="11"/>
        <v>520426.58897600003</v>
      </c>
      <c r="W65" s="455">
        <v>12</v>
      </c>
      <c r="X65" s="448">
        <f t="shared" si="12"/>
        <v>43368.882414666703</v>
      </c>
      <c r="Y65" s="451"/>
      <c r="Z65" s="448">
        <f t="shared" si="13"/>
        <v>43368.882414666703</v>
      </c>
      <c r="AA65" s="193">
        <v>43368.882414666703</v>
      </c>
      <c r="AB65" s="193">
        <f t="shared" si="38"/>
        <v>0</v>
      </c>
      <c r="AC65" s="193"/>
      <c r="AD65" s="193"/>
      <c r="AE65" s="193"/>
    </row>
    <row r="66" spans="1:31" ht="18.75">
      <c r="A66" s="522">
        <v>59</v>
      </c>
      <c r="B66" s="10" t="s">
        <v>445</v>
      </c>
      <c r="C66" s="448">
        <v>277734.04700000002</v>
      </c>
      <c r="D66" s="447">
        <v>12</v>
      </c>
      <c r="E66" s="448">
        <f t="shared" si="37"/>
        <v>3332808.5639999998</v>
      </c>
      <c r="F66" s="448"/>
      <c r="G66" s="451"/>
      <c r="H66" s="451"/>
      <c r="I66" s="448">
        <f t="shared" si="0"/>
        <v>3332808.5639999998</v>
      </c>
      <c r="J66" s="448">
        <v>200000</v>
      </c>
      <c r="K66" s="448">
        <v>0.2</v>
      </c>
      <c r="L66" s="448">
        <f t="shared" si="1"/>
        <v>666561.71279999998</v>
      </c>
      <c r="M66" s="448">
        <f t="shared" si="2"/>
        <v>866561.71279999998</v>
      </c>
      <c r="N66" s="448">
        <f t="shared" si="3"/>
        <v>866561.71279999998</v>
      </c>
      <c r="O66" s="448">
        <f t="shared" si="4"/>
        <v>2466246.8511999999</v>
      </c>
      <c r="P66" s="448">
        <f t="shared" si="5"/>
        <v>21000</v>
      </c>
      <c r="Q66" s="448">
        <f t="shared" si="6"/>
        <v>33000</v>
      </c>
      <c r="R66" s="448">
        <f t="shared" si="7"/>
        <v>75000</v>
      </c>
      <c r="S66" s="448">
        <f t="shared" si="8"/>
        <v>95000</v>
      </c>
      <c r="T66" s="448">
        <f t="shared" si="9"/>
        <v>181911.83875200001</v>
      </c>
      <c r="U66" s="448"/>
      <c r="V66" s="448">
        <f t="shared" si="11"/>
        <v>405911.83875200001</v>
      </c>
      <c r="W66" s="455">
        <v>12</v>
      </c>
      <c r="X66" s="448">
        <f t="shared" si="12"/>
        <v>33825.986562666702</v>
      </c>
      <c r="Y66" s="451"/>
      <c r="Z66" s="448">
        <f t="shared" si="13"/>
        <v>33825.986562666702</v>
      </c>
      <c r="AA66" s="193">
        <v>33825.986562666702</v>
      </c>
      <c r="AB66" s="193">
        <f t="shared" si="38"/>
        <v>0</v>
      </c>
      <c r="AC66" s="193"/>
      <c r="AD66" s="193"/>
      <c r="AE66" s="193"/>
    </row>
    <row r="67" spans="1:31" ht="18.75">
      <c r="A67" s="522">
        <v>60</v>
      </c>
      <c r="B67" s="19"/>
      <c r="C67" s="448"/>
      <c r="D67" s="447"/>
      <c r="E67" s="448"/>
      <c r="F67" s="448"/>
      <c r="G67" s="451"/>
      <c r="H67" s="451"/>
      <c r="I67" s="448"/>
      <c r="J67" s="448"/>
      <c r="K67" s="448"/>
      <c r="L67" s="448"/>
      <c r="M67" s="448"/>
      <c r="N67" s="448"/>
      <c r="O67" s="448"/>
      <c r="P67" s="448"/>
      <c r="Q67" s="448"/>
      <c r="R67" s="448"/>
      <c r="S67" s="448"/>
      <c r="T67" s="448"/>
      <c r="U67" s="448"/>
      <c r="V67" s="448"/>
      <c r="W67" s="455"/>
      <c r="X67" s="448"/>
      <c r="Y67" s="451"/>
      <c r="Z67" s="448"/>
      <c r="AA67" s="193"/>
      <c r="AB67" s="193"/>
      <c r="AC67" s="193"/>
      <c r="AD67" s="193"/>
      <c r="AE67" s="193"/>
    </row>
    <row r="68" spans="1:31" ht="18.75">
      <c r="A68" s="522">
        <v>61</v>
      </c>
      <c r="B68" s="21"/>
      <c r="C68" s="448"/>
      <c r="D68" s="447"/>
      <c r="E68" s="448"/>
      <c r="F68" s="448"/>
      <c r="G68" s="451"/>
      <c r="H68" s="451"/>
      <c r="I68" s="448"/>
      <c r="J68" s="448"/>
      <c r="K68" s="448"/>
      <c r="L68" s="448"/>
      <c r="M68" s="448"/>
      <c r="N68" s="448"/>
      <c r="O68" s="448"/>
      <c r="P68" s="448"/>
      <c r="Q68" s="448"/>
      <c r="R68" s="448"/>
      <c r="S68" s="448"/>
      <c r="T68" s="448"/>
      <c r="U68" s="448"/>
      <c r="V68" s="448"/>
      <c r="W68" s="455"/>
      <c r="X68" s="448"/>
      <c r="Y68" s="451"/>
      <c r="Z68" s="448"/>
      <c r="AA68" s="193"/>
      <c r="AB68" s="193"/>
      <c r="AC68" s="193"/>
      <c r="AD68" s="193"/>
      <c r="AE68" s="193"/>
    </row>
    <row r="69" spans="1:31" ht="18.75">
      <c r="A69" s="522"/>
      <c r="B69" s="19" t="s">
        <v>65</v>
      </c>
      <c r="C69" s="448"/>
      <c r="D69" s="447"/>
      <c r="E69" s="448"/>
      <c r="F69" s="448"/>
      <c r="G69" s="451"/>
      <c r="H69" s="451"/>
      <c r="I69" s="448"/>
      <c r="J69" s="448"/>
      <c r="K69" s="448"/>
      <c r="L69" s="448"/>
      <c r="M69" s="448"/>
      <c r="N69" s="448"/>
      <c r="O69" s="448"/>
      <c r="P69" s="448"/>
      <c r="Q69" s="448"/>
      <c r="R69" s="448"/>
      <c r="S69" s="448"/>
      <c r="T69" s="448"/>
      <c r="U69" s="448"/>
      <c r="V69" s="448"/>
      <c r="W69" s="455"/>
      <c r="X69" s="448"/>
      <c r="Y69" s="451"/>
      <c r="Z69" s="448"/>
      <c r="AA69" s="193"/>
      <c r="AB69" s="193"/>
      <c r="AC69" s="193"/>
      <c r="AD69" s="193"/>
      <c r="AE69" s="193"/>
    </row>
    <row r="70" spans="1:31" ht="18.75">
      <c r="A70" s="522"/>
      <c r="B70" s="10" t="s">
        <v>446</v>
      </c>
      <c r="C70" s="448">
        <v>1050209.0634999999</v>
      </c>
      <c r="D70" s="447">
        <v>12</v>
      </c>
      <c r="E70" s="448">
        <f>C70*D70</f>
        <v>12602508.762</v>
      </c>
      <c r="F70" s="448"/>
      <c r="G70" s="451"/>
      <c r="H70" s="451"/>
      <c r="I70" s="448">
        <f t="shared" ref="I70" si="39">E70-F70-G70-H70</f>
        <v>12602508.762</v>
      </c>
      <c r="J70" s="448">
        <v>200000</v>
      </c>
      <c r="K70" s="448">
        <v>0.2</v>
      </c>
      <c r="L70" s="448">
        <f t="shared" ref="L70" si="40">I70*K70</f>
        <v>2520501.7524000001</v>
      </c>
      <c r="M70" s="448">
        <f t="shared" ref="M70" si="41">J70+L70</f>
        <v>2720501.7524000001</v>
      </c>
      <c r="N70" s="448">
        <f t="shared" ref="N70" si="42">F70+G70+H70+M70</f>
        <v>2720501.7524000001</v>
      </c>
      <c r="O70" s="448">
        <f t="shared" ref="O70" si="43">E70-N70</f>
        <v>9882007.0096000005</v>
      </c>
      <c r="P70" s="448">
        <f t="shared" ref="P70" si="44">IF(O70&lt;300000,0.07*O70,21000)</f>
        <v>21000</v>
      </c>
      <c r="Q70" s="448">
        <f t="shared" ref="Q70" si="45">IF((O70-300000)&lt;0,0,IF((O70-300000)&lt;300000,0.11*(O70-300000),33000))</f>
        <v>33000</v>
      </c>
      <c r="R70" s="448">
        <f t="shared" ref="R70" si="46">IF((O70-600000)&lt;0,0,IF((O70-600000)&lt;500000,0.15*(O70-600000),75000))</f>
        <v>75000</v>
      </c>
      <c r="S70" s="448">
        <f t="shared" ref="S70" si="47">IF((O70-1100000)&lt;0,0,IF((O70-1100000)&lt;500000,0.19*(O70-1100000),95000))</f>
        <v>95000</v>
      </c>
      <c r="T70" s="448">
        <f t="shared" ref="T70" si="48">IF((O70-1600000)&lt;0,0,IF((O70-1600000)&lt;1600000,0.21*(O70-1600000),336000))</f>
        <v>336000</v>
      </c>
      <c r="U70" s="448">
        <f t="shared" ref="U70" si="49">24%*(O70-3200000)</f>
        <v>1603681.682304</v>
      </c>
      <c r="V70" s="448">
        <f t="shared" ref="V70" si="50">P70+Q70+R70+S70+T70+U70</f>
        <v>2163681.682304</v>
      </c>
      <c r="W70" s="455">
        <v>12</v>
      </c>
      <c r="X70" s="448">
        <f t="shared" ref="X70" si="51">V70/W70</f>
        <v>180306.806858667</v>
      </c>
      <c r="Y70" s="451"/>
      <c r="Z70" s="448">
        <f t="shared" ref="Z70" si="52">X70</f>
        <v>180306.806858667</v>
      </c>
      <c r="AA70" s="193">
        <v>180306.806858667</v>
      </c>
      <c r="AB70" s="193">
        <f>Z70-AA70</f>
        <v>-3.7834979593753799E-10</v>
      </c>
      <c r="AC70" s="193"/>
      <c r="AD70" s="193"/>
      <c r="AE70" s="193"/>
    </row>
    <row r="71" spans="1:31" ht="18.75">
      <c r="A71" s="522">
        <v>62</v>
      </c>
      <c r="B71" s="13" t="s">
        <v>331</v>
      </c>
      <c r="C71" s="448">
        <v>516137.05</v>
      </c>
      <c r="D71" s="447">
        <v>12</v>
      </c>
      <c r="E71" s="448">
        <f t="shared" ref="E71:E76" si="53">C71*D71</f>
        <v>6193644.5999999996</v>
      </c>
      <c r="F71" s="448"/>
      <c r="G71" s="451"/>
      <c r="H71" s="451"/>
      <c r="I71" s="448">
        <f t="shared" si="0"/>
        <v>6193644.5999999996</v>
      </c>
      <c r="J71" s="448">
        <v>200000</v>
      </c>
      <c r="K71" s="448">
        <v>0.2</v>
      </c>
      <c r="L71" s="448">
        <f t="shared" si="1"/>
        <v>1238728.92</v>
      </c>
      <c r="M71" s="448">
        <f t="shared" si="2"/>
        <v>1438728.92</v>
      </c>
      <c r="N71" s="448">
        <f t="shared" si="3"/>
        <v>1438728.92</v>
      </c>
      <c r="O71" s="448">
        <f t="shared" si="4"/>
        <v>4754915.68</v>
      </c>
      <c r="P71" s="448">
        <f t="shared" si="5"/>
        <v>21000</v>
      </c>
      <c r="Q71" s="448">
        <f t="shared" si="6"/>
        <v>33000</v>
      </c>
      <c r="R71" s="448">
        <f t="shared" si="7"/>
        <v>75000</v>
      </c>
      <c r="S71" s="448">
        <f t="shared" si="8"/>
        <v>95000</v>
      </c>
      <c r="T71" s="448">
        <f t="shared" si="9"/>
        <v>336000</v>
      </c>
      <c r="U71" s="448">
        <f t="shared" si="10"/>
        <v>373179.76319999999</v>
      </c>
      <c r="V71" s="448">
        <f t="shared" si="11"/>
        <v>933179.76320000004</v>
      </c>
      <c r="W71" s="455">
        <v>12</v>
      </c>
      <c r="X71" s="448">
        <f t="shared" si="12"/>
        <v>77764.980266666695</v>
      </c>
      <c r="Y71" s="451"/>
      <c r="Z71" s="448">
        <f t="shared" si="13"/>
        <v>77764.980266666695</v>
      </c>
      <c r="AA71" s="193">
        <v>77764.980266666695</v>
      </c>
      <c r="AB71" s="193">
        <f t="shared" ref="AB71:AB76" si="54">Z71-AA71</f>
        <v>0</v>
      </c>
      <c r="AC71" s="193"/>
      <c r="AD71" s="193"/>
      <c r="AE71" s="193"/>
    </row>
    <row r="72" spans="1:31" ht="37.5">
      <c r="A72" s="522">
        <v>63</v>
      </c>
      <c r="B72" s="17" t="s">
        <v>333</v>
      </c>
      <c r="C72" s="448">
        <v>447553.5025</v>
      </c>
      <c r="D72" s="447">
        <v>12</v>
      </c>
      <c r="E72" s="448">
        <f t="shared" si="53"/>
        <v>5370642.0300000003</v>
      </c>
      <c r="F72" s="448"/>
      <c r="G72" s="451"/>
      <c r="H72" s="451"/>
      <c r="I72" s="448">
        <f t="shared" si="0"/>
        <v>5370642.0300000003</v>
      </c>
      <c r="J72" s="448">
        <v>200000</v>
      </c>
      <c r="K72" s="448">
        <v>0.2</v>
      </c>
      <c r="L72" s="448">
        <f t="shared" si="1"/>
        <v>1074128.406</v>
      </c>
      <c r="M72" s="448">
        <f t="shared" si="2"/>
        <v>1274128.406</v>
      </c>
      <c r="N72" s="448">
        <f t="shared" si="3"/>
        <v>1274128.406</v>
      </c>
      <c r="O72" s="448">
        <f t="shared" si="4"/>
        <v>4096513.6239999998</v>
      </c>
      <c r="P72" s="448">
        <f t="shared" si="5"/>
        <v>21000</v>
      </c>
      <c r="Q72" s="448">
        <f t="shared" si="6"/>
        <v>33000</v>
      </c>
      <c r="R72" s="448">
        <f t="shared" si="7"/>
        <v>75000</v>
      </c>
      <c r="S72" s="448">
        <f t="shared" si="8"/>
        <v>95000</v>
      </c>
      <c r="T72" s="448">
        <f t="shared" si="9"/>
        <v>336000</v>
      </c>
      <c r="U72" s="448">
        <f t="shared" si="10"/>
        <v>215163.26976</v>
      </c>
      <c r="V72" s="448">
        <f t="shared" si="11"/>
        <v>775163.26976000005</v>
      </c>
      <c r="W72" s="455">
        <v>12</v>
      </c>
      <c r="X72" s="448">
        <f t="shared" si="12"/>
        <v>64596.9391466667</v>
      </c>
      <c r="Y72" s="451"/>
      <c r="Z72" s="448">
        <f t="shared" si="13"/>
        <v>64596.9391466667</v>
      </c>
      <c r="AA72" s="193">
        <v>64596.9391466667</v>
      </c>
      <c r="AB72" s="193">
        <f t="shared" si="54"/>
        <v>0</v>
      </c>
      <c r="AC72" s="193"/>
      <c r="AD72" s="193"/>
      <c r="AE72" s="193"/>
    </row>
    <row r="73" spans="1:31" ht="18.75">
      <c r="A73" s="522">
        <v>64</v>
      </c>
      <c r="B73" s="10" t="s">
        <v>448</v>
      </c>
      <c r="C73" s="448">
        <v>405272.06374999997</v>
      </c>
      <c r="D73" s="447">
        <v>12</v>
      </c>
      <c r="E73" s="448">
        <f t="shared" si="53"/>
        <v>4863264.7649999997</v>
      </c>
      <c r="F73" s="448">
        <f>'[8]JANUARY 2024'!$V$78*12</f>
        <v>8019.7950000000001</v>
      </c>
      <c r="G73" s="451"/>
      <c r="H73" s="451"/>
      <c r="I73" s="448">
        <f t="shared" si="0"/>
        <v>4855244.97</v>
      </c>
      <c r="J73" s="448">
        <v>200000</v>
      </c>
      <c r="K73" s="448">
        <v>0.2</v>
      </c>
      <c r="L73" s="448">
        <f t="shared" si="1"/>
        <v>971048.99399999995</v>
      </c>
      <c r="M73" s="448">
        <f t="shared" si="2"/>
        <v>1171048.9939999999</v>
      </c>
      <c r="N73" s="448">
        <f t="shared" si="3"/>
        <v>1179068.7890000001</v>
      </c>
      <c r="O73" s="448">
        <f t="shared" si="4"/>
        <v>3684195.9759999998</v>
      </c>
      <c r="P73" s="448">
        <f t="shared" si="5"/>
        <v>21000</v>
      </c>
      <c r="Q73" s="448">
        <f t="shared" si="6"/>
        <v>33000</v>
      </c>
      <c r="R73" s="448">
        <f t="shared" si="7"/>
        <v>75000</v>
      </c>
      <c r="S73" s="448">
        <f t="shared" si="8"/>
        <v>95000</v>
      </c>
      <c r="T73" s="448">
        <f t="shared" si="9"/>
        <v>336000</v>
      </c>
      <c r="U73" s="448">
        <f t="shared" si="10"/>
        <v>116207.03423999999</v>
      </c>
      <c r="V73" s="448">
        <f t="shared" si="11"/>
        <v>676207.03423999995</v>
      </c>
      <c r="W73" s="455">
        <v>12</v>
      </c>
      <c r="X73" s="448">
        <f t="shared" si="12"/>
        <v>56350.586186666696</v>
      </c>
      <c r="Y73" s="451"/>
      <c r="Z73" s="448">
        <f t="shared" si="13"/>
        <v>56350.586186666696</v>
      </c>
      <c r="AA73" s="193">
        <v>56350.586186666696</v>
      </c>
      <c r="AB73" s="193">
        <f t="shared" si="54"/>
        <v>0</v>
      </c>
      <c r="AC73" s="193"/>
      <c r="AD73" s="193"/>
      <c r="AE73" s="193"/>
    </row>
    <row r="74" spans="1:31" s="518" customFormat="1" ht="18.75">
      <c r="A74" s="526">
        <v>65</v>
      </c>
      <c r="B74" s="10" t="s">
        <v>451</v>
      </c>
      <c r="C74" s="448">
        <v>273169.11749999999</v>
      </c>
      <c r="D74" s="447">
        <v>12</v>
      </c>
      <c r="E74" s="448">
        <f t="shared" si="53"/>
        <v>3278029.41</v>
      </c>
      <c r="F74" s="448"/>
      <c r="G74" s="451"/>
      <c r="H74" s="451"/>
      <c r="I74" s="448">
        <f t="shared" si="0"/>
        <v>3278029.41</v>
      </c>
      <c r="J74" s="448">
        <v>200000</v>
      </c>
      <c r="K74" s="448">
        <v>0.2</v>
      </c>
      <c r="L74" s="448">
        <f t="shared" si="1"/>
        <v>655605.88199999998</v>
      </c>
      <c r="M74" s="448">
        <f t="shared" si="2"/>
        <v>855605.88199999998</v>
      </c>
      <c r="N74" s="448">
        <f t="shared" si="3"/>
        <v>855605.88199999998</v>
      </c>
      <c r="O74" s="448">
        <f t="shared" si="4"/>
        <v>2422423.5279999999</v>
      </c>
      <c r="P74" s="448">
        <f t="shared" si="5"/>
        <v>21000</v>
      </c>
      <c r="Q74" s="448">
        <f t="shared" si="6"/>
        <v>33000</v>
      </c>
      <c r="R74" s="448">
        <f t="shared" si="7"/>
        <v>75000</v>
      </c>
      <c r="S74" s="448">
        <f t="shared" si="8"/>
        <v>95000</v>
      </c>
      <c r="T74" s="448">
        <f t="shared" si="9"/>
        <v>172708.94088000001</v>
      </c>
      <c r="U74" s="448"/>
      <c r="V74" s="448">
        <f t="shared" si="11"/>
        <v>396708.94088000001</v>
      </c>
      <c r="W74" s="455">
        <v>12</v>
      </c>
      <c r="X74" s="448">
        <f t="shared" si="12"/>
        <v>33059.078406666697</v>
      </c>
      <c r="Y74" s="451"/>
      <c r="Z74" s="530">
        <f t="shared" si="13"/>
        <v>33059.078406666697</v>
      </c>
      <c r="AA74" s="537">
        <v>17507.548966666702</v>
      </c>
      <c r="AB74" s="537">
        <f t="shared" si="54"/>
        <v>15551.52944</v>
      </c>
      <c r="AC74" s="535"/>
      <c r="AD74" s="535"/>
      <c r="AE74" s="535"/>
    </row>
    <row r="75" spans="1:31" ht="37.5">
      <c r="A75" s="522"/>
      <c r="B75" s="10" t="s">
        <v>454</v>
      </c>
      <c r="C75" s="448">
        <v>249356.04725</v>
      </c>
      <c r="D75" s="447">
        <v>12</v>
      </c>
      <c r="E75" s="448">
        <f t="shared" si="53"/>
        <v>2992272.5669999998</v>
      </c>
      <c r="F75" s="448"/>
      <c r="G75" s="451"/>
      <c r="H75" s="451"/>
      <c r="I75" s="448">
        <f t="shared" si="0"/>
        <v>2992272.5669999998</v>
      </c>
      <c r="J75" s="448">
        <v>200000</v>
      </c>
      <c r="K75" s="448">
        <v>0.2</v>
      </c>
      <c r="L75" s="448">
        <f t="shared" si="1"/>
        <v>598454.51340000005</v>
      </c>
      <c r="M75" s="448">
        <f t="shared" si="2"/>
        <v>798454.51340000005</v>
      </c>
      <c r="N75" s="448">
        <f t="shared" si="3"/>
        <v>798454.51340000005</v>
      </c>
      <c r="O75" s="448">
        <f t="shared" si="4"/>
        <v>2193818.0536000002</v>
      </c>
      <c r="P75" s="448">
        <f t="shared" si="5"/>
        <v>21000</v>
      </c>
      <c r="Q75" s="448">
        <f t="shared" si="6"/>
        <v>33000</v>
      </c>
      <c r="R75" s="448">
        <f t="shared" si="7"/>
        <v>75000</v>
      </c>
      <c r="S75" s="448">
        <f t="shared" si="8"/>
        <v>95000</v>
      </c>
      <c r="T75" s="448">
        <f t="shared" si="9"/>
        <v>124701.791256</v>
      </c>
      <c r="U75" s="448"/>
      <c r="V75" s="448">
        <f t="shared" si="11"/>
        <v>348701.791256</v>
      </c>
      <c r="W75" s="455">
        <v>12</v>
      </c>
      <c r="X75" s="448">
        <f t="shared" si="12"/>
        <v>29058.4826046667</v>
      </c>
      <c r="Y75" s="451"/>
      <c r="Z75" s="448">
        <f t="shared" si="13"/>
        <v>29058.4826046667</v>
      </c>
      <c r="AA75" s="193">
        <v>29058.4826046667</v>
      </c>
      <c r="AB75" s="193">
        <f t="shared" si="54"/>
        <v>-4.0017766878008797E-11</v>
      </c>
      <c r="AC75" s="193"/>
      <c r="AD75" s="193"/>
      <c r="AE75" s="193"/>
    </row>
    <row r="76" spans="1:31" ht="18.75">
      <c r="A76" s="522"/>
      <c r="B76" s="10" t="s">
        <v>455</v>
      </c>
      <c r="C76" s="448">
        <v>223717.28450000001</v>
      </c>
      <c r="D76" s="447">
        <v>12</v>
      </c>
      <c r="E76" s="448">
        <f t="shared" si="53"/>
        <v>2684607.4139999999</v>
      </c>
      <c r="F76" s="448"/>
      <c r="G76" s="451"/>
      <c r="H76" s="451"/>
      <c r="I76" s="448">
        <f t="shared" ref="I76" si="55">E76-F76-G76-H76</f>
        <v>2684607.4139999999</v>
      </c>
      <c r="J76" s="448">
        <v>200000</v>
      </c>
      <c r="K76" s="448">
        <v>0.2</v>
      </c>
      <c r="L76" s="448">
        <f t="shared" ref="L76" si="56">I76*K76</f>
        <v>536921.4828</v>
      </c>
      <c r="M76" s="448">
        <f t="shared" ref="M76" si="57">J76+L76</f>
        <v>736921.4828</v>
      </c>
      <c r="N76" s="448">
        <f t="shared" ref="N76" si="58">F76+G76+H76+M76</f>
        <v>736921.4828</v>
      </c>
      <c r="O76" s="448">
        <f t="shared" ref="O76" si="59">E76-N76</f>
        <v>1947685.9312</v>
      </c>
      <c r="P76" s="448">
        <f t="shared" ref="P76" si="60">IF(O76&lt;300000,0.07*O76,21000)</f>
        <v>21000</v>
      </c>
      <c r="Q76" s="448">
        <f t="shared" ref="Q76" si="61">IF((O76-300000)&lt;0,0,IF((O76-300000)&lt;300000,0.11*(O76-300000),33000))</f>
        <v>33000</v>
      </c>
      <c r="R76" s="448">
        <f t="shared" ref="R76" si="62">IF((O76-600000)&lt;0,0,IF((O76-600000)&lt;500000,0.15*(O76-600000),75000))</f>
        <v>75000</v>
      </c>
      <c r="S76" s="448">
        <f t="shared" ref="S76" si="63">IF((O76-1100000)&lt;0,0,IF((O76-1100000)&lt;500000,0.19*(O76-1100000),95000))</f>
        <v>95000</v>
      </c>
      <c r="T76" s="448">
        <f t="shared" ref="T76" si="64">IF((O76-1600000)&lt;0,0,IF((O76-1600000)&lt;1600000,0.21*(O76-1600000),336000))</f>
        <v>73014.045551999996</v>
      </c>
      <c r="U76" s="448">
        <v>0</v>
      </c>
      <c r="V76" s="448">
        <f t="shared" ref="V76" si="65">P76+Q76+R76+S76+T76+U76</f>
        <v>297014.045552</v>
      </c>
      <c r="W76" s="455">
        <v>12</v>
      </c>
      <c r="X76" s="448">
        <f t="shared" ref="X76" si="66">V76/W76</f>
        <v>24751.170462666701</v>
      </c>
      <c r="Y76" s="451"/>
      <c r="Z76" s="448">
        <f t="shared" ref="Z76" si="67">X76</f>
        <v>24751.170462666701</v>
      </c>
      <c r="AA76" s="193">
        <v>24751.170462666701</v>
      </c>
      <c r="AB76" s="193">
        <f t="shared" si="54"/>
        <v>-3.6379788070917097E-11</v>
      </c>
      <c r="AC76" s="193"/>
      <c r="AD76" s="193"/>
      <c r="AE76" s="193"/>
    </row>
    <row r="77" spans="1:31" ht="18.75">
      <c r="A77" s="522"/>
      <c r="B77" s="19" t="s">
        <v>42</v>
      </c>
      <c r="C77" s="448"/>
      <c r="D77" s="447"/>
      <c r="E77" s="448"/>
      <c r="F77" s="448"/>
      <c r="G77" s="451"/>
      <c r="H77" s="451"/>
      <c r="I77" s="448"/>
      <c r="J77" s="448"/>
      <c r="K77" s="448"/>
      <c r="L77" s="448"/>
      <c r="M77" s="448"/>
      <c r="N77" s="448"/>
      <c r="O77" s="448"/>
      <c r="P77" s="448"/>
      <c r="Q77" s="448"/>
      <c r="R77" s="448"/>
      <c r="S77" s="448"/>
      <c r="T77" s="448"/>
      <c r="U77" s="448"/>
      <c r="V77" s="448"/>
      <c r="W77" s="455"/>
      <c r="X77" s="448"/>
      <c r="Y77" s="451"/>
      <c r="Z77" s="448"/>
      <c r="AA77" s="193"/>
      <c r="AB77" s="538">
        <f>SUM(AB70:AB76)</f>
        <v>15551.5294399995</v>
      </c>
      <c r="AC77" s="193"/>
      <c r="AD77" s="193"/>
      <c r="AE77" s="193"/>
    </row>
    <row r="78" spans="1:31" ht="18.75">
      <c r="A78" s="522">
        <v>66</v>
      </c>
      <c r="B78" s="19"/>
      <c r="C78" s="448"/>
      <c r="D78" s="447"/>
      <c r="E78" s="448"/>
      <c r="F78" s="448"/>
      <c r="G78" s="451"/>
      <c r="H78" s="451"/>
      <c r="I78" s="448"/>
      <c r="J78" s="448"/>
      <c r="K78" s="448"/>
      <c r="L78" s="448"/>
      <c r="M78" s="448"/>
      <c r="N78" s="448"/>
      <c r="O78" s="448"/>
      <c r="P78" s="448"/>
      <c r="Q78" s="448"/>
      <c r="R78" s="448"/>
      <c r="S78" s="448"/>
      <c r="T78" s="448"/>
      <c r="U78" s="448"/>
      <c r="V78" s="448"/>
      <c r="W78" s="455"/>
      <c r="X78" s="448"/>
      <c r="Y78" s="451"/>
      <c r="Z78" s="448"/>
      <c r="AA78" s="193"/>
      <c r="AB78" s="193"/>
      <c r="AC78" s="193"/>
      <c r="AD78" s="193"/>
      <c r="AE78" s="193"/>
    </row>
    <row r="79" spans="1:31" ht="37.5">
      <c r="A79" s="522">
        <v>67</v>
      </c>
      <c r="B79" s="19" t="s">
        <v>74</v>
      </c>
      <c r="C79" s="448"/>
      <c r="D79" s="276"/>
      <c r="E79" s="276"/>
      <c r="F79" s="276"/>
      <c r="G79" s="276"/>
      <c r="H79" s="276"/>
      <c r="I79" s="276"/>
      <c r="J79" s="276"/>
      <c r="K79" s="276"/>
      <c r="L79" s="276"/>
      <c r="M79" s="276"/>
      <c r="N79" s="276"/>
      <c r="O79" s="276"/>
      <c r="P79" s="276"/>
      <c r="Q79" s="276"/>
      <c r="R79" s="276"/>
      <c r="S79" s="276"/>
      <c r="T79" s="276"/>
      <c r="U79" s="276"/>
      <c r="V79" s="276"/>
      <c r="W79" s="276"/>
      <c r="X79" s="276"/>
      <c r="Y79" s="276"/>
      <c r="Z79" s="276"/>
      <c r="AB79" t="s">
        <v>627</v>
      </c>
      <c r="AC79" s="193"/>
      <c r="AD79" s="193"/>
      <c r="AE79" s="193"/>
    </row>
    <row r="80" spans="1:31" ht="18.75">
      <c r="A80" s="522">
        <v>68</v>
      </c>
      <c r="B80" s="10" t="s">
        <v>457</v>
      </c>
      <c r="C80" s="448">
        <v>627553.50249999994</v>
      </c>
      <c r="D80" s="447">
        <v>12</v>
      </c>
      <c r="E80" s="448">
        <f>C80*D80</f>
        <v>7530642.0300000003</v>
      </c>
      <c r="F80" s="448"/>
      <c r="G80" s="451"/>
      <c r="H80" s="451"/>
      <c r="I80" s="448">
        <f t="shared" ref="I80:I89" si="68">E80-F80-G80-H80</f>
        <v>7530642.0300000003</v>
      </c>
      <c r="J80" s="448">
        <v>200000</v>
      </c>
      <c r="K80" s="448">
        <v>0.2</v>
      </c>
      <c r="L80" s="448">
        <f t="shared" ref="L80:L89" si="69">I80*K80</f>
        <v>1506128.406</v>
      </c>
      <c r="M80" s="448">
        <f t="shared" ref="M80:M89" si="70">J80+L80</f>
        <v>1706128.406</v>
      </c>
      <c r="N80" s="448">
        <f t="shared" ref="N80:N89" si="71">F80+G80+H80+M80</f>
        <v>1706128.406</v>
      </c>
      <c r="O80" s="448">
        <f t="shared" ref="O80:O89" si="72">E80-N80</f>
        <v>5824513.6239999998</v>
      </c>
      <c r="P80" s="448">
        <f t="shared" ref="P80:P89" si="73">IF(O80&lt;300000,0.07*O80,21000)</f>
        <v>21000</v>
      </c>
      <c r="Q80" s="448">
        <f t="shared" ref="Q80:Q89" si="74">IF((O80-300000)&lt;0,0,IF((O80-300000)&lt;300000,0.11*(O80-300000),33000))</f>
        <v>33000</v>
      </c>
      <c r="R80" s="448">
        <f t="shared" ref="R80:R89" si="75">IF((O80-600000)&lt;0,0,IF((O80-600000)&lt;500000,0.15*(O80-600000),75000))</f>
        <v>75000</v>
      </c>
      <c r="S80" s="448">
        <f t="shared" ref="S80:S89" si="76">IF((O80-1100000)&lt;0,0,IF((O80-1100000)&lt;500000,0.19*(O80-1100000),95000))</f>
        <v>95000</v>
      </c>
      <c r="T80" s="448">
        <f t="shared" ref="T80:T89" si="77">IF((O80-1600000)&lt;0,0,IF((O80-1600000)&lt;1600000,0.21*(O80-1600000),336000))</f>
        <v>336000</v>
      </c>
      <c r="U80" s="448">
        <f t="shared" ref="U80:U85" si="78">24%*(O80-3200000)</f>
        <v>629883.26976000005</v>
      </c>
      <c r="V80" s="448">
        <f t="shared" ref="V80:V89" si="79">P80+Q80+R80+S80+T80+U80</f>
        <v>1189883.2697600001</v>
      </c>
      <c r="W80" s="455">
        <v>12</v>
      </c>
      <c r="X80" s="448">
        <f t="shared" ref="X80:X89" si="80">V80/W80</f>
        <v>99156.9391466667</v>
      </c>
      <c r="Y80" s="451"/>
      <c r="Z80" s="448">
        <f t="shared" ref="Z80:Z89" si="81">X80</f>
        <v>99156.9391466667</v>
      </c>
      <c r="AA80" s="525">
        <v>99156.9391466667</v>
      </c>
      <c r="AB80" s="533">
        <f>Z80-AA80</f>
        <v>0</v>
      </c>
      <c r="AC80" s="193" t="s">
        <v>457</v>
      </c>
      <c r="AD80" s="193"/>
      <c r="AE80" s="193"/>
    </row>
    <row r="81" spans="1:31" s="518" customFormat="1" ht="18.75">
      <c r="A81" s="526">
        <v>69</v>
      </c>
      <c r="B81" s="10" t="s">
        <v>458</v>
      </c>
      <c r="C81" s="448">
        <v>527553.50249999994</v>
      </c>
      <c r="D81" s="447">
        <v>12</v>
      </c>
      <c r="E81" s="448">
        <f t="shared" ref="E81:E87" si="82">C81*D81</f>
        <v>6330642.0300000003</v>
      </c>
      <c r="F81" s="448">
        <f>'[8]JANUARY 2024'!$V$86*12</f>
        <v>10052.25</v>
      </c>
      <c r="G81" s="451"/>
      <c r="H81" s="451"/>
      <c r="I81" s="448">
        <f t="shared" si="68"/>
        <v>6320589.7800000003</v>
      </c>
      <c r="J81" s="448">
        <v>200000</v>
      </c>
      <c r="K81" s="448">
        <v>0.2</v>
      </c>
      <c r="L81" s="448">
        <f t="shared" si="69"/>
        <v>1264117.956</v>
      </c>
      <c r="M81" s="448">
        <f t="shared" si="70"/>
        <v>1464117.956</v>
      </c>
      <c r="N81" s="448">
        <f t="shared" si="71"/>
        <v>1474170.206</v>
      </c>
      <c r="O81" s="448">
        <f t="shared" si="72"/>
        <v>4856471.824</v>
      </c>
      <c r="P81" s="448">
        <f t="shared" si="73"/>
        <v>21000</v>
      </c>
      <c r="Q81" s="448">
        <f t="shared" si="74"/>
        <v>33000</v>
      </c>
      <c r="R81" s="448">
        <f t="shared" si="75"/>
        <v>75000</v>
      </c>
      <c r="S81" s="448">
        <f t="shared" si="76"/>
        <v>95000</v>
      </c>
      <c r="T81" s="448">
        <f t="shared" si="77"/>
        <v>336000</v>
      </c>
      <c r="U81" s="448">
        <f t="shared" si="78"/>
        <v>397553.23775999999</v>
      </c>
      <c r="V81" s="448">
        <f t="shared" si="79"/>
        <v>957553.23776000005</v>
      </c>
      <c r="W81" s="455">
        <v>12</v>
      </c>
      <c r="X81" s="448">
        <f t="shared" si="80"/>
        <v>79796.103146666603</v>
      </c>
      <c r="Y81" s="451"/>
      <c r="Z81" s="448">
        <f t="shared" si="81"/>
        <v>79796.103146666603</v>
      </c>
      <c r="AA81" s="525">
        <v>98996.103146666705</v>
      </c>
      <c r="AB81" s="533">
        <f t="shared" ref="AB81:AB87" si="83">Z81-AA81</f>
        <v>-19200.000000000098</v>
      </c>
      <c r="AC81" s="535" t="s">
        <v>458</v>
      </c>
      <c r="AD81" s="535"/>
      <c r="AE81" s="535"/>
    </row>
    <row r="82" spans="1:31" s="518" customFormat="1" ht="37.5">
      <c r="A82" s="526">
        <v>70</v>
      </c>
      <c r="B82" s="10" t="s">
        <v>459</v>
      </c>
      <c r="C82" s="448">
        <v>504729.22200000001</v>
      </c>
      <c r="D82" s="447">
        <v>12</v>
      </c>
      <c r="E82" s="448">
        <f t="shared" si="82"/>
        <v>6056750.6639999999</v>
      </c>
      <c r="F82" s="448"/>
      <c r="G82" s="451"/>
      <c r="H82" s="451"/>
      <c r="I82" s="448">
        <f t="shared" si="68"/>
        <v>6056750.6639999999</v>
      </c>
      <c r="J82" s="448">
        <v>200000</v>
      </c>
      <c r="K82" s="448">
        <v>0.2</v>
      </c>
      <c r="L82" s="448">
        <f t="shared" si="69"/>
        <v>1211350.1328</v>
      </c>
      <c r="M82" s="448">
        <f t="shared" si="70"/>
        <v>1411350.1328</v>
      </c>
      <c r="N82" s="448">
        <f t="shared" si="71"/>
        <v>1411350.1328</v>
      </c>
      <c r="O82" s="448">
        <f t="shared" si="72"/>
        <v>4645400.5312000001</v>
      </c>
      <c r="P82" s="448">
        <f t="shared" si="73"/>
        <v>21000</v>
      </c>
      <c r="Q82" s="448">
        <f t="shared" si="74"/>
        <v>33000</v>
      </c>
      <c r="R82" s="448">
        <f t="shared" si="75"/>
        <v>75000</v>
      </c>
      <c r="S82" s="448">
        <f t="shared" si="76"/>
        <v>95000</v>
      </c>
      <c r="T82" s="448">
        <f t="shared" si="77"/>
        <v>336000</v>
      </c>
      <c r="U82" s="448">
        <f t="shared" si="78"/>
        <v>346896.12748800003</v>
      </c>
      <c r="V82" s="448">
        <f t="shared" si="79"/>
        <v>906896.12748799997</v>
      </c>
      <c r="W82" s="455">
        <v>12</v>
      </c>
      <c r="X82" s="448">
        <f t="shared" si="80"/>
        <v>75574.677290666703</v>
      </c>
      <c r="Y82" s="451"/>
      <c r="Z82" s="448">
        <f t="shared" si="81"/>
        <v>75574.677290666703</v>
      </c>
      <c r="AA82" s="539">
        <v>79956.9391466667</v>
      </c>
      <c r="AB82" s="533">
        <f t="shared" si="83"/>
        <v>-4382.2618560000301</v>
      </c>
      <c r="AC82" s="535" t="s">
        <v>459</v>
      </c>
      <c r="AD82" s="535"/>
      <c r="AE82" s="535"/>
    </row>
    <row r="83" spans="1:31" ht="18.75">
      <c r="A83" s="522">
        <v>71</v>
      </c>
      <c r="B83" s="10" t="s">
        <v>460</v>
      </c>
      <c r="C83" s="448">
        <v>376663.07750000001</v>
      </c>
      <c r="D83" s="447">
        <v>12</v>
      </c>
      <c r="E83" s="448">
        <f t="shared" si="82"/>
        <v>4519956.93</v>
      </c>
      <c r="F83" s="448"/>
      <c r="G83" s="451"/>
      <c r="H83" s="451"/>
      <c r="I83" s="448">
        <f t="shared" si="68"/>
        <v>4519956.93</v>
      </c>
      <c r="J83" s="448">
        <v>200000</v>
      </c>
      <c r="K83" s="448">
        <v>0.2</v>
      </c>
      <c r="L83" s="448">
        <f t="shared" si="69"/>
        <v>903991.38600000006</v>
      </c>
      <c r="M83" s="448">
        <f t="shared" si="70"/>
        <v>1103991.3859999999</v>
      </c>
      <c r="N83" s="448">
        <f t="shared" si="71"/>
        <v>1103991.3859999999</v>
      </c>
      <c r="O83" s="448">
        <f t="shared" si="72"/>
        <v>3415965.5440000002</v>
      </c>
      <c r="P83" s="448">
        <f t="shared" si="73"/>
        <v>21000</v>
      </c>
      <c r="Q83" s="448">
        <f t="shared" si="74"/>
        <v>33000</v>
      </c>
      <c r="R83" s="448">
        <f t="shared" si="75"/>
        <v>75000</v>
      </c>
      <c r="S83" s="448">
        <f t="shared" si="76"/>
        <v>95000</v>
      </c>
      <c r="T83" s="448">
        <f t="shared" si="77"/>
        <v>336000</v>
      </c>
      <c r="U83" s="448">
        <f t="shared" si="78"/>
        <v>51831.730559999902</v>
      </c>
      <c r="V83" s="448">
        <f t="shared" si="79"/>
        <v>611831.73056000005</v>
      </c>
      <c r="W83" s="455">
        <v>12</v>
      </c>
      <c r="X83" s="448">
        <f t="shared" si="80"/>
        <v>50985.977546666698</v>
      </c>
      <c r="Y83" s="451"/>
      <c r="Z83" s="448">
        <f t="shared" si="81"/>
        <v>50985.977546666698</v>
      </c>
      <c r="AA83" s="539">
        <v>75574.677290666703</v>
      </c>
      <c r="AB83" s="533">
        <f t="shared" si="83"/>
        <v>-24588.699744000001</v>
      </c>
      <c r="AC83" s="193" t="s">
        <v>460</v>
      </c>
      <c r="AD83" s="193"/>
      <c r="AE83" s="193"/>
    </row>
    <row r="84" spans="1:31" ht="18.75">
      <c r="A84" s="522">
        <v>72</v>
      </c>
      <c r="B84" s="10" t="s">
        <v>462</v>
      </c>
      <c r="C84" s="448">
        <v>369177.65375</v>
      </c>
      <c r="D84" s="447">
        <v>12</v>
      </c>
      <c r="E84" s="448">
        <f t="shared" si="82"/>
        <v>4430131.8449999997</v>
      </c>
      <c r="F84" s="448"/>
      <c r="G84" s="451"/>
      <c r="H84" s="451"/>
      <c r="I84" s="448">
        <f t="shared" si="68"/>
        <v>4430131.8449999997</v>
      </c>
      <c r="J84" s="448">
        <v>200000</v>
      </c>
      <c r="K84" s="448">
        <v>0.2</v>
      </c>
      <c r="L84" s="448">
        <f t="shared" si="69"/>
        <v>886026.36899999995</v>
      </c>
      <c r="M84" s="448">
        <f t="shared" si="70"/>
        <v>1086026.3689999999</v>
      </c>
      <c r="N84" s="448">
        <f t="shared" si="71"/>
        <v>1086026.3689999999</v>
      </c>
      <c r="O84" s="448">
        <f t="shared" si="72"/>
        <v>3344105.4759999998</v>
      </c>
      <c r="P84" s="448">
        <f t="shared" si="73"/>
        <v>21000</v>
      </c>
      <c r="Q84" s="448">
        <f t="shared" si="74"/>
        <v>33000</v>
      </c>
      <c r="R84" s="448">
        <f t="shared" si="75"/>
        <v>75000</v>
      </c>
      <c r="S84" s="448">
        <f t="shared" si="76"/>
        <v>95000</v>
      </c>
      <c r="T84" s="448">
        <f t="shared" si="77"/>
        <v>336000</v>
      </c>
      <c r="U84" s="448">
        <f t="shared" si="78"/>
        <v>34585.314239999898</v>
      </c>
      <c r="V84" s="448">
        <f t="shared" si="79"/>
        <v>594585.31423999998</v>
      </c>
      <c r="W84" s="455">
        <v>12</v>
      </c>
      <c r="X84" s="448">
        <f t="shared" si="80"/>
        <v>49548.776186666699</v>
      </c>
      <c r="Y84" s="451"/>
      <c r="Z84" s="448">
        <f t="shared" si="81"/>
        <v>49548.776186666699</v>
      </c>
      <c r="AA84" s="525">
        <v>50985.977546666698</v>
      </c>
      <c r="AB84" s="533">
        <f t="shared" si="83"/>
        <v>-1437.20136000004</v>
      </c>
      <c r="AC84" s="193" t="s">
        <v>462</v>
      </c>
      <c r="AD84" s="193"/>
      <c r="AE84" s="193"/>
    </row>
    <row r="85" spans="1:31" s="518" customFormat="1" ht="37.5">
      <c r="A85" s="526">
        <v>73</v>
      </c>
      <c r="B85" s="10" t="s">
        <v>463</v>
      </c>
      <c r="C85" s="448">
        <v>389153.05674999999</v>
      </c>
      <c r="D85" s="447">
        <v>12</v>
      </c>
      <c r="E85" s="448">
        <f t="shared" si="82"/>
        <v>4669836.6809999999</v>
      </c>
      <c r="F85" s="448"/>
      <c r="G85" s="451"/>
      <c r="H85" s="451"/>
      <c r="I85" s="448">
        <f t="shared" si="68"/>
        <v>4669836.6809999999</v>
      </c>
      <c r="J85" s="448">
        <v>200000</v>
      </c>
      <c r="K85" s="448">
        <v>0.2</v>
      </c>
      <c r="L85" s="448">
        <f t="shared" si="69"/>
        <v>933967.33620000002</v>
      </c>
      <c r="M85" s="448">
        <f t="shared" si="70"/>
        <v>1133967.3362</v>
      </c>
      <c r="N85" s="448">
        <f t="shared" si="71"/>
        <v>1133967.3362</v>
      </c>
      <c r="O85" s="448">
        <f t="shared" si="72"/>
        <v>3535869.3448000001</v>
      </c>
      <c r="P85" s="448">
        <f t="shared" si="73"/>
        <v>21000</v>
      </c>
      <c r="Q85" s="448">
        <f t="shared" si="74"/>
        <v>33000</v>
      </c>
      <c r="R85" s="448">
        <f t="shared" si="75"/>
        <v>75000</v>
      </c>
      <c r="S85" s="448">
        <f t="shared" si="76"/>
        <v>95000</v>
      </c>
      <c r="T85" s="448">
        <f t="shared" si="77"/>
        <v>336000</v>
      </c>
      <c r="U85" s="448">
        <f t="shared" si="78"/>
        <v>80608.642752</v>
      </c>
      <c r="V85" s="448">
        <f t="shared" si="79"/>
        <v>640608.64275200001</v>
      </c>
      <c r="W85" s="455">
        <v>12</v>
      </c>
      <c r="X85" s="448">
        <f t="shared" si="80"/>
        <v>53384.053562666697</v>
      </c>
      <c r="Y85" s="451"/>
      <c r="Z85" s="530">
        <f t="shared" si="81"/>
        <v>53384.053562666697</v>
      </c>
      <c r="AA85" s="530">
        <v>49548.776186666699</v>
      </c>
      <c r="AB85" s="531">
        <f t="shared" si="83"/>
        <v>3835.27737599997</v>
      </c>
      <c r="AC85" s="535" t="s">
        <v>463</v>
      </c>
      <c r="AD85" s="535"/>
      <c r="AE85" s="535"/>
    </row>
    <row r="86" spans="1:31" ht="18.75">
      <c r="A86" s="522">
        <v>74</v>
      </c>
      <c r="B86" s="10" t="s">
        <v>464</v>
      </c>
      <c r="C86" s="448">
        <v>322454.07400000002</v>
      </c>
      <c r="D86" s="447">
        <v>12</v>
      </c>
      <c r="E86" s="448">
        <f t="shared" si="82"/>
        <v>3869448.8879999998</v>
      </c>
      <c r="F86" s="448"/>
      <c r="G86" s="451"/>
      <c r="H86" s="451"/>
      <c r="I86" s="448">
        <f t="shared" si="68"/>
        <v>3869448.8879999998</v>
      </c>
      <c r="J86" s="448">
        <v>200000</v>
      </c>
      <c r="K86" s="448">
        <v>0.2</v>
      </c>
      <c r="L86" s="448">
        <f t="shared" si="69"/>
        <v>773889.77760000003</v>
      </c>
      <c r="M86" s="448">
        <f t="shared" si="70"/>
        <v>973889.77760000003</v>
      </c>
      <c r="N86" s="448">
        <f t="shared" si="71"/>
        <v>973889.77760000003</v>
      </c>
      <c r="O86" s="448">
        <f t="shared" si="72"/>
        <v>2895559.1104000001</v>
      </c>
      <c r="P86" s="448">
        <f t="shared" si="73"/>
        <v>21000</v>
      </c>
      <c r="Q86" s="448">
        <f t="shared" si="74"/>
        <v>33000</v>
      </c>
      <c r="R86" s="448">
        <f t="shared" si="75"/>
        <v>75000</v>
      </c>
      <c r="S86" s="448">
        <f t="shared" si="76"/>
        <v>95000</v>
      </c>
      <c r="T86" s="448">
        <f t="shared" si="77"/>
        <v>272067.413184</v>
      </c>
      <c r="U86" s="448"/>
      <c r="V86" s="448">
        <f t="shared" si="79"/>
        <v>496067.413184</v>
      </c>
      <c r="W86" s="455">
        <v>12</v>
      </c>
      <c r="X86" s="448">
        <f t="shared" si="80"/>
        <v>41338.951098666701</v>
      </c>
      <c r="Y86" s="451"/>
      <c r="Z86" s="448">
        <f t="shared" si="81"/>
        <v>41338.951098666701</v>
      </c>
      <c r="AA86" s="539">
        <v>53384.053562666697</v>
      </c>
      <c r="AB86" s="533">
        <f t="shared" si="83"/>
        <v>-12045.102464</v>
      </c>
      <c r="AC86" s="193" t="s">
        <v>464</v>
      </c>
      <c r="AD86" s="193"/>
      <c r="AE86" s="193"/>
    </row>
    <row r="87" spans="1:31" ht="24" customHeight="1">
      <c r="A87" s="522">
        <v>75</v>
      </c>
      <c r="B87" s="10" t="s">
        <v>465</v>
      </c>
      <c r="C87" s="448">
        <v>346713.03324999998</v>
      </c>
      <c r="D87" s="447">
        <v>12</v>
      </c>
      <c r="E87" s="448">
        <f t="shared" si="82"/>
        <v>4160556.3990000002</v>
      </c>
      <c r="F87" s="448">
        <f>'[8]JANUARY 2024'!$V$92*12</f>
        <v>6922.4970000000003</v>
      </c>
      <c r="G87" s="451"/>
      <c r="H87" s="451"/>
      <c r="I87" s="448">
        <f t="shared" si="68"/>
        <v>4153633.9019999998</v>
      </c>
      <c r="J87" s="448">
        <v>200000</v>
      </c>
      <c r="K87" s="448">
        <v>0.2</v>
      </c>
      <c r="L87" s="448">
        <f t="shared" si="69"/>
        <v>830726.78040000005</v>
      </c>
      <c r="M87" s="448">
        <f t="shared" si="70"/>
        <v>1030726.7804</v>
      </c>
      <c r="N87" s="448">
        <f t="shared" si="71"/>
        <v>1037649.2774</v>
      </c>
      <c r="O87" s="448">
        <f t="shared" si="72"/>
        <v>3122907.1216000002</v>
      </c>
      <c r="P87" s="448">
        <f t="shared" si="73"/>
        <v>21000</v>
      </c>
      <c r="Q87" s="448">
        <f t="shared" si="74"/>
        <v>33000</v>
      </c>
      <c r="R87" s="448">
        <f t="shared" si="75"/>
        <v>75000</v>
      </c>
      <c r="S87" s="448">
        <f t="shared" si="76"/>
        <v>95000</v>
      </c>
      <c r="T87" s="448">
        <f t="shared" si="77"/>
        <v>319810.495536</v>
      </c>
      <c r="U87" s="448"/>
      <c r="V87" s="448">
        <f t="shared" si="79"/>
        <v>543810.495536</v>
      </c>
      <c r="W87" s="455">
        <v>12</v>
      </c>
      <c r="X87" s="448">
        <f t="shared" si="80"/>
        <v>45317.541294666698</v>
      </c>
      <c r="Y87" s="451"/>
      <c r="Z87" s="530">
        <f t="shared" si="81"/>
        <v>45317.541294666698</v>
      </c>
      <c r="AA87" s="530">
        <v>41242.0361406667</v>
      </c>
      <c r="AB87" s="531">
        <f t="shared" si="83"/>
        <v>4075.5051539999699</v>
      </c>
      <c r="AC87" s="193" t="s">
        <v>465</v>
      </c>
      <c r="AD87" s="193"/>
      <c r="AE87" s="193"/>
    </row>
    <row r="88" spans="1:31" ht="18.75">
      <c r="A88" s="522">
        <v>76</v>
      </c>
      <c r="B88" s="10" t="s">
        <v>466</v>
      </c>
      <c r="C88" s="448">
        <v>277734.04700000002</v>
      </c>
      <c r="D88" s="447">
        <v>12</v>
      </c>
      <c r="E88" s="448">
        <f t="shared" ref="E88:E89" si="84">C88*D88</f>
        <v>3332808.5639999998</v>
      </c>
      <c r="F88" s="448"/>
      <c r="G88" s="451"/>
      <c r="H88" s="451"/>
      <c r="I88" s="448">
        <f t="shared" si="68"/>
        <v>3332808.5639999998</v>
      </c>
      <c r="J88" s="448">
        <v>200000</v>
      </c>
      <c r="K88" s="448">
        <v>0.2</v>
      </c>
      <c r="L88" s="448">
        <f t="shared" si="69"/>
        <v>666561.71279999998</v>
      </c>
      <c r="M88" s="448">
        <f t="shared" si="70"/>
        <v>866561.71279999998</v>
      </c>
      <c r="N88" s="448">
        <f t="shared" si="71"/>
        <v>866561.71279999998</v>
      </c>
      <c r="O88" s="448">
        <f t="shared" si="72"/>
        <v>2466246.8511999999</v>
      </c>
      <c r="P88" s="448">
        <f t="shared" si="73"/>
        <v>21000</v>
      </c>
      <c r="Q88" s="448">
        <f t="shared" si="74"/>
        <v>33000</v>
      </c>
      <c r="R88" s="448">
        <f t="shared" si="75"/>
        <v>75000</v>
      </c>
      <c r="S88" s="448">
        <f t="shared" si="76"/>
        <v>95000</v>
      </c>
      <c r="T88" s="448">
        <f t="shared" si="77"/>
        <v>181911.83875200001</v>
      </c>
      <c r="U88" s="448"/>
      <c r="V88" s="448">
        <f t="shared" si="79"/>
        <v>405911.83875200001</v>
      </c>
      <c r="W88" s="455">
        <v>12</v>
      </c>
      <c r="X88" s="448">
        <f t="shared" si="80"/>
        <v>33825.986562666702</v>
      </c>
      <c r="Y88" s="451"/>
      <c r="Z88" s="448">
        <f t="shared" si="81"/>
        <v>33825.986562666702</v>
      </c>
      <c r="AA88" s="525">
        <v>45414.4562526667</v>
      </c>
      <c r="AB88" s="533">
        <f t="shared" ref="AB88:AB89" si="85">Z88-AA88</f>
        <v>-11588.46969</v>
      </c>
      <c r="AC88" s="193" t="s">
        <v>466</v>
      </c>
      <c r="AD88" s="193"/>
      <c r="AE88" s="193"/>
    </row>
    <row r="89" spans="1:31" ht="18.75">
      <c r="A89" s="522"/>
      <c r="B89" s="10" t="s">
        <v>468</v>
      </c>
      <c r="C89" s="448">
        <v>254870.26344499999</v>
      </c>
      <c r="D89" s="447">
        <v>12</v>
      </c>
      <c r="E89" s="448">
        <f t="shared" si="84"/>
        <v>3058443.1613400001</v>
      </c>
      <c r="F89" s="448"/>
      <c r="G89" s="451"/>
      <c r="H89" s="451"/>
      <c r="I89" s="448">
        <f t="shared" si="68"/>
        <v>3058443.1613400001</v>
      </c>
      <c r="J89" s="448">
        <v>200000</v>
      </c>
      <c r="K89" s="448">
        <v>0.2</v>
      </c>
      <c r="L89" s="448">
        <f t="shared" si="69"/>
        <v>611688.63226800004</v>
      </c>
      <c r="M89" s="448">
        <f t="shared" si="70"/>
        <v>811688.63226800004</v>
      </c>
      <c r="N89" s="448">
        <f t="shared" si="71"/>
        <v>811688.63226800004</v>
      </c>
      <c r="O89" s="448">
        <f t="shared" si="72"/>
        <v>2246754.5290720002</v>
      </c>
      <c r="P89" s="448">
        <f t="shared" si="73"/>
        <v>21000</v>
      </c>
      <c r="Q89" s="448">
        <f t="shared" si="74"/>
        <v>33000</v>
      </c>
      <c r="R89" s="448">
        <f t="shared" si="75"/>
        <v>75000</v>
      </c>
      <c r="S89" s="448">
        <f t="shared" si="76"/>
        <v>95000</v>
      </c>
      <c r="T89" s="448">
        <f t="shared" si="77"/>
        <v>135818.45110512001</v>
      </c>
      <c r="U89" s="448"/>
      <c r="V89" s="448">
        <f t="shared" si="79"/>
        <v>359818.45110512001</v>
      </c>
      <c r="W89" s="455">
        <v>12</v>
      </c>
      <c r="X89" s="448">
        <f t="shared" si="80"/>
        <v>29984.870925426701</v>
      </c>
      <c r="Y89" s="451"/>
      <c r="Z89" s="448">
        <f t="shared" si="81"/>
        <v>29984.870925426701</v>
      </c>
      <c r="AA89" s="525">
        <v>33825.986562666702</v>
      </c>
      <c r="AB89" s="533">
        <f t="shared" si="85"/>
        <v>-3841.1156372400301</v>
      </c>
      <c r="AC89" s="193" t="s">
        <v>468</v>
      </c>
      <c r="AD89" s="193"/>
      <c r="AE89" s="193"/>
    </row>
    <row r="90" spans="1:31" ht="18.75">
      <c r="A90" s="522"/>
      <c r="B90" s="19"/>
      <c r="C90" s="448"/>
      <c r="D90" s="447"/>
      <c r="E90" s="448"/>
      <c r="F90" s="448"/>
      <c r="G90" s="451"/>
      <c r="H90" s="451"/>
      <c r="I90" s="448"/>
      <c r="J90" s="448"/>
      <c r="K90" s="448"/>
      <c r="L90" s="448"/>
      <c r="M90" s="448"/>
      <c r="N90" s="448"/>
      <c r="O90" s="448"/>
      <c r="P90" s="448"/>
      <c r="Q90" s="448"/>
      <c r="R90" s="448"/>
      <c r="S90" s="448"/>
      <c r="T90" s="448"/>
      <c r="U90" s="448"/>
      <c r="V90" s="448"/>
      <c r="W90" s="455"/>
      <c r="X90" s="448"/>
      <c r="Y90" s="451"/>
      <c r="Z90" s="448"/>
      <c r="AA90" s="193"/>
      <c r="AB90" s="538">
        <f>SUM(AB80:AB89)</f>
        <v>-69172.068221240304</v>
      </c>
      <c r="AC90" s="193"/>
      <c r="AD90" s="193"/>
      <c r="AE90" s="193"/>
    </row>
    <row r="91" spans="1:31" ht="18.75">
      <c r="A91" s="522"/>
      <c r="B91" s="21"/>
      <c r="C91" s="448"/>
      <c r="D91" s="447"/>
      <c r="E91" s="448"/>
      <c r="F91" s="448"/>
      <c r="G91" s="451"/>
      <c r="H91" s="451"/>
      <c r="I91" s="448"/>
      <c r="J91" s="448"/>
      <c r="K91" s="448"/>
      <c r="L91" s="448"/>
      <c r="M91" s="448"/>
      <c r="N91" s="448"/>
      <c r="O91" s="448"/>
      <c r="P91" s="448"/>
      <c r="Q91" s="448"/>
      <c r="R91" s="448"/>
      <c r="S91" s="448"/>
      <c r="T91" s="448"/>
      <c r="U91" s="448"/>
      <c r="V91" s="448"/>
      <c r="W91" s="455"/>
      <c r="X91" s="448"/>
      <c r="Y91" s="451"/>
      <c r="Z91" s="448"/>
      <c r="AA91" s="193"/>
      <c r="AB91" s="193"/>
      <c r="AC91" s="193"/>
      <c r="AD91" s="193"/>
      <c r="AE91" s="193"/>
    </row>
    <row r="92" spans="1:31" ht="18.75">
      <c r="A92" s="522">
        <v>78</v>
      </c>
      <c r="B92" s="19" t="s">
        <v>84</v>
      </c>
      <c r="C92" s="448"/>
      <c r="D92" s="276"/>
      <c r="E92" s="276"/>
      <c r="F92" s="276"/>
      <c r="G92" s="276"/>
      <c r="H92" s="276"/>
      <c r="I92" s="276"/>
      <c r="J92" s="276"/>
      <c r="K92" s="276"/>
      <c r="L92" s="276"/>
      <c r="M92" s="276"/>
      <c r="N92" s="276"/>
      <c r="O92" s="276"/>
      <c r="P92" s="276"/>
      <c r="Q92" s="276"/>
      <c r="R92" s="276"/>
      <c r="S92" s="276"/>
      <c r="T92" s="276"/>
      <c r="U92" s="276"/>
      <c r="V92" s="276"/>
      <c r="W92" s="276"/>
      <c r="X92" s="276"/>
      <c r="Y92" s="276"/>
      <c r="Z92" s="276"/>
      <c r="AC92" s="193"/>
      <c r="AD92" s="193"/>
      <c r="AE92" s="193"/>
    </row>
    <row r="93" spans="1:31" s="518" customFormat="1" ht="37.5">
      <c r="A93" s="526">
        <v>79</v>
      </c>
      <c r="B93" s="13" t="s">
        <v>470</v>
      </c>
      <c r="C93" s="448">
        <v>541465.02474999998</v>
      </c>
      <c r="D93" s="447">
        <v>12</v>
      </c>
      <c r="E93" s="448">
        <f>C93*D93</f>
        <v>6497580.2970000003</v>
      </c>
      <c r="F93" s="448">
        <f>'[8]JANUARY 2024'!$V$98*12</f>
        <v>12795.950999999999</v>
      </c>
      <c r="G93" s="451"/>
      <c r="H93" s="451"/>
      <c r="I93" s="448">
        <f>E93-F93-G93-H93</f>
        <v>6484784.3459999999</v>
      </c>
      <c r="J93" s="448">
        <v>200000</v>
      </c>
      <c r="K93" s="448">
        <v>0.2</v>
      </c>
      <c r="L93" s="448">
        <f>I93*K93</f>
        <v>1296956.8692000001</v>
      </c>
      <c r="M93" s="448">
        <f>J93+L93</f>
        <v>1496956.8692000001</v>
      </c>
      <c r="N93" s="448">
        <f>F93+G93+H93+M93</f>
        <v>1509752.8202</v>
      </c>
      <c r="O93" s="448">
        <f>E93-N93</f>
        <v>4987827.4768000003</v>
      </c>
      <c r="P93" s="448">
        <f>IF(O93&lt;300000,0.07*O93,21000)</f>
        <v>21000</v>
      </c>
      <c r="Q93" s="448">
        <f>IF((O93-300000)&lt;0,0,IF((O93-300000)&lt;300000,0.11*(O93-300000),33000))</f>
        <v>33000</v>
      </c>
      <c r="R93" s="448">
        <f>IF((O93-600000)&lt;0,0,IF((O93-600000)&lt;500000,0.15*(O93-600000),75000))</f>
        <v>75000</v>
      </c>
      <c r="S93" s="448">
        <f>IF((O93-1100000)&lt;0,0,IF((O93-1100000)&lt;500000,0.19*(O93-1100000),95000))</f>
        <v>95000</v>
      </c>
      <c r="T93" s="448">
        <f>IF((O93-1600000)&lt;0,0,IF((O93-1600000)&lt;1600000,0.21*(O93-1600000),336000))</f>
        <v>336000</v>
      </c>
      <c r="U93" s="448">
        <f>24%*(O93-3200000)</f>
        <v>429078.59443200001</v>
      </c>
      <c r="V93" s="448">
        <f>P93+Q93+R93+S93+T93+U93</f>
        <v>989078.59443199995</v>
      </c>
      <c r="W93" s="455">
        <v>12</v>
      </c>
      <c r="X93" s="448">
        <f>V93/W93</f>
        <v>82423.216202666707</v>
      </c>
      <c r="Y93" s="451"/>
      <c r="Z93" s="448">
        <f>X93</f>
        <v>82423.216202666707</v>
      </c>
      <c r="AA93" s="193">
        <v>82423.216202666707</v>
      </c>
      <c r="AB93" s="533">
        <f>Z93-AA93</f>
        <v>0</v>
      </c>
      <c r="AC93" s="535" t="s">
        <v>470</v>
      </c>
      <c r="AD93" s="535"/>
      <c r="AE93" s="535"/>
    </row>
    <row r="94" spans="1:31" ht="18.75">
      <c r="A94" s="522">
        <v>80</v>
      </c>
      <c r="B94" s="10" t="s">
        <v>473</v>
      </c>
      <c r="C94" s="448">
        <v>335272.06374999997</v>
      </c>
      <c r="D94" s="447">
        <v>12</v>
      </c>
      <c r="E94" s="448">
        <f t="shared" ref="E94:E96" si="86">C94*D94</f>
        <v>4023264.7650000001</v>
      </c>
      <c r="F94" s="448"/>
      <c r="G94" s="451"/>
      <c r="H94" s="451"/>
      <c r="I94" s="448">
        <f>E94-F94-G94-H94</f>
        <v>4023264.7650000001</v>
      </c>
      <c r="J94" s="448">
        <v>200000</v>
      </c>
      <c r="K94" s="448">
        <v>0.2</v>
      </c>
      <c r="L94" s="448">
        <f>I94*K94</f>
        <v>804652.95299999998</v>
      </c>
      <c r="M94" s="448">
        <f>J94+L94</f>
        <v>1004652.953</v>
      </c>
      <c r="N94" s="448">
        <f>F94+G94+H94+M94</f>
        <v>1004652.953</v>
      </c>
      <c r="O94" s="448">
        <f>E94-N94</f>
        <v>3018611.8119999999</v>
      </c>
      <c r="P94" s="448">
        <f>IF(O94&lt;300000,0.07*O94,21000)</f>
        <v>21000</v>
      </c>
      <c r="Q94" s="448">
        <f>IF((O94-300000)&lt;0,0,IF((O94-300000)&lt;300000,0.11*(O94-300000),33000))</f>
        <v>33000</v>
      </c>
      <c r="R94" s="448">
        <f>IF((O94-600000)&lt;0,0,IF((O94-600000)&lt;500000,0.15*(O94-600000),75000))</f>
        <v>75000</v>
      </c>
      <c r="S94" s="448">
        <f>IF((O94-1100000)&lt;0,0,IF((O94-1100000)&lt;500000,0.19*(O94-1100000),95000))</f>
        <v>95000</v>
      </c>
      <c r="T94" s="448">
        <f>IF((O94-1600000)&lt;0,0,IF((O94-1600000)&lt;1600000,0.21*(O94-1600000),336000))</f>
        <v>297908.48051999998</v>
      </c>
      <c r="U94" s="448"/>
      <c r="V94" s="448">
        <f>P94+Q94+R94+S94+T94+U94</f>
        <v>521908.48051999998</v>
      </c>
      <c r="W94" s="455">
        <v>12</v>
      </c>
      <c r="X94" s="448">
        <f>V94/W94</f>
        <v>43492.373376666699</v>
      </c>
      <c r="Y94" s="451"/>
      <c r="Z94" s="448">
        <f>X94</f>
        <v>43492.373376666699</v>
      </c>
      <c r="AA94" s="535">
        <v>82627.951418666693</v>
      </c>
      <c r="AB94" s="533">
        <f t="shared" ref="AB94:AB96" si="87">Z94-AA94</f>
        <v>-39135.578042000001</v>
      </c>
      <c r="AC94" s="193" t="s">
        <v>473</v>
      </c>
      <c r="AD94" s="193"/>
      <c r="AE94" s="193"/>
    </row>
    <row r="95" spans="1:31" ht="37.5">
      <c r="A95" s="522">
        <v>81</v>
      </c>
      <c r="B95" s="10" t="s">
        <v>475</v>
      </c>
      <c r="C95" s="448">
        <v>284536.99849999999</v>
      </c>
      <c r="D95" s="447">
        <v>12</v>
      </c>
      <c r="E95" s="448">
        <f t="shared" si="86"/>
        <v>3414443.9819999998</v>
      </c>
      <c r="F95" s="448"/>
      <c r="G95" s="451"/>
      <c r="H95" s="451"/>
      <c r="I95" s="448">
        <f>E95-F95-G95-H95</f>
        <v>3414443.9819999998</v>
      </c>
      <c r="J95" s="448">
        <v>200000</v>
      </c>
      <c r="K95" s="448">
        <v>0.2</v>
      </c>
      <c r="L95" s="448">
        <f>I95*K95</f>
        <v>682888.79639999999</v>
      </c>
      <c r="M95" s="448">
        <f>J95+L95</f>
        <v>882888.79639999999</v>
      </c>
      <c r="N95" s="448">
        <f>F95+G95+H95+M95</f>
        <v>882888.79639999999</v>
      </c>
      <c r="O95" s="448">
        <f>E95-N95</f>
        <v>2531555.1856</v>
      </c>
      <c r="P95" s="448">
        <f>IF(O95&lt;300000,0.07*O95,21000)</f>
        <v>21000</v>
      </c>
      <c r="Q95" s="448">
        <f>IF((O95-300000)&lt;0,0,IF((O95-300000)&lt;300000,0.11*(O95-300000),33000))</f>
        <v>33000</v>
      </c>
      <c r="R95" s="448">
        <f>IF((O95-600000)&lt;0,0,IF((O95-600000)&lt;500000,0.15*(O95-600000),75000))</f>
        <v>75000</v>
      </c>
      <c r="S95" s="448">
        <f>IF((O95-1100000)&lt;0,0,IF((O95-1100000)&lt;500000,0.19*(O95-1100000),95000))</f>
        <v>95000</v>
      </c>
      <c r="T95" s="448">
        <f>IF((O95-1600000)&lt;0,0,IF((O95-1600000)&lt;1600000,0.21*(O95-1600000),336000))</f>
        <v>195626.588976</v>
      </c>
      <c r="U95" s="448"/>
      <c r="V95" s="448">
        <f>P95+Q95+R95+S95+T95+U95</f>
        <v>419626.58897600003</v>
      </c>
      <c r="W95" s="455">
        <v>12</v>
      </c>
      <c r="X95" s="448">
        <f>V95/W95</f>
        <v>34968.882414666703</v>
      </c>
      <c r="Y95" s="451"/>
      <c r="Z95" s="448">
        <f>X95</f>
        <v>34968.882414666703</v>
      </c>
      <c r="AA95" s="193">
        <v>43492.373376666699</v>
      </c>
      <c r="AB95" s="533">
        <f t="shared" si="87"/>
        <v>-8523.4909620000308</v>
      </c>
      <c r="AC95" s="193" t="s">
        <v>475</v>
      </c>
      <c r="AD95" s="193"/>
      <c r="AE95" s="193"/>
    </row>
    <row r="96" spans="1:31" ht="18.75">
      <c r="A96" s="522"/>
      <c r="B96" s="10" t="s">
        <v>477</v>
      </c>
      <c r="C96" s="448">
        <v>237734.04699999999</v>
      </c>
      <c r="D96" s="447">
        <v>12</v>
      </c>
      <c r="E96" s="448">
        <f t="shared" si="86"/>
        <v>2852808.5639999998</v>
      </c>
      <c r="F96" s="448"/>
      <c r="G96" s="451"/>
      <c r="H96" s="451"/>
      <c r="I96" s="448">
        <f>E96-F96-G96-H96</f>
        <v>2852808.5639999998</v>
      </c>
      <c r="J96" s="448">
        <v>200000</v>
      </c>
      <c r="K96" s="448">
        <v>0.2</v>
      </c>
      <c r="L96" s="448">
        <f>I96*K96</f>
        <v>570561.71279999998</v>
      </c>
      <c r="M96" s="448">
        <f>J96+L96</f>
        <v>770561.71279999998</v>
      </c>
      <c r="N96" s="448">
        <f>F96+G96+H96+M96</f>
        <v>770561.71279999998</v>
      </c>
      <c r="O96" s="448">
        <f>E96-N96</f>
        <v>2082246.8511999999</v>
      </c>
      <c r="P96" s="448">
        <f>IF(O96&lt;300000,0.07*O96,21000)</f>
        <v>21000</v>
      </c>
      <c r="Q96" s="448">
        <f>IF((O96-300000)&lt;0,0,IF((O96-300000)&lt;300000,0.11*(O96-300000),33000))</f>
        <v>33000</v>
      </c>
      <c r="R96" s="448">
        <f>IF((O96-600000)&lt;0,0,IF((O96-600000)&lt;500000,0.15*(O96-600000),75000))</f>
        <v>75000</v>
      </c>
      <c r="S96" s="448">
        <f>IF((O96-1100000)&lt;0,0,IF((O96-1100000)&lt;500000,0.19*(O96-1100000),95000))</f>
        <v>95000</v>
      </c>
      <c r="T96" s="448">
        <f>IF((O96-1600000)&lt;0,0,IF((O96-1600000)&lt;1600000,0.21*(O96-1600000),336000))</f>
        <v>101271.838752</v>
      </c>
      <c r="U96" s="448"/>
      <c r="V96" s="448">
        <f>P96+Q96+R96+S96+T96+U96</f>
        <v>325271.83875200001</v>
      </c>
      <c r="W96" s="455">
        <v>12</v>
      </c>
      <c r="X96" s="448">
        <f>V96/W96</f>
        <v>27105.986562666702</v>
      </c>
      <c r="Y96" s="451"/>
      <c r="Z96" s="448">
        <f>X96</f>
        <v>27105.986562666702</v>
      </c>
      <c r="AA96" s="193">
        <v>34968.882414666703</v>
      </c>
      <c r="AB96" s="533">
        <f t="shared" si="87"/>
        <v>-7862.8958520000297</v>
      </c>
      <c r="AC96" s="193" t="s">
        <v>477</v>
      </c>
      <c r="AD96" s="193"/>
      <c r="AE96" s="193"/>
    </row>
    <row r="97" spans="1:31" ht="18.75">
      <c r="A97" s="522"/>
      <c r="B97" s="19" t="s">
        <v>42</v>
      </c>
      <c r="C97" s="448"/>
      <c r="D97" s="447"/>
      <c r="E97" s="448"/>
      <c r="F97" s="448"/>
      <c r="G97" s="451"/>
      <c r="H97" s="451"/>
      <c r="I97" s="448"/>
      <c r="J97" s="448"/>
      <c r="K97" s="448"/>
      <c r="L97" s="448"/>
      <c r="M97" s="448"/>
      <c r="N97" s="448"/>
      <c r="O97" s="448"/>
      <c r="P97" s="448"/>
      <c r="Q97" s="448"/>
      <c r="R97" s="448"/>
      <c r="S97" s="448"/>
      <c r="T97" s="448"/>
      <c r="U97" s="448"/>
      <c r="V97" s="448"/>
      <c r="W97" s="455"/>
      <c r="X97" s="448"/>
      <c r="Y97" s="451"/>
      <c r="Z97" s="448"/>
      <c r="AA97" s="193"/>
      <c r="AB97" s="538">
        <f>SUM(AB93:AB96)</f>
        <v>-55521.964856000101</v>
      </c>
      <c r="AC97" s="193"/>
      <c r="AD97" s="193"/>
      <c r="AE97" s="193"/>
    </row>
    <row r="98" spans="1:31" ht="18.75">
      <c r="A98" s="522">
        <v>83</v>
      </c>
      <c r="B98" s="21"/>
      <c r="C98" s="448"/>
      <c r="D98" s="276"/>
      <c r="E98" s="276"/>
      <c r="F98" s="276"/>
      <c r="G98" s="276"/>
      <c r="H98" s="276"/>
      <c r="I98" s="276"/>
      <c r="J98" s="276"/>
      <c r="K98" s="276"/>
      <c r="L98" s="276"/>
      <c r="M98" s="276"/>
      <c r="N98" s="276"/>
      <c r="O98" s="276"/>
      <c r="P98" s="276"/>
      <c r="Q98" s="276"/>
      <c r="R98" s="276"/>
      <c r="S98" s="276"/>
      <c r="T98" s="276"/>
      <c r="U98" s="276"/>
      <c r="V98" s="276"/>
      <c r="W98" s="276"/>
      <c r="X98" s="276"/>
      <c r="Y98" s="276"/>
      <c r="Z98" s="276"/>
      <c r="AC98" s="193"/>
      <c r="AD98" s="193"/>
      <c r="AE98" s="193"/>
    </row>
    <row r="99" spans="1:31" ht="37.5">
      <c r="A99" s="522">
        <v>84</v>
      </c>
      <c r="B99" s="19" t="s">
        <v>479</v>
      </c>
      <c r="C99" s="448"/>
      <c r="D99" s="276"/>
      <c r="E99" s="276"/>
      <c r="F99" s="276"/>
      <c r="G99" s="276"/>
      <c r="H99" s="276"/>
      <c r="I99" s="276"/>
      <c r="J99" s="276"/>
      <c r="K99" s="276"/>
      <c r="L99" s="276"/>
      <c r="M99" s="276"/>
      <c r="N99" s="276"/>
      <c r="O99" s="276"/>
      <c r="P99" s="276"/>
      <c r="Q99" s="276"/>
      <c r="R99" s="276"/>
      <c r="S99" s="276"/>
      <c r="T99" s="276"/>
      <c r="U99" s="276"/>
      <c r="V99" s="276"/>
      <c r="W99" s="276"/>
      <c r="X99" s="276"/>
      <c r="Y99" s="276"/>
      <c r="Z99" s="276"/>
      <c r="AB99" t="s">
        <v>625</v>
      </c>
      <c r="AC99" s="193"/>
      <c r="AD99" s="193"/>
      <c r="AE99" s="193"/>
    </row>
    <row r="100" spans="1:31" ht="18.75">
      <c r="A100" s="522">
        <v>85</v>
      </c>
      <c r="B100" s="10" t="s">
        <v>480</v>
      </c>
      <c r="C100" s="448">
        <v>1050209.0634999999</v>
      </c>
      <c r="D100" s="447">
        <v>12</v>
      </c>
      <c r="E100" s="448">
        <f>C100*D100</f>
        <v>12602508.762</v>
      </c>
      <c r="F100" s="448"/>
      <c r="G100" s="451"/>
      <c r="H100" s="451"/>
      <c r="I100" s="448">
        <f t="shared" ref="I100:I105" si="88">E100-F100-G100-H100</f>
        <v>12602508.762</v>
      </c>
      <c r="J100" s="448">
        <v>200000</v>
      </c>
      <c r="K100" s="448">
        <v>0.2</v>
      </c>
      <c r="L100" s="448">
        <f t="shared" ref="L100:L106" si="89">I100*K100</f>
        <v>2520501.7524000001</v>
      </c>
      <c r="M100" s="448">
        <f t="shared" ref="M100:M106" si="90">J100+L100</f>
        <v>2720501.7524000001</v>
      </c>
      <c r="N100" s="448">
        <f t="shared" ref="N100:N105" si="91">F100+G100+H100+M100</f>
        <v>2720501.7524000001</v>
      </c>
      <c r="O100" s="448">
        <f t="shared" ref="O100:O106" si="92">E100-N100</f>
        <v>9882007.0096000005</v>
      </c>
      <c r="P100" s="448">
        <f t="shared" ref="P100:P106" si="93">IF(O100&lt;300000,0.07*O100,21000)</f>
        <v>21000</v>
      </c>
      <c r="Q100" s="448">
        <f t="shared" ref="Q100:Q106" si="94">IF((O100-300000)&lt;0,0,IF((O100-300000)&lt;300000,0.11*(O100-300000),33000))</f>
        <v>33000</v>
      </c>
      <c r="R100" s="448">
        <f t="shared" ref="R100:R106" si="95">IF((O100-600000)&lt;0,0,IF((O100-600000)&lt;500000,0.15*(O100-600000),75000))</f>
        <v>75000</v>
      </c>
      <c r="S100" s="448">
        <f t="shared" ref="S100:S106" si="96">IF((O100-1100000)&lt;0,0,IF((O100-1100000)&lt;500000,0.19*(O100-1100000),95000))</f>
        <v>95000</v>
      </c>
      <c r="T100" s="448">
        <f t="shared" ref="T100:T106" si="97">IF((O100-1600000)&lt;0,0,IF((O100-1600000)&lt;1600000,0.21*(O100-1600000),336000))</f>
        <v>336000</v>
      </c>
      <c r="U100" s="448">
        <f>24%*(O100-3200000)</f>
        <v>1603681.682304</v>
      </c>
      <c r="V100" s="448">
        <f t="shared" ref="V100:V106" si="98">P100+Q100+R100+S100+T100+U100</f>
        <v>2163681.682304</v>
      </c>
      <c r="W100" s="455">
        <v>12</v>
      </c>
      <c r="X100" s="448">
        <f t="shared" ref="X100:X106" si="99">V100/W100</f>
        <v>180306.806858667</v>
      </c>
      <c r="Y100" s="451"/>
      <c r="Z100" s="448">
        <f t="shared" ref="Z100:Z106" si="100">X100</f>
        <v>180306.806858667</v>
      </c>
      <c r="AA100" s="193">
        <v>180306.806858667</v>
      </c>
      <c r="AB100" s="533">
        <f>Z100-AA100</f>
        <v>-3.7834979593753799E-10</v>
      </c>
      <c r="AC100" s="193" t="s">
        <v>480</v>
      </c>
      <c r="AD100" s="193"/>
      <c r="AE100" s="193"/>
    </row>
    <row r="101" spans="1:31" ht="18.75">
      <c r="A101" s="522">
        <v>86</v>
      </c>
      <c r="B101" s="10" t="s">
        <v>482</v>
      </c>
      <c r="C101" s="448">
        <v>631465.02474999998</v>
      </c>
      <c r="D101" s="447">
        <v>12</v>
      </c>
      <c r="E101" s="448">
        <f t="shared" ref="E101:E106" si="101">C101*D101</f>
        <v>7577580.2970000003</v>
      </c>
      <c r="F101" s="448">
        <f>'[8]JANUARY 2024'!$V$106*12</f>
        <v>12795.950999999999</v>
      </c>
      <c r="G101" s="451"/>
      <c r="H101" s="451"/>
      <c r="I101" s="448">
        <f t="shared" si="88"/>
        <v>7564784.3459999999</v>
      </c>
      <c r="J101" s="448">
        <v>200000</v>
      </c>
      <c r="K101" s="448">
        <v>0.2</v>
      </c>
      <c r="L101" s="448">
        <f t="shared" si="89"/>
        <v>1512956.8692000001</v>
      </c>
      <c r="M101" s="448">
        <f t="shared" si="90"/>
        <v>1712956.8692000001</v>
      </c>
      <c r="N101" s="448">
        <f t="shared" si="91"/>
        <v>1725752.8202</v>
      </c>
      <c r="O101" s="448">
        <f t="shared" si="92"/>
        <v>5851827.4768000003</v>
      </c>
      <c r="P101" s="448">
        <f t="shared" si="93"/>
        <v>21000</v>
      </c>
      <c r="Q101" s="448">
        <f t="shared" si="94"/>
        <v>33000</v>
      </c>
      <c r="R101" s="448">
        <f t="shared" si="95"/>
        <v>75000</v>
      </c>
      <c r="S101" s="448">
        <f t="shared" si="96"/>
        <v>95000</v>
      </c>
      <c r="T101" s="448">
        <f t="shared" si="97"/>
        <v>336000</v>
      </c>
      <c r="U101" s="448">
        <f>24%*(O101-3200000)</f>
        <v>636438.59443199995</v>
      </c>
      <c r="V101" s="448">
        <f t="shared" si="98"/>
        <v>1196438.5944320001</v>
      </c>
      <c r="W101" s="455">
        <v>12</v>
      </c>
      <c r="X101" s="448">
        <f t="shared" si="99"/>
        <v>99703.216202666707</v>
      </c>
      <c r="Y101" s="451"/>
      <c r="Z101" s="448">
        <f t="shared" si="100"/>
        <v>99703.216202666707</v>
      </c>
      <c r="AA101" s="193">
        <v>99703.216202666707</v>
      </c>
      <c r="AB101" s="533">
        <f t="shared" ref="AB101:AB106" si="102">Z101-AA101</f>
        <v>0</v>
      </c>
      <c r="AC101" s="193" t="s">
        <v>482</v>
      </c>
      <c r="AD101" s="193"/>
      <c r="AE101" s="193"/>
    </row>
    <row r="102" spans="1:31" ht="18.75">
      <c r="A102" s="522">
        <v>87</v>
      </c>
      <c r="B102" s="10" t="s">
        <v>484</v>
      </c>
      <c r="C102" s="448">
        <v>418096.01602500002</v>
      </c>
      <c r="D102" s="447">
        <v>12</v>
      </c>
      <c r="E102" s="448">
        <f t="shared" si="101"/>
        <v>5017152.1923000002</v>
      </c>
      <c r="F102" s="448">
        <f>'[8]JANUARY 2024'!$V$107*12</f>
        <v>7901.79</v>
      </c>
      <c r="G102" s="451"/>
      <c r="H102" s="451"/>
      <c r="I102" s="448">
        <f t="shared" si="88"/>
        <v>5009250.4023000002</v>
      </c>
      <c r="J102" s="448">
        <v>200000</v>
      </c>
      <c r="K102" s="448">
        <v>0.2</v>
      </c>
      <c r="L102" s="448">
        <f t="shared" si="89"/>
        <v>1001850.08046</v>
      </c>
      <c r="M102" s="448">
        <f t="shared" si="90"/>
        <v>1201850.0804600001</v>
      </c>
      <c r="N102" s="448">
        <f t="shared" si="91"/>
        <v>1209751.8704599999</v>
      </c>
      <c r="O102" s="448">
        <f t="shared" si="92"/>
        <v>3807400.3218399999</v>
      </c>
      <c r="P102" s="448">
        <f t="shared" si="93"/>
        <v>21000</v>
      </c>
      <c r="Q102" s="448">
        <f t="shared" si="94"/>
        <v>33000</v>
      </c>
      <c r="R102" s="448">
        <f t="shared" si="95"/>
        <v>75000</v>
      </c>
      <c r="S102" s="448">
        <f t="shared" si="96"/>
        <v>95000</v>
      </c>
      <c r="T102" s="448">
        <f t="shared" si="97"/>
        <v>336000</v>
      </c>
      <c r="U102" s="448">
        <f>24%*(O102-3200000)</f>
        <v>145776.0772416</v>
      </c>
      <c r="V102" s="448">
        <f t="shared" si="98"/>
        <v>705776.07724160003</v>
      </c>
      <c r="W102" s="455">
        <v>12</v>
      </c>
      <c r="X102" s="448">
        <f t="shared" si="99"/>
        <v>58814.673103466703</v>
      </c>
      <c r="Y102" s="451"/>
      <c r="Z102" s="448">
        <f t="shared" si="100"/>
        <v>58814.673103466703</v>
      </c>
      <c r="AA102" s="193">
        <v>180180.378218667</v>
      </c>
      <c r="AB102" s="533">
        <f t="shared" si="102"/>
        <v>-121365.70511520001</v>
      </c>
      <c r="AC102" s="193" t="s">
        <v>484</v>
      </c>
      <c r="AD102" s="193"/>
      <c r="AE102" s="193"/>
    </row>
    <row r="103" spans="1:31" ht="18.75">
      <c r="A103" s="522">
        <v>88</v>
      </c>
      <c r="B103" s="10" t="s">
        <v>486</v>
      </c>
      <c r="C103" s="448">
        <v>416483.19415499998</v>
      </c>
      <c r="D103" s="447">
        <v>12</v>
      </c>
      <c r="E103" s="448">
        <f t="shared" si="101"/>
        <v>4997798.3298599999</v>
      </c>
      <c r="F103" s="448"/>
      <c r="G103" s="451"/>
      <c r="H103" s="451"/>
      <c r="I103" s="448">
        <f t="shared" si="88"/>
        <v>4997798.3298599999</v>
      </c>
      <c r="J103" s="448">
        <v>200000</v>
      </c>
      <c r="K103" s="448">
        <v>0.2</v>
      </c>
      <c r="L103" s="448">
        <f t="shared" si="89"/>
        <v>999559.66597199999</v>
      </c>
      <c r="M103" s="448">
        <f t="shared" si="90"/>
        <v>1199559.665972</v>
      </c>
      <c r="N103" s="448">
        <f t="shared" si="91"/>
        <v>1199559.665972</v>
      </c>
      <c r="O103" s="448">
        <f t="shared" si="92"/>
        <v>3798238.663888</v>
      </c>
      <c r="P103" s="448">
        <f t="shared" si="93"/>
        <v>21000</v>
      </c>
      <c r="Q103" s="448">
        <f t="shared" si="94"/>
        <v>33000</v>
      </c>
      <c r="R103" s="448">
        <f t="shared" si="95"/>
        <v>75000</v>
      </c>
      <c r="S103" s="448">
        <f t="shared" si="96"/>
        <v>95000</v>
      </c>
      <c r="T103" s="448">
        <f t="shared" si="97"/>
        <v>336000</v>
      </c>
      <c r="U103" s="448">
        <f>0.24*(O103-3200000)</f>
        <v>143577.27933312001</v>
      </c>
      <c r="V103" s="448">
        <f t="shared" si="98"/>
        <v>703577.27933311998</v>
      </c>
      <c r="W103" s="455">
        <v>12</v>
      </c>
      <c r="X103" s="448">
        <f t="shared" si="99"/>
        <v>58631.439944426696</v>
      </c>
      <c r="Y103" s="451"/>
      <c r="Z103" s="448">
        <f t="shared" si="100"/>
        <v>58631.439944426696</v>
      </c>
      <c r="AA103" s="193">
        <v>99907.951418666693</v>
      </c>
      <c r="AB103" s="533">
        <f t="shared" si="102"/>
        <v>-41276.511474239996</v>
      </c>
      <c r="AC103" s="193" t="s">
        <v>486</v>
      </c>
      <c r="AD103" s="193"/>
      <c r="AE103" s="193"/>
    </row>
    <row r="104" spans="1:31" ht="18.75">
      <c r="A104" s="522">
        <v>89</v>
      </c>
      <c r="B104" s="10" t="s">
        <v>487</v>
      </c>
      <c r="C104" s="448">
        <v>266099.21747999999</v>
      </c>
      <c r="D104" s="447">
        <v>12</v>
      </c>
      <c r="E104" s="448">
        <f t="shared" si="101"/>
        <v>3193190.6097599999</v>
      </c>
      <c r="F104" s="448"/>
      <c r="G104" s="451"/>
      <c r="H104" s="451"/>
      <c r="I104" s="448">
        <f t="shared" si="88"/>
        <v>3193190.6097599999</v>
      </c>
      <c r="J104" s="448">
        <v>200000</v>
      </c>
      <c r="K104" s="448">
        <v>0.2</v>
      </c>
      <c r="L104" s="448">
        <f t="shared" si="89"/>
        <v>638638.12195199996</v>
      </c>
      <c r="M104" s="448">
        <f t="shared" si="90"/>
        <v>838638.12195199996</v>
      </c>
      <c r="N104" s="448">
        <f t="shared" si="91"/>
        <v>838638.12195199996</v>
      </c>
      <c r="O104" s="448">
        <f t="shared" si="92"/>
        <v>2354552.4878079998</v>
      </c>
      <c r="P104" s="448">
        <f t="shared" si="93"/>
        <v>21000</v>
      </c>
      <c r="Q104" s="448">
        <f t="shared" si="94"/>
        <v>33000</v>
      </c>
      <c r="R104" s="448">
        <f t="shared" si="95"/>
        <v>75000</v>
      </c>
      <c r="S104" s="448">
        <f t="shared" si="96"/>
        <v>95000</v>
      </c>
      <c r="T104" s="448">
        <f t="shared" si="97"/>
        <v>158456.02243968</v>
      </c>
      <c r="U104" s="448"/>
      <c r="V104" s="448">
        <f t="shared" si="98"/>
        <v>382456.02243968</v>
      </c>
      <c r="W104" s="455">
        <v>12</v>
      </c>
      <c r="X104" s="448">
        <f t="shared" si="99"/>
        <v>31871.335203306699</v>
      </c>
      <c r="Y104" s="451"/>
      <c r="Z104" s="448">
        <f t="shared" si="100"/>
        <v>31871.335203306699</v>
      </c>
      <c r="AA104" s="193">
        <v>58941.101743466701</v>
      </c>
      <c r="AB104" s="533">
        <f t="shared" si="102"/>
        <v>-27069.766540159999</v>
      </c>
      <c r="AC104" s="193" t="s">
        <v>487</v>
      </c>
      <c r="AD104" s="193"/>
      <c r="AE104" s="193"/>
    </row>
    <row r="105" spans="1:31" ht="37.5">
      <c r="A105" s="522"/>
      <c r="B105" s="17" t="s">
        <v>490</v>
      </c>
      <c r="C105" s="448">
        <v>262229.04100000003</v>
      </c>
      <c r="D105" s="447">
        <v>12</v>
      </c>
      <c r="E105" s="448">
        <f t="shared" si="101"/>
        <v>3146748.4920000001</v>
      </c>
      <c r="F105" s="448"/>
      <c r="G105" s="451"/>
      <c r="H105" s="451"/>
      <c r="I105" s="448">
        <f t="shared" si="88"/>
        <v>3146748.4920000001</v>
      </c>
      <c r="J105" s="448">
        <v>200000</v>
      </c>
      <c r="K105" s="448">
        <v>0.2</v>
      </c>
      <c r="L105" s="448">
        <f t="shared" si="89"/>
        <v>629349.69839999999</v>
      </c>
      <c r="M105" s="448">
        <f t="shared" si="90"/>
        <v>829349.69839999999</v>
      </c>
      <c r="N105" s="448">
        <f t="shared" si="91"/>
        <v>829349.69839999999</v>
      </c>
      <c r="O105" s="448">
        <f t="shared" si="92"/>
        <v>2317398.7936</v>
      </c>
      <c r="P105" s="448">
        <f t="shared" si="93"/>
        <v>21000</v>
      </c>
      <c r="Q105" s="448">
        <f t="shared" si="94"/>
        <v>33000</v>
      </c>
      <c r="R105" s="448">
        <f t="shared" si="95"/>
        <v>75000</v>
      </c>
      <c r="S105" s="448">
        <f t="shared" si="96"/>
        <v>95000</v>
      </c>
      <c r="T105" s="448">
        <f t="shared" si="97"/>
        <v>150653.746656</v>
      </c>
      <c r="U105" s="448"/>
      <c r="V105" s="448">
        <f t="shared" si="98"/>
        <v>374653.74665599997</v>
      </c>
      <c r="W105" s="455">
        <v>12</v>
      </c>
      <c r="X105" s="448">
        <f t="shared" si="99"/>
        <v>31221.145554666698</v>
      </c>
      <c r="Y105" s="451"/>
      <c r="Z105" s="448">
        <f t="shared" si="100"/>
        <v>31221.145554666698</v>
      </c>
      <c r="AA105" s="193">
        <v>58631.439944426696</v>
      </c>
      <c r="AB105" s="533">
        <f t="shared" si="102"/>
        <v>-27410.294389760002</v>
      </c>
      <c r="AC105" s="193" t="s">
        <v>490</v>
      </c>
      <c r="AD105" s="193"/>
      <c r="AE105" s="193"/>
    </row>
    <row r="106" spans="1:31" ht="18.75">
      <c r="A106" s="522"/>
      <c r="B106" s="17" t="s">
        <v>492</v>
      </c>
      <c r="C106" s="448">
        <v>254870.26344499999</v>
      </c>
      <c r="D106" s="447">
        <v>12</v>
      </c>
      <c r="E106" s="448">
        <f t="shared" si="101"/>
        <v>3058443.1613400001</v>
      </c>
      <c r="F106" s="276"/>
      <c r="G106" s="451"/>
      <c r="H106" s="451"/>
      <c r="I106" s="448">
        <f>E106-F107-G106-H106</f>
        <v>3058443.1613400001</v>
      </c>
      <c r="J106" s="448">
        <v>200000</v>
      </c>
      <c r="K106" s="448">
        <v>0.2</v>
      </c>
      <c r="L106" s="448">
        <f t="shared" si="89"/>
        <v>611688.63226800004</v>
      </c>
      <c r="M106" s="448">
        <f t="shared" si="90"/>
        <v>811688.63226800004</v>
      </c>
      <c r="N106" s="448">
        <f>F107+G106+H106+M106</f>
        <v>811688.63226800004</v>
      </c>
      <c r="O106" s="448">
        <f t="shared" si="92"/>
        <v>2246754.5290720002</v>
      </c>
      <c r="P106" s="448">
        <f t="shared" si="93"/>
        <v>21000</v>
      </c>
      <c r="Q106" s="448">
        <f t="shared" si="94"/>
        <v>33000</v>
      </c>
      <c r="R106" s="448">
        <f t="shared" si="95"/>
        <v>75000</v>
      </c>
      <c r="S106" s="448">
        <f t="shared" si="96"/>
        <v>95000</v>
      </c>
      <c r="T106" s="448">
        <f t="shared" si="97"/>
        <v>135818.45110512001</v>
      </c>
      <c r="U106" s="448"/>
      <c r="V106" s="448">
        <f t="shared" si="98"/>
        <v>359818.45110512001</v>
      </c>
      <c r="W106" s="455">
        <v>12</v>
      </c>
      <c r="X106" s="448">
        <f t="shared" si="99"/>
        <v>29984.870925426701</v>
      </c>
      <c r="Y106" s="451"/>
      <c r="Z106" s="448">
        <f t="shared" si="100"/>
        <v>29984.870925426701</v>
      </c>
      <c r="AA106" s="193">
        <v>31871.335203306699</v>
      </c>
      <c r="AB106" s="533">
        <f t="shared" si="102"/>
        <v>-1886.4642778800301</v>
      </c>
      <c r="AC106" s="193" t="s">
        <v>492</v>
      </c>
      <c r="AD106" s="193"/>
      <c r="AE106" s="193"/>
    </row>
    <row r="107" spans="1:31" ht="18.75">
      <c r="A107" s="522"/>
      <c r="B107" s="19" t="s">
        <v>42</v>
      </c>
      <c r="C107" s="448"/>
      <c r="D107" s="447"/>
      <c r="E107" s="448"/>
      <c r="F107" s="448"/>
      <c r="G107" s="451"/>
      <c r="H107" s="451"/>
      <c r="I107" s="448"/>
      <c r="J107" s="448"/>
      <c r="K107" s="448"/>
      <c r="L107" s="448"/>
      <c r="M107" s="448"/>
      <c r="N107" s="448"/>
      <c r="O107" s="448"/>
      <c r="P107" s="448"/>
      <c r="Q107" s="448"/>
      <c r="R107" s="448"/>
      <c r="S107" s="448"/>
      <c r="T107" s="448"/>
      <c r="U107" s="448"/>
      <c r="V107" s="448"/>
      <c r="W107" s="455"/>
      <c r="X107" s="448"/>
      <c r="Y107" s="451"/>
      <c r="Z107" s="448"/>
      <c r="AA107" s="193"/>
      <c r="AB107" s="538">
        <f>SUM(AB100:AB106)</f>
        <v>-219008.741797241</v>
      </c>
      <c r="AC107" s="193"/>
      <c r="AD107" s="193"/>
      <c r="AE107" s="193"/>
    </row>
    <row r="108" spans="1:31" ht="18.75">
      <c r="A108" s="522">
        <v>90</v>
      </c>
      <c r="B108" s="19"/>
      <c r="C108" s="448"/>
      <c r="D108" s="276"/>
      <c r="E108" s="276"/>
      <c r="F108" s="276"/>
      <c r="G108" s="276"/>
      <c r="H108" s="276"/>
      <c r="I108" s="276"/>
      <c r="J108" s="276"/>
      <c r="K108" s="276"/>
      <c r="L108" s="276"/>
      <c r="M108" s="276"/>
      <c r="N108" s="276"/>
      <c r="O108" s="276"/>
      <c r="P108" s="276"/>
      <c r="Q108" s="276"/>
      <c r="R108" s="276"/>
      <c r="S108" s="276"/>
      <c r="T108" s="276"/>
      <c r="U108" s="448"/>
      <c r="V108" s="276"/>
      <c r="W108" s="276"/>
      <c r="X108" s="276"/>
      <c r="Y108" s="276"/>
      <c r="Z108" s="276"/>
      <c r="AC108" s="193"/>
      <c r="AD108" s="193"/>
      <c r="AE108" s="193"/>
    </row>
    <row r="109" spans="1:31" ht="37.5">
      <c r="A109" s="522">
        <v>91</v>
      </c>
      <c r="B109" s="19" t="s">
        <v>242</v>
      </c>
      <c r="C109" s="448"/>
      <c r="D109" s="276"/>
      <c r="E109" s="276"/>
      <c r="F109" s="276"/>
      <c r="G109" s="276"/>
      <c r="H109" s="276"/>
      <c r="I109" s="276"/>
      <c r="J109" s="276"/>
      <c r="K109" s="276"/>
      <c r="L109" s="276"/>
      <c r="M109" s="276"/>
      <c r="N109" s="276"/>
      <c r="O109" s="276"/>
      <c r="P109" s="276"/>
      <c r="Q109" s="276"/>
      <c r="R109" s="276"/>
      <c r="S109" s="276"/>
      <c r="T109" s="276"/>
      <c r="U109" s="448"/>
      <c r="V109" s="276"/>
      <c r="W109" s="276"/>
      <c r="X109" s="276"/>
      <c r="Y109" s="276"/>
      <c r="Z109" s="276"/>
      <c r="AC109" s="193"/>
      <c r="AD109" s="193"/>
      <c r="AE109" s="193"/>
    </row>
    <row r="110" spans="1:31" ht="37.5">
      <c r="A110" s="522">
        <v>92</v>
      </c>
      <c r="B110" s="13" t="s">
        <v>493</v>
      </c>
      <c r="C110" s="448">
        <v>516137.05</v>
      </c>
      <c r="D110" s="447">
        <v>12</v>
      </c>
      <c r="E110" s="448">
        <f>C110*D110</f>
        <v>6193644.5999999996</v>
      </c>
      <c r="F110" s="448">
        <f>'[8]JANUARY 2024'!$V$115*12</f>
        <v>9678.9599999999991</v>
      </c>
      <c r="G110" s="451"/>
      <c r="H110" s="451"/>
      <c r="I110" s="448">
        <f>E110-F110-G110-H110</f>
        <v>6183965.6399999997</v>
      </c>
      <c r="J110" s="448">
        <v>200000</v>
      </c>
      <c r="K110" s="448">
        <v>0.2</v>
      </c>
      <c r="L110" s="448">
        <f>I110*K110</f>
        <v>1236793.128</v>
      </c>
      <c r="M110" s="448">
        <f>J110+L110</f>
        <v>1436793.128</v>
      </c>
      <c r="N110" s="448">
        <f>F110+G110+H110+M110</f>
        <v>1446472.088</v>
      </c>
      <c r="O110" s="448">
        <f>E110-N110</f>
        <v>4747172.5120000001</v>
      </c>
      <c r="P110" s="448">
        <f>IF(O110&lt;300000,0.07*O110,21000)</f>
        <v>21000</v>
      </c>
      <c r="Q110" s="448">
        <f>IF((O110-300000)&lt;0,0,IF((O110-300000)&lt;300000,0.11*(O110-300000),33000))</f>
        <v>33000</v>
      </c>
      <c r="R110" s="448">
        <f>IF((O110-600000)&lt;0,0,IF((O110-600000)&lt;500000,0.15*(O110-600000),75000))</f>
        <v>75000</v>
      </c>
      <c r="S110" s="448">
        <f>IF((O110-1100000)&lt;0,0,IF((O110-1100000)&lt;500000,0.19*(O110-1100000),95000))</f>
        <v>95000</v>
      </c>
      <c r="T110" s="448">
        <f>IF((O110-1600000)&lt;0,0,IF((O110-1600000)&lt;1600000,0.21*(O110-1600000),336000))</f>
        <v>336000</v>
      </c>
      <c r="U110" s="448">
        <f t="shared" ref="U110:U131" si="103">0.24*(O110-3200000)</f>
        <v>371321.40288000001</v>
      </c>
      <c r="V110" s="448">
        <f>P110+Q110+R110+S110+T110+U110</f>
        <v>931321.40287999995</v>
      </c>
      <c r="W110" s="455">
        <v>12</v>
      </c>
      <c r="X110" s="448">
        <f>V110/W110</f>
        <v>77610.116906666706</v>
      </c>
      <c r="Y110" s="451"/>
      <c r="Z110" s="448">
        <f>X110</f>
        <v>77610.116906666706</v>
      </c>
      <c r="AA110" s="193">
        <v>77610.116906666706</v>
      </c>
      <c r="AB110" s="193">
        <f>Z110-AA110</f>
        <v>0</v>
      </c>
      <c r="AC110" s="193"/>
      <c r="AD110" s="193"/>
      <c r="AE110" s="193"/>
    </row>
    <row r="111" spans="1:31" ht="18.75">
      <c r="A111" s="522">
        <v>93</v>
      </c>
      <c r="B111" s="10" t="s">
        <v>494</v>
      </c>
      <c r="C111" s="448">
        <v>334536.99849999999</v>
      </c>
      <c r="D111" s="447">
        <v>12</v>
      </c>
      <c r="E111" s="448">
        <f t="shared" ref="E111:E112" si="104">C111*D111</f>
        <v>4014443.9819999998</v>
      </c>
      <c r="F111" s="448"/>
      <c r="G111" s="451"/>
      <c r="H111" s="451"/>
      <c r="I111" s="448">
        <f>E111-F111-G111-H111</f>
        <v>4014443.9819999998</v>
      </c>
      <c r="J111" s="448">
        <v>200000</v>
      </c>
      <c r="K111" s="448">
        <v>0.2</v>
      </c>
      <c r="L111" s="448">
        <f>I111*K111</f>
        <v>802888.79639999999</v>
      </c>
      <c r="M111" s="448">
        <f>J111+L111</f>
        <v>1002888.7964</v>
      </c>
      <c r="N111" s="448">
        <f>F111+G111+H111+M111</f>
        <v>1002888.7964</v>
      </c>
      <c r="O111" s="448">
        <f>E111-N111</f>
        <v>3011555.1856</v>
      </c>
      <c r="P111" s="448">
        <f>IF(O111&lt;300000,0.07*O111,21000)</f>
        <v>21000</v>
      </c>
      <c r="Q111" s="448">
        <f>IF((O111-300000)&lt;0,0,IF((O111-300000)&lt;300000,0.11*(O111-300000),33000))</f>
        <v>33000</v>
      </c>
      <c r="R111" s="448">
        <f>IF((O111-600000)&lt;0,0,IF((O111-600000)&lt;500000,0.15*(O111-600000),75000))</f>
        <v>75000</v>
      </c>
      <c r="S111" s="448">
        <f>IF((O111-1100000)&lt;0,0,IF((O111-1100000)&lt;500000,0.19*(O111-1100000),95000))</f>
        <v>95000</v>
      </c>
      <c r="T111" s="448">
        <f>IF((O111-1600000)&lt;0,0,IF((O111-1600000)&lt;1600000,0.21*(O111-1600000),336000))</f>
        <v>296426.58897600003</v>
      </c>
      <c r="U111" s="448"/>
      <c r="V111" s="448">
        <f>P111+Q111+R111+S111+T111+U111</f>
        <v>520426.58897600003</v>
      </c>
      <c r="W111" s="455">
        <v>12</v>
      </c>
      <c r="X111" s="448">
        <f>V111/W111</f>
        <v>43368.882414666703</v>
      </c>
      <c r="Y111" s="451"/>
      <c r="Z111" s="448">
        <f>X111</f>
        <v>43368.882414666703</v>
      </c>
      <c r="AA111" s="193">
        <v>43368.882414666703</v>
      </c>
      <c r="AB111" s="193">
        <f t="shared" ref="AB111:AB112" si="105">Z111-AA111</f>
        <v>0</v>
      </c>
      <c r="AC111" s="193"/>
      <c r="AD111" s="193"/>
      <c r="AE111" s="193"/>
    </row>
    <row r="112" spans="1:31" ht="37.5">
      <c r="A112" s="522">
        <v>94</v>
      </c>
      <c r="B112" s="10" t="s">
        <v>496</v>
      </c>
      <c r="C112" s="454">
        <v>286619.99875000003</v>
      </c>
      <c r="D112" s="447">
        <v>12</v>
      </c>
      <c r="E112" s="448">
        <f t="shared" si="104"/>
        <v>3439439.9849999999</v>
      </c>
      <c r="F112" s="448">
        <f>'[8]JANUARY 2024'!$V$117*12</f>
        <v>6919.4549999999999</v>
      </c>
      <c r="G112" s="451"/>
      <c r="H112" s="451"/>
      <c r="I112" s="448">
        <f>E112-F112-G112-H112</f>
        <v>3432520.53</v>
      </c>
      <c r="J112" s="448">
        <v>200000</v>
      </c>
      <c r="K112" s="448">
        <v>0.2</v>
      </c>
      <c r="L112" s="448">
        <f>I112*K112</f>
        <v>686504.10600000003</v>
      </c>
      <c r="M112" s="448">
        <f>J112+L112</f>
        <v>886504.10600000003</v>
      </c>
      <c r="N112" s="448">
        <f>F112+G112+H112+M112</f>
        <v>893423.56099999999</v>
      </c>
      <c r="O112" s="448">
        <f>E112-N112</f>
        <v>2546016.4240000001</v>
      </c>
      <c r="P112" s="448">
        <f>IF(O112&lt;300000,0.07*O112,21000)</f>
        <v>21000</v>
      </c>
      <c r="Q112" s="448">
        <f>IF((O112-300000)&lt;0,0,IF((O112-300000)&lt;300000,0.11*(O112-300000),33000))</f>
        <v>33000</v>
      </c>
      <c r="R112" s="448">
        <f>IF((O112-600000)&lt;0,0,IF((O112-600000)&lt;500000,0.15*(O112-600000),75000))</f>
        <v>75000</v>
      </c>
      <c r="S112" s="448">
        <f>IF((O112-1100000)&lt;0,0,IF((O112-1100000)&lt;500000,0.19*(O112-1100000),95000))</f>
        <v>95000</v>
      </c>
      <c r="T112" s="448">
        <f>IF((O112-1600000)&lt;0,0,IF((O112-1600000)&lt;1600000,0.21*(O112-1600000),336000))</f>
        <v>198663.44904000001</v>
      </c>
      <c r="U112" s="448"/>
      <c r="V112" s="448">
        <f>P112+Q112+R112+S112+T112+U112</f>
        <v>422663.44903999998</v>
      </c>
      <c r="W112" s="455">
        <v>12</v>
      </c>
      <c r="X112" s="448">
        <f>V112/W112</f>
        <v>35221.954086666701</v>
      </c>
      <c r="Y112" s="451"/>
      <c r="Z112" s="448">
        <f>X112</f>
        <v>35221.954086666701</v>
      </c>
      <c r="AA112" s="193">
        <v>35221.954086666701</v>
      </c>
      <c r="AB112" s="193">
        <f t="shared" si="105"/>
        <v>0</v>
      </c>
      <c r="AC112" s="193"/>
      <c r="AD112" s="193"/>
      <c r="AE112" s="193"/>
    </row>
    <row r="113" spans="1:31" s="518" customFormat="1" ht="18.75">
      <c r="A113" s="526">
        <v>95</v>
      </c>
      <c r="B113" s="19"/>
      <c r="C113" s="448"/>
      <c r="D113" s="447"/>
      <c r="E113" s="448"/>
      <c r="F113" s="448"/>
      <c r="G113" s="451"/>
      <c r="H113" s="451"/>
      <c r="I113" s="448"/>
      <c r="J113" s="448"/>
      <c r="K113" s="448"/>
      <c r="L113" s="448"/>
      <c r="M113" s="448"/>
      <c r="N113" s="448"/>
      <c r="O113" s="448"/>
      <c r="P113" s="448"/>
      <c r="Q113" s="448"/>
      <c r="R113" s="448"/>
      <c r="S113" s="448"/>
      <c r="T113" s="448"/>
      <c r="U113" s="448"/>
      <c r="V113" s="448"/>
      <c r="W113" s="455"/>
      <c r="X113" s="448"/>
      <c r="Y113" s="451"/>
      <c r="Z113" s="448"/>
      <c r="AA113" s="460"/>
      <c r="AB113" s="193"/>
      <c r="AC113" s="535"/>
      <c r="AD113" s="535"/>
      <c r="AE113" s="535"/>
    </row>
    <row r="114" spans="1:31" s="518" customFormat="1" ht="18.75">
      <c r="A114" s="526">
        <v>96</v>
      </c>
      <c r="B114" s="21"/>
      <c r="C114" s="448"/>
      <c r="D114" s="276"/>
      <c r="E114" s="276"/>
      <c r="F114" s="276"/>
      <c r="G114" s="276"/>
      <c r="H114" s="276"/>
      <c r="I114" s="276"/>
      <c r="J114" s="276"/>
      <c r="K114" s="276"/>
      <c r="L114" s="276"/>
      <c r="M114" s="276"/>
      <c r="N114" s="276"/>
      <c r="O114" s="276"/>
      <c r="P114" s="276"/>
      <c r="Q114" s="276"/>
      <c r="R114" s="276"/>
      <c r="S114" s="276"/>
      <c r="T114" s="276"/>
      <c r="U114" s="448"/>
      <c r="V114" s="276"/>
      <c r="W114" s="276"/>
      <c r="X114" s="276"/>
      <c r="Y114" s="276"/>
      <c r="Z114" s="276"/>
      <c r="AA114" s="276"/>
      <c r="AC114" s="535"/>
      <c r="AD114" s="535"/>
      <c r="AE114" s="535"/>
    </row>
    <row r="115" spans="1:31" ht="18.75">
      <c r="A115" s="522">
        <v>97</v>
      </c>
      <c r="B115" s="19" t="s">
        <v>97</v>
      </c>
      <c r="C115" s="448"/>
      <c r="D115" s="276"/>
      <c r="E115" s="276"/>
      <c r="F115" s="276"/>
      <c r="G115" s="276"/>
      <c r="H115" s="276"/>
      <c r="I115" s="276"/>
      <c r="J115" s="276"/>
      <c r="K115" s="276"/>
      <c r="L115" s="276"/>
      <c r="M115" s="276"/>
      <c r="N115" s="276"/>
      <c r="O115" s="276"/>
      <c r="P115" s="276"/>
      <c r="Q115" s="276"/>
      <c r="R115" s="276"/>
      <c r="S115" s="276"/>
      <c r="T115" s="276"/>
      <c r="U115" s="448"/>
      <c r="V115" s="276"/>
      <c r="W115" s="276"/>
      <c r="X115" s="276"/>
      <c r="Y115" s="276"/>
      <c r="Z115" s="276"/>
      <c r="AA115" s="276"/>
      <c r="AC115" s="193"/>
      <c r="AD115" s="193"/>
      <c r="AE115" s="193"/>
    </row>
    <row r="116" spans="1:31" ht="18.75">
      <c r="A116" s="522">
        <v>98</v>
      </c>
      <c r="B116" s="10" t="s">
        <v>499</v>
      </c>
      <c r="C116" s="448">
        <v>1050209.0634999999</v>
      </c>
      <c r="D116" s="447">
        <v>12</v>
      </c>
      <c r="E116" s="448">
        <f>C116*D116</f>
        <v>12602508.762</v>
      </c>
      <c r="F116" s="448">
        <f>2043.5005*12</f>
        <v>24522.006000000001</v>
      </c>
      <c r="G116" s="451"/>
      <c r="H116" s="451"/>
      <c r="I116" s="448">
        <f>E116-F116-G116-H116</f>
        <v>12577986.755999999</v>
      </c>
      <c r="J116" s="448">
        <v>200000</v>
      </c>
      <c r="K116" s="448">
        <v>0.2</v>
      </c>
      <c r="L116" s="448">
        <f>I116*K116</f>
        <v>2515597.3511999999</v>
      </c>
      <c r="M116" s="448">
        <f>J116+L116</f>
        <v>2715597.3511999999</v>
      </c>
      <c r="N116" s="448">
        <f>F116+G116+H116+M116</f>
        <v>2740119.3572</v>
      </c>
      <c r="O116" s="448">
        <f>E116-N116</f>
        <v>9862389.4047999997</v>
      </c>
      <c r="P116" s="448">
        <f>IF(O116&lt;300000,0.07*O116,21000)</f>
        <v>21000</v>
      </c>
      <c r="Q116" s="448">
        <f>IF((O116-300000)&lt;0,0,IF((O116-300000)&lt;300000,0.11*(O116-300000),33000))</f>
        <v>33000</v>
      </c>
      <c r="R116" s="448">
        <f>IF((O116-600000)&lt;0,0,IF((O116-600000)&lt;500000,0.15*(O116-600000),75000))</f>
        <v>75000</v>
      </c>
      <c r="S116" s="448">
        <f>IF((O116-1100000)&lt;0,0,IF((O116-1100000)&lt;500000,0.19*(O116-1100000),95000))</f>
        <v>95000</v>
      </c>
      <c r="T116" s="448">
        <f>IF((O116-1600000)&lt;0,0,IF((O116-1600000)&lt;1600000,0.21*(O116-1600000),336000))</f>
        <v>336000</v>
      </c>
      <c r="U116" s="448">
        <f t="shared" si="103"/>
        <v>1598973.4571519999</v>
      </c>
      <c r="V116" s="448">
        <f>P116+Q116+R116+S116+T116+U116</f>
        <v>2158973.4571520002</v>
      </c>
      <c r="W116" s="455">
        <v>12</v>
      </c>
      <c r="X116" s="448">
        <f>V116/W116</f>
        <v>179914.45476266701</v>
      </c>
      <c r="Y116" s="451"/>
      <c r="Z116" s="448">
        <f>X116</f>
        <v>179914.45476266701</v>
      </c>
      <c r="AA116" s="460">
        <v>179914.45476266701</v>
      </c>
      <c r="AB116" s="535">
        <f>Z116-AA116</f>
        <v>-3.7834979593753799E-10</v>
      </c>
      <c r="AC116" s="193"/>
      <c r="AD116" s="193"/>
      <c r="AE116" s="193"/>
    </row>
    <row r="117" spans="1:31" ht="18.75">
      <c r="A117" s="522">
        <v>99</v>
      </c>
      <c r="B117" s="10" t="s">
        <v>178</v>
      </c>
      <c r="C117" s="448">
        <v>627743.99575</v>
      </c>
      <c r="D117" s="447">
        <v>12</v>
      </c>
      <c r="E117" s="448">
        <f t="shared" ref="E117:E125" si="106">C117*D117</f>
        <v>7532927.949</v>
      </c>
      <c r="F117" s="448">
        <f>1028.94225*12</f>
        <v>12347.307000000001</v>
      </c>
      <c r="G117" s="451"/>
      <c r="H117" s="451"/>
      <c r="I117" s="448">
        <f>E117-F117-G117-H117</f>
        <v>7520580.642</v>
      </c>
      <c r="J117" s="448">
        <v>200000</v>
      </c>
      <c r="K117" s="448">
        <v>0.2</v>
      </c>
      <c r="L117" s="448">
        <f>I117*K117</f>
        <v>1504116.1284</v>
      </c>
      <c r="M117" s="448">
        <f>J117+L117</f>
        <v>1704116.1284</v>
      </c>
      <c r="N117" s="448">
        <f>F117+G117+H117+M117</f>
        <v>1716463.4354000001</v>
      </c>
      <c r="O117" s="448">
        <f>E117-N117</f>
        <v>5816464.5136000002</v>
      </c>
      <c r="P117" s="448">
        <f>IF(O117&lt;300000,0.07*O117,21000)</f>
        <v>21000</v>
      </c>
      <c r="Q117" s="448">
        <f>IF((O117-300000)&lt;0,0,IF((O117-300000)&lt;300000,0.11*(O117-300000),33000))</f>
        <v>33000</v>
      </c>
      <c r="R117" s="448">
        <f>IF((O117-600000)&lt;0,0,IF((O117-600000)&lt;500000,0.15*(O117-600000),75000))</f>
        <v>75000</v>
      </c>
      <c r="S117" s="448">
        <f>IF((O117-1100000)&lt;0,0,IF((O117-1100000)&lt;500000,0.19*(O117-1100000),95000))</f>
        <v>95000</v>
      </c>
      <c r="T117" s="448">
        <f>IF((O117-1600000)&lt;0,0,IF((O117-1600000)&lt;1600000,0.21*(O117-1600000),336000))</f>
        <v>336000</v>
      </c>
      <c r="U117" s="448">
        <f t="shared" si="103"/>
        <v>627951.48326400004</v>
      </c>
      <c r="V117" s="448">
        <f>P117+Q117+R117+S117+T117+U117</f>
        <v>1187951.4832639999</v>
      </c>
      <c r="W117" s="455">
        <v>12</v>
      </c>
      <c r="X117" s="448">
        <f>V117/W117</f>
        <v>98995.956938666699</v>
      </c>
      <c r="Y117" s="451"/>
      <c r="Z117" s="448">
        <f>X117</f>
        <v>98995.956938666699</v>
      </c>
      <c r="AA117" s="460">
        <v>98995.956938666699</v>
      </c>
      <c r="AB117" s="535">
        <f t="shared" ref="AB117:AB125" si="107">Z117-AA117</f>
        <v>0</v>
      </c>
      <c r="AC117" s="193"/>
      <c r="AD117" s="193"/>
      <c r="AE117" s="193"/>
    </row>
    <row r="118" spans="1:31" ht="18.75">
      <c r="A118" s="522"/>
      <c r="B118" s="13" t="s">
        <v>502</v>
      </c>
      <c r="C118" s="448">
        <v>577553.50249999994</v>
      </c>
      <c r="D118" s="447">
        <v>12</v>
      </c>
      <c r="E118" s="448">
        <f t="shared" si="106"/>
        <v>6930642.0300000003</v>
      </c>
      <c r="F118" s="448">
        <f>837.6875*12</f>
        <v>10052.25</v>
      </c>
      <c r="G118" s="451"/>
      <c r="H118" s="451"/>
      <c r="I118" s="448">
        <f>E118-F118-G118-H118</f>
        <v>6920589.7800000003</v>
      </c>
      <c r="J118" s="448">
        <v>200000</v>
      </c>
      <c r="K118" s="448">
        <v>0.2</v>
      </c>
      <c r="L118" s="448">
        <f>I118*K118</f>
        <v>1384117.956</v>
      </c>
      <c r="M118" s="448">
        <f>J118+L118</f>
        <v>1584117.956</v>
      </c>
      <c r="N118" s="448">
        <f>F118+G118+H118+M118</f>
        <v>1594170.206</v>
      </c>
      <c r="O118" s="448">
        <f>E118-N118</f>
        <v>5336471.824</v>
      </c>
      <c r="P118" s="448">
        <f>IF(O118&lt;300000,0.07*O118,21000)</f>
        <v>21000</v>
      </c>
      <c r="Q118" s="448">
        <f>IF((O118-300000)&lt;0,0,IF((O118-300000)&lt;300000,0.11*(O118-300000),33000))</f>
        <v>33000</v>
      </c>
      <c r="R118" s="448">
        <f>IF((O118-600000)&lt;0,0,IF((O118-600000)&lt;500000,0.15*(O118-600000),75000))</f>
        <v>75000</v>
      </c>
      <c r="S118" s="448">
        <f>IF((O118-1100000)&lt;0,0,IF((O118-1100000)&lt;500000,0.19*(O118-1100000),95000))</f>
        <v>95000</v>
      </c>
      <c r="T118" s="448">
        <f>IF((O118-1600000)&lt;0,0,IF((O118-1600000)&lt;1600000,0.21*(O118-1600000),336000))</f>
        <v>336000</v>
      </c>
      <c r="U118" s="448">
        <f t="shared" si="103"/>
        <v>512753.23775999999</v>
      </c>
      <c r="V118" s="448">
        <f>P118+Q118+R118+S118+T118+U118</f>
        <v>1072753.2377599999</v>
      </c>
      <c r="W118" s="455">
        <v>12</v>
      </c>
      <c r="X118" s="448">
        <f>V118/W118</f>
        <v>89396.103146666603</v>
      </c>
      <c r="Y118" s="451"/>
      <c r="Z118" s="448">
        <f>X118</f>
        <v>89396.103146666603</v>
      </c>
      <c r="AA118" s="460">
        <v>89396.103146666603</v>
      </c>
      <c r="AB118" s="535">
        <f t="shared" si="107"/>
        <v>0</v>
      </c>
      <c r="AC118" s="193"/>
      <c r="AD118" s="193"/>
      <c r="AE118" s="193"/>
    </row>
    <row r="119" spans="1:31" ht="18.75">
      <c r="A119" s="522"/>
      <c r="B119" s="13" t="s">
        <v>336</v>
      </c>
      <c r="C119" s="448">
        <v>424729.22200000001</v>
      </c>
      <c r="D119" s="447">
        <v>12</v>
      </c>
      <c r="E119" s="448">
        <f t="shared" si="106"/>
        <v>5096750.6639999999</v>
      </c>
      <c r="F119" s="448"/>
      <c r="G119" s="451"/>
      <c r="H119" s="451"/>
      <c r="I119" s="448">
        <f>E119-F119-G119-H119</f>
        <v>5096750.6639999999</v>
      </c>
      <c r="J119" s="448">
        <v>200000</v>
      </c>
      <c r="K119" s="448">
        <v>0.2</v>
      </c>
      <c r="L119" s="448">
        <f>I119*K119</f>
        <v>1019350.1328</v>
      </c>
      <c r="M119" s="448">
        <f>J119+L119</f>
        <v>1219350.1328</v>
      </c>
      <c r="N119" s="448">
        <f>F119+G119+H119+M119</f>
        <v>1219350.1328</v>
      </c>
      <c r="O119" s="448">
        <f>E119-N119</f>
        <v>3877400.5312000001</v>
      </c>
      <c r="P119" s="448">
        <f>IF(O119&lt;300000,0.07*O119,21000)</f>
        <v>21000</v>
      </c>
      <c r="Q119" s="448">
        <f>IF((O119-300000)&lt;0,0,IF((O119-300000)&lt;300000,0.11*(O119-300000),33000))</f>
        <v>33000</v>
      </c>
      <c r="R119" s="448">
        <f>IF((O119-600000)&lt;0,0,IF((O119-600000)&lt;500000,0.15*(O119-600000),75000))</f>
        <v>75000</v>
      </c>
      <c r="S119" s="448">
        <f>IF((O119-1100000)&lt;0,0,IF((O119-1100000)&lt;500000,0.19*(O119-1100000),95000))</f>
        <v>95000</v>
      </c>
      <c r="T119" s="448">
        <f>IF((O119-1600000)&lt;0,0,IF((O119-1600000)&lt;1600000,0.21*(O119-1600000),336000))</f>
        <v>336000</v>
      </c>
      <c r="U119" s="448">
        <f t="shared" si="103"/>
        <v>162576.127488</v>
      </c>
      <c r="V119" s="448">
        <f>P119+Q119+R119+S119+T119+U119</f>
        <v>722576.12748799997</v>
      </c>
      <c r="W119" s="455">
        <v>12</v>
      </c>
      <c r="X119" s="448">
        <f>V119/W119</f>
        <v>60214.677290666703</v>
      </c>
      <c r="Y119" s="451"/>
      <c r="Z119" s="448">
        <f>X119</f>
        <v>60214.677290666703</v>
      </c>
      <c r="AA119" s="460">
        <v>60214.677290666703</v>
      </c>
      <c r="AB119" s="535">
        <f t="shared" si="107"/>
        <v>0</v>
      </c>
      <c r="AC119" s="193"/>
      <c r="AD119" s="193"/>
      <c r="AE119" s="193"/>
    </row>
    <row r="120" spans="1:31" ht="18.75">
      <c r="A120" s="522">
        <v>101</v>
      </c>
      <c r="B120" s="10" t="s">
        <v>503</v>
      </c>
      <c r="C120" s="448">
        <v>343333.03525000002</v>
      </c>
      <c r="D120" s="447">
        <v>12</v>
      </c>
      <c r="E120" s="448">
        <f t="shared" si="106"/>
        <v>4119996.423</v>
      </c>
      <c r="F120" s="448"/>
      <c r="G120" s="451"/>
      <c r="H120" s="451"/>
      <c r="I120" s="448">
        <f t="shared" ref="I120:I125" si="108">E120-F120-G120-H120</f>
        <v>4119996.423</v>
      </c>
      <c r="J120" s="448">
        <v>200000</v>
      </c>
      <c r="K120" s="448">
        <v>0.2</v>
      </c>
      <c r="L120" s="448">
        <f t="shared" ref="L120:L125" si="109">I120*K120</f>
        <v>823999.28460000001</v>
      </c>
      <c r="M120" s="448">
        <f t="shared" ref="M120:M125" si="110">J120+L120</f>
        <v>1023999.2846</v>
      </c>
      <c r="N120" s="448">
        <f t="shared" ref="N120:N125" si="111">F120+G120+H120+M120</f>
        <v>1023999.2846</v>
      </c>
      <c r="O120" s="448">
        <f t="shared" ref="O120:O125" si="112">E120-N120</f>
        <v>3095997.1384000001</v>
      </c>
      <c r="P120" s="448">
        <f t="shared" ref="P120:P125" si="113">IF(O120&lt;300000,0.07*O120,21000)</f>
        <v>21000</v>
      </c>
      <c r="Q120" s="448">
        <f t="shared" ref="Q120:Q125" si="114">IF((O120-300000)&lt;0,0,IF((O120-300000)&lt;300000,0.11*(O120-300000),33000))</f>
        <v>33000</v>
      </c>
      <c r="R120" s="448">
        <f t="shared" ref="R120:R125" si="115">IF((O120-600000)&lt;0,0,IF((O120-600000)&lt;500000,0.15*(O120-600000),75000))</f>
        <v>75000</v>
      </c>
      <c r="S120" s="448">
        <f t="shared" ref="S120:S125" si="116">IF((O120-1100000)&lt;0,0,IF((O120-1100000)&lt;500000,0.19*(O120-1100000),95000))</f>
        <v>95000</v>
      </c>
      <c r="T120" s="448">
        <f t="shared" ref="T120:T125" si="117">IF((O120-1600000)&lt;0,0,IF((O120-1600000)&lt;1600000,0.21*(O120-1600000),336000))</f>
        <v>314159.399064</v>
      </c>
      <c r="U120" s="448"/>
      <c r="V120" s="448">
        <f t="shared" ref="V120:V125" si="118">P120+Q120+R120+S120+T120+U120</f>
        <v>538159.399064</v>
      </c>
      <c r="W120" s="455">
        <v>12</v>
      </c>
      <c r="X120" s="448">
        <f t="shared" ref="X120:X125" si="119">V120/W120</f>
        <v>44846.6165886667</v>
      </c>
      <c r="Y120" s="451"/>
      <c r="Z120" s="448">
        <f t="shared" ref="Z120:Z125" si="120">X120</f>
        <v>44846.6165886667</v>
      </c>
      <c r="AA120" s="460">
        <v>44846.6165886667</v>
      </c>
      <c r="AB120" s="535">
        <f t="shared" si="107"/>
        <v>0</v>
      </c>
      <c r="AC120" s="193"/>
      <c r="AD120" s="193"/>
      <c r="AE120" s="193"/>
    </row>
    <row r="121" spans="1:31" ht="18.75">
      <c r="A121" s="522">
        <v>103</v>
      </c>
      <c r="B121" s="10" t="s">
        <v>505</v>
      </c>
      <c r="C121" s="448">
        <v>327211.36749999999</v>
      </c>
      <c r="D121" s="447">
        <v>12</v>
      </c>
      <c r="E121" s="448">
        <f t="shared" si="106"/>
        <v>3926536.41</v>
      </c>
      <c r="F121" s="454">
        <f>646.3525*12</f>
        <v>7756.23</v>
      </c>
      <c r="G121" s="451"/>
      <c r="H121" s="451"/>
      <c r="I121" s="448">
        <f t="shared" si="108"/>
        <v>3918780.18</v>
      </c>
      <c r="J121" s="448">
        <v>200000</v>
      </c>
      <c r="K121" s="448">
        <v>0.2</v>
      </c>
      <c r="L121" s="448">
        <f t="shared" si="109"/>
        <v>783756.03599999996</v>
      </c>
      <c r="M121" s="448">
        <f t="shared" si="110"/>
        <v>983756.03599999996</v>
      </c>
      <c r="N121" s="448">
        <f t="shared" si="111"/>
        <v>991512.26599999995</v>
      </c>
      <c r="O121" s="448">
        <f t="shared" si="112"/>
        <v>2935024.1439999999</v>
      </c>
      <c r="P121" s="448">
        <f t="shared" si="113"/>
        <v>21000</v>
      </c>
      <c r="Q121" s="448">
        <f t="shared" si="114"/>
        <v>33000</v>
      </c>
      <c r="R121" s="448">
        <f t="shared" si="115"/>
        <v>75000</v>
      </c>
      <c r="S121" s="448">
        <f t="shared" si="116"/>
        <v>95000</v>
      </c>
      <c r="T121" s="448">
        <f t="shared" si="117"/>
        <v>280355.07023999997</v>
      </c>
      <c r="U121" s="448"/>
      <c r="V121" s="448">
        <f t="shared" si="118"/>
        <v>504355.07023999997</v>
      </c>
      <c r="W121" s="455">
        <v>12</v>
      </c>
      <c r="X121" s="448">
        <f t="shared" si="119"/>
        <v>42029.589186666701</v>
      </c>
      <c r="Y121" s="451"/>
      <c r="Z121" s="448">
        <f t="shared" si="120"/>
        <v>42029.589186666701</v>
      </c>
      <c r="AA121" s="460">
        <v>42029.589186666701</v>
      </c>
      <c r="AB121" s="535">
        <f t="shared" si="107"/>
        <v>0</v>
      </c>
      <c r="AC121" s="193"/>
      <c r="AD121" s="193"/>
      <c r="AE121" s="193"/>
    </row>
    <row r="122" spans="1:31" ht="18.75">
      <c r="A122" s="522">
        <v>105</v>
      </c>
      <c r="B122" s="10" t="s">
        <v>507</v>
      </c>
      <c r="C122" s="448">
        <v>335272.06374999997</v>
      </c>
      <c r="D122" s="447">
        <v>12</v>
      </c>
      <c r="E122" s="448">
        <f t="shared" si="106"/>
        <v>4023264.7650000001</v>
      </c>
      <c r="F122" s="454">
        <f>668.31625*12</f>
        <v>8019.7950000000001</v>
      </c>
      <c r="G122" s="451"/>
      <c r="H122" s="451"/>
      <c r="I122" s="448">
        <f t="shared" si="108"/>
        <v>4015244.97</v>
      </c>
      <c r="J122" s="448">
        <v>200000</v>
      </c>
      <c r="K122" s="448">
        <v>0.2</v>
      </c>
      <c r="L122" s="448">
        <f t="shared" si="109"/>
        <v>803048.99399999995</v>
      </c>
      <c r="M122" s="448">
        <f t="shared" si="110"/>
        <v>1003048.9939999999</v>
      </c>
      <c r="N122" s="448">
        <f t="shared" si="111"/>
        <v>1011068.789</v>
      </c>
      <c r="O122" s="448">
        <f t="shared" si="112"/>
        <v>3012195.9759999998</v>
      </c>
      <c r="P122" s="448">
        <f t="shared" si="113"/>
        <v>21000</v>
      </c>
      <c r="Q122" s="448">
        <f t="shared" si="114"/>
        <v>33000</v>
      </c>
      <c r="R122" s="448">
        <f t="shared" si="115"/>
        <v>75000</v>
      </c>
      <c r="S122" s="448">
        <f t="shared" si="116"/>
        <v>95000</v>
      </c>
      <c r="T122" s="448">
        <f t="shared" si="117"/>
        <v>296561.15496000001</v>
      </c>
      <c r="U122" s="448"/>
      <c r="V122" s="448">
        <f t="shared" si="118"/>
        <v>520561.15496000001</v>
      </c>
      <c r="W122" s="455">
        <v>12</v>
      </c>
      <c r="X122" s="448">
        <f t="shared" si="119"/>
        <v>43380.096246666697</v>
      </c>
      <c r="Y122" s="451"/>
      <c r="Z122" s="448">
        <f t="shared" si="120"/>
        <v>43380.096246666697</v>
      </c>
      <c r="AA122" s="460">
        <v>43380.096246666697</v>
      </c>
      <c r="AB122" s="535">
        <f t="shared" si="107"/>
        <v>0</v>
      </c>
      <c r="AC122" s="193"/>
      <c r="AD122" s="193"/>
      <c r="AE122" s="193"/>
    </row>
    <row r="123" spans="1:31" ht="18.75">
      <c r="A123" s="522">
        <v>106</v>
      </c>
      <c r="B123" s="10" t="s">
        <v>508</v>
      </c>
      <c r="C123" s="448">
        <v>213508.01</v>
      </c>
      <c r="D123" s="447">
        <v>12</v>
      </c>
      <c r="E123" s="448">
        <f t="shared" si="106"/>
        <v>2562096.12</v>
      </c>
      <c r="F123" s="448"/>
      <c r="G123" s="451"/>
      <c r="H123" s="451"/>
      <c r="I123" s="448">
        <f t="shared" si="108"/>
        <v>2562096.12</v>
      </c>
      <c r="J123" s="448">
        <v>200000</v>
      </c>
      <c r="K123" s="448">
        <v>0.2</v>
      </c>
      <c r="L123" s="448">
        <f t="shared" si="109"/>
        <v>512419.22399999999</v>
      </c>
      <c r="M123" s="448">
        <f t="shared" si="110"/>
        <v>712419.22400000005</v>
      </c>
      <c r="N123" s="448">
        <f t="shared" si="111"/>
        <v>712419.22400000005</v>
      </c>
      <c r="O123" s="448">
        <f t="shared" si="112"/>
        <v>1849676.8959999999</v>
      </c>
      <c r="P123" s="448">
        <f t="shared" si="113"/>
        <v>21000</v>
      </c>
      <c r="Q123" s="448">
        <f t="shared" si="114"/>
        <v>33000</v>
      </c>
      <c r="R123" s="448">
        <f t="shared" si="115"/>
        <v>75000</v>
      </c>
      <c r="S123" s="448">
        <f t="shared" si="116"/>
        <v>95000</v>
      </c>
      <c r="T123" s="448">
        <f t="shared" si="117"/>
        <v>52432.148159999997</v>
      </c>
      <c r="U123" s="448"/>
      <c r="V123" s="448">
        <f t="shared" si="118"/>
        <v>276432.14815999998</v>
      </c>
      <c r="W123" s="455">
        <v>12</v>
      </c>
      <c r="X123" s="448">
        <f t="shared" si="119"/>
        <v>23036.012346666699</v>
      </c>
      <c r="Y123" s="451"/>
      <c r="Z123" s="448">
        <f t="shared" si="120"/>
        <v>23036.012346666699</v>
      </c>
      <c r="AA123" s="460">
        <v>23036.012346666699</v>
      </c>
      <c r="AB123" s="535">
        <f t="shared" si="107"/>
        <v>-2.91038304567337E-11</v>
      </c>
      <c r="AC123" s="193"/>
      <c r="AD123" s="193"/>
      <c r="AE123" s="193"/>
    </row>
    <row r="124" spans="1:31" ht="18.75">
      <c r="A124" s="522">
        <v>107</v>
      </c>
      <c r="B124" s="17" t="s">
        <v>510</v>
      </c>
      <c r="C124" s="448">
        <v>176816.1</v>
      </c>
      <c r="D124" s="447">
        <v>12</v>
      </c>
      <c r="E124" s="448">
        <f t="shared" si="106"/>
        <v>2121793.2000000002</v>
      </c>
      <c r="F124" s="448"/>
      <c r="G124" s="451"/>
      <c r="H124" s="451"/>
      <c r="I124" s="448">
        <f t="shared" si="108"/>
        <v>2121793.2000000002</v>
      </c>
      <c r="J124" s="448">
        <v>200000</v>
      </c>
      <c r="K124" s="448">
        <v>0.2</v>
      </c>
      <c r="L124" s="448">
        <f t="shared" si="109"/>
        <v>424358.64</v>
      </c>
      <c r="M124" s="448">
        <f t="shared" si="110"/>
        <v>624358.64</v>
      </c>
      <c r="N124" s="448">
        <f t="shared" si="111"/>
        <v>624358.64</v>
      </c>
      <c r="O124" s="448">
        <f t="shared" si="112"/>
        <v>1497434.56</v>
      </c>
      <c r="P124" s="448">
        <f t="shared" si="113"/>
        <v>21000</v>
      </c>
      <c r="Q124" s="448">
        <f t="shared" si="114"/>
        <v>33000</v>
      </c>
      <c r="R124" s="448">
        <f t="shared" si="115"/>
        <v>75000</v>
      </c>
      <c r="S124" s="448">
        <f t="shared" si="116"/>
        <v>75512.566399999996</v>
      </c>
      <c r="T124" s="448">
        <f t="shared" si="117"/>
        <v>0</v>
      </c>
      <c r="U124" s="448"/>
      <c r="V124" s="448">
        <f t="shared" si="118"/>
        <v>204512.56640000001</v>
      </c>
      <c r="W124" s="455">
        <v>12</v>
      </c>
      <c r="X124" s="448">
        <f t="shared" si="119"/>
        <v>17042.713866666702</v>
      </c>
      <c r="Y124" s="451"/>
      <c r="Z124" s="448">
        <f t="shared" si="120"/>
        <v>17042.713866666702</v>
      </c>
      <c r="AA124" s="460">
        <v>17042.713866666702</v>
      </c>
      <c r="AB124" s="535">
        <f t="shared" si="107"/>
        <v>-3.2741809263825397E-11</v>
      </c>
      <c r="AC124" s="193"/>
      <c r="AD124" s="193"/>
      <c r="AE124" s="193"/>
    </row>
    <row r="125" spans="1:31" s="518" customFormat="1" ht="18.75">
      <c r="A125" s="526">
        <v>108</v>
      </c>
      <c r="B125" s="17" t="s">
        <v>512</v>
      </c>
      <c r="C125" s="448">
        <v>176816.1</v>
      </c>
      <c r="D125" s="447">
        <v>12</v>
      </c>
      <c r="E125" s="448">
        <f t="shared" si="106"/>
        <v>2121793.2000000002</v>
      </c>
      <c r="F125" s="448"/>
      <c r="G125" s="451"/>
      <c r="H125" s="451"/>
      <c r="I125" s="448">
        <f t="shared" si="108"/>
        <v>2121793.2000000002</v>
      </c>
      <c r="J125" s="448">
        <v>200000</v>
      </c>
      <c r="K125" s="448">
        <v>0.2</v>
      </c>
      <c r="L125" s="448">
        <f t="shared" si="109"/>
        <v>424358.64</v>
      </c>
      <c r="M125" s="448">
        <f t="shared" si="110"/>
        <v>624358.64</v>
      </c>
      <c r="N125" s="448">
        <f t="shared" si="111"/>
        <v>624358.64</v>
      </c>
      <c r="O125" s="448">
        <f t="shared" si="112"/>
        <v>1497434.56</v>
      </c>
      <c r="P125" s="448">
        <f t="shared" si="113"/>
        <v>21000</v>
      </c>
      <c r="Q125" s="448">
        <f t="shared" si="114"/>
        <v>33000</v>
      </c>
      <c r="R125" s="448">
        <f t="shared" si="115"/>
        <v>75000</v>
      </c>
      <c r="S125" s="448">
        <f t="shared" si="116"/>
        <v>75512.566399999996</v>
      </c>
      <c r="T125" s="448">
        <f t="shared" si="117"/>
        <v>0</v>
      </c>
      <c r="U125" s="448"/>
      <c r="V125" s="448">
        <f t="shared" si="118"/>
        <v>204512.56640000001</v>
      </c>
      <c r="W125" s="455">
        <v>12</v>
      </c>
      <c r="X125" s="448">
        <f t="shared" si="119"/>
        <v>17042.713866666702</v>
      </c>
      <c r="Y125" s="451"/>
      <c r="Z125" s="448">
        <f t="shared" si="120"/>
        <v>17042.713866666702</v>
      </c>
      <c r="AA125" s="535">
        <v>17042.713866666702</v>
      </c>
      <c r="AB125" s="535">
        <f t="shared" si="107"/>
        <v>-3.2741809263825397E-11</v>
      </c>
      <c r="AC125" s="535"/>
      <c r="AD125" s="535"/>
      <c r="AE125" s="535"/>
    </row>
    <row r="126" spans="1:31" ht="18.75">
      <c r="A126" s="522">
        <v>109</v>
      </c>
      <c r="B126" s="19" t="s">
        <v>42</v>
      </c>
      <c r="C126" s="448"/>
      <c r="D126" s="447"/>
      <c r="E126" s="448"/>
      <c r="F126" s="448"/>
      <c r="G126" s="451"/>
      <c r="H126" s="451"/>
      <c r="I126" s="448"/>
      <c r="J126" s="448"/>
      <c r="K126" s="448"/>
      <c r="L126" s="448"/>
      <c r="M126" s="448"/>
      <c r="N126" s="448"/>
      <c r="O126" s="448"/>
      <c r="P126" s="448"/>
      <c r="Q126" s="448"/>
      <c r="R126" s="448"/>
      <c r="S126" s="448"/>
      <c r="T126" s="448"/>
      <c r="U126" s="448"/>
      <c r="V126" s="448"/>
      <c r="W126" s="455"/>
      <c r="X126" s="448"/>
      <c r="Y126" s="451"/>
      <c r="Z126" s="448"/>
      <c r="AA126" s="193"/>
      <c r="AB126" s="193"/>
      <c r="AC126" s="193"/>
      <c r="AD126" s="193"/>
      <c r="AE126" s="193"/>
    </row>
    <row r="127" spans="1:31" ht="18.75">
      <c r="A127" s="522">
        <v>110</v>
      </c>
      <c r="B127" s="21"/>
      <c r="C127" s="448"/>
      <c r="D127" s="276"/>
      <c r="E127" s="276"/>
      <c r="F127" s="276"/>
      <c r="G127" s="276"/>
      <c r="H127" s="276"/>
      <c r="I127" s="276"/>
      <c r="J127" s="276"/>
      <c r="K127" s="276"/>
      <c r="L127" s="276"/>
      <c r="M127" s="276"/>
      <c r="N127" s="276"/>
      <c r="O127" s="276"/>
      <c r="P127" s="276"/>
      <c r="Q127" s="276"/>
      <c r="R127" s="276"/>
      <c r="S127" s="276"/>
      <c r="T127" s="276"/>
      <c r="U127" s="448"/>
      <c r="V127" s="276"/>
      <c r="W127" s="276"/>
      <c r="X127" s="276"/>
      <c r="Y127" s="276"/>
      <c r="Z127" s="276"/>
      <c r="AC127" s="193"/>
      <c r="AD127" s="193"/>
      <c r="AE127" s="193"/>
    </row>
    <row r="128" spans="1:31" ht="37.5">
      <c r="A128" s="522">
        <v>111</v>
      </c>
      <c r="B128" s="19" t="s">
        <v>103</v>
      </c>
      <c r="C128" s="448"/>
      <c r="D128" s="276"/>
      <c r="E128" s="276"/>
      <c r="F128" s="276"/>
      <c r="G128" s="276"/>
      <c r="H128" s="276"/>
      <c r="I128" s="276"/>
      <c r="J128" s="276"/>
      <c r="K128" s="276"/>
      <c r="L128" s="276"/>
      <c r="M128" s="276"/>
      <c r="N128" s="276"/>
      <c r="O128" s="276"/>
      <c r="P128" s="276"/>
      <c r="Q128" s="276"/>
      <c r="R128" s="276"/>
      <c r="S128" s="276"/>
      <c r="T128" s="276"/>
      <c r="U128" s="448"/>
      <c r="V128" s="276"/>
      <c r="W128" s="276"/>
      <c r="X128" s="276"/>
      <c r="Y128" s="276"/>
      <c r="Z128" s="276"/>
      <c r="AC128" s="193"/>
      <c r="AD128" s="193"/>
      <c r="AE128" s="193"/>
    </row>
    <row r="129" spans="1:31" ht="18.75">
      <c r="A129" s="522">
        <v>112</v>
      </c>
      <c r="B129" s="10" t="s">
        <v>514</v>
      </c>
      <c r="C129" s="448">
        <v>950209.06350000005</v>
      </c>
      <c r="D129" s="447">
        <v>12</v>
      </c>
      <c r="E129" s="448">
        <f>C129*D129</f>
        <v>11402508.762</v>
      </c>
      <c r="F129" s="448"/>
      <c r="G129" s="451"/>
      <c r="H129" s="451"/>
      <c r="I129" s="448">
        <f>E129-F129-G129-H129</f>
        <v>11402508.762</v>
      </c>
      <c r="J129" s="448">
        <v>200000</v>
      </c>
      <c r="K129" s="448">
        <v>0.2</v>
      </c>
      <c r="L129" s="448">
        <f t="shared" ref="L129:L187" si="121">I129*K129</f>
        <v>2280501.7524000001</v>
      </c>
      <c r="M129" s="448">
        <f t="shared" ref="M129:M187" si="122">J129+L129</f>
        <v>2480501.7524000001</v>
      </c>
      <c r="N129" s="448">
        <f t="shared" ref="N129:N187" si="123">F129+G129+H129+M129</f>
        <v>2480501.7524000001</v>
      </c>
      <c r="O129" s="448">
        <f t="shared" ref="O129:O187" si="124">E129-N129</f>
        <v>8922007.0096000005</v>
      </c>
      <c r="P129" s="448">
        <f t="shared" ref="P129:P187" si="125">IF(O129&lt;300000,0.07*O129,21000)</f>
        <v>21000</v>
      </c>
      <c r="Q129" s="448">
        <f t="shared" ref="Q129:Q187" si="126">IF((O129-300000)&lt;0,0,IF((O129-300000)&lt;300000,0.11*(O129-300000),33000))</f>
        <v>33000</v>
      </c>
      <c r="R129" s="448">
        <f t="shared" ref="R129:R187" si="127">IF((O129-600000)&lt;0,0,IF((O129-600000)&lt;500000,0.15*(O129-600000),75000))</f>
        <v>75000</v>
      </c>
      <c r="S129" s="448">
        <f t="shared" ref="S129:S187" si="128">IF((O129-1100000)&lt;0,0,IF((O129-1100000)&lt;500000,0.19*(O129-1100000),95000))</f>
        <v>95000</v>
      </c>
      <c r="T129" s="448">
        <f t="shared" ref="T129:T187" si="129">IF((O129-1600000)&lt;0,0,IF((O129-1600000)&lt;1600000,0.21*(O129-1600000),336000))</f>
        <v>336000</v>
      </c>
      <c r="U129" s="448">
        <f t="shared" si="103"/>
        <v>1373281.682304</v>
      </c>
      <c r="V129" s="448">
        <f>P129+Q129+R129+S129+T129+U129</f>
        <v>1933281.682304</v>
      </c>
      <c r="W129" s="455">
        <v>12</v>
      </c>
      <c r="X129" s="448">
        <f t="shared" ref="X129:X187" si="130">V129/W129</f>
        <v>161106.806858667</v>
      </c>
      <c r="Y129" s="451"/>
      <c r="Z129" s="448">
        <f t="shared" ref="Z129:Z187" si="131">X129</f>
        <v>161106.806858667</v>
      </c>
      <c r="AA129" s="193">
        <v>161106.806858667</v>
      </c>
      <c r="AB129" s="193">
        <f>Z129-AA129</f>
        <v>-3.20142135024071E-10</v>
      </c>
      <c r="AC129" s="193"/>
      <c r="AD129" s="193"/>
      <c r="AE129" s="193"/>
    </row>
    <row r="130" spans="1:31" s="518" customFormat="1" ht="18.75">
      <c r="A130" s="526">
        <v>113</v>
      </c>
      <c r="B130" s="10" t="s">
        <v>338</v>
      </c>
      <c r="C130" s="448">
        <v>541465.02474999998</v>
      </c>
      <c r="D130" s="447">
        <v>12</v>
      </c>
      <c r="E130" s="448">
        <f t="shared" ref="E130:E187" si="132">C130*D130</f>
        <v>6497580.2970000003</v>
      </c>
      <c r="F130" s="448"/>
      <c r="G130" s="451"/>
      <c r="H130" s="451"/>
      <c r="I130" s="448">
        <f t="shared" ref="I130:I187" si="133">E130-F130-G130-H130</f>
        <v>6497580.2970000003</v>
      </c>
      <c r="J130" s="448">
        <v>200000</v>
      </c>
      <c r="K130" s="448">
        <v>0.2</v>
      </c>
      <c r="L130" s="448">
        <f t="shared" si="121"/>
        <v>1299516.0593999999</v>
      </c>
      <c r="M130" s="448">
        <f t="shared" si="122"/>
        <v>1499516.0593999999</v>
      </c>
      <c r="N130" s="448">
        <f t="shared" si="123"/>
        <v>1499516.0593999999</v>
      </c>
      <c r="O130" s="448">
        <f t="shared" si="124"/>
        <v>4998064.2375999996</v>
      </c>
      <c r="P130" s="448">
        <f t="shared" si="125"/>
        <v>21000</v>
      </c>
      <c r="Q130" s="448">
        <f t="shared" si="126"/>
        <v>33000</v>
      </c>
      <c r="R130" s="448">
        <f t="shared" si="127"/>
        <v>75000</v>
      </c>
      <c r="S130" s="448">
        <f t="shared" si="128"/>
        <v>95000</v>
      </c>
      <c r="T130" s="448">
        <f t="shared" si="129"/>
        <v>336000</v>
      </c>
      <c r="U130" s="448">
        <f t="shared" si="103"/>
        <v>431535.41702400002</v>
      </c>
      <c r="V130" s="448">
        <f>P130+Q130+R130+S130+T130+U130</f>
        <v>991535.41702399997</v>
      </c>
      <c r="W130" s="455">
        <v>12</v>
      </c>
      <c r="X130" s="448">
        <f t="shared" si="130"/>
        <v>82627.951418666693</v>
      </c>
      <c r="Y130" s="451"/>
      <c r="Z130" s="448">
        <f t="shared" si="131"/>
        <v>82627.951418666693</v>
      </c>
      <c r="AA130" s="193">
        <v>82627.951418666693</v>
      </c>
      <c r="AB130" s="193">
        <f t="shared" ref="AB130:AB187" si="134">Z130-AA130</f>
        <v>0</v>
      </c>
      <c r="AC130" s="535"/>
      <c r="AD130" s="535"/>
      <c r="AE130" s="535"/>
    </row>
    <row r="131" spans="1:31" ht="18.75">
      <c r="A131" s="522">
        <v>114</v>
      </c>
      <c r="B131" s="13" t="s">
        <v>516</v>
      </c>
      <c r="C131" s="448">
        <v>591465.02474999998</v>
      </c>
      <c r="D131" s="447">
        <v>12</v>
      </c>
      <c r="E131" s="448">
        <f t="shared" si="132"/>
        <v>7097580.2970000003</v>
      </c>
      <c r="F131" s="448">
        <f>1066.32925*12</f>
        <v>12795.950999999999</v>
      </c>
      <c r="G131" s="451"/>
      <c r="H131" s="451"/>
      <c r="I131" s="448">
        <f t="shared" si="133"/>
        <v>7084784.3459999999</v>
      </c>
      <c r="J131" s="448">
        <v>200000</v>
      </c>
      <c r="K131" s="448">
        <v>0.2</v>
      </c>
      <c r="L131" s="448">
        <f t="shared" si="121"/>
        <v>1416956.8692000001</v>
      </c>
      <c r="M131" s="448">
        <f t="shared" si="122"/>
        <v>1616956.8692000001</v>
      </c>
      <c r="N131" s="448">
        <f t="shared" si="123"/>
        <v>1629752.8202</v>
      </c>
      <c r="O131" s="448">
        <f t="shared" si="124"/>
        <v>5467827.4768000003</v>
      </c>
      <c r="P131" s="448">
        <f t="shared" si="125"/>
        <v>21000</v>
      </c>
      <c r="Q131" s="448">
        <f t="shared" si="126"/>
        <v>33000</v>
      </c>
      <c r="R131" s="448">
        <f t="shared" si="127"/>
        <v>75000</v>
      </c>
      <c r="S131" s="448">
        <f t="shared" si="128"/>
        <v>95000</v>
      </c>
      <c r="T131" s="448">
        <f t="shared" si="129"/>
        <v>336000</v>
      </c>
      <c r="U131" s="448">
        <f t="shared" si="103"/>
        <v>544278.59443199995</v>
      </c>
      <c r="V131" s="448">
        <f>P131+Q131+R131+S131+T131+U131</f>
        <v>1104278.5944320001</v>
      </c>
      <c r="W131" s="455">
        <v>12</v>
      </c>
      <c r="X131" s="448">
        <f t="shared" si="130"/>
        <v>92023.216202666707</v>
      </c>
      <c r="Y131" s="451"/>
      <c r="Z131" s="448">
        <f t="shared" si="131"/>
        <v>92023.216202666707</v>
      </c>
      <c r="AA131" s="193">
        <v>92023.216202666707</v>
      </c>
      <c r="AB131" s="193">
        <f t="shared" si="134"/>
        <v>0</v>
      </c>
      <c r="AC131" s="193"/>
      <c r="AD131" s="193"/>
      <c r="AE131" s="193"/>
    </row>
    <row r="132" spans="1:31" ht="18.75">
      <c r="A132" s="522">
        <v>115</v>
      </c>
      <c r="B132" s="10" t="s">
        <v>518</v>
      </c>
      <c r="C132" s="448">
        <v>351394.00675</v>
      </c>
      <c r="D132" s="447">
        <v>12</v>
      </c>
      <c r="E132" s="448">
        <f t="shared" si="132"/>
        <v>4216728.0810000002</v>
      </c>
      <c r="F132" s="448">
        <f>712.24525*12</f>
        <v>8546.9429999999993</v>
      </c>
      <c r="G132" s="451"/>
      <c r="H132" s="451"/>
      <c r="I132" s="448">
        <f t="shared" si="133"/>
        <v>4208181.1380000003</v>
      </c>
      <c r="J132" s="448">
        <v>200000</v>
      </c>
      <c r="K132" s="448">
        <v>0.2</v>
      </c>
      <c r="L132" s="448">
        <f t="shared" si="121"/>
        <v>841636.22759999998</v>
      </c>
      <c r="M132" s="448">
        <f t="shared" si="122"/>
        <v>1041636.2276</v>
      </c>
      <c r="N132" s="448">
        <f t="shared" si="123"/>
        <v>1050183.1706000001</v>
      </c>
      <c r="O132" s="448">
        <f t="shared" si="124"/>
        <v>3166544.9103999999</v>
      </c>
      <c r="P132" s="448">
        <f t="shared" si="125"/>
        <v>21000</v>
      </c>
      <c r="Q132" s="448">
        <f t="shared" si="126"/>
        <v>33000</v>
      </c>
      <c r="R132" s="448">
        <f t="shared" si="127"/>
        <v>75000</v>
      </c>
      <c r="S132" s="448">
        <f t="shared" si="128"/>
        <v>95000</v>
      </c>
      <c r="T132" s="448">
        <f t="shared" si="129"/>
        <v>328974.43118399999</v>
      </c>
      <c r="U132" s="448"/>
      <c r="V132" s="448">
        <f t="shared" ref="V132:V187" si="135">P132+Q132+R132+S132+T132+U132</f>
        <v>552974.43118399999</v>
      </c>
      <c r="W132" s="455">
        <v>12</v>
      </c>
      <c r="X132" s="448">
        <f t="shared" si="130"/>
        <v>46081.202598666699</v>
      </c>
      <c r="Y132" s="451"/>
      <c r="Z132" s="448">
        <f t="shared" si="131"/>
        <v>46081.202598666699</v>
      </c>
      <c r="AA132" s="535">
        <v>46081.202598666699</v>
      </c>
      <c r="AB132" s="193">
        <f t="shared" si="134"/>
        <v>0</v>
      </c>
      <c r="AC132" s="193"/>
      <c r="AD132" s="193"/>
      <c r="AE132" s="193"/>
    </row>
    <row r="133" spans="1:31" ht="18.75">
      <c r="A133" s="522">
        <v>116</v>
      </c>
      <c r="B133" s="10" t="s">
        <v>520</v>
      </c>
      <c r="C133" s="448">
        <v>351394.00675</v>
      </c>
      <c r="D133" s="447">
        <v>12</v>
      </c>
      <c r="E133" s="448">
        <f t="shared" si="132"/>
        <v>4216728.0810000002</v>
      </c>
      <c r="F133" s="448">
        <f>712.24525*12</f>
        <v>8546.9429999999993</v>
      </c>
      <c r="G133" s="451"/>
      <c r="H133" s="451"/>
      <c r="I133" s="448">
        <f t="shared" si="133"/>
        <v>4208181.1380000003</v>
      </c>
      <c r="J133" s="448">
        <v>200000</v>
      </c>
      <c r="K133" s="448">
        <v>0.2</v>
      </c>
      <c r="L133" s="448">
        <f t="shared" si="121"/>
        <v>841636.22759999998</v>
      </c>
      <c r="M133" s="448">
        <f t="shared" si="122"/>
        <v>1041636.2276</v>
      </c>
      <c r="N133" s="448">
        <f t="shared" si="123"/>
        <v>1050183.1706000001</v>
      </c>
      <c r="O133" s="448">
        <f t="shared" si="124"/>
        <v>3166544.9103999999</v>
      </c>
      <c r="P133" s="448">
        <f t="shared" si="125"/>
        <v>21000</v>
      </c>
      <c r="Q133" s="448">
        <f t="shared" si="126"/>
        <v>33000</v>
      </c>
      <c r="R133" s="448">
        <f t="shared" si="127"/>
        <v>75000</v>
      </c>
      <c r="S133" s="448">
        <f t="shared" si="128"/>
        <v>95000</v>
      </c>
      <c r="T133" s="448">
        <f t="shared" si="129"/>
        <v>328974.43118399999</v>
      </c>
      <c r="U133" s="448"/>
      <c r="V133" s="448">
        <f t="shared" si="135"/>
        <v>552974.43118399999</v>
      </c>
      <c r="W133" s="455">
        <v>12</v>
      </c>
      <c r="X133" s="448">
        <f t="shared" si="130"/>
        <v>46081.202598666699</v>
      </c>
      <c r="Y133" s="451"/>
      <c r="Z133" s="448">
        <f t="shared" si="131"/>
        <v>46081.202598666699</v>
      </c>
      <c r="AA133" s="193">
        <v>46081.202598666699</v>
      </c>
      <c r="AB133" s="193">
        <f t="shared" si="134"/>
        <v>0</v>
      </c>
      <c r="AC133" s="193"/>
      <c r="AD133" s="193"/>
      <c r="AE133" s="193"/>
    </row>
    <row r="134" spans="1:31" ht="18.75">
      <c r="A134" s="522">
        <v>117</v>
      </c>
      <c r="B134" s="10" t="s">
        <v>522</v>
      </c>
      <c r="C134" s="448">
        <v>351394.00675</v>
      </c>
      <c r="D134" s="447">
        <v>12</v>
      </c>
      <c r="E134" s="448">
        <f t="shared" si="132"/>
        <v>4216728.0810000002</v>
      </c>
      <c r="F134" s="448">
        <f>712.24525*12</f>
        <v>8546.9429999999993</v>
      </c>
      <c r="G134" s="451"/>
      <c r="H134" s="451"/>
      <c r="I134" s="448">
        <f t="shared" si="133"/>
        <v>4208181.1380000003</v>
      </c>
      <c r="J134" s="448">
        <v>200000</v>
      </c>
      <c r="K134" s="448">
        <v>0.2</v>
      </c>
      <c r="L134" s="448">
        <f t="shared" si="121"/>
        <v>841636.22759999998</v>
      </c>
      <c r="M134" s="448">
        <f t="shared" si="122"/>
        <v>1041636.2276</v>
      </c>
      <c r="N134" s="448">
        <f t="shared" si="123"/>
        <v>1050183.1706000001</v>
      </c>
      <c r="O134" s="448">
        <f t="shared" si="124"/>
        <v>3166544.9103999999</v>
      </c>
      <c r="P134" s="448">
        <f t="shared" si="125"/>
        <v>21000</v>
      </c>
      <c r="Q134" s="448">
        <f t="shared" si="126"/>
        <v>33000</v>
      </c>
      <c r="R134" s="448">
        <f t="shared" si="127"/>
        <v>75000</v>
      </c>
      <c r="S134" s="448">
        <f t="shared" si="128"/>
        <v>95000</v>
      </c>
      <c r="T134" s="448">
        <f t="shared" si="129"/>
        <v>328974.43118399999</v>
      </c>
      <c r="U134" s="448"/>
      <c r="V134" s="448">
        <f t="shared" si="135"/>
        <v>552974.43118399999</v>
      </c>
      <c r="W134" s="455">
        <v>12</v>
      </c>
      <c r="X134" s="448">
        <f t="shared" si="130"/>
        <v>46081.202598666699</v>
      </c>
      <c r="Y134" s="451"/>
      <c r="Z134" s="448">
        <f t="shared" si="131"/>
        <v>46081.202598666699</v>
      </c>
      <c r="AA134" s="193">
        <v>46081.202598666699</v>
      </c>
      <c r="AB134" s="193">
        <f t="shared" si="134"/>
        <v>0</v>
      </c>
      <c r="AC134" s="193"/>
      <c r="AD134" s="193"/>
      <c r="AE134" s="193"/>
    </row>
    <row r="135" spans="1:31" ht="18.75">
      <c r="A135" s="522">
        <v>118</v>
      </c>
      <c r="B135" s="10" t="s">
        <v>523</v>
      </c>
      <c r="C135" s="448">
        <v>286619.99875000003</v>
      </c>
      <c r="D135" s="447">
        <v>12</v>
      </c>
      <c r="E135" s="448">
        <f t="shared" si="132"/>
        <v>3439439.9849999999</v>
      </c>
      <c r="F135" s="448">
        <f>576.62125*12</f>
        <v>6919.4549999999999</v>
      </c>
      <c r="G135" s="451"/>
      <c r="H135" s="451"/>
      <c r="I135" s="448">
        <f t="shared" si="133"/>
        <v>3432520.53</v>
      </c>
      <c r="J135" s="448">
        <v>200000</v>
      </c>
      <c r="K135" s="448">
        <v>0.2</v>
      </c>
      <c r="L135" s="448">
        <f t="shared" si="121"/>
        <v>686504.10600000003</v>
      </c>
      <c r="M135" s="448">
        <f t="shared" si="122"/>
        <v>886504.10600000003</v>
      </c>
      <c r="N135" s="448">
        <f t="shared" si="123"/>
        <v>893423.56099999999</v>
      </c>
      <c r="O135" s="448">
        <f t="shared" si="124"/>
        <v>2546016.4240000001</v>
      </c>
      <c r="P135" s="448">
        <f t="shared" si="125"/>
        <v>21000</v>
      </c>
      <c r="Q135" s="448">
        <f t="shared" si="126"/>
        <v>33000</v>
      </c>
      <c r="R135" s="448">
        <f t="shared" si="127"/>
        <v>75000</v>
      </c>
      <c r="S135" s="448">
        <f t="shared" si="128"/>
        <v>95000</v>
      </c>
      <c r="T135" s="448">
        <f t="shared" si="129"/>
        <v>198663.44904000001</v>
      </c>
      <c r="U135" s="448"/>
      <c r="V135" s="448">
        <f t="shared" si="135"/>
        <v>422663.44903999998</v>
      </c>
      <c r="W135" s="455">
        <v>12</v>
      </c>
      <c r="X135" s="448">
        <f t="shared" si="130"/>
        <v>35221.954086666701</v>
      </c>
      <c r="Y135" s="451"/>
      <c r="Z135" s="448">
        <f t="shared" si="131"/>
        <v>35221.954086666701</v>
      </c>
      <c r="AA135" s="193">
        <v>35221.954086666701</v>
      </c>
      <c r="AB135" s="193">
        <f t="shared" si="134"/>
        <v>0</v>
      </c>
      <c r="AC135" s="193"/>
      <c r="AD135" s="193"/>
      <c r="AE135" s="193"/>
    </row>
    <row r="136" spans="1:31" ht="18.75">
      <c r="A136" s="522">
        <v>119</v>
      </c>
      <c r="B136" s="10" t="s">
        <v>525</v>
      </c>
      <c r="C136" s="448">
        <v>286619.99875000003</v>
      </c>
      <c r="D136" s="447">
        <v>12</v>
      </c>
      <c r="E136" s="448">
        <f t="shared" si="132"/>
        <v>3439439.9849999999</v>
      </c>
      <c r="F136" s="448"/>
      <c r="G136" s="451"/>
      <c r="H136" s="451"/>
      <c r="I136" s="448">
        <f t="shared" si="133"/>
        <v>3439439.9849999999</v>
      </c>
      <c r="J136" s="448">
        <v>200000</v>
      </c>
      <c r="K136" s="448">
        <v>0.2</v>
      </c>
      <c r="L136" s="448">
        <f t="shared" si="121"/>
        <v>687887.99699999997</v>
      </c>
      <c r="M136" s="448">
        <f t="shared" si="122"/>
        <v>887887.99699999997</v>
      </c>
      <c r="N136" s="448">
        <f t="shared" si="123"/>
        <v>887887.99699999997</v>
      </c>
      <c r="O136" s="448">
        <f t="shared" si="124"/>
        <v>2551551.9879999999</v>
      </c>
      <c r="P136" s="448">
        <f t="shared" si="125"/>
        <v>21000</v>
      </c>
      <c r="Q136" s="448">
        <f t="shared" si="126"/>
        <v>33000</v>
      </c>
      <c r="R136" s="448">
        <f t="shared" si="127"/>
        <v>75000</v>
      </c>
      <c r="S136" s="448">
        <f t="shared" si="128"/>
        <v>95000</v>
      </c>
      <c r="T136" s="448">
        <f t="shared" si="129"/>
        <v>199825.91748</v>
      </c>
      <c r="U136" s="448"/>
      <c r="V136" s="448">
        <f t="shared" si="135"/>
        <v>423825.91748</v>
      </c>
      <c r="W136" s="455">
        <v>12</v>
      </c>
      <c r="X136" s="448">
        <f t="shared" si="130"/>
        <v>35318.826456666699</v>
      </c>
      <c r="Y136" s="451"/>
      <c r="Z136" s="448">
        <f t="shared" si="131"/>
        <v>35318.826456666699</v>
      </c>
      <c r="AA136" s="193">
        <v>35318.826456666699</v>
      </c>
      <c r="AB136" s="193">
        <f t="shared" si="134"/>
        <v>0</v>
      </c>
      <c r="AC136" s="193"/>
      <c r="AD136" s="193"/>
      <c r="AE136" s="193"/>
    </row>
    <row r="137" spans="1:31" ht="18.75">
      <c r="A137" s="522">
        <v>120</v>
      </c>
      <c r="B137" s="10" t="s">
        <v>526</v>
      </c>
      <c r="C137" s="448">
        <v>286619.99875000003</v>
      </c>
      <c r="D137" s="447">
        <v>12</v>
      </c>
      <c r="E137" s="448">
        <f t="shared" si="132"/>
        <v>3439439.9849999999</v>
      </c>
      <c r="F137" s="448"/>
      <c r="G137" s="451"/>
      <c r="H137" s="451"/>
      <c r="I137" s="448">
        <f t="shared" si="133"/>
        <v>3439439.9849999999</v>
      </c>
      <c r="J137" s="448">
        <v>200000</v>
      </c>
      <c r="K137" s="448">
        <v>0.2</v>
      </c>
      <c r="L137" s="448">
        <f t="shared" si="121"/>
        <v>687887.99699999997</v>
      </c>
      <c r="M137" s="448">
        <f t="shared" si="122"/>
        <v>887887.99699999997</v>
      </c>
      <c r="N137" s="448">
        <f t="shared" si="123"/>
        <v>887887.99699999997</v>
      </c>
      <c r="O137" s="448">
        <f t="shared" si="124"/>
        <v>2551551.9879999999</v>
      </c>
      <c r="P137" s="448">
        <f t="shared" si="125"/>
        <v>21000</v>
      </c>
      <c r="Q137" s="448">
        <f t="shared" si="126"/>
        <v>33000</v>
      </c>
      <c r="R137" s="448">
        <f t="shared" si="127"/>
        <v>75000</v>
      </c>
      <c r="S137" s="448">
        <f t="shared" si="128"/>
        <v>95000</v>
      </c>
      <c r="T137" s="448">
        <f t="shared" si="129"/>
        <v>199825.91748</v>
      </c>
      <c r="U137" s="448"/>
      <c r="V137" s="448">
        <f t="shared" si="135"/>
        <v>423825.91748</v>
      </c>
      <c r="W137" s="455">
        <v>12</v>
      </c>
      <c r="X137" s="448">
        <f t="shared" si="130"/>
        <v>35318.826456666699</v>
      </c>
      <c r="Y137" s="451"/>
      <c r="Z137" s="448">
        <f t="shared" si="131"/>
        <v>35318.826456666699</v>
      </c>
      <c r="AA137" s="193">
        <v>35318.826456666699</v>
      </c>
      <c r="AB137" s="193">
        <f t="shared" si="134"/>
        <v>0</v>
      </c>
      <c r="AC137" s="193"/>
      <c r="AD137" s="193"/>
      <c r="AE137" s="193"/>
    </row>
    <row r="138" spans="1:31" ht="37.5">
      <c r="A138" s="522">
        <v>121</v>
      </c>
      <c r="B138" s="10" t="s">
        <v>528</v>
      </c>
      <c r="C138" s="448">
        <v>284536.99849999999</v>
      </c>
      <c r="D138" s="447">
        <v>12</v>
      </c>
      <c r="E138" s="448">
        <f t="shared" si="132"/>
        <v>3414443.9819999998</v>
      </c>
      <c r="F138" s="448"/>
      <c r="G138" s="451"/>
      <c r="H138" s="451"/>
      <c r="I138" s="448">
        <f t="shared" si="133"/>
        <v>3414443.9819999998</v>
      </c>
      <c r="J138" s="448">
        <v>200000</v>
      </c>
      <c r="K138" s="448">
        <v>0.2</v>
      </c>
      <c r="L138" s="448">
        <f t="shared" si="121"/>
        <v>682888.79639999999</v>
      </c>
      <c r="M138" s="448">
        <f t="shared" si="122"/>
        <v>882888.79639999999</v>
      </c>
      <c r="N138" s="448">
        <f t="shared" si="123"/>
        <v>882888.79639999999</v>
      </c>
      <c r="O138" s="448">
        <f t="shared" si="124"/>
        <v>2531555.1856</v>
      </c>
      <c r="P138" s="448">
        <f t="shared" si="125"/>
        <v>21000</v>
      </c>
      <c r="Q138" s="448">
        <f t="shared" si="126"/>
        <v>33000</v>
      </c>
      <c r="R138" s="448">
        <f t="shared" si="127"/>
        <v>75000</v>
      </c>
      <c r="S138" s="448">
        <f t="shared" si="128"/>
        <v>95000</v>
      </c>
      <c r="T138" s="448">
        <f t="shared" si="129"/>
        <v>195626.588976</v>
      </c>
      <c r="U138" s="448"/>
      <c r="V138" s="448">
        <f t="shared" si="135"/>
        <v>419626.58897600003</v>
      </c>
      <c r="W138" s="455">
        <v>12</v>
      </c>
      <c r="X138" s="448">
        <f t="shared" si="130"/>
        <v>34968.882414666703</v>
      </c>
      <c r="Y138" s="451"/>
      <c r="Z138" s="448">
        <f t="shared" si="131"/>
        <v>34968.882414666703</v>
      </c>
      <c r="AA138" s="193">
        <v>34968.882414666703</v>
      </c>
      <c r="AB138" s="193">
        <f t="shared" si="134"/>
        <v>0</v>
      </c>
      <c r="AC138" s="193"/>
      <c r="AD138" s="193"/>
      <c r="AE138" s="193"/>
    </row>
    <row r="139" spans="1:31" ht="18.75">
      <c r="A139" s="522">
        <v>122</v>
      </c>
      <c r="B139" s="10" t="s">
        <v>530</v>
      </c>
      <c r="C139" s="448">
        <v>272454.07400000002</v>
      </c>
      <c r="D139" s="447">
        <v>12</v>
      </c>
      <c r="E139" s="448">
        <f t="shared" si="132"/>
        <v>3269448.8879999998</v>
      </c>
      <c r="F139" s="448">
        <f>538.022*12</f>
        <v>6456.2640000000001</v>
      </c>
      <c r="G139" s="451"/>
      <c r="H139" s="451"/>
      <c r="I139" s="448">
        <f t="shared" si="133"/>
        <v>3262992.6239999998</v>
      </c>
      <c r="J139" s="448">
        <v>200000</v>
      </c>
      <c r="K139" s="448">
        <v>0.2</v>
      </c>
      <c r="L139" s="448">
        <f t="shared" si="121"/>
        <v>652598.52480000001</v>
      </c>
      <c r="M139" s="448">
        <f t="shared" si="122"/>
        <v>852598.52480000001</v>
      </c>
      <c r="N139" s="448">
        <f t="shared" si="123"/>
        <v>859054.78879999998</v>
      </c>
      <c r="O139" s="448">
        <f t="shared" si="124"/>
        <v>2410394.0992000001</v>
      </c>
      <c r="P139" s="448">
        <f t="shared" si="125"/>
        <v>21000</v>
      </c>
      <c r="Q139" s="448">
        <f t="shared" si="126"/>
        <v>33000</v>
      </c>
      <c r="R139" s="448">
        <f t="shared" si="127"/>
        <v>75000</v>
      </c>
      <c r="S139" s="448">
        <f t="shared" si="128"/>
        <v>95000</v>
      </c>
      <c r="T139" s="448">
        <f t="shared" si="129"/>
        <v>170182.760832</v>
      </c>
      <c r="U139" s="448"/>
      <c r="V139" s="448">
        <f t="shared" si="135"/>
        <v>394182.760832</v>
      </c>
      <c r="W139" s="455">
        <v>12</v>
      </c>
      <c r="X139" s="448">
        <f t="shared" si="130"/>
        <v>32848.563402666703</v>
      </c>
      <c r="Y139" s="451"/>
      <c r="Z139" s="448">
        <f t="shared" si="131"/>
        <v>32848.563402666703</v>
      </c>
      <c r="AA139" s="193">
        <v>32848.563402666703</v>
      </c>
      <c r="AB139" s="193">
        <f t="shared" si="134"/>
        <v>0</v>
      </c>
      <c r="AC139" s="193"/>
      <c r="AD139" s="193"/>
      <c r="AE139" s="193"/>
    </row>
    <row r="140" spans="1:31" ht="37.5">
      <c r="A140" s="522">
        <v>123</v>
      </c>
      <c r="B140" s="10" t="s">
        <v>532</v>
      </c>
      <c r="C140" s="448">
        <v>286619.99875000003</v>
      </c>
      <c r="D140" s="447">
        <v>12</v>
      </c>
      <c r="E140" s="448">
        <f t="shared" si="132"/>
        <v>3439439.9849999999</v>
      </c>
      <c r="F140" s="448">
        <f>576.62125*12</f>
        <v>6919.4549999999999</v>
      </c>
      <c r="G140" s="451"/>
      <c r="H140" s="451"/>
      <c r="I140" s="448">
        <f t="shared" si="133"/>
        <v>3432520.53</v>
      </c>
      <c r="J140" s="448">
        <v>200000</v>
      </c>
      <c r="K140" s="448">
        <v>0.2</v>
      </c>
      <c r="L140" s="448">
        <f t="shared" si="121"/>
        <v>686504.10600000003</v>
      </c>
      <c r="M140" s="448">
        <f t="shared" si="122"/>
        <v>886504.10600000003</v>
      </c>
      <c r="N140" s="448">
        <f t="shared" si="123"/>
        <v>893423.56099999999</v>
      </c>
      <c r="O140" s="448">
        <f t="shared" si="124"/>
        <v>2546016.4240000001</v>
      </c>
      <c r="P140" s="448">
        <f t="shared" si="125"/>
        <v>21000</v>
      </c>
      <c r="Q140" s="448">
        <f t="shared" si="126"/>
        <v>33000</v>
      </c>
      <c r="R140" s="448">
        <f t="shared" si="127"/>
        <v>75000</v>
      </c>
      <c r="S140" s="448">
        <f t="shared" si="128"/>
        <v>95000</v>
      </c>
      <c r="T140" s="448">
        <f t="shared" si="129"/>
        <v>198663.44904000001</v>
      </c>
      <c r="U140" s="448"/>
      <c r="V140" s="448">
        <f t="shared" si="135"/>
        <v>422663.44903999998</v>
      </c>
      <c r="W140" s="455">
        <v>12</v>
      </c>
      <c r="X140" s="448">
        <f t="shared" si="130"/>
        <v>35221.954086666701</v>
      </c>
      <c r="Y140" s="451"/>
      <c r="Z140" s="448">
        <f t="shared" si="131"/>
        <v>35221.954086666701</v>
      </c>
      <c r="AA140" s="193">
        <v>35221.954086666701</v>
      </c>
      <c r="AB140" s="193">
        <f t="shared" si="134"/>
        <v>0</v>
      </c>
      <c r="AC140" s="193"/>
      <c r="AD140" s="193"/>
      <c r="AE140" s="193"/>
    </row>
    <row r="141" spans="1:31" s="518" customFormat="1" ht="18.75">
      <c r="A141" s="526">
        <v>124</v>
      </c>
      <c r="B141" s="17" t="s">
        <v>534</v>
      </c>
      <c r="C141" s="448">
        <v>265372.07500000001</v>
      </c>
      <c r="D141" s="447">
        <v>12</v>
      </c>
      <c r="E141" s="448">
        <f t="shared" si="132"/>
        <v>3184464.9</v>
      </c>
      <c r="F141" s="448">
        <v>0</v>
      </c>
      <c r="G141" s="451"/>
      <c r="H141" s="451"/>
      <c r="I141" s="448">
        <f t="shared" si="133"/>
        <v>3184464.9</v>
      </c>
      <c r="J141" s="448">
        <v>200000</v>
      </c>
      <c r="K141" s="448">
        <v>0.2</v>
      </c>
      <c r="L141" s="448">
        <f t="shared" si="121"/>
        <v>636892.98</v>
      </c>
      <c r="M141" s="448">
        <f t="shared" si="122"/>
        <v>836892.98</v>
      </c>
      <c r="N141" s="448">
        <f t="shared" si="123"/>
        <v>836892.98</v>
      </c>
      <c r="O141" s="448">
        <f t="shared" si="124"/>
        <v>2347571.92</v>
      </c>
      <c r="P141" s="448">
        <f t="shared" si="125"/>
        <v>21000</v>
      </c>
      <c r="Q141" s="448">
        <f t="shared" si="126"/>
        <v>33000</v>
      </c>
      <c r="R141" s="448">
        <f t="shared" si="127"/>
        <v>75000</v>
      </c>
      <c r="S141" s="448">
        <f t="shared" si="128"/>
        <v>95000</v>
      </c>
      <c r="T141" s="448">
        <f t="shared" si="129"/>
        <v>156990.10320000001</v>
      </c>
      <c r="U141" s="448"/>
      <c r="V141" s="448">
        <f t="shared" si="135"/>
        <v>380990.10320000001</v>
      </c>
      <c r="W141" s="455">
        <v>12</v>
      </c>
      <c r="X141" s="448">
        <f t="shared" si="130"/>
        <v>31749.175266666702</v>
      </c>
      <c r="Y141" s="451"/>
      <c r="Z141" s="448">
        <f t="shared" si="131"/>
        <v>31749.175266666702</v>
      </c>
      <c r="AA141" s="193">
        <v>31749.175266666702</v>
      </c>
      <c r="AB141" s="193">
        <f t="shared" si="134"/>
        <v>-2.91038304567337E-11</v>
      </c>
      <c r="AC141" s="535"/>
      <c r="AD141" s="535"/>
      <c r="AE141" s="535"/>
    </row>
    <row r="142" spans="1:31" ht="18.75">
      <c r="A142" s="522">
        <v>125</v>
      </c>
      <c r="B142" s="10" t="s">
        <v>536</v>
      </c>
      <c r="C142" s="448">
        <v>237734.04699999999</v>
      </c>
      <c r="D142" s="447">
        <v>12</v>
      </c>
      <c r="E142" s="448">
        <f t="shared" si="132"/>
        <v>2852808.5639999998</v>
      </c>
      <c r="F142" s="448"/>
      <c r="G142" s="451"/>
      <c r="H142" s="451"/>
      <c r="I142" s="448">
        <f t="shared" si="133"/>
        <v>2852808.5639999998</v>
      </c>
      <c r="J142" s="448">
        <v>200000</v>
      </c>
      <c r="K142" s="448">
        <v>0.2</v>
      </c>
      <c r="L142" s="448">
        <f t="shared" si="121"/>
        <v>570561.71279999998</v>
      </c>
      <c r="M142" s="448">
        <f t="shared" si="122"/>
        <v>770561.71279999998</v>
      </c>
      <c r="N142" s="448">
        <f t="shared" si="123"/>
        <v>770561.71279999998</v>
      </c>
      <c r="O142" s="448">
        <f t="shared" si="124"/>
        <v>2082246.8511999999</v>
      </c>
      <c r="P142" s="448">
        <f t="shared" si="125"/>
        <v>21000</v>
      </c>
      <c r="Q142" s="448">
        <f t="shared" si="126"/>
        <v>33000</v>
      </c>
      <c r="R142" s="448">
        <f t="shared" si="127"/>
        <v>75000</v>
      </c>
      <c r="S142" s="448">
        <f t="shared" si="128"/>
        <v>95000</v>
      </c>
      <c r="T142" s="448">
        <f t="shared" si="129"/>
        <v>101271.838752</v>
      </c>
      <c r="U142" s="448"/>
      <c r="V142" s="448">
        <f t="shared" si="135"/>
        <v>325271.83875200001</v>
      </c>
      <c r="W142" s="455">
        <v>12</v>
      </c>
      <c r="X142" s="448">
        <f t="shared" si="130"/>
        <v>27105.986562666702</v>
      </c>
      <c r="Y142" s="451"/>
      <c r="Z142" s="448">
        <f t="shared" si="131"/>
        <v>27105.986562666702</v>
      </c>
      <c r="AA142" s="193">
        <v>27105.986562666702</v>
      </c>
      <c r="AB142" s="193">
        <f t="shared" si="134"/>
        <v>-3.2741809263825397E-11</v>
      </c>
      <c r="AC142" s="193"/>
      <c r="AD142" s="193"/>
      <c r="AE142" s="193"/>
    </row>
    <row r="143" spans="1:31" ht="18.75">
      <c r="A143" s="522">
        <v>126</v>
      </c>
      <c r="B143" s="10" t="s">
        <v>538</v>
      </c>
      <c r="C143" s="448">
        <v>242300.07750000001</v>
      </c>
      <c r="D143" s="447">
        <v>12</v>
      </c>
      <c r="E143" s="448">
        <f t="shared" si="132"/>
        <v>2907600.93</v>
      </c>
      <c r="F143" s="448">
        <f>469.4825*12</f>
        <v>5633.79</v>
      </c>
      <c r="G143" s="451"/>
      <c r="H143" s="451"/>
      <c r="I143" s="448">
        <f t="shared" si="133"/>
        <v>2901967.14</v>
      </c>
      <c r="J143" s="448">
        <v>200000</v>
      </c>
      <c r="K143" s="448">
        <v>0.2</v>
      </c>
      <c r="L143" s="448">
        <f t="shared" si="121"/>
        <v>580393.42799999996</v>
      </c>
      <c r="M143" s="448">
        <f t="shared" si="122"/>
        <v>780393.42799999996</v>
      </c>
      <c r="N143" s="448">
        <f t="shared" si="123"/>
        <v>786027.21799999999</v>
      </c>
      <c r="O143" s="448">
        <f t="shared" si="124"/>
        <v>2121573.7119999998</v>
      </c>
      <c r="P143" s="448">
        <f t="shared" si="125"/>
        <v>21000</v>
      </c>
      <c r="Q143" s="448">
        <f t="shared" si="126"/>
        <v>33000</v>
      </c>
      <c r="R143" s="448">
        <f t="shared" si="127"/>
        <v>75000</v>
      </c>
      <c r="S143" s="448">
        <f t="shared" si="128"/>
        <v>95000</v>
      </c>
      <c r="T143" s="448">
        <f t="shared" si="129"/>
        <v>109530.47951999999</v>
      </c>
      <c r="U143" s="448"/>
      <c r="V143" s="448">
        <f t="shared" si="135"/>
        <v>333530.47951999999</v>
      </c>
      <c r="W143" s="455">
        <v>12</v>
      </c>
      <c r="X143" s="448">
        <f t="shared" si="130"/>
        <v>27794.206626666699</v>
      </c>
      <c r="Y143" s="451"/>
      <c r="Z143" s="448">
        <f t="shared" si="131"/>
        <v>27794.206626666699</v>
      </c>
      <c r="AA143" s="535">
        <v>27794.206626666699</v>
      </c>
      <c r="AB143" s="193">
        <f t="shared" si="134"/>
        <v>-2.91038304567337E-11</v>
      </c>
      <c r="AC143" s="193"/>
      <c r="AD143" s="193"/>
      <c r="AE143" s="193"/>
    </row>
    <row r="144" spans="1:31" ht="18.75">
      <c r="A144" s="522">
        <v>127</v>
      </c>
      <c r="B144" s="10" t="s">
        <v>540</v>
      </c>
      <c r="C144" s="448">
        <v>242300.07750000001</v>
      </c>
      <c r="D144" s="447">
        <v>12</v>
      </c>
      <c r="E144" s="448">
        <f t="shared" si="132"/>
        <v>2907600.93</v>
      </c>
      <c r="F144" s="448"/>
      <c r="G144" s="451"/>
      <c r="H144" s="451"/>
      <c r="I144" s="448">
        <f t="shared" si="133"/>
        <v>2907600.93</v>
      </c>
      <c r="J144" s="448">
        <v>200000</v>
      </c>
      <c r="K144" s="448">
        <v>0.2</v>
      </c>
      <c r="L144" s="448">
        <f t="shared" si="121"/>
        <v>581520.18599999999</v>
      </c>
      <c r="M144" s="448">
        <f t="shared" si="122"/>
        <v>781520.18599999999</v>
      </c>
      <c r="N144" s="448">
        <f t="shared" si="123"/>
        <v>781520.18599999999</v>
      </c>
      <c r="O144" s="448">
        <f t="shared" si="124"/>
        <v>2126080.7439999999</v>
      </c>
      <c r="P144" s="448">
        <f t="shared" si="125"/>
        <v>21000</v>
      </c>
      <c r="Q144" s="448">
        <f t="shared" si="126"/>
        <v>33000</v>
      </c>
      <c r="R144" s="448">
        <f t="shared" si="127"/>
        <v>75000</v>
      </c>
      <c r="S144" s="448">
        <f t="shared" si="128"/>
        <v>95000</v>
      </c>
      <c r="T144" s="448">
        <f t="shared" si="129"/>
        <v>110476.95624</v>
      </c>
      <c r="U144" s="448"/>
      <c r="V144" s="448">
        <f t="shared" si="135"/>
        <v>334476.95624000003</v>
      </c>
      <c r="W144" s="455">
        <v>12</v>
      </c>
      <c r="X144" s="448">
        <f t="shared" si="130"/>
        <v>27873.079686666701</v>
      </c>
      <c r="Y144" s="451"/>
      <c r="Z144" s="448">
        <f t="shared" si="131"/>
        <v>27873.079686666701</v>
      </c>
      <c r="AA144" s="193">
        <v>27873.079686666701</v>
      </c>
      <c r="AB144" s="193">
        <f t="shared" si="134"/>
        <v>-3.6379788070917097E-11</v>
      </c>
      <c r="AC144" s="193"/>
      <c r="AD144" s="193"/>
      <c r="AE144" s="193"/>
    </row>
    <row r="145" spans="1:31" ht="18.75">
      <c r="A145" s="522">
        <v>128</v>
      </c>
      <c r="B145" s="10" t="s">
        <v>541</v>
      </c>
      <c r="C145" s="448">
        <v>237734.04699999999</v>
      </c>
      <c r="D145" s="447">
        <v>12</v>
      </c>
      <c r="E145" s="448">
        <f t="shared" si="132"/>
        <v>2852808.5639999998</v>
      </c>
      <c r="F145" s="448"/>
      <c r="G145" s="451"/>
      <c r="H145" s="451"/>
      <c r="I145" s="448">
        <f t="shared" si="133"/>
        <v>2852808.5639999998</v>
      </c>
      <c r="J145" s="448">
        <v>200000</v>
      </c>
      <c r="K145" s="448">
        <v>0.2</v>
      </c>
      <c r="L145" s="448">
        <f t="shared" si="121"/>
        <v>570561.71279999998</v>
      </c>
      <c r="M145" s="448">
        <f t="shared" si="122"/>
        <v>770561.71279999998</v>
      </c>
      <c r="N145" s="448">
        <f t="shared" si="123"/>
        <v>770561.71279999998</v>
      </c>
      <c r="O145" s="448">
        <f t="shared" si="124"/>
        <v>2082246.8511999999</v>
      </c>
      <c r="P145" s="448">
        <f t="shared" si="125"/>
        <v>21000</v>
      </c>
      <c r="Q145" s="448">
        <f t="shared" si="126"/>
        <v>33000</v>
      </c>
      <c r="R145" s="448">
        <f t="shared" si="127"/>
        <v>75000</v>
      </c>
      <c r="S145" s="448">
        <f t="shared" si="128"/>
        <v>95000</v>
      </c>
      <c r="T145" s="448">
        <f t="shared" si="129"/>
        <v>101271.838752</v>
      </c>
      <c r="U145" s="448"/>
      <c r="V145" s="448">
        <f t="shared" si="135"/>
        <v>325271.83875200001</v>
      </c>
      <c r="W145" s="455">
        <v>12</v>
      </c>
      <c r="X145" s="448">
        <f t="shared" si="130"/>
        <v>27105.986562666702</v>
      </c>
      <c r="Y145" s="451"/>
      <c r="Z145" s="448">
        <f t="shared" si="131"/>
        <v>27105.986562666702</v>
      </c>
      <c r="AA145" s="193">
        <v>27105.986562666702</v>
      </c>
      <c r="AB145" s="193">
        <f t="shared" si="134"/>
        <v>-3.2741809263825397E-11</v>
      </c>
      <c r="AC145" s="193"/>
      <c r="AD145" s="193"/>
      <c r="AE145" s="193"/>
    </row>
    <row r="146" spans="1:31" ht="37.5">
      <c r="A146" s="522">
        <v>129</v>
      </c>
      <c r="B146" s="10" t="s">
        <v>543</v>
      </c>
      <c r="C146" s="448">
        <v>209356.04725</v>
      </c>
      <c r="D146" s="447">
        <v>12</v>
      </c>
      <c r="E146" s="448">
        <f t="shared" si="132"/>
        <v>2512272.5669999998</v>
      </c>
      <c r="F146" s="448"/>
      <c r="G146" s="451"/>
      <c r="H146" s="451"/>
      <c r="I146" s="448">
        <f t="shared" si="133"/>
        <v>2512272.5669999998</v>
      </c>
      <c r="J146" s="448">
        <v>200000</v>
      </c>
      <c r="K146" s="448">
        <v>0.2</v>
      </c>
      <c r="L146" s="448">
        <f t="shared" si="121"/>
        <v>502454.5134</v>
      </c>
      <c r="M146" s="448">
        <f t="shared" si="122"/>
        <v>702454.51340000005</v>
      </c>
      <c r="N146" s="448">
        <f t="shared" si="123"/>
        <v>702454.51340000005</v>
      </c>
      <c r="O146" s="448">
        <f t="shared" si="124"/>
        <v>1809818.0536</v>
      </c>
      <c r="P146" s="448">
        <f t="shared" si="125"/>
        <v>21000</v>
      </c>
      <c r="Q146" s="448">
        <f t="shared" si="126"/>
        <v>33000</v>
      </c>
      <c r="R146" s="448">
        <f t="shared" si="127"/>
        <v>75000</v>
      </c>
      <c r="S146" s="448">
        <f t="shared" si="128"/>
        <v>95000</v>
      </c>
      <c r="T146" s="448">
        <f t="shared" si="129"/>
        <v>44061.791255999902</v>
      </c>
      <c r="U146" s="448"/>
      <c r="V146" s="448">
        <f t="shared" si="135"/>
        <v>268061.791256</v>
      </c>
      <c r="W146" s="455">
        <v>12</v>
      </c>
      <c r="X146" s="448">
        <f t="shared" si="130"/>
        <v>22338.4826046667</v>
      </c>
      <c r="Y146" s="451"/>
      <c r="Z146" s="448">
        <f t="shared" si="131"/>
        <v>22338.4826046667</v>
      </c>
      <c r="AA146" s="193">
        <v>22338.4826046667</v>
      </c>
      <c r="AB146" s="193">
        <f t="shared" si="134"/>
        <v>-4.0017766878008797E-11</v>
      </c>
      <c r="AC146" s="193"/>
      <c r="AD146" s="193"/>
      <c r="AE146" s="193"/>
    </row>
    <row r="147" spans="1:31" ht="18.75">
      <c r="A147" s="522">
        <v>130</v>
      </c>
      <c r="B147" s="10" t="s">
        <v>545</v>
      </c>
      <c r="C147" s="448">
        <v>237734.04699999999</v>
      </c>
      <c r="D147" s="447">
        <v>12</v>
      </c>
      <c r="E147" s="448">
        <f t="shared" si="132"/>
        <v>2852808.5639999998</v>
      </c>
      <c r="F147" s="448"/>
      <c r="G147" s="451"/>
      <c r="H147" s="451"/>
      <c r="I147" s="448">
        <f t="shared" si="133"/>
        <v>2852808.5639999998</v>
      </c>
      <c r="J147" s="448">
        <v>200000</v>
      </c>
      <c r="K147" s="448">
        <v>0.2</v>
      </c>
      <c r="L147" s="448">
        <f t="shared" si="121"/>
        <v>570561.71279999998</v>
      </c>
      <c r="M147" s="448">
        <f t="shared" si="122"/>
        <v>770561.71279999998</v>
      </c>
      <c r="N147" s="448">
        <f t="shared" si="123"/>
        <v>770561.71279999998</v>
      </c>
      <c r="O147" s="448">
        <f t="shared" si="124"/>
        <v>2082246.8511999999</v>
      </c>
      <c r="P147" s="448">
        <f t="shared" si="125"/>
        <v>21000</v>
      </c>
      <c r="Q147" s="448">
        <f t="shared" si="126"/>
        <v>33000</v>
      </c>
      <c r="R147" s="448">
        <f t="shared" si="127"/>
        <v>75000</v>
      </c>
      <c r="S147" s="448">
        <f t="shared" si="128"/>
        <v>95000</v>
      </c>
      <c r="T147" s="448">
        <f t="shared" si="129"/>
        <v>101271.838752</v>
      </c>
      <c r="U147" s="448"/>
      <c r="V147" s="448">
        <f t="shared" si="135"/>
        <v>325271.83875200001</v>
      </c>
      <c r="W147" s="455">
        <v>12</v>
      </c>
      <c r="X147" s="448">
        <f t="shared" si="130"/>
        <v>27105.986562666702</v>
      </c>
      <c r="Y147" s="451"/>
      <c r="Z147" s="448">
        <f t="shared" si="131"/>
        <v>27105.986562666702</v>
      </c>
      <c r="AA147" s="193">
        <v>27105.986562666702</v>
      </c>
      <c r="AB147" s="193">
        <f t="shared" si="134"/>
        <v>-3.2741809263825397E-11</v>
      </c>
      <c r="AC147" s="193"/>
      <c r="AD147" s="193"/>
      <c r="AE147" s="193"/>
    </row>
    <row r="148" spans="1:31" ht="18.75">
      <c r="A148" s="522">
        <v>131</v>
      </c>
      <c r="B148" s="10" t="s">
        <v>547</v>
      </c>
      <c r="C148" s="448">
        <v>213508.01</v>
      </c>
      <c r="D148" s="447">
        <v>12</v>
      </c>
      <c r="E148" s="448">
        <f t="shared" si="132"/>
        <v>2562096.12</v>
      </c>
      <c r="F148" s="448"/>
      <c r="G148" s="451"/>
      <c r="H148" s="451"/>
      <c r="I148" s="448">
        <f t="shared" si="133"/>
        <v>2562096.12</v>
      </c>
      <c r="J148" s="448">
        <v>200000</v>
      </c>
      <c r="K148" s="448">
        <v>0.2</v>
      </c>
      <c r="L148" s="448">
        <f t="shared" si="121"/>
        <v>512419.22399999999</v>
      </c>
      <c r="M148" s="448">
        <f t="shared" si="122"/>
        <v>712419.22400000005</v>
      </c>
      <c r="N148" s="448">
        <f t="shared" si="123"/>
        <v>712419.22400000005</v>
      </c>
      <c r="O148" s="448">
        <f t="shared" si="124"/>
        <v>1849676.8959999999</v>
      </c>
      <c r="P148" s="448">
        <f t="shared" si="125"/>
        <v>21000</v>
      </c>
      <c r="Q148" s="448">
        <f t="shared" si="126"/>
        <v>33000</v>
      </c>
      <c r="R148" s="448">
        <f t="shared" si="127"/>
        <v>75000</v>
      </c>
      <c r="S148" s="448">
        <f t="shared" si="128"/>
        <v>95000</v>
      </c>
      <c r="T148" s="448">
        <f t="shared" si="129"/>
        <v>52432.148159999997</v>
      </c>
      <c r="U148" s="448"/>
      <c r="V148" s="448">
        <f t="shared" si="135"/>
        <v>276432.14815999998</v>
      </c>
      <c r="W148" s="455">
        <v>12</v>
      </c>
      <c r="X148" s="448">
        <f t="shared" si="130"/>
        <v>23036.012346666699</v>
      </c>
      <c r="Y148" s="451"/>
      <c r="Z148" s="448">
        <f t="shared" si="131"/>
        <v>23036.012346666699</v>
      </c>
      <c r="AA148" s="193">
        <v>23036.012346666699</v>
      </c>
      <c r="AB148" s="193">
        <f t="shared" si="134"/>
        <v>-2.91038304567337E-11</v>
      </c>
      <c r="AC148" s="193"/>
      <c r="AD148" s="193"/>
      <c r="AE148" s="193"/>
    </row>
    <row r="149" spans="1:31" ht="18.75">
      <c r="A149" s="522">
        <v>132</v>
      </c>
      <c r="B149" s="10" t="s">
        <v>549</v>
      </c>
      <c r="C149" s="448">
        <v>237734.04699999999</v>
      </c>
      <c r="D149" s="447">
        <v>12</v>
      </c>
      <c r="E149" s="448">
        <f t="shared" si="132"/>
        <v>2852808.5639999998</v>
      </c>
      <c r="F149" s="448">
        <f>457.041*12</f>
        <v>5484.4920000000002</v>
      </c>
      <c r="G149" s="451"/>
      <c r="H149" s="451"/>
      <c r="I149" s="448">
        <f t="shared" si="133"/>
        <v>2847324.0720000002</v>
      </c>
      <c r="J149" s="448">
        <v>200000</v>
      </c>
      <c r="K149" s="448">
        <v>0.2</v>
      </c>
      <c r="L149" s="448">
        <f t="shared" si="121"/>
        <v>569464.81440000003</v>
      </c>
      <c r="M149" s="448">
        <f t="shared" si="122"/>
        <v>769464.81440000003</v>
      </c>
      <c r="N149" s="448">
        <f t="shared" si="123"/>
        <v>774949.3064</v>
      </c>
      <c r="O149" s="448">
        <f t="shared" si="124"/>
        <v>2077859.2575999999</v>
      </c>
      <c r="P149" s="448">
        <f t="shared" si="125"/>
        <v>21000</v>
      </c>
      <c r="Q149" s="448">
        <f t="shared" si="126"/>
        <v>33000</v>
      </c>
      <c r="R149" s="448">
        <f t="shared" si="127"/>
        <v>75000</v>
      </c>
      <c r="S149" s="448">
        <f t="shared" si="128"/>
        <v>95000</v>
      </c>
      <c r="T149" s="448">
        <f t="shared" si="129"/>
        <v>100350.44409600001</v>
      </c>
      <c r="U149" s="448"/>
      <c r="V149" s="448">
        <f t="shared" si="135"/>
        <v>324350.44409599999</v>
      </c>
      <c r="W149" s="455">
        <v>12</v>
      </c>
      <c r="X149" s="448">
        <f t="shared" si="130"/>
        <v>27029.2036746667</v>
      </c>
      <c r="Y149" s="451"/>
      <c r="Z149" s="448">
        <f t="shared" si="131"/>
        <v>27029.2036746667</v>
      </c>
      <c r="AA149" s="193">
        <v>27029.2036746667</v>
      </c>
      <c r="AB149" s="193">
        <f t="shared" si="134"/>
        <v>-3.2741809263825397E-11</v>
      </c>
      <c r="AC149" s="193"/>
      <c r="AD149" s="193"/>
      <c r="AE149" s="193"/>
    </row>
    <row r="150" spans="1:31" ht="18.75">
      <c r="A150" s="522">
        <v>133</v>
      </c>
      <c r="B150" s="10" t="s">
        <v>551</v>
      </c>
      <c r="C150" s="448">
        <v>209356.04725</v>
      </c>
      <c r="D150" s="447">
        <v>12</v>
      </c>
      <c r="E150" s="448">
        <f t="shared" si="132"/>
        <v>2512272.5669999998</v>
      </c>
      <c r="F150" s="448"/>
      <c r="G150" s="451"/>
      <c r="H150" s="451"/>
      <c r="I150" s="448">
        <f t="shared" si="133"/>
        <v>2512272.5669999998</v>
      </c>
      <c r="J150" s="448">
        <v>200000</v>
      </c>
      <c r="K150" s="448">
        <v>0.2</v>
      </c>
      <c r="L150" s="448">
        <f t="shared" si="121"/>
        <v>502454.5134</v>
      </c>
      <c r="M150" s="448">
        <f t="shared" si="122"/>
        <v>702454.51340000005</v>
      </c>
      <c r="N150" s="448">
        <f t="shared" si="123"/>
        <v>702454.51340000005</v>
      </c>
      <c r="O150" s="448">
        <f t="shared" si="124"/>
        <v>1809818.0536</v>
      </c>
      <c r="P150" s="448">
        <f t="shared" si="125"/>
        <v>21000</v>
      </c>
      <c r="Q150" s="448">
        <f t="shared" si="126"/>
        <v>33000</v>
      </c>
      <c r="R150" s="448">
        <f t="shared" si="127"/>
        <v>75000</v>
      </c>
      <c r="S150" s="448">
        <f t="shared" si="128"/>
        <v>95000</v>
      </c>
      <c r="T150" s="448">
        <f t="shared" si="129"/>
        <v>44061.791255999902</v>
      </c>
      <c r="U150" s="448"/>
      <c r="V150" s="448">
        <f t="shared" si="135"/>
        <v>268061.791256</v>
      </c>
      <c r="W150" s="455">
        <v>12</v>
      </c>
      <c r="X150" s="448">
        <f t="shared" si="130"/>
        <v>22338.4826046667</v>
      </c>
      <c r="Y150" s="451"/>
      <c r="Z150" s="448">
        <f t="shared" si="131"/>
        <v>22338.4826046667</v>
      </c>
      <c r="AA150" s="193">
        <v>22338.4826046667</v>
      </c>
      <c r="AB150" s="193">
        <f t="shared" si="134"/>
        <v>-4.0017766878008797E-11</v>
      </c>
      <c r="AC150" s="193"/>
      <c r="AD150" s="193"/>
      <c r="AE150" s="193"/>
    </row>
    <row r="151" spans="1:31" ht="18.75">
      <c r="A151" s="522">
        <v>134</v>
      </c>
      <c r="B151" s="17" t="s">
        <v>553</v>
      </c>
      <c r="C151" s="448">
        <v>205204.0845</v>
      </c>
      <c r="D151" s="447">
        <v>12</v>
      </c>
      <c r="E151" s="448">
        <f t="shared" si="132"/>
        <v>2462449.014</v>
      </c>
      <c r="F151" s="448"/>
      <c r="G151" s="451"/>
      <c r="H151" s="451"/>
      <c r="I151" s="448">
        <f t="shared" si="133"/>
        <v>2462449.014</v>
      </c>
      <c r="J151" s="448">
        <v>200000</v>
      </c>
      <c r="K151" s="448">
        <v>0.2</v>
      </c>
      <c r="L151" s="448">
        <f t="shared" si="121"/>
        <v>492489.8028</v>
      </c>
      <c r="M151" s="448">
        <f t="shared" si="122"/>
        <v>692489.80279999995</v>
      </c>
      <c r="N151" s="448">
        <f t="shared" si="123"/>
        <v>692489.80279999995</v>
      </c>
      <c r="O151" s="448">
        <f t="shared" si="124"/>
        <v>1769959.2112</v>
      </c>
      <c r="P151" s="448">
        <f t="shared" si="125"/>
        <v>21000</v>
      </c>
      <c r="Q151" s="448">
        <f t="shared" si="126"/>
        <v>33000</v>
      </c>
      <c r="R151" s="448">
        <f t="shared" si="127"/>
        <v>75000</v>
      </c>
      <c r="S151" s="448">
        <f t="shared" si="128"/>
        <v>95000</v>
      </c>
      <c r="T151" s="448">
        <f t="shared" si="129"/>
        <v>35691.434351999997</v>
      </c>
      <c r="U151" s="448"/>
      <c r="V151" s="448">
        <f t="shared" si="135"/>
        <v>259691.43435200001</v>
      </c>
      <c r="W151" s="455">
        <v>12</v>
      </c>
      <c r="X151" s="448">
        <f t="shared" si="130"/>
        <v>21640.952862666702</v>
      </c>
      <c r="Y151" s="451"/>
      <c r="Z151" s="448">
        <f t="shared" si="131"/>
        <v>21640.952862666702</v>
      </c>
      <c r="AA151" s="193">
        <v>21640.952862666702</v>
      </c>
      <c r="AB151" s="193">
        <f t="shared" si="134"/>
        <v>-3.2741809263825397E-11</v>
      </c>
      <c r="AC151" s="193"/>
      <c r="AD151" s="193"/>
      <c r="AE151" s="193"/>
    </row>
    <row r="152" spans="1:31" ht="18.75">
      <c r="A152" s="522">
        <v>135</v>
      </c>
      <c r="B152" s="17" t="s">
        <v>555</v>
      </c>
      <c r="C152" s="448">
        <v>176816.1</v>
      </c>
      <c r="D152" s="447">
        <v>12</v>
      </c>
      <c r="E152" s="448">
        <f t="shared" si="132"/>
        <v>2121793.2000000002</v>
      </c>
      <c r="F152" s="448">
        <v>0</v>
      </c>
      <c r="G152" s="451"/>
      <c r="H152" s="451"/>
      <c r="I152" s="448">
        <f t="shared" si="133"/>
        <v>2121793.2000000002</v>
      </c>
      <c r="J152" s="448">
        <v>200000</v>
      </c>
      <c r="K152" s="448">
        <v>0.2</v>
      </c>
      <c r="L152" s="448">
        <f t="shared" si="121"/>
        <v>424358.64</v>
      </c>
      <c r="M152" s="448">
        <f t="shared" si="122"/>
        <v>624358.64</v>
      </c>
      <c r="N152" s="448">
        <f t="shared" si="123"/>
        <v>624358.64</v>
      </c>
      <c r="O152" s="448">
        <f t="shared" si="124"/>
        <v>1497434.56</v>
      </c>
      <c r="P152" s="448">
        <f t="shared" si="125"/>
        <v>21000</v>
      </c>
      <c r="Q152" s="448">
        <f t="shared" si="126"/>
        <v>33000</v>
      </c>
      <c r="R152" s="448">
        <f t="shared" si="127"/>
        <v>75000</v>
      </c>
      <c r="S152" s="448">
        <f t="shared" si="128"/>
        <v>75512.566399999996</v>
      </c>
      <c r="T152" s="448">
        <f t="shared" si="129"/>
        <v>0</v>
      </c>
      <c r="U152" s="448"/>
      <c r="V152" s="448">
        <f t="shared" si="135"/>
        <v>204512.56640000001</v>
      </c>
      <c r="W152" s="455">
        <v>12</v>
      </c>
      <c r="X152" s="448">
        <f t="shared" si="130"/>
        <v>17042.713866666702</v>
      </c>
      <c r="Y152" s="451"/>
      <c r="Z152" s="448">
        <f t="shared" si="131"/>
        <v>17042.713866666702</v>
      </c>
      <c r="AA152" s="193">
        <v>17042.713866666702</v>
      </c>
      <c r="AB152" s="193">
        <f t="shared" si="134"/>
        <v>-3.2741809263825397E-11</v>
      </c>
      <c r="AC152" s="193"/>
      <c r="AD152" s="193"/>
      <c r="AE152" s="193"/>
    </row>
    <row r="153" spans="1:31" ht="18.75">
      <c r="A153" s="522">
        <v>136</v>
      </c>
      <c r="B153" s="17" t="s">
        <v>557</v>
      </c>
      <c r="C153" s="448">
        <v>176816.1</v>
      </c>
      <c r="D153" s="447">
        <v>12</v>
      </c>
      <c r="E153" s="448">
        <f t="shared" si="132"/>
        <v>2121793.2000000002</v>
      </c>
      <c r="F153" s="448">
        <v>0</v>
      </c>
      <c r="G153" s="451"/>
      <c r="H153" s="451"/>
      <c r="I153" s="448">
        <f t="shared" si="133"/>
        <v>2121793.2000000002</v>
      </c>
      <c r="J153" s="448">
        <v>200000</v>
      </c>
      <c r="K153" s="448">
        <v>0.2</v>
      </c>
      <c r="L153" s="448">
        <f t="shared" si="121"/>
        <v>424358.64</v>
      </c>
      <c r="M153" s="448">
        <f t="shared" si="122"/>
        <v>624358.64</v>
      </c>
      <c r="N153" s="448">
        <f t="shared" si="123"/>
        <v>624358.64</v>
      </c>
      <c r="O153" s="448">
        <f t="shared" si="124"/>
        <v>1497434.56</v>
      </c>
      <c r="P153" s="448">
        <f t="shared" si="125"/>
        <v>21000</v>
      </c>
      <c r="Q153" s="448">
        <f t="shared" si="126"/>
        <v>33000</v>
      </c>
      <c r="R153" s="448">
        <f t="shared" si="127"/>
        <v>75000</v>
      </c>
      <c r="S153" s="448">
        <f t="shared" si="128"/>
        <v>75512.566399999996</v>
      </c>
      <c r="T153" s="448">
        <f t="shared" si="129"/>
        <v>0</v>
      </c>
      <c r="U153" s="448"/>
      <c r="V153" s="448">
        <f t="shared" si="135"/>
        <v>204512.56640000001</v>
      </c>
      <c r="W153" s="455">
        <v>12</v>
      </c>
      <c r="X153" s="448">
        <f t="shared" si="130"/>
        <v>17042.713866666702</v>
      </c>
      <c r="Y153" s="451"/>
      <c r="Z153" s="448">
        <f t="shared" si="131"/>
        <v>17042.713866666702</v>
      </c>
      <c r="AA153" s="193">
        <v>17042.713866666702</v>
      </c>
      <c r="AB153" s="193">
        <f t="shared" si="134"/>
        <v>-3.2741809263825397E-11</v>
      </c>
      <c r="AC153" s="193"/>
      <c r="AD153" s="193"/>
      <c r="AE153" s="193"/>
    </row>
    <row r="154" spans="1:31" ht="37.5">
      <c r="A154" s="522">
        <v>137</v>
      </c>
      <c r="B154" s="17" t="s">
        <v>559</v>
      </c>
      <c r="C154" s="448">
        <v>176816.1</v>
      </c>
      <c r="D154" s="447">
        <v>12</v>
      </c>
      <c r="E154" s="448">
        <f t="shared" si="132"/>
        <v>2121793.2000000002</v>
      </c>
      <c r="F154" s="448">
        <v>0</v>
      </c>
      <c r="G154" s="451"/>
      <c r="H154" s="451"/>
      <c r="I154" s="448">
        <f t="shared" si="133"/>
        <v>2121793.2000000002</v>
      </c>
      <c r="J154" s="448">
        <v>200000</v>
      </c>
      <c r="K154" s="448">
        <v>0.2</v>
      </c>
      <c r="L154" s="448">
        <f t="shared" si="121"/>
        <v>424358.64</v>
      </c>
      <c r="M154" s="448">
        <f t="shared" si="122"/>
        <v>624358.64</v>
      </c>
      <c r="N154" s="448">
        <f t="shared" si="123"/>
        <v>624358.64</v>
      </c>
      <c r="O154" s="448">
        <f t="shared" si="124"/>
        <v>1497434.56</v>
      </c>
      <c r="P154" s="448">
        <f t="shared" si="125"/>
        <v>21000</v>
      </c>
      <c r="Q154" s="448">
        <f t="shared" si="126"/>
        <v>33000</v>
      </c>
      <c r="R154" s="448">
        <f t="shared" si="127"/>
        <v>75000</v>
      </c>
      <c r="S154" s="448">
        <f t="shared" si="128"/>
        <v>75512.566399999996</v>
      </c>
      <c r="T154" s="448">
        <f t="shared" si="129"/>
        <v>0</v>
      </c>
      <c r="U154" s="448"/>
      <c r="V154" s="448">
        <f t="shared" si="135"/>
        <v>204512.56640000001</v>
      </c>
      <c r="W154" s="455">
        <v>12</v>
      </c>
      <c r="X154" s="448">
        <f t="shared" si="130"/>
        <v>17042.713866666702</v>
      </c>
      <c r="Y154" s="451"/>
      <c r="Z154" s="448">
        <f t="shared" si="131"/>
        <v>17042.713866666702</v>
      </c>
      <c r="AA154" s="193">
        <v>17042.713866666702</v>
      </c>
      <c r="AB154" s="193">
        <f t="shared" si="134"/>
        <v>-3.2741809263825397E-11</v>
      </c>
      <c r="AC154" s="193"/>
      <c r="AD154" s="193"/>
      <c r="AE154" s="193"/>
    </row>
    <row r="155" spans="1:31" ht="18.75">
      <c r="A155" s="522">
        <v>138</v>
      </c>
      <c r="B155" s="17" t="s">
        <v>561</v>
      </c>
      <c r="C155" s="448">
        <v>180304.068</v>
      </c>
      <c r="D155" s="447">
        <v>12</v>
      </c>
      <c r="E155" s="448">
        <f t="shared" si="132"/>
        <v>2163648.8160000001</v>
      </c>
      <c r="F155" s="448">
        <v>0</v>
      </c>
      <c r="G155" s="451"/>
      <c r="H155" s="451"/>
      <c r="I155" s="448">
        <f t="shared" si="133"/>
        <v>2163648.8160000001</v>
      </c>
      <c r="J155" s="448">
        <v>200000</v>
      </c>
      <c r="K155" s="448">
        <v>0.2</v>
      </c>
      <c r="L155" s="448">
        <f t="shared" si="121"/>
        <v>432729.76319999999</v>
      </c>
      <c r="M155" s="448">
        <f t="shared" si="122"/>
        <v>632729.76320000004</v>
      </c>
      <c r="N155" s="448">
        <f t="shared" si="123"/>
        <v>632729.76320000004</v>
      </c>
      <c r="O155" s="448">
        <f t="shared" si="124"/>
        <v>1530919.0527999999</v>
      </c>
      <c r="P155" s="448">
        <f t="shared" si="125"/>
        <v>21000</v>
      </c>
      <c r="Q155" s="448">
        <f t="shared" si="126"/>
        <v>33000</v>
      </c>
      <c r="R155" s="448">
        <f t="shared" si="127"/>
        <v>75000</v>
      </c>
      <c r="S155" s="448">
        <f t="shared" si="128"/>
        <v>81874.620032000006</v>
      </c>
      <c r="T155" s="448">
        <f t="shared" si="129"/>
        <v>0</v>
      </c>
      <c r="U155" s="448"/>
      <c r="V155" s="448">
        <f t="shared" si="135"/>
        <v>210874.62003200001</v>
      </c>
      <c r="W155" s="455">
        <v>12</v>
      </c>
      <c r="X155" s="448">
        <f t="shared" si="130"/>
        <v>17572.885002666699</v>
      </c>
      <c r="Y155" s="451"/>
      <c r="Z155" s="448">
        <f t="shared" si="131"/>
        <v>17572.885002666699</v>
      </c>
      <c r="AA155" s="193">
        <v>17572.885002666699</v>
      </c>
      <c r="AB155" s="193">
        <f t="shared" si="134"/>
        <v>-2.91038304567337E-11</v>
      </c>
      <c r="AC155" s="193"/>
      <c r="AD155" s="193"/>
      <c r="AE155" s="193"/>
    </row>
    <row r="156" spans="1:31" ht="18.75">
      <c r="A156" s="522">
        <v>139</v>
      </c>
      <c r="B156" s="17" t="s">
        <v>563</v>
      </c>
      <c r="C156" s="448">
        <v>176816.1</v>
      </c>
      <c r="D156" s="447">
        <v>12</v>
      </c>
      <c r="E156" s="448">
        <f t="shared" si="132"/>
        <v>2121793.2000000002</v>
      </c>
      <c r="F156" s="448">
        <v>0</v>
      </c>
      <c r="G156" s="451"/>
      <c r="H156" s="451"/>
      <c r="I156" s="448">
        <f t="shared" si="133"/>
        <v>2121793.2000000002</v>
      </c>
      <c r="J156" s="448">
        <v>200000</v>
      </c>
      <c r="K156" s="448">
        <v>0.2</v>
      </c>
      <c r="L156" s="448">
        <f t="shared" si="121"/>
        <v>424358.64</v>
      </c>
      <c r="M156" s="448">
        <f t="shared" si="122"/>
        <v>624358.64</v>
      </c>
      <c r="N156" s="448">
        <f t="shared" si="123"/>
        <v>624358.64</v>
      </c>
      <c r="O156" s="448">
        <f t="shared" si="124"/>
        <v>1497434.56</v>
      </c>
      <c r="P156" s="448">
        <f t="shared" si="125"/>
        <v>21000</v>
      </c>
      <c r="Q156" s="448">
        <f t="shared" si="126"/>
        <v>33000</v>
      </c>
      <c r="R156" s="448">
        <f t="shared" si="127"/>
        <v>75000</v>
      </c>
      <c r="S156" s="448">
        <f t="shared" si="128"/>
        <v>75512.566399999996</v>
      </c>
      <c r="T156" s="448">
        <f t="shared" si="129"/>
        <v>0</v>
      </c>
      <c r="U156" s="448"/>
      <c r="V156" s="448">
        <f t="shared" si="135"/>
        <v>204512.56640000001</v>
      </c>
      <c r="W156" s="455">
        <v>12</v>
      </c>
      <c r="X156" s="448">
        <f t="shared" si="130"/>
        <v>17042.713866666702</v>
      </c>
      <c r="Y156" s="451"/>
      <c r="Z156" s="448">
        <f t="shared" si="131"/>
        <v>17042.713866666702</v>
      </c>
      <c r="AA156" s="193">
        <v>17042.713866666702</v>
      </c>
      <c r="AB156" s="193">
        <f t="shared" si="134"/>
        <v>-3.2741809263825397E-11</v>
      </c>
      <c r="AC156" s="193"/>
      <c r="AD156" s="193"/>
      <c r="AE156" s="193"/>
    </row>
    <row r="157" spans="1:31" ht="18.75">
      <c r="A157" s="522">
        <v>140</v>
      </c>
      <c r="B157" s="10" t="s">
        <v>564</v>
      </c>
      <c r="C157" s="448">
        <v>135590.73000000001</v>
      </c>
      <c r="D157" s="447">
        <v>12</v>
      </c>
      <c r="E157" s="448">
        <f t="shared" si="132"/>
        <v>1627088.76</v>
      </c>
      <c r="F157" s="448">
        <f>263.19*12</f>
        <v>3158.28</v>
      </c>
      <c r="G157" s="451"/>
      <c r="H157" s="451"/>
      <c r="I157" s="448">
        <f t="shared" si="133"/>
        <v>1623930.48</v>
      </c>
      <c r="J157" s="448">
        <v>200000</v>
      </c>
      <c r="K157" s="448">
        <v>0.2</v>
      </c>
      <c r="L157" s="448">
        <f t="shared" si="121"/>
        <v>324786.09600000002</v>
      </c>
      <c r="M157" s="448">
        <f t="shared" si="122"/>
        <v>524786.09600000002</v>
      </c>
      <c r="N157" s="448">
        <f t="shared" si="123"/>
        <v>527944.37600000005</v>
      </c>
      <c r="O157" s="448">
        <f t="shared" si="124"/>
        <v>1099144.3840000001</v>
      </c>
      <c r="P157" s="448">
        <f t="shared" si="125"/>
        <v>21000</v>
      </c>
      <c r="Q157" s="448">
        <f t="shared" si="126"/>
        <v>33000</v>
      </c>
      <c r="R157" s="448">
        <f t="shared" si="127"/>
        <v>74871.657600000006</v>
      </c>
      <c r="S157" s="448">
        <f t="shared" si="128"/>
        <v>0</v>
      </c>
      <c r="T157" s="448">
        <f t="shared" si="129"/>
        <v>0</v>
      </c>
      <c r="U157" s="448"/>
      <c r="V157" s="448">
        <f t="shared" si="135"/>
        <v>128871.65760000001</v>
      </c>
      <c r="W157" s="455">
        <v>12</v>
      </c>
      <c r="X157" s="448">
        <f t="shared" si="130"/>
        <v>10739.3048</v>
      </c>
      <c r="Y157" s="451"/>
      <c r="Z157" s="448">
        <f t="shared" si="131"/>
        <v>10739.3048</v>
      </c>
      <c r="AA157" s="193">
        <v>10739.3048</v>
      </c>
      <c r="AB157" s="193">
        <f t="shared" si="134"/>
        <v>0</v>
      </c>
      <c r="AC157" s="193"/>
      <c r="AD157" s="193"/>
      <c r="AE157" s="193"/>
    </row>
    <row r="158" spans="1:31" ht="18.75">
      <c r="A158" s="522">
        <v>141</v>
      </c>
      <c r="B158" s="10" t="s">
        <v>567</v>
      </c>
      <c r="C158" s="448">
        <v>138590.73000000001</v>
      </c>
      <c r="D158" s="447">
        <v>12</v>
      </c>
      <c r="E158" s="448">
        <f t="shared" si="132"/>
        <v>1663088.76</v>
      </c>
      <c r="F158" s="448"/>
      <c r="G158" s="451"/>
      <c r="H158" s="451"/>
      <c r="I158" s="448">
        <f t="shared" si="133"/>
        <v>1663088.76</v>
      </c>
      <c r="J158" s="448">
        <v>200000</v>
      </c>
      <c r="K158" s="448">
        <v>0.2</v>
      </c>
      <c r="L158" s="448">
        <f t="shared" si="121"/>
        <v>332617.75199999998</v>
      </c>
      <c r="M158" s="448">
        <f t="shared" si="122"/>
        <v>532617.75199999998</v>
      </c>
      <c r="N158" s="448">
        <f t="shared" si="123"/>
        <v>532617.75199999998</v>
      </c>
      <c r="O158" s="448">
        <f t="shared" si="124"/>
        <v>1130471.0079999999</v>
      </c>
      <c r="P158" s="448">
        <f t="shared" si="125"/>
        <v>21000</v>
      </c>
      <c r="Q158" s="448">
        <f t="shared" si="126"/>
        <v>33000</v>
      </c>
      <c r="R158" s="448">
        <f t="shared" si="127"/>
        <v>75000</v>
      </c>
      <c r="S158" s="448">
        <f t="shared" si="128"/>
        <v>5789.4915200000296</v>
      </c>
      <c r="T158" s="448">
        <f t="shared" si="129"/>
        <v>0</v>
      </c>
      <c r="U158" s="448"/>
      <c r="V158" s="448">
        <f t="shared" si="135"/>
        <v>134789.49152000001</v>
      </c>
      <c r="W158" s="455">
        <v>12</v>
      </c>
      <c r="X158" s="448">
        <f t="shared" si="130"/>
        <v>11232.457626666701</v>
      </c>
      <c r="Y158" s="451"/>
      <c r="Z158" s="448">
        <f t="shared" si="131"/>
        <v>11232.457626666701</v>
      </c>
      <c r="AA158" s="193">
        <v>11232.457626666701</v>
      </c>
      <c r="AB158" s="193">
        <f t="shared" si="134"/>
        <v>-3.0922819860279599E-11</v>
      </c>
      <c r="AC158" s="193"/>
      <c r="AD158" s="193"/>
      <c r="AE158" s="193"/>
    </row>
    <row r="159" spans="1:31" ht="15.75" customHeight="1">
      <c r="A159" s="522">
        <v>142</v>
      </c>
      <c r="B159" s="10" t="s">
        <v>568</v>
      </c>
      <c r="C159" s="448">
        <v>135590.73000000001</v>
      </c>
      <c r="D159" s="447">
        <v>12</v>
      </c>
      <c r="E159" s="448">
        <f t="shared" si="132"/>
        <v>1627088.76</v>
      </c>
      <c r="F159" s="448"/>
      <c r="G159" s="451"/>
      <c r="H159" s="451"/>
      <c r="I159" s="448">
        <f t="shared" si="133"/>
        <v>1627088.76</v>
      </c>
      <c r="J159" s="448">
        <v>200000</v>
      </c>
      <c r="K159" s="448">
        <v>0.2</v>
      </c>
      <c r="L159" s="448">
        <f t="shared" si="121"/>
        <v>325417.75199999998</v>
      </c>
      <c r="M159" s="448">
        <f t="shared" si="122"/>
        <v>525417.75199999998</v>
      </c>
      <c r="N159" s="448">
        <f t="shared" si="123"/>
        <v>525417.75199999998</v>
      </c>
      <c r="O159" s="448">
        <f t="shared" si="124"/>
        <v>1101671.0079999999</v>
      </c>
      <c r="P159" s="448">
        <f t="shared" si="125"/>
        <v>21000</v>
      </c>
      <c r="Q159" s="448">
        <f t="shared" si="126"/>
        <v>33000</v>
      </c>
      <c r="R159" s="448">
        <f t="shared" si="127"/>
        <v>75000</v>
      </c>
      <c r="S159" s="448">
        <f t="shared" si="128"/>
        <v>317.491520000028</v>
      </c>
      <c r="T159" s="448">
        <f t="shared" si="129"/>
        <v>0</v>
      </c>
      <c r="U159" s="448"/>
      <c r="V159" s="448">
        <f t="shared" si="135"/>
        <v>129317.49152</v>
      </c>
      <c r="W159" s="455">
        <v>12</v>
      </c>
      <c r="X159" s="448">
        <f t="shared" si="130"/>
        <v>10776.457626666701</v>
      </c>
      <c r="Y159" s="451"/>
      <c r="Z159" s="448">
        <f t="shared" si="131"/>
        <v>10776.457626666701</v>
      </c>
      <c r="AA159" s="193">
        <v>10776.457626666701</v>
      </c>
      <c r="AB159" s="193">
        <f t="shared" si="134"/>
        <v>-3.2741809263825397E-11</v>
      </c>
      <c r="AC159" s="193"/>
      <c r="AD159" s="193"/>
      <c r="AE159" s="193"/>
    </row>
    <row r="160" spans="1:31" s="518" customFormat="1" ht="18.75">
      <c r="A160" s="526">
        <v>143</v>
      </c>
      <c r="B160" s="10" t="s">
        <v>569</v>
      </c>
      <c r="C160" s="448">
        <v>135590.73000000001</v>
      </c>
      <c r="D160" s="447">
        <v>12</v>
      </c>
      <c r="E160" s="448">
        <f t="shared" si="132"/>
        <v>1627088.76</v>
      </c>
      <c r="F160" s="448">
        <f>263.19*12</f>
        <v>3158.28</v>
      </c>
      <c r="G160" s="451"/>
      <c r="H160" s="451"/>
      <c r="I160" s="448">
        <f t="shared" si="133"/>
        <v>1623930.48</v>
      </c>
      <c r="J160" s="448">
        <v>200000</v>
      </c>
      <c r="K160" s="448">
        <v>0.2</v>
      </c>
      <c r="L160" s="448">
        <f t="shared" si="121"/>
        <v>324786.09600000002</v>
      </c>
      <c r="M160" s="448">
        <f t="shared" si="122"/>
        <v>524786.09600000002</v>
      </c>
      <c r="N160" s="448">
        <f t="shared" si="123"/>
        <v>527944.37600000005</v>
      </c>
      <c r="O160" s="448">
        <f t="shared" si="124"/>
        <v>1099144.3840000001</v>
      </c>
      <c r="P160" s="448">
        <f t="shared" si="125"/>
        <v>21000</v>
      </c>
      <c r="Q160" s="448">
        <f t="shared" si="126"/>
        <v>33000</v>
      </c>
      <c r="R160" s="448">
        <f t="shared" si="127"/>
        <v>74871.657600000006</v>
      </c>
      <c r="S160" s="448">
        <f t="shared" si="128"/>
        <v>0</v>
      </c>
      <c r="T160" s="448">
        <f t="shared" si="129"/>
        <v>0</v>
      </c>
      <c r="U160" s="448"/>
      <c r="V160" s="448">
        <f t="shared" si="135"/>
        <v>128871.65760000001</v>
      </c>
      <c r="W160" s="455">
        <v>12</v>
      </c>
      <c r="X160" s="448">
        <f t="shared" si="130"/>
        <v>10739.3048</v>
      </c>
      <c r="Y160" s="451"/>
      <c r="Z160" s="448">
        <f t="shared" si="131"/>
        <v>10739.3048</v>
      </c>
      <c r="AA160" s="193">
        <v>10739.3048</v>
      </c>
      <c r="AB160" s="193">
        <f t="shared" si="134"/>
        <v>0</v>
      </c>
      <c r="AC160" s="535"/>
      <c r="AD160" s="535"/>
      <c r="AE160" s="535"/>
    </row>
    <row r="161" spans="1:31" s="518" customFormat="1" ht="18.75">
      <c r="A161" s="526">
        <v>144</v>
      </c>
      <c r="B161" s="10" t="s">
        <v>570</v>
      </c>
      <c r="C161" s="448">
        <v>135590.73000000001</v>
      </c>
      <c r="D161" s="447">
        <v>12</v>
      </c>
      <c r="E161" s="448">
        <f t="shared" si="132"/>
        <v>1627088.76</v>
      </c>
      <c r="F161" s="448"/>
      <c r="G161" s="451"/>
      <c r="H161" s="451"/>
      <c r="I161" s="448">
        <f t="shared" si="133"/>
        <v>1627088.76</v>
      </c>
      <c r="J161" s="448">
        <v>200000</v>
      </c>
      <c r="K161" s="448">
        <v>0.2</v>
      </c>
      <c r="L161" s="448">
        <f t="shared" si="121"/>
        <v>325417.75199999998</v>
      </c>
      <c r="M161" s="448">
        <f t="shared" si="122"/>
        <v>525417.75199999998</v>
      </c>
      <c r="N161" s="448">
        <f t="shared" si="123"/>
        <v>525417.75199999998</v>
      </c>
      <c r="O161" s="448">
        <f t="shared" si="124"/>
        <v>1101671.0079999999</v>
      </c>
      <c r="P161" s="448">
        <f t="shared" si="125"/>
        <v>21000</v>
      </c>
      <c r="Q161" s="448">
        <f t="shared" si="126"/>
        <v>33000</v>
      </c>
      <c r="R161" s="448">
        <f t="shared" si="127"/>
        <v>75000</v>
      </c>
      <c r="S161" s="448">
        <f t="shared" si="128"/>
        <v>317.491520000028</v>
      </c>
      <c r="T161" s="448">
        <f t="shared" si="129"/>
        <v>0</v>
      </c>
      <c r="U161" s="448"/>
      <c r="V161" s="448">
        <f t="shared" si="135"/>
        <v>129317.49152</v>
      </c>
      <c r="W161" s="455">
        <v>12</v>
      </c>
      <c r="X161" s="448">
        <f t="shared" si="130"/>
        <v>10776.457626666701</v>
      </c>
      <c r="Y161" s="451"/>
      <c r="Z161" s="448">
        <f t="shared" si="131"/>
        <v>10776.457626666701</v>
      </c>
      <c r="AA161" s="193">
        <v>10776.457626666701</v>
      </c>
      <c r="AB161" s="193">
        <f t="shared" si="134"/>
        <v>-3.2741809263825397E-11</v>
      </c>
      <c r="AC161" s="535"/>
      <c r="AD161" s="535"/>
      <c r="AE161" s="535"/>
    </row>
    <row r="162" spans="1:31" s="518" customFormat="1" ht="18.75">
      <c r="A162" s="526">
        <v>145</v>
      </c>
      <c r="B162" s="10" t="s">
        <v>571</v>
      </c>
      <c r="C162" s="448">
        <v>138590.73000000001</v>
      </c>
      <c r="D162" s="447">
        <v>12</v>
      </c>
      <c r="E162" s="448">
        <f t="shared" si="132"/>
        <v>1663088.76</v>
      </c>
      <c r="F162" s="448"/>
      <c r="G162" s="451"/>
      <c r="H162" s="451"/>
      <c r="I162" s="448">
        <f t="shared" si="133"/>
        <v>1663088.76</v>
      </c>
      <c r="J162" s="448">
        <v>200000</v>
      </c>
      <c r="K162" s="448">
        <v>0.2</v>
      </c>
      <c r="L162" s="448">
        <f t="shared" si="121"/>
        <v>332617.75199999998</v>
      </c>
      <c r="M162" s="448">
        <f t="shared" si="122"/>
        <v>532617.75199999998</v>
      </c>
      <c r="N162" s="448">
        <f t="shared" si="123"/>
        <v>532617.75199999998</v>
      </c>
      <c r="O162" s="448">
        <f t="shared" si="124"/>
        <v>1130471.0079999999</v>
      </c>
      <c r="P162" s="448">
        <f t="shared" si="125"/>
        <v>21000</v>
      </c>
      <c r="Q162" s="448">
        <f t="shared" si="126"/>
        <v>33000</v>
      </c>
      <c r="R162" s="448">
        <f t="shared" si="127"/>
        <v>75000</v>
      </c>
      <c r="S162" s="448">
        <f t="shared" si="128"/>
        <v>5789.4915200000296</v>
      </c>
      <c r="T162" s="448">
        <f t="shared" si="129"/>
        <v>0</v>
      </c>
      <c r="U162" s="448"/>
      <c r="V162" s="448">
        <f t="shared" si="135"/>
        <v>134789.49152000001</v>
      </c>
      <c r="W162" s="455">
        <v>12</v>
      </c>
      <c r="X162" s="448">
        <f t="shared" si="130"/>
        <v>11232.457626666701</v>
      </c>
      <c r="Y162" s="451"/>
      <c r="Z162" s="448">
        <f t="shared" si="131"/>
        <v>11232.457626666701</v>
      </c>
      <c r="AA162" s="535">
        <v>11232.457626666701</v>
      </c>
      <c r="AB162" s="193">
        <f t="shared" si="134"/>
        <v>-3.0922819860279599E-11</v>
      </c>
      <c r="AC162" s="535"/>
      <c r="AD162" s="535"/>
      <c r="AE162" s="535"/>
    </row>
    <row r="163" spans="1:31" ht="18.75">
      <c r="A163" s="522">
        <v>146</v>
      </c>
      <c r="B163" s="10" t="s">
        <v>573</v>
      </c>
      <c r="C163" s="448">
        <v>135590.73000000001</v>
      </c>
      <c r="D163" s="447">
        <v>12</v>
      </c>
      <c r="E163" s="448">
        <f t="shared" si="132"/>
        <v>1627088.76</v>
      </c>
      <c r="F163" s="448"/>
      <c r="G163" s="451"/>
      <c r="H163" s="451"/>
      <c r="I163" s="448">
        <f t="shared" si="133"/>
        <v>1627088.76</v>
      </c>
      <c r="J163" s="448">
        <v>200000</v>
      </c>
      <c r="K163" s="448">
        <v>0.2</v>
      </c>
      <c r="L163" s="448">
        <f t="shared" si="121"/>
        <v>325417.75199999998</v>
      </c>
      <c r="M163" s="448">
        <f t="shared" si="122"/>
        <v>525417.75199999998</v>
      </c>
      <c r="N163" s="448">
        <f t="shared" si="123"/>
        <v>525417.75199999998</v>
      </c>
      <c r="O163" s="448">
        <f t="shared" si="124"/>
        <v>1101671.0079999999</v>
      </c>
      <c r="P163" s="448">
        <f t="shared" si="125"/>
        <v>21000</v>
      </c>
      <c r="Q163" s="448">
        <f t="shared" si="126"/>
        <v>33000</v>
      </c>
      <c r="R163" s="448">
        <f t="shared" si="127"/>
        <v>75000</v>
      </c>
      <c r="S163" s="448">
        <f t="shared" si="128"/>
        <v>317.491520000028</v>
      </c>
      <c r="T163" s="448">
        <f t="shared" si="129"/>
        <v>0</v>
      </c>
      <c r="U163" s="448"/>
      <c r="V163" s="448">
        <f t="shared" si="135"/>
        <v>129317.49152</v>
      </c>
      <c r="W163" s="455">
        <v>12</v>
      </c>
      <c r="X163" s="448">
        <f t="shared" si="130"/>
        <v>10776.457626666701</v>
      </c>
      <c r="Y163" s="451"/>
      <c r="Z163" s="448">
        <f t="shared" si="131"/>
        <v>10776.457626666701</v>
      </c>
      <c r="AA163" s="535">
        <v>10776.457626666701</v>
      </c>
      <c r="AB163" s="193">
        <f t="shared" si="134"/>
        <v>-3.2741809263825397E-11</v>
      </c>
      <c r="AC163" s="193"/>
      <c r="AD163" s="193"/>
      <c r="AE163" s="193"/>
    </row>
    <row r="164" spans="1:31" ht="18.75">
      <c r="A164" s="522">
        <v>147</v>
      </c>
      <c r="B164" s="13" t="s">
        <v>574</v>
      </c>
      <c r="C164" s="448">
        <v>138590.73000000001</v>
      </c>
      <c r="D164" s="447">
        <v>12</v>
      </c>
      <c r="E164" s="448">
        <f t="shared" si="132"/>
        <v>1663088.76</v>
      </c>
      <c r="F164" s="448"/>
      <c r="G164" s="451"/>
      <c r="H164" s="451"/>
      <c r="I164" s="448">
        <f t="shared" si="133"/>
        <v>1663088.76</v>
      </c>
      <c r="J164" s="448">
        <v>200000</v>
      </c>
      <c r="K164" s="448">
        <v>0.2</v>
      </c>
      <c r="L164" s="448">
        <f t="shared" si="121"/>
        <v>332617.75199999998</v>
      </c>
      <c r="M164" s="448">
        <f t="shared" si="122"/>
        <v>532617.75199999998</v>
      </c>
      <c r="N164" s="448">
        <f t="shared" si="123"/>
        <v>532617.75199999998</v>
      </c>
      <c r="O164" s="448">
        <f t="shared" si="124"/>
        <v>1130471.0079999999</v>
      </c>
      <c r="P164" s="448">
        <f t="shared" si="125"/>
        <v>21000</v>
      </c>
      <c r="Q164" s="448">
        <f t="shared" si="126"/>
        <v>33000</v>
      </c>
      <c r="R164" s="448">
        <f t="shared" si="127"/>
        <v>75000</v>
      </c>
      <c r="S164" s="448">
        <f t="shared" si="128"/>
        <v>5789.4915200000296</v>
      </c>
      <c r="T164" s="448">
        <f t="shared" si="129"/>
        <v>0</v>
      </c>
      <c r="U164" s="448"/>
      <c r="V164" s="448">
        <f t="shared" si="135"/>
        <v>134789.49152000001</v>
      </c>
      <c r="W164" s="455">
        <v>12</v>
      </c>
      <c r="X164" s="448">
        <f t="shared" si="130"/>
        <v>11232.457626666701</v>
      </c>
      <c r="Y164" s="451"/>
      <c r="Z164" s="448">
        <f t="shared" si="131"/>
        <v>11232.457626666701</v>
      </c>
      <c r="AA164" s="535">
        <v>11232.457626666701</v>
      </c>
      <c r="AB164" s="193">
        <f t="shared" si="134"/>
        <v>-3.0922819860279599E-11</v>
      </c>
      <c r="AC164" s="193"/>
      <c r="AD164" s="193"/>
      <c r="AE164" s="193"/>
    </row>
    <row r="165" spans="1:31" ht="18.75">
      <c r="A165" s="522">
        <v>148</v>
      </c>
      <c r="B165" s="10" t="s">
        <v>575</v>
      </c>
      <c r="C165" s="448">
        <v>135590.73000000001</v>
      </c>
      <c r="D165" s="447">
        <v>12</v>
      </c>
      <c r="E165" s="448">
        <f t="shared" si="132"/>
        <v>1627088.76</v>
      </c>
      <c r="F165" s="448"/>
      <c r="G165" s="451"/>
      <c r="H165" s="451"/>
      <c r="I165" s="448">
        <f t="shared" si="133"/>
        <v>1627088.76</v>
      </c>
      <c r="J165" s="448">
        <v>200000</v>
      </c>
      <c r="K165" s="448">
        <v>0.2</v>
      </c>
      <c r="L165" s="448">
        <f t="shared" si="121"/>
        <v>325417.75199999998</v>
      </c>
      <c r="M165" s="448">
        <f t="shared" si="122"/>
        <v>525417.75199999998</v>
      </c>
      <c r="N165" s="448">
        <f t="shared" si="123"/>
        <v>525417.75199999998</v>
      </c>
      <c r="O165" s="448">
        <f t="shared" si="124"/>
        <v>1101671.0079999999</v>
      </c>
      <c r="P165" s="448">
        <f t="shared" si="125"/>
        <v>21000</v>
      </c>
      <c r="Q165" s="448">
        <f t="shared" si="126"/>
        <v>33000</v>
      </c>
      <c r="R165" s="448">
        <f t="shared" si="127"/>
        <v>75000</v>
      </c>
      <c r="S165" s="448">
        <f t="shared" si="128"/>
        <v>317.491520000028</v>
      </c>
      <c r="T165" s="448">
        <f t="shared" si="129"/>
        <v>0</v>
      </c>
      <c r="U165" s="448"/>
      <c r="V165" s="448">
        <f t="shared" si="135"/>
        <v>129317.49152</v>
      </c>
      <c r="W165" s="455">
        <v>12</v>
      </c>
      <c r="X165" s="448">
        <f t="shared" si="130"/>
        <v>10776.457626666701</v>
      </c>
      <c r="Y165" s="451"/>
      <c r="Z165" s="448">
        <f t="shared" si="131"/>
        <v>10776.457626666701</v>
      </c>
      <c r="AA165" s="193">
        <v>10776.457626666701</v>
      </c>
      <c r="AB165" s="193">
        <f t="shared" si="134"/>
        <v>-3.2741809263825397E-11</v>
      </c>
      <c r="AC165" s="193"/>
      <c r="AD165" s="193"/>
      <c r="AE165" s="193"/>
    </row>
    <row r="166" spans="1:31" ht="18.75">
      <c r="A166" s="522">
        <v>149</v>
      </c>
      <c r="B166" s="17" t="s">
        <v>576</v>
      </c>
      <c r="C166" s="448">
        <v>135590.73000000001</v>
      </c>
      <c r="D166" s="447">
        <v>12</v>
      </c>
      <c r="E166" s="448">
        <f t="shared" si="132"/>
        <v>1627088.76</v>
      </c>
      <c r="F166" s="448"/>
      <c r="G166" s="451"/>
      <c r="H166" s="451"/>
      <c r="I166" s="448">
        <f t="shared" si="133"/>
        <v>1627088.76</v>
      </c>
      <c r="J166" s="448">
        <v>200000</v>
      </c>
      <c r="K166" s="448">
        <v>0.2</v>
      </c>
      <c r="L166" s="448">
        <f t="shared" si="121"/>
        <v>325417.75199999998</v>
      </c>
      <c r="M166" s="448">
        <f t="shared" si="122"/>
        <v>525417.75199999998</v>
      </c>
      <c r="N166" s="448">
        <f t="shared" si="123"/>
        <v>525417.75199999998</v>
      </c>
      <c r="O166" s="448">
        <f t="shared" si="124"/>
        <v>1101671.0079999999</v>
      </c>
      <c r="P166" s="448">
        <f t="shared" si="125"/>
        <v>21000</v>
      </c>
      <c r="Q166" s="448">
        <f t="shared" si="126"/>
        <v>33000</v>
      </c>
      <c r="R166" s="448">
        <f t="shared" si="127"/>
        <v>75000</v>
      </c>
      <c r="S166" s="448">
        <f t="shared" si="128"/>
        <v>317.491520000028</v>
      </c>
      <c r="T166" s="448">
        <f t="shared" si="129"/>
        <v>0</v>
      </c>
      <c r="U166" s="448"/>
      <c r="V166" s="448">
        <f t="shared" si="135"/>
        <v>129317.49152</v>
      </c>
      <c r="W166" s="455">
        <v>12</v>
      </c>
      <c r="X166" s="448">
        <f t="shared" si="130"/>
        <v>10776.457626666701</v>
      </c>
      <c r="Y166" s="451"/>
      <c r="Z166" s="448">
        <f t="shared" si="131"/>
        <v>10776.457626666701</v>
      </c>
      <c r="AA166" s="193">
        <v>10776.457626666701</v>
      </c>
      <c r="AB166" s="193">
        <f t="shared" si="134"/>
        <v>-3.2741809263825397E-11</v>
      </c>
      <c r="AC166" s="193"/>
      <c r="AD166" s="193"/>
      <c r="AE166" s="193"/>
    </row>
    <row r="167" spans="1:31" ht="18.75">
      <c r="A167" s="522">
        <v>150</v>
      </c>
      <c r="B167" s="17" t="s">
        <v>577</v>
      </c>
      <c r="C167" s="448">
        <v>138590.73000000001</v>
      </c>
      <c r="D167" s="447">
        <v>12</v>
      </c>
      <c r="E167" s="448">
        <f t="shared" si="132"/>
        <v>1663088.76</v>
      </c>
      <c r="F167" s="448"/>
      <c r="G167" s="451"/>
      <c r="H167" s="451"/>
      <c r="I167" s="448">
        <f t="shared" si="133"/>
        <v>1663088.76</v>
      </c>
      <c r="J167" s="448">
        <v>200000</v>
      </c>
      <c r="K167" s="448">
        <v>0.2</v>
      </c>
      <c r="L167" s="448">
        <f t="shared" si="121"/>
        <v>332617.75199999998</v>
      </c>
      <c r="M167" s="448">
        <f t="shared" si="122"/>
        <v>532617.75199999998</v>
      </c>
      <c r="N167" s="448">
        <f t="shared" si="123"/>
        <v>532617.75199999998</v>
      </c>
      <c r="O167" s="448">
        <f t="shared" si="124"/>
        <v>1130471.0079999999</v>
      </c>
      <c r="P167" s="448">
        <f t="shared" si="125"/>
        <v>21000</v>
      </c>
      <c r="Q167" s="448">
        <f t="shared" si="126"/>
        <v>33000</v>
      </c>
      <c r="R167" s="448">
        <f t="shared" si="127"/>
        <v>75000</v>
      </c>
      <c r="S167" s="448">
        <f t="shared" si="128"/>
        <v>5789.4915200000296</v>
      </c>
      <c r="T167" s="448">
        <f t="shared" si="129"/>
        <v>0</v>
      </c>
      <c r="U167" s="448"/>
      <c r="V167" s="448">
        <f t="shared" si="135"/>
        <v>134789.49152000001</v>
      </c>
      <c r="W167" s="455">
        <v>12</v>
      </c>
      <c r="X167" s="448">
        <f t="shared" si="130"/>
        <v>11232.457626666701</v>
      </c>
      <c r="Y167" s="451"/>
      <c r="Z167" s="448">
        <f t="shared" si="131"/>
        <v>11232.457626666701</v>
      </c>
      <c r="AA167" s="193">
        <v>11232.457626666701</v>
      </c>
      <c r="AB167" s="193">
        <f t="shared" si="134"/>
        <v>-3.0922819860279599E-11</v>
      </c>
      <c r="AC167" s="193"/>
      <c r="AD167" s="193"/>
      <c r="AE167" s="193"/>
    </row>
    <row r="168" spans="1:31" ht="37.5">
      <c r="A168" s="522">
        <v>151</v>
      </c>
      <c r="B168" s="10" t="s">
        <v>578</v>
      </c>
      <c r="C168" s="448">
        <v>122104.99825</v>
      </c>
      <c r="D168" s="447">
        <v>12</v>
      </c>
      <c r="E168" s="448">
        <f t="shared" si="132"/>
        <v>1465259.9790000001</v>
      </c>
      <c r="F168" s="448"/>
      <c r="G168" s="451"/>
      <c r="H168" s="451"/>
      <c r="I168" s="448">
        <f t="shared" si="133"/>
        <v>1465259.9790000001</v>
      </c>
      <c r="J168" s="448">
        <v>200000</v>
      </c>
      <c r="K168" s="448">
        <v>0.2</v>
      </c>
      <c r="L168" s="448">
        <f t="shared" si="121"/>
        <v>293051.99579999998</v>
      </c>
      <c r="M168" s="448">
        <f t="shared" si="122"/>
        <v>493051.99579999998</v>
      </c>
      <c r="N168" s="448">
        <f t="shared" si="123"/>
        <v>493051.99579999998</v>
      </c>
      <c r="O168" s="448">
        <f t="shared" si="124"/>
        <v>972207.98320000002</v>
      </c>
      <c r="P168" s="448">
        <f t="shared" si="125"/>
        <v>21000</v>
      </c>
      <c r="Q168" s="448">
        <f t="shared" si="126"/>
        <v>33000</v>
      </c>
      <c r="R168" s="448">
        <f t="shared" si="127"/>
        <v>55831.197480000003</v>
      </c>
      <c r="S168" s="448">
        <f t="shared" si="128"/>
        <v>0</v>
      </c>
      <c r="T168" s="448">
        <f t="shared" si="129"/>
        <v>0</v>
      </c>
      <c r="U168" s="448"/>
      <c r="V168" s="448">
        <f t="shared" si="135"/>
        <v>109831.19748</v>
      </c>
      <c r="W168" s="455">
        <v>12</v>
      </c>
      <c r="X168" s="448">
        <f t="shared" si="130"/>
        <v>9152.5997900000002</v>
      </c>
      <c r="Y168" s="451"/>
      <c r="Z168" s="448">
        <f t="shared" si="131"/>
        <v>9152.5997900000002</v>
      </c>
      <c r="AA168" s="193">
        <v>9152.5997900000002</v>
      </c>
      <c r="AB168" s="193">
        <f t="shared" si="134"/>
        <v>0</v>
      </c>
      <c r="AC168" s="193"/>
      <c r="AD168" s="193"/>
      <c r="AE168" s="193"/>
    </row>
    <row r="169" spans="1:31" ht="18.75">
      <c r="A169" s="522">
        <v>152</v>
      </c>
      <c r="B169" s="10" t="s">
        <v>581</v>
      </c>
      <c r="C169" s="448">
        <v>122104.99825</v>
      </c>
      <c r="D169" s="447">
        <v>12</v>
      </c>
      <c r="E169" s="448">
        <f t="shared" si="132"/>
        <v>1465259.9790000001</v>
      </c>
      <c r="F169" s="448"/>
      <c r="G169" s="451"/>
      <c r="H169" s="451"/>
      <c r="I169" s="448">
        <f t="shared" si="133"/>
        <v>1465259.9790000001</v>
      </c>
      <c r="J169" s="448">
        <v>200000</v>
      </c>
      <c r="K169" s="448">
        <v>0.2</v>
      </c>
      <c r="L169" s="448">
        <f t="shared" si="121"/>
        <v>293051.99579999998</v>
      </c>
      <c r="M169" s="448">
        <f t="shared" si="122"/>
        <v>493051.99579999998</v>
      </c>
      <c r="N169" s="448">
        <f t="shared" si="123"/>
        <v>493051.99579999998</v>
      </c>
      <c r="O169" s="448">
        <f t="shared" si="124"/>
        <v>972207.98320000002</v>
      </c>
      <c r="P169" s="448">
        <f t="shared" si="125"/>
        <v>21000</v>
      </c>
      <c r="Q169" s="448">
        <f t="shared" si="126"/>
        <v>33000</v>
      </c>
      <c r="R169" s="448">
        <f t="shared" si="127"/>
        <v>55831.197480000003</v>
      </c>
      <c r="S169" s="448">
        <f t="shared" si="128"/>
        <v>0</v>
      </c>
      <c r="T169" s="448">
        <f t="shared" si="129"/>
        <v>0</v>
      </c>
      <c r="U169" s="448"/>
      <c r="V169" s="448">
        <f t="shared" si="135"/>
        <v>109831.19748</v>
      </c>
      <c r="W169" s="455">
        <v>12</v>
      </c>
      <c r="X169" s="448">
        <f t="shared" si="130"/>
        <v>9152.5997900000002</v>
      </c>
      <c r="Y169" s="451"/>
      <c r="Z169" s="448">
        <f t="shared" si="131"/>
        <v>9152.5997900000002</v>
      </c>
      <c r="AA169" s="193">
        <v>9152.5997900000002</v>
      </c>
      <c r="AB169" s="193">
        <f t="shared" si="134"/>
        <v>0</v>
      </c>
      <c r="AC169" s="193"/>
      <c r="AD169" s="193"/>
      <c r="AE169" s="193"/>
    </row>
    <row r="170" spans="1:31" ht="18.75">
      <c r="A170" s="522">
        <v>153</v>
      </c>
      <c r="B170" s="17" t="s">
        <v>582</v>
      </c>
      <c r="C170" s="448">
        <v>125035.03449999999</v>
      </c>
      <c r="D170" s="447">
        <v>12</v>
      </c>
      <c r="E170" s="448">
        <f t="shared" si="132"/>
        <v>1500420.4140000001</v>
      </c>
      <c r="F170" s="448"/>
      <c r="G170" s="451"/>
      <c r="H170" s="451"/>
      <c r="I170" s="448">
        <f t="shared" si="133"/>
        <v>1500420.4140000001</v>
      </c>
      <c r="J170" s="448">
        <v>200000</v>
      </c>
      <c r="K170" s="448">
        <v>0.2</v>
      </c>
      <c r="L170" s="448">
        <f t="shared" si="121"/>
        <v>300084.08279999997</v>
      </c>
      <c r="M170" s="448">
        <f t="shared" si="122"/>
        <v>500084.08279999997</v>
      </c>
      <c r="N170" s="448">
        <f t="shared" si="123"/>
        <v>500084.08279999997</v>
      </c>
      <c r="O170" s="448">
        <f t="shared" si="124"/>
        <v>1000336.3312</v>
      </c>
      <c r="P170" s="448">
        <f t="shared" si="125"/>
        <v>21000</v>
      </c>
      <c r="Q170" s="448">
        <f t="shared" si="126"/>
        <v>33000</v>
      </c>
      <c r="R170" s="448">
        <f t="shared" si="127"/>
        <v>60050.449679999998</v>
      </c>
      <c r="S170" s="448">
        <f t="shared" si="128"/>
        <v>0</v>
      </c>
      <c r="T170" s="448">
        <f t="shared" si="129"/>
        <v>0</v>
      </c>
      <c r="U170" s="448"/>
      <c r="V170" s="448">
        <f t="shared" si="135"/>
        <v>114050.44968000001</v>
      </c>
      <c r="W170" s="455">
        <v>12</v>
      </c>
      <c r="X170" s="448">
        <f t="shared" si="130"/>
        <v>9504.2041399999998</v>
      </c>
      <c r="Y170" s="451"/>
      <c r="Z170" s="448">
        <f t="shared" si="131"/>
        <v>9504.2041399999998</v>
      </c>
      <c r="AA170" s="193">
        <v>9504.2041399999998</v>
      </c>
      <c r="AB170" s="193">
        <f t="shared" si="134"/>
        <v>0</v>
      </c>
      <c r="AC170" s="193"/>
      <c r="AD170" s="193"/>
      <c r="AE170" s="193"/>
    </row>
    <row r="171" spans="1:31" ht="29.25" customHeight="1">
      <c r="A171" s="522">
        <v>154</v>
      </c>
      <c r="B171" s="10" t="s">
        <v>584</v>
      </c>
      <c r="C171" s="448">
        <v>81803.001000000004</v>
      </c>
      <c r="D171" s="447">
        <v>12</v>
      </c>
      <c r="E171" s="448">
        <f t="shared" si="132"/>
        <v>981636.01199999999</v>
      </c>
      <c r="F171" s="448"/>
      <c r="G171" s="451"/>
      <c r="H171" s="451"/>
      <c r="I171" s="448">
        <f t="shared" si="133"/>
        <v>981636.01199999999</v>
      </c>
      <c r="J171" s="448">
        <v>200000</v>
      </c>
      <c r="K171" s="448">
        <v>0.2</v>
      </c>
      <c r="L171" s="448">
        <f t="shared" si="121"/>
        <v>196327.20240000001</v>
      </c>
      <c r="M171" s="448">
        <f t="shared" si="122"/>
        <v>396327.20240000001</v>
      </c>
      <c r="N171" s="448">
        <f t="shared" si="123"/>
        <v>396327.20240000001</v>
      </c>
      <c r="O171" s="448">
        <f t="shared" si="124"/>
        <v>585308.80960000004</v>
      </c>
      <c r="P171" s="448">
        <f t="shared" si="125"/>
        <v>21000</v>
      </c>
      <c r="Q171" s="448">
        <f t="shared" si="126"/>
        <v>31383.969056000002</v>
      </c>
      <c r="R171" s="448">
        <f t="shared" si="127"/>
        <v>0</v>
      </c>
      <c r="S171" s="448">
        <f t="shared" si="128"/>
        <v>0</v>
      </c>
      <c r="T171" s="448">
        <f t="shared" si="129"/>
        <v>0</v>
      </c>
      <c r="U171" s="448"/>
      <c r="V171" s="448">
        <f t="shared" si="135"/>
        <v>52383.969056000002</v>
      </c>
      <c r="W171" s="455">
        <v>12</v>
      </c>
      <c r="X171" s="448">
        <f t="shared" si="130"/>
        <v>4365.3307546666701</v>
      </c>
      <c r="Y171" s="451"/>
      <c r="Z171" s="448">
        <f t="shared" si="131"/>
        <v>4365.3307546666701</v>
      </c>
      <c r="AA171" s="193">
        <v>4365.3307546666701</v>
      </c>
      <c r="AB171" s="193">
        <f t="shared" si="134"/>
        <v>0</v>
      </c>
      <c r="AC171" s="193"/>
      <c r="AD171" s="193"/>
      <c r="AE171" s="193"/>
    </row>
    <row r="172" spans="1:31" ht="18.75">
      <c r="A172" s="522">
        <v>155</v>
      </c>
      <c r="B172" s="10" t="s">
        <v>587</v>
      </c>
      <c r="C172" s="448">
        <v>80237.012000000002</v>
      </c>
      <c r="D172" s="447">
        <v>12</v>
      </c>
      <c r="E172" s="448">
        <f t="shared" si="132"/>
        <v>962844.14399999997</v>
      </c>
      <c r="F172" s="448"/>
      <c r="G172" s="451"/>
      <c r="H172" s="451"/>
      <c r="I172" s="448">
        <f t="shared" si="133"/>
        <v>962844.14399999997</v>
      </c>
      <c r="J172" s="448">
        <v>200000</v>
      </c>
      <c r="K172" s="448">
        <v>0.2</v>
      </c>
      <c r="L172" s="448">
        <f t="shared" si="121"/>
        <v>192568.82879999999</v>
      </c>
      <c r="M172" s="448">
        <f t="shared" si="122"/>
        <v>392568.82880000002</v>
      </c>
      <c r="N172" s="448">
        <f t="shared" si="123"/>
        <v>392568.82880000002</v>
      </c>
      <c r="O172" s="448">
        <f t="shared" si="124"/>
        <v>570275.31519999995</v>
      </c>
      <c r="P172" s="448">
        <f t="shared" si="125"/>
        <v>21000</v>
      </c>
      <c r="Q172" s="448">
        <f t="shared" si="126"/>
        <v>29730.284672000002</v>
      </c>
      <c r="R172" s="448">
        <f t="shared" si="127"/>
        <v>0</v>
      </c>
      <c r="S172" s="448">
        <f t="shared" si="128"/>
        <v>0</v>
      </c>
      <c r="T172" s="448">
        <f t="shared" si="129"/>
        <v>0</v>
      </c>
      <c r="U172" s="448"/>
      <c r="V172" s="448">
        <f t="shared" si="135"/>
        <v>50730.284672000002</v>
      </c>
      <c r="W172" s="455">
        <v>12</v>
      </c>
      <c r="X172" s="448">
        <f t="shared" si="130"/>
        <v>4227.5237226666704</v>
      </c>
      <c r="Y172" s="451"/>
      <c r="Z172" s="448">
        <f t="shared" si="131"/>
        <v>4227.5237226666704</v>
      </c>
      <c r="AA172" s="193">
        <v>4227.5237226666704</v>
      </c>
      <c r="AB172" s="193">
        <f t="shared" si="134"/>
        <v>0</v>
      </c>
      <c r="AC172" s="193"/>
      <c r="AD172" s="193"/>
      <c r="AE172" s="193"/>
    </row>
    <row r="173" spans="1:31" s="518" customFormat="1" ht="18.75">
      <c r="A173" s="526">
        <v>156</v>
      </c>
      <c r="B173" s="10" t="s">
        <v>590</v>
      </c>
      <c r="C173" s="448">
        <v>77237.012000000002</v>
      </c>
      <c r="D173" s="447">
        <v>12</v>
      </c>
      <c r="E173" s="448">
        <f t="shared" si="132"/>
        <v>926844.14399999997</v>
      </c>
      <c r="F173" s="448"/>
      <c r="G173" s="451"/>
      <c r="H173" s="451"/>
      <c r="I173" s="448">
        <f t="shared" si="133"/>
        <v>926844.14399999997</v>
      </c>
      <c r="J173" s="448">
        <v>200000</v>
      </c>
      <c r="K173" s="448">
        <v>0.2</v>
      </c>
      <c r="L173" s="448">
        <f t="shared" si="121"/>
        <v>185368.82879999999</v>
      </c>
      <c r="M173" s="448">
        <f t="shared" si="122"/>
        <v>385368.82880000002</v>
      </c>
      <c r="N173" s="448">
        <f t="shared" si="123"/>
        <v>385368.82880000002</v>
      </c>
      <c r="O173" s="448">
        <f t="shared" si="124"/>
        <v>541475.31519999995</v>
      </c>
      <c r="P173" s="448">
        <f t="shared" si="125"/>
        <v>21000</v>
      </c>
      <c r="Q173" s="448">
        <f t="shared" si="126"/>
        <v>26562.284672000002</v>
      </c>
      <c r="R173" s="448">
        <f t="shared" si="127"/>
        <v>0</v>
      </c>
      <c r="S173" s="448">
        <f t="shared" si="128"/>
        <v>0</v>
      </c>
      <c r="T173" s="448">
        <f t="shared" si="129"/>
        <v>0</v>
      </c>
      <c r="U173" s="448"/>
      <c r="V173" s="448">
        <f t="shared" si="135"/>
        <v>47562.284672000002</v>
      </c>
      <c r="W173" s="455">
        <v>12</v>
      </c>
      <c r="X173" s="448">
        <f t="shared" si="130"/>
        <v>3963.52372266667</v>
      </c>
      <c r="Y173" s="451"/>
      <c r="Z173" s="448">
        <f t="shared" si="131"/>
        <v>3963.52372266667</v>
      </c>
      <c r="AA173" s="193">
        <v>3963.52372266667</v>
      </c>
      <c r="AB173" s="193">
        <f t="shared" si="134"/>
        <v>0</v>
      </c>
      <c r="AC173" s="535"/>
      <c r="AD173" s="535"/>
      <c r="AE173" s="535"/>
    </row>
    <row r="174" spans="1:31" ht="18.75">
      <c r="A174" s="522">
        <v>157</v>
      </c>
      <c r="B174" s="10" t="s">
        <v>591</v>
      </c>
      <c r="C174" s="448">
        <v>80237.012000000002</v>
      </c>
      <c r="D174" s="447">
        <v>12</v>
      </c>
      <c r="E174" s="448">
        <f t="shared" si="132"/>
        <v>962844.14399999997</v>
      </c>
      <c r="F174" s="448"/>
      <c r="G174" s="451"/>
      <c r="H174" s="451"/>
      <c r="I174" s="448">
        <f t="shared" si="133"/>
        <v>962844.14399999997</v>
      </c>
      <c r="J174" s="448">
        <v>200000</v>
      </c>
      <c r="K174" s="448">
        <v>0.2</v>
      </c>
      <c r="L174" s="448">
        <f t="shared" si="121"/>
        <v>192568.82879999999</v>
      </c>
      <c r="M174" s="448">
        <f t="shared" si="122"/>
        <v>392568.82880000002</v>
      </c>
      <c r="N174" s="448">
        <f t="shared" si="123"/>
        <v>392568.82880000002</v>
      </c>
      <c r="O174" s="448">
        <f t="shared" si="124"/>
        <v>570275.31519999995</v>
      </c>
      <c r="P174" s="448">
        <f t="shared" si="125"/>
        <v>21000</v>
      </c>
      <c r="Q174" s="448">
        <f t="shared" si="126"/>
        <v>29730.284672000002</v>
      </c>
      <c r="R174" s="448">
        <f t="shared" si="127"/>
        <v>0</v>
      </c>
      <c r="S174" s="448">
        <f t="shared" si="128"/>
        <v>0</v>
      </c>
      <c r="T174" s="448">
        <f t="shared" si="129"/>
        <v>0</v>
      </c>
      <c r="U174" s="448"/>
      <c r="V174" s="448">
        <f t="shared" si="135"/>
        <v>50730.284672000002</v>
      </c>
      <c r="W174" s="455">
        <v>12</v>
      </c>
      <c r="X174" s="448">
        <f t="shared" si="130"/>
        <v>4227.5237226666704</v>
      </c>
      <c r="Y174" s="451"/>
      <c r="Z174" s="448">
        <f t="shared" si="131"/>
        <v>4227.5237226666704</v>
      </c>
      <c r="AA174" s="193">
        <v>4227.5237226666704</v>
      </c>
      <c r="AB174" s="193">
        <f t="shared" si="134"/>
        <v>0</v>
      </c>
      <c r="AC174" s="193"/>
      <c r="AD174" s="193"/>
      <c r="AE174" s="193"/>
    </row>
    <row r="175" spans="1:31" ht="18.75">
      <c r="A175" s="528"/>
      <c r="B175" s="10" t="s">
        <v>592</v>
      </c>
      <c r="C175" s="464">
        <v>77237.012000000002</v>
      </c>
      <c r="D175" s="447">
        <v>12</v>
      </c>
      <c r="E175" s="448">
        <f t="shared" si="132"/>
        <v>926844.14399999997</v>
      </c>
      <c r="F175" s="448"/>
      <c r="G175" s="451"/>
      <c r="H175" s="451"/>
      <c r="I175" s="448">
        <f t="shared" si="133"/>
        <v>926844.14399999997</v>
      </c>
      <c r="J175" s="448">
        <v>200000</v>
      </c>
      <c r="K175" s="448">
        <v>0.2</v>
      </c>
      <c r="L175" s="448">
        <f t="shared" si="121"/>
        <v>185368.82879999999</v>
      </c>
      <c r="M175" s="448">
        <f t="shared" si="122"/>
        <v>385368.82880000002</v>
      </c>
      <c r="N175" s="448">
        <f t="shared" si="123"/>
        <v>385368.82880000002</v>
      </c>
      <c r="O175" s="448">
        <f t="shared" si="124"/>
        <v>541475.31519999995</v>
      </c>
      <c r="P175" s="448">
        <f t="shared" si="125"/>
        <v>21000</v>
      </c>
      <c r="Q175" s="448">
        <f t="shared" si="126"/>
        <v>26562.284672000002</v>
      </c>
      <c r="R175" s="448">
        <f t="shared" si="127"/>
        <v>0</v>
      </c>
      <c r="S175" s="448">
        <f t="shared" si="128"/>
        <v>0</v>
      </c>
      <c r="T175" s="448">
        <f t="shared" si="129"/>
        <v>0</v>
      </c>
      <c r="U175" s="448"/>
      <c r="V175" s="448">
        <f t="shared" si="135"/>
        <v>47562.284672000002</v>
      </c>
      <c r="W175" s="455">
        <v>12</v>
      </c>
      <c r="X175" s="448">
        <f t="shared" si="130"/>
        <v>3963.52372266667</v>
      </c>
      <c r="Y175" s="451"/>
      <c r="Z175" s="448">
        <f t="shared" si="131"/>
        <v>3963.52372266667</v>
      </c>
      <c r="AA175" s="535">
        <v>3963.52372266667</v>
      </c>
      <c r="AB175" s="193">
        <f t="shared" si="134"/>
        <v>0</v>
      </c>
      <c r="AC175" s="193"/>
      <c r="AD175" s="193"/>
      <c r="AE175" s="193"/>
    </row>
    <row r="176" spans="1:31" ht="18.75">
      <c r="A176" s="528"/>
      <c r="B176" s="10" t="s">
        <v>593</v>
      </c>
      <c r="C176" s="464">
        <v>80237.012000000002</v>
      </c>
      <c r="D176" s="447">
        <v>12</v>
      </c>
      <c r="E176" s="448">
        <f t="shared" si="132"/>
        <v>962844.14399999997</v>
      </c>
      <c r="F176" s="448"/>
      <c r="G176" s="451"/>
      <c r="H176" s="451"/>
      <c r="I176" s="448">
        <f t="shared" si="133"/>
        <v>962844.14399999997</v>
      </c>
      <c r="J176" s="448">
        <v>200000</v>
      </c>
      <c r="K176" s="448">
        <v>0.2</v>
      </c>
      <c r="L176" s="448">
        <f t="shared" si="121"/>
        <v>192568.82879999999</v>
      </c>
      <c r="M176" s="448">
        <f t="shared" si="122"/>
        <v>392568.82880000002</v>
      </c>
      <c r="N176" s="448">
        <f t="shared" si="123"/>
        <v>392568.82880000002</v>
      </c>
      <c r="O176" s="448">
        <f t="shared" si="124"/>
        <v>570275.31519999995</v>
      </c>
      <c r="P176" s="448">
        <f t="shared" si="125"/>
        <v>21000</v>
      </c>
      <c r="Q176" s="448">
        <f t="shared" si="126"/>
        <v>29730.284672000002</v>
      </c>
      <c r="R176" s="448">
        <f t="shared" si="127"/>
        <v>0</v>
      </c>
      <c r="S176" s="448">
        <f t="shared" si="128"/>
        <v>0</v>
      </c>
      <c r="T176" s="448">
        <f t="shared" si="129"/>
        <v>0</v>
      </c>
      <c r="U176" s="448"/>
      <c r="V176" s="448">
        <f t="shared" si="135"/>
        <v>50730.284672000002</v>
      </c>
      <c r="W176" s="455">
        <v>12</v>
      </c>
      <c r="X176" s="448">
        <f t="shared" si="130"/>
        <v>4227.5237226666704</v>
      </c>
      <c r="Y176" s="451"/>
      <c r="Z176" s="448">
        <f t="shared" si="131"/>
        <v>4227.5237226666704</v>
      </c>
      <c r="AA176" s="193">
        <v>4227.5237226666704</v>
      </c>
      <c r="AB176" s="193">
        <f t="shared" si="134"/>
        <v>0</v>
      </c>
    </row>
    <row r="177" spans="2:28" ht="18.75">
      <c r="B177" s="17" t="s">
        <v>594</v>
      </c>
      <c r="C177" s="460">
        <v>77237.012000000002</v>
      </c>
      <c r="D177" s="447">
        <v>12</v>
      </c>
      <c r="E177" s="448">
        <f t="shared" si="132"/>
        <v>926844.14399999997</v>
      </c>
      <c r="F177" s="276"/>
      <c r="G177" s="276"/>
      <c r="H177" s="276"/>
      <c r="I177" s="448">
        <f t="shared" si="133"/>
        <v>926844.14399999997</v>
      </c>
      <c r="J177" s="448">
        <v>200000</v>
      </c>
      <c r="K177" s="448">
        <v>0.2</v>
      </c>
      <c r="L177" s="448">
        <f t="shared" si="121"/>
        <v>185368.82879999999</v>
      </c>
      <c r="M177" s="448">
        <f t="shared" si="122"/>
        <v>385368.82880000002</v>
      </c>
      <c r="N177" s="448">
        <f t="shared" si="123"/>
        <v>385368.82880000002</v>
      </c>
      <c r="O177" s="448">
        <f t="shared" si="124"/>
        <v>541475.31519999995</v>
      </c>
      <c r="P177" s="448">
        <f t="shared" si="125"/>
        <v>21000</v>
      </c>
      <c r="Q177" s="448">
        <f t="shared" si="126"/>
        <v>26562.284672000002</v>
      </c>
      <c r="R177" s="448">
        <f t="shared" si="127"/>
        <v>0</v>
      </c>
      <c r="S177" s="448">
        <f t="shared" si="128"/>
        <v>0</v>
      </c>
      <c r="T177" s="448">
        <f t="shared" si="129"/>
        <v>0</v>
      </c>
      <c r="U177" s="448"/>
      <c r="V177" s="448">
        <f t="shared" si="135"/>
        <v>47562.284672000002</v>
      </c>
      <c r="W177" s="455">
        <v>12</v>
      </c>
      <c r="X177" s="448">
        <f t="shared" si="130"/>
        <v>3963.52372266667</v>
      </c>
      <c r="Y177" s="276"/>
      <c r="Z177" s="448">
        <f t="shared" si="131"/>
        <v>3963.52372266667</v>
      </c>
      <c r="AA177" s="193">
        <v>3963.52372266667</v>
      </c>
      <c r="AB177" s="193">
        <f t="shared" si="134"/>
        <v>0</v>
      </c>
    </row>
    <row r="178" spans="2:28" ht="18.75">
      <c r="B178" s="17" t="s">
        <v>595</v>
      </c>
      <c r="C178" s="460">
        <v>80237.012000000002</v>
      </c>
      <c r="D178" s="447">
        <v>12</v>
      </c>
      <c r="E178" s="448">
        <f t="shared" si="132"/>
        <v>962844.14399999997</v>
      </c>
      <c r="F178" s="276"/>
      <c r="G178" s="276"/>
      <c r="H178" s="276"/>
      <c r="I178" s="448">
        <f t="shared" si="133"/>
        <v>962844.14399999997</v>
      </c>
      <c r="J178" s="448">
        <v>200000</v>
      </c>
      <c r="K178" s="448">
        <v>0.2</v>
      </c>
      <c r="L178" s="448">
        <f t="shared" si="121"/>
        <v>192568.82879999999</v>
      </c>
      <c r="M178" s="448">
        <f t="shared" si="122"/>
        <v>392568.82880000002</v>
      </c>
      <c r="N178" s="448">
        <f t="shared" si="123"/>
        <v>392568.82880000002</v>
      </c>
      <c r="O178" s="448">
        <f t="shared" si="124"/>
        <v>570275.31519999995</v>
      </c>
      <c r="P178" s="448">
        <f t="shared" si="125"/>
        <v>21000</v>
      </c>
      <c r="Q178" s="448">
        <f t="shared" si="126"/>
        <v>29730.284672000002</v>
      </c>
      <c r="R178" s="448">
        <f t="shared" si="127"/>
        <v>0</v>
      </c>
      <c r="S178" s="448">
        <f t="shared" si="128"/>
        <v>0</v>
      </c>
      <c r="T178" s="448">
        <f t="shared" si="129"/>
        <v>0</v>
      </c>
      <c r="U178" s="276"/>
      <c r="V178" s="448">
        <f t="shared" si="135"/>
        <v>50730.284672000002</v>
      </c>
      <c r="W178" s="455">
        <v>12</v>
      </c>
      <c r="X178" s="448">
        <f t="shared" si="130"/>
        <v>4227.5237226666704</v>
      </c>
      <c r="Y178" s="276"/>
      <c r="Z178" s="448">
        <f t="shared" si="131"/>
        <v>4227.5237226666704</v>
      </c>
      <c r="AA178" s="193">
        <v>4227.5237226666704</v>
      </c>
      <c r="AB178" s="193">
        <f t="shared" si="134"/>
        <v>0</v>
      </c>
    </row>
    <row r="179" spans="2:28" ht="18.75">
      <c r="B179" s="10" t="s">
        <v>596</v>
      </c>
      <c r="C179" s="460">
        <v>78671.023000000001</v>
      </c>
      <c r="D179" s="447">
        <v>12</v>
      </c>
      <c r="E179" s="448">
        <f t="shared" si="132"/>
        <v>944052.27599999995</v>
      </c>
      <c r="F179" s="276"/>
      <c r="G179" s="276"/>
      <c r="H179" s="276"/>
      <c r="I179" s="448">
        <f t="shared" si="133"/>
        <v>944052.27599999995</v>
      </c>
      <c r="J179" s="448">
        <v>200000</v>
      </c>
      <c r="K179" s="448">
        <v>0.2</v>
      </c>
      <c r="L179" s="448">
        <f t="shared" si="121"/>
        <v>188810.4552</v>
      </c>
      <c r="M179" s="448">
        <f t="shared" si="122"/>
        <v>388810.45520000003</v>
      </c>
      <c r="N179" s="448">
        <f t="shared" si="123"/>
        <v>388810.45520000003</v>
      </c>
      <c r="O179" s="448">
        <f t="shared" si="124"/>
        <v>555241.82079999999</v>
      </c>
      <c r="P179" s="448">
        <f t="shared" si="125"/>
        <v>21000</v>
      </c>
      <c r="Q179" s="448">
        <f t="shared" si="126"/>
        <v>28076.600288000001</v>
      </c>
      <c r="R179" s="448">
        <f t="shared" si="127"/>
        <v>0</v>
      </c>
      <c r="S179" s="448">
        <f t="shared" si="128"/>
        <v>0</v>
      </c>
      <c r="T179" s="448">
        <f t="shared" si="129"/>
        <v>0</v>
      </c>
      <c r="U179" s="276"/>
      <c r="V179" s="448">
        <f t="shared" si="135"/>
        <v>49076.600288000001</v>
      </c>
      <c r="W179" s="455">
        <v>12</v>
      </c>
      <c r="X179" s="448">
        <f t="shared" si="130"/>
        <v>4089.7166906666698</v>
      </c>
      <c r="Y179" s="276"/>
      <c r="Z179" s="448">
        <f t="shared" si="131"/>
        <v>4089.7166906666698</v>
      </c>
      <c r="AA179" s="193">
        <v>4089.7166906666698</v>
      </c>
      <c r="AB179" s="193">
        <f t="shared" si="134"/>
        <v>0</v>
      </c>
    </row>
    <row r="180" spans="2:28" ht="18.75">
      <c r="B180" s="10" t="s">
        <v>597</v>
      </c>
      <c r="C180" s="460">
        <v>80237.012000000002</v>
      </c>
      <c r="D180" s="447">
        <v>12</v>
      </c>
      <c r="E180" s="448">
        <f t="shared" si="132"/>
        <v>962844.14399999997</v>
      </c>
      <c r="F180" s="276"/>
      <c r="G180" s="276"/>
      <c r="H180" s="276"/>
      <c r="I180" s="448">
        <f t="shared" si="133"/>
        <v>962844.14399999997</v>
      </c>
      <c r="J180" s="448">
        <v>200000</v>
      </c>
      <c r="K180" s="448">
        <v>0.2</v>
      </c>
      <c r="L180" s="448">
        <f t="shared" si="121"/>
        <v>192568.82879999999</v>
      </c>
      <c r="M180" s="448">
        <f t="shared" si="122"/>
        <v>392568.82880000002</v>
      </c>
      <c r="N180" s="448">
        <f t="shared" si="123"/>
        <v>392568.82880000002</v>
      </c>
      <c r="O180" s="448">
        <f t="shared" si="124"/>
        <v>570275.31519999995</v>
      </c>
      <c r="P180" s="448">
        <f t="shared" si="125"/>
        <v>21000</v>
      </c>
      <c r="Q180" s="448">
        <f t="shared" si="126"/>
        <v>29730.284672000002</v>
      </c>
      <c r="R180" s="448">
        <f t="shared" si="127"/>
        <v>0</v>
      </c>
      <c r="S180" s="448">
        <f t="shared" si="128"/>
        <v>0</v>
      </c>
      <c r="T180" s="448">
        <f t="shared" si="129"/>
        <v>0</v>
      </c>
      <c r="U180" s="276"/>
      <c r="V180" s="448">
        <f t="shared" si="135"/>
        <v>50730.284672000002</v>
      </c>
      <c r="W180" s="455">
        <v>12</v>
      </c>
      <c r="X180" s="448">
        <f t="shared" si="130"/>
        <v>4227.5237226666704</v>
      </c>
      <c r="Y180" s="276"/>
      <c r="Z180" s="448">
        <f t="shared" si="131"/>
        <v>4227.5237226666704</v>
      </c>
      <c r="AA180" s="193">
        <v>4227.5237226666704</v>
      </c>
      <c r="AB180" s="193">
        <f t="shared" si="134"/>
        <v>0</v>
      </c>
    </row>
    <row r="181" spans="2:28" ht="18.75">
      <c r="B181" s="17" t="s">
        <v>598</v>
      </c>
      <c r="C181" s="460">
        <v>78671.023000000001</v>
      </c>
      <c r="D181" s="447">
        <v>12</v>
      </c>
      <c r="E181" s="448">
        <f t="shared" si="132"/>
        <v>944052.27599999995</v>
      </c>
      <c r="F181" s="276"/>
      <c r="G181" s="276"/>
      <c r="H181" s="276"/>
      <c r="I181" s="448">
        <f t="shared" si="133"/>
        <v>944052.27599999995</v>
      </c>
      <c r="J181" s="448">
        <v>200000</v>
      </c>
      <c r="K181" s="448">
        <v>0.2</v>
      </c>
      <c r="L181" s="448">
        <f t="shared" si="121"/>
        <v>188810.4552</v>
      </c>
      <c r="M181" s="448">
        <f t="shared" si="122"/>
        <v>388810.45520000003</v>
      </c>
      <c r="N181" s="448">
        <f t="shared" si="123"/>
        <v>388810.45520000003</v>
      </c>
      <c r="O181" s="448">
        <f t="shared" si="124"/>
        <v>555241.82079999999</v>
      </c>
      <c r="P181" s="448">
        <f t="shared" si="125"/>
        <v>21000</v>
      </c>
      <c r="Q181" s="448">
        <f t="shared" si="126"/>
        <v>28076.600288000001</v>
      </c>
      <c r="R181" s="448">
        <f t="shared" si="127"/>
        <v>0</v>
      </c>
      <c r="S181" s="448">
        <f t="shared" si="128"/>
        <v>0</v>
      </c>
      <c r="T181" s="448">
        <f t="shared" si="129"/>
        <v>0</v>
      </c>
      <c r="U181" s="276"/>
      <c r="V181" s="448">
        <f t="shared" si="135"/>
        <v>49076.600288000001</v>
      </c>
      <c r="W181" s="455">
        <v>12</v>
      </c>
      <c r="X181" s="448">
        <f t="shared" si="130"/>
        <v>4089.7166906666698</v>
      </c>
      <c r="Y181" s="276"/>
      <c r="Z181" s="448">
        <f t="shared" si="131"/>
        <v>4089.7166906666698</v>
      </c>
      <c r="AA181" s="193">
        <v>4089.7166906666698</v>
      </c>
      <c r="AB181" s="193">
        <f t="shared" si="134"/>
        <v>0</v>
      </c>
    </row>
    <row r="182" spans="2:28" ht="18.75">
      <c r="B182" s="17" t="s">
        <v>600</v>
      </c>
      <c r="C182" s="460">
        <v>68675.997025000004</v>
      </c>
      <c r="D182" s="447">
        <v>12</v>
      </c>
      <c r="E182" s="448">
        <f t="shared" si="132"/>
        <v>824111.96429999999</v>
      </c>
      <c r="F182" s="276"/>
      <c r="G182" s="276"/>
      <c r="H182" s="276"/>
      <c r="I182" s="448">
        <f t="shared" si="133"/>
        <v>824111.96429999999</v>
      </c>
      <c r="J182" s="448">
        <v>200000</v>
      </c>
      <c r="K182" s="448">
        <v>0.2</v>
      </c>
      <c r="L182" s="448">
        <f t="shared" si="121"/>
        <v>164822.39285999999</v>
      </c>
      <c r="M182" s="448">
        <f t="shared" si="122"/>
        <v>364822.39286000002</v>
      </c>
      <c r="N182" s="448">
        <f t="shared" si="123"/>
        <v>364822.39286000002</v>
      </c>
      <c r="O182" s="448">
        <f t="shared" si="124"/>
        <v>459289.57144000003</v>
      </c>
      <c r="P182" s="448">
        <f t="shared" si="125"/>
        <v>21000</v>
      </c>
      <c r="Q182" s="448">
        <f t="shared" si="126"/>
        <v>17521.852858400001</v>
      </c>
      <c r="R182" s="448">
        <f t="shared" si="127"/>
        <v>0</v>
      </c>
      <c r="S182" s="448">
        <f t="shared" si="128"/>
        <v>0</v>
      </c>
      <c r="T182" s="448">
        <f t="shared" si="129"/>
        <v>0</v>
      </c>
      <c r="U182" s="276"/>
      <c r="V182" s="448">
        <f t="shared" si="135"/>
        <v>38521.852858400001</v>
      </c>
      <c r="W182" s="455">
        <v>12</v>
      </c>
      <c r="X182" s="448">
        <f t="shared" si="130"/>
        <v>3210.1544048666701</v>
      </c>
      <c r="Y182" s="276"/>
      <c r="Z182" s="448">
        <f t="shared" si="131"/>
        <v>3210.1544048666701</v>
      </c>
      <c r="AA182" s="193">
        <v>3210.1544048666701</v>
      </c>
      <c r="AB182" s="193">
        <f t="shared" si="134"/>
        <v>0</v>
      </c>
    </row>
    <row r="183" spans="2:28" ht="18.75">
      <c r="B183" s="17" t="s">
        <v>602</v>
      </c>
      <c r="C183" s="460">
        <v>62980.079250000003</v>
      </c>
      <c r="D183" s="447">
        <v>12</v>
      </c>
      <c r="E183" s="448">
        <f t="shared" si="132"/>
        <v>755760.951</v>
      </c>
      <c r="F183" s="276"/>
      <c r="G183" s="276"/>
      <c r="H183" s="276"/>
      <c r="I183" s="448">
        <f t="shared" si="133"/>
        <v>755760.951</v>
      </c>
      <c r="J183" s="448">
        <v>200000</v>
      </c>
      <c r="K183" s="448">
        <v>0.2</v>
      </c>
      <c r="L183" s="448">
        <f t="shared" si="121"/>
        <v>151152.19020000001</v>
      </c>
      <c r="M183" s="448">
        <f t="shared" si="122"/>
        <v>351152.19020000001</v>
      </c>
      <c r="N183" s="448">
        <f t="shared" si="123"/>
        <v>351152.19020000001</v>
      </c>
      <c r="O183" s="448">
        <f t="shared" si="124"/>
        <v>404608.76079999999</v>
      </c>
      <c r="P183" s="448">
        <f t="shared" si="125"/>
        <v>21000</v>
      </c>
      <c r="Q183" s="448">
        <f t="shared" si="126"/>
        <v>11506.963688</v>
      </c>
      <c r="R183" s="448">
        <f t="shared" si="127"/>
        <v>0</v>
      </c>
      <c r="S183" s="448">
        <f t="shared" si="128"/>
        <v>0</v>
      </c>
      <c r="T183" s="448">
        <f t="shared" si="129"/>
        <v>0</v>
      </c>
      <c r="U183" s="276"/>
      <c r="V183" s="448">
        <f t="shared" si="135"/>
        <v>32506.963688</v>
      </c>
      <c r="W183" s="455">
        <v>12</v>
      </c>
      <c r="X183" s="448">
        <f t="shared" si="130"/>
        <v>2708.9136406666698</v>
      </c>
      <c r="Y183" s="276"/>
      <c r="Z183" s="448">
        <f t="shared" si="131"/>
        <v>2708.9136406666698</v>
      </c>
      <c r="AA183" s="193">
        <v>2708.9136406666698</v>
      </c>
      <c r="AB183" s="193">
        <f t="shared" si="134"/>
        <v>-3.6379788070917101E-12</v>
      </c>
    </row>
    <row r="184" spans="2:28" ht="18.75">
      <c r="B184" s="17" t="s">
        <v>605</v>
      </c>
      <c r="C184" s="460">
        <v>62980.079250000003</v>
      </c>
      <c r="D184" s="447">
        <v>12</v>
      </c>
      <c r="E184" s="448">
        <f t="shared" si="132"/>
        <v>755760.951</v>
      </c>
      <c r="F184" s="276"/>
      <c r="G184" s="276"/>
      <c r="H184" s="276"/>
      <c r="I184" s="448">
        <f t="shared" si="133"/>
        <v>755760.951</v>
      </c>
      <c r="J184" s="448">
        <v>200000</v>
      </c>
      <c r="K184" s="448">
        <v>0.2</v>
      </c>
      <c r="L184" s="448">
        <f t="shared" si="121"/>
        <v>151152.19020000001</v>
      </c>
      <c r="M184" s="448">
        <f t="shared" si="122"/>
        <v>351152.19020000001</v>
      </c>
      <c r="N184" s="448">
        <f t="shared" si="123"/>
        <v>351152.19020000001</v>
      </c>
      <c r="O184" s="448">
        <f t="shared" si="124"/>
        <v>404608.76079999999</v>
      </c>
      <c r="P184" s="448">
        <f t="shared" si="125"/>
        <v>21000</v>
      </c>
      <c r="Q184" s="448">
        <f t="shared" si="126"/>
        <v>11506.963688</v>
      </c>
      <c r="R184" s="448">
        <f t="shared" si="127"/>
        <v>0</v>
      </c>
      <c r="S184" s="448">
        <f t="shared" si="128"/>
        <v>0</v>
      </c>
      <c r="T184" s="448">
        <f t="shared" si="129"/>
        <v>0</v>
      </c>
      <c r="U184" s="276"/>
      <c r="V184" s="448">
        <f t="shared" si="135"/>
        <v>32506.963688</v>
      </c>
      <c r="W184" s="455">
        <v>12</v>
      </c>
      <c r="X184" s="448">
        <f t="shared" si="130"/>
        <v>2708.9136406666698</v>
      </c>
      <c r="Y184" s="276"/>
      <c r="Z184" s="448">
        <f t="shared" si="131"/>
        <v>2708.9136406666698</v>
      </c>
      <c r="AA184" s="193">
        <v>2708.9136406666698</v>
      </c>
      <c r="AB184" s="193">
        <f t="shared" si="134"/>
        <v>-3.6379788070917101E-12</v>
      </c>
    </row>
    <row r="185" spans="2:28" ht="18.75">
      <c r="B185" s="17" t="s">
        <v>606</v>
      </c>
      <c r="C185" s="460">
        <v>62980.079250000003</v>
      </c>
      <c r="D185" s="447">
        <v>12</v>
      </c>
      <c r="E185" s="448">
        <f t="shared" si="132"/>
        <v>755760.951</v>
      </c>
      <c r="F185" s="276"/>
      <c r="G185" s="276"/>
      <c r="H185" s="276"/>
      <c r="I185" s="448">
        <f t="shared" si="133"/>
        <v>755760.951</v>
      </c>
      <c r="J185" s="448">
        <v>200000</v>
      </c>
      <c r="K185" s="448">
        <v>0.2</v>
      </c>
      <c r="L185" s="448">
        <f t="shared" si="121"/>
        <v>151152.19020000001</v>
      </c>
      <c r="M185" s="448">
        <f t="shared" si="122"/>
        <v>351152.19020000001</v>
      </c>
      <c r="N185" s="448">
        <f t="shared" si="123"/>
        <v>351152.19020000001</v>
      </c>
      <c r="O185" s="448">
        <f t="shared" si="124"/>
        <v>404608.76079999999</v>
      </c>
      <c r="P185" s="448">
        <f t="shared" si="125"/>
        <v>21000</v>
      </c>
      <c r="Q185" s="448">
        <f t="shared" si="126"/>
        <v>11506.963688</v>
      </c>
      <c r="R185" s="448">
        <f t="shared" si="127"/>
        <v>0</v>
      </c>
      <c r="S185" s="448">
        <f t="shared" si="128"/>
        <v>0</v>
      </c>
      <c r="T185" s="448">
        <f t="shared" si="129"/>
        <v>0</v>
      </c>
      <c r="U185" s="276"/>
      <c r="V185" s="448">
        <f t="shared" si="135"/>
        <v>32506.963688</v>
      </c>
      <c r="W185" s="455">
        <v>12</v>
      </c>
      <c r="X185" s="448">
        <f t="shared" si="130"/>
        <v>2708.9136406666698</v>
      </c>
      <c r="Y185" s="276"/>
      <c r="Z185" s="448">
        <f t="shared" si="131"/>
        <v>2708.9136406666698</v>
      </c>
      <c r="AA185" s="193">
        <v>2708.9136406666698</v>
      </c>
      <c r="AB185" s="193">
        <f t="shared" si="134"/>
        <v>-3.6379788070917101E-12</v>
      </c>
    </row>
    <row r="186" spans="2:28" ht="18.75">
      <c r="B186" s="17" t="s">
        <v>607</v>
      </c>
      <c r="C186" s="460">
        <v>72103.749500000005</v>
      </c>
      <c r="D186" s="447">
        <v>12</v>
      </c>
      <c r="E186" s="448">
        <f t="shared" si="132"/>
        <v>865244.99399999995</v>
      </c>
      <c r="F186" s="276"/>
      <c r="G186" s="276"/>
      <c r="H186" s="276"/>
      <c r="I186" s="448">
        <f t="shared" si="133"/>
        <v>865244.99399999995</v>
      </c>
      <c r="J186" s="448">
        <v>200000</v>
      </c>
      <c r="K186" s="448">
        <v>0.2</v>
      </c>
      <c r="L186" s="448">
        <f t="shared" si="121"/>
        <v>173048.9988</v>
      </c>
      <c r="M186" s="448">
        <f t="shared" si="122"/>
        <v>373048.9988</v>
      </c>
      <c r="N186" s="448">
        <f t="shared" si="123"/>
        <v>373048.9988</v>
      </c>
      <c r="O186" s="448">
        <f t="shared" si="124"/>
        <v>492195.9952</v>
      </c>
      <c r="P186" s="448">
        <f t="shared" si="125"/>
        <v>21000</v>
      </c>
      <c r="Q186" s="448">
        <f t="shared" si="126"/>
        <v>21141.559472000001</v>
      </c>
      <c r="R186" s="448">
        <f t="shared" si="127"/>
        <v>0</v>
      </c>
      <c r="S186" s="448">
        <f t="shared" si="128"/>
        <v>0</v>
      </c>
      <c r="T186" s="448">
        <f t="shared" si="129"/>
        <v>0</v>
      </c>
      <c r="U186" s="276"/>
      <c r="V186" s="448">
        <f t="shared" si="135"/>
        <v>42141.559472000001</v>
      </c>
      <c r="W186" s="455">
        <v>12</v>
      </c>
      <c r="X186" s="448">
        <f t="shared" si="130"/>
        <v>3511.7966226666699</v>
      </c>
      <c r="Y186" s="276"/>
      <c r="Z186" s="448">
        <f t="shared" si="131"/>
        <v>3511.7966226666699</v>
      </c>
      <c r="AA186" s="193">
        <v>3511.7966226666699</v>
      </c>
      <c r="AB186" s="193">
        <f t="shared" si="134"/>
        <v>0</v>
      </c>
    </row>
    <row r="187" spans="2:28" ht="18.75">
      <c r="B187" s="17" t="s">
        <v>610</v>
      </c>
      <c r="C187" s="460">
        <v>72103.749500000005</v>
      </c>
      <c r="D187" s="447">
        <v>12</v>
      </c>
      <c r="E187" s="448">
        <f t="shared" si="132"/>
        <v>865244.99399999995</v>
      </c>
      <c r="F187" s="276"/>
      <c r="G187" s="276"/>
      <c r="H187" s="276"/>
      <c r="I187" s="448">
        <f t="shared" si="133"/>
        <v>865244.99399999995</v>
      </c>
      <c r="J187" s="448">
        <v>200000</v>
      </c>
      <c r="K187" s="448">
        <v>0.2</v>
      </c>
      <c r="L187" s="448">
        <f t="shared" si="121"/>
        <v>173048.9988</v>
      </c>
      <c r="M187" s="448">
        <f t="shared" si="122"/>
        <v>373048.9988</v>
      </c>
      <c r="N187" s="448">
        <f t="shared" si="123"/>
        <v>373048.9988</v>
      </c>
      <c r="O187" s="448">
        <f t="shared" si="124"/>
        <v>492195.9952</v>
      </c>
      <c r="P187" s="448">
        <f t="shared" si="125"/>
        <v>21000</v>
      </c>
      <c r="Q187" s="448">
        <f t="shared" si="126"/>
        <v>21141.559472000001</v>
      </c>
      <c r="R187" s="448">
        <f t="shared" si="127"/>
        <v>0</v>
      </c>
      <c r="S187" s="448">
        <f t="shared" si="128"/>
        <v>0</v>
      </c>
      <c r="T187" s="448">
        <f t="shared" si="129"/>
        <v>0</v>
      </c>
      <c r="U187" s="276"/>
      <c r="V187" s="448">
        <f t="shared" si="135"/>
        <v>42141.559472000001</v>
      </c>
      <c r="W187" s="455">
        <v>12</v>
      </c>
      <c r="X187" s="448">
        <f t="shared" si="130"/>
        <v>3511.7966226666699</v>
      </c>
      <c r="Y187" s="276"/>
      <c r="Z187" s="448">
        <f t="shared" si="131"/>
        <v>3511.7966226666699</v>
      </c>
      <c r="AA187" s="193">
        <v>3511.7966226666699</v>
      </c>
      <c r="AB187" s="193">
        <f t="shared" si="134"/>
        <v>0</v>
      </c>
    </row>
    <row r="188" spans="2:28" ht="30.75" customHeight="1">
      <c r="B188" s="7"/>
      <c r="C188" s="193"/>
      <c r="E188" s="525"/>
      <c r="W188" s="274" t="s">
        <v>659</v>
      </c>
      <c r="Z188" s="541">
        <f>SUM(Z6:Z187)</f>
        <v>7214215.7686455902</v>
      </c>
      <c r="AA188" s="542">
        <f>SUM(AA6:AA187)</f>
        <v>7445494.5793200796</v>
      </c>
      <c r="AB188" s="543">
        <f>AB77+AB90+AB97+AB107+AB61+AB33</f>
        <v>-231278.810674484</v>
      </c>
    </row>
    <row r="189" spans="2:28" ht="18.75">
      <c r="B189" s="29"/>
      <c r="C189" s="193"/>
    </row>
    <row r="190" spans="2:28" ht="18.75">
      <c r="B190" s="32"/>
      <c r="X190" s="274" t="s">
        <v>660</v>
      </c>
      <c r="AB190" s="544">
        <f>AB81+AB82+AB83+AB84+AB86+AB88+AB89+AB94+AB95+AB96+AB102+AB103+AB104+AB105+AB106</f>
        <v>-351613.55740448099</v>
      </c>
    </row>
    <row r="191" spans="2:28" ht="15">
      <c r="X191" s="274" t="s">
        <v>661</v>
      </c>
      <c r="AB191" s="545">
        <f>AB87+AB85+AB74+AB61+AB21+AB19+AB18+AB16+AB15</f>
        <v>126852.23813</v>
      </c>
    </row>
    <row r="192" spans="2:28" ht="15">
      <c r="X192" s="540" t="s">
        <v>662</v>
      </c>
      <c r="AB192" s="546">
        <f>SUM(AB190:AB191)</f>
        <v>-224761.31927448101</v>
      </c>
    </row>
    <row r="193" spans="24:28" ht="15">
      <c r="X193" s="274" t="s">
        <v>663</v>
      </c>
      <c r="AB193" s="547">
        <f>-6517.49</f>
        <v>-6517.49</v>
      </c>
    </row>
    <row r="194" spans="24:28" ht="24.75" customHeight="1">
      <c r="X194" s="274" t="s">
        <v>280</v>
      </c>
      <c r="AA194" s="193"/>
      <c r="AB194" s="548">
        <f>AB192+AB193</f>
        <v>-231278.809274481</v>
      </c>
    </row>
    <row r="196" spans="24:28">
      <c r="AA196" s="389"/>
    </row>
  </sheetData>
  <mergeCells count="3">
    <mergeCell ref="A1:Y1"/>
    <mergeCell ref="A2:Y2"/>
    <mergeCell ref="A3:Y3"/>
  </mergeCells>
  <pageMargins left="0.7" right="0.7" top="0.75" bottom="0.75" header="0.3" footer="0.3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D20" sqref="D20"/>
    </sheetView>
  </sheetViews>
  <sheetFormatPr defaultColWidth="9" defaultRowHeight="12.75"/>
  <cols>
    <col min="1" max="1" width="5.85546875" customWidth="1"/>
    <col min="2" max="2" width="42.7109375" customWidth="1"/>
    <col min="3" max="3" width="18.140625" customWidth="1"/>
    <col min="4" max="4" width="19.5703125" customWidth="1"/>
    <col min="5" max="5" width="14.85546875" customWidth="1"/>
    <col min="6" max="6" width="34.7109375" customWidth="1"/>
  </cols>
  <sheetData>
    <row r="1" spans="1:6" ht="15">
      <c r="A1" s="508"/>
      <c r="B1" s="508"/>
      <c r="C1" s="508"/>
      <c r="D1" s="508"/>
      <c r="E1" s="508"/>
    </row>
    <row r="2" spans="1:6" ht="56.25">
      <c r="A2" s="509" t="s">
        <v>21</v>
      </c>
      <c r="B2" s="509" t="s">
        <v>182</v>
      </c>
      <c r="C2" s="510" t="s">
        <v>664</v>
      </c>
      <c r="D2" s="510" t="s">
        <v>665</v>
      </c>
      <c r="E2" s="510" t="s">
        <v>666</v>
      </c>
      <c r="F2" s="511"/>
    </row>
    <row r="3" spans="1:6" ht="18.75">
      <c r="A3" s="509"/>
      <c r="B3" s="509"/>
      <c r="C3" s="510" t="s">
        <v>20</v>
      </c>
      <c r="D3" s="510" t="s">
        <v>20</v>
      </c>
      <c r="E3" s="510" t="s">
        <v>20</v>
      </c>
      <c r="F3" s="511"/>
    </row>
    <row r="4" spans="1:6" ht="18.75">
      <c r="A4" s="512">
        <v>1</v>
      </c>
      <c r="B4" s="513" t="s">
        <v>458</v>
      </c>
      <c r="C4" s="514">
        <v>98996.103146666705</v>
      </c>
      <c r="D4" s="514">
        <v>79796.103146666603</v>
      </c>
      <c r="E4" s="514">
        <f>C4-D4</f>
        <v>19200.000000000098</v>
      </c>
      <c r="F4" s="511"/>
    </row>
    <row r="5" spans="1:6" ht="18.75">
      <c r="A5" s="512">
        <v>2</v>
      </c>
      <c r="B5" s="513" t="s">
        <v>459</v>
      </c>
      <c r="C5" s="514">
        <v>79956.9391466667</v>
      </c>
      <c r="D5" s="514">
        <v>75574.677290666703</v>
      </c>
      <c r="E5" s="514">
        <f t="shared" ref="E5:E11" si="0">C5-D5</f>
        <v>4382.2618560000001</v>
      </c>
      <c r="F5" s="511"/>
    </row>
    <row r="6" spans="1:6" ht="18.75">
      <c r="A6" s="512">
        <v>3</v>
      </c>
      <c r="B6" s="513" t="s">
        <v>460</v>
      </c>
      <c r="C6" s="514">
        <v>75574.677290666703</v>
      </c>
      <c r="D6" s="514">
        <v>50985.977546666698</v>
      </c>
      <c r="E6" s="514">
        <f t="shared" si="0"/>
        <v>24588.699744000001</v>
      </c>
      <c r="F6" s="511"/>
    </row>
    <row r="7" spans="1:6" ht="18.75">
      <c r="A7" s="512">
        <v>4</v>
      </c>
      <c r="B7" s="513" t="s">
        <v>462</v>
      </c>
      <c r="C7" s="514">
        <v>50985.977546666698</v>
      </c>
      <c r="D7" s="514">
        <v>49548.776186666699</v>
      </c>
      <c r="E7" s="514">
        <f t="shared" si="0"/>
        <v>1437.20136</v>
      </c>
      <c r="F7" s="511"/>
    </row>
    <row r="8" spans="1:6" ht="18.75">
      <c r="A8" s="512">
        <v>5</v>
      </c>
      <c r="B8" s="513" t="s">
        <v>464</v>
      </c>
      <c r="C8" s="514">
        <v>53384.053562666697</v>
      </c>
      <c r="D8" s="514">
        <v>41338.951098666701</v>
      </c>
      <c r="E8" s="514">
        <f t="shared" si="0"/>
        <v>12045.102464</v>
      </c>
      <c r="F8" s="511"/>
    </row>
    <row r="9" spans="1:6" ht="18.75">
      <c r="A9" s="512">
        <v>6</v>
      </c>
      <c r="B9" s="513" t="s">
        <v>466</v>
      </c>
      <c r="C9" s="514">
        <v>45414.4562526667</v>
      </c>
      <c r="D9" s="514">
        <v>33825.986562666702</v>
      </c>
      <c r="E9" s="514">
        <f t="shared" si="0"/>
        <v>11588.46969</v>
      </c>
      <c r="F9" s="511"/>
    </row>
    <row r="10" spans="1:6" ht="18.75">
      <c r="A10" s="512">
        <v>7</v>
      </c>
      <c r="B10" s="513" t="s">
        <v>468</v>
      </c>
      <c r="C10" s="514">
        <v>33825.986562666702</v>
      </c>
      <c r="D10" s="514">
        <v>29984.870925426701</v>
      </c>
      <c r="E10" s="514">
        <f t="shared" si="0"/>
        <v>3841.1156372400001</v>
      </c>
      <c r="F10" s="511"/>
    </row>
    <row r="11" spans="1:6" ht="18.75">
      <c r="A11" s="512">
        <v>8</v>
      </c>
      <c r="B11" s="513" t="s">
        <v>473</v>
      </c>
      <c r="C11" s="515">
        <v>82627.951418666693</v>
      </c>
      <c r="D11" s="514">
        <v>43492.373376666699</v>
      </c>
      <c r="E11" s="514">
        <f t="shared" si="0"/>
        <v>39135.578042000001</v>
      </c>
      <c r="F11" s="511"/>
    </row>
    <row r="12" spans="1:6" ht="18.75">
      <c r="A12" s="512">
        <v>9</v>
      </c>
      <c r="B12" s="513" t="s">
        <v>475</v>
      </c>
      <c r="C12" s="514">
        <v>43492.373376666699</v>
      </c>
      <c r="D12" s="514">
        <v>34968.882414666703</v>
      </c>
      <c r="E12" s="514">
        <f t="shared" ref="E12:E14" si="1">C12-D12</f>
        <v>8523.4909619999999</v>
      </c>
      <c r="F12" s="511"/>
    </row>
    <row r="13" spans="1:6" ht="18.75">
      <c r="A13" s="512">
        <v>10</v>
      </c>
      <c r="B13" s="513" t="s">
        <v>477</v>
      </c>
      <c r="C13" s="514">
        <v>34968.882414666703</v>
      </c>
      <c r="D13" s="514">
        <v>27105.986562666702</v>
      </c>
      <c r="E13" s="514">
        <f t="shared" si="1"/>
        <v>7862.8958519999996</v>
      </c>
      <c r="F13" s="511"/>
    </row>
    <row r="14" spans="1:6" ht="18.75">
      <c r="A14" s="512">
        <v>11</v>
      </c>
      <c r="B14" s="513" t="s">
        <v>484</v>
      </c>
      <c r="C14" s="514">
        <v>180180.378218667</v>
      </c>
      <c r="D14" s="514">
        <v>58814.673103466703</v>
      </c>
      <c r="E14" s="514">
        <f t="shared" si="1"/>
        <v>121365.70511520001</v>
      </c>
      <c r="F14" s="511"/>
    </row>
    <row r="15" spans="1:6" ht="18.75">
      <c r="A15" s="512">
        <v>12</v>
      </c>
      <c r="B15" s="513" t="s">
        <v>486</v>
      </c>
      <c r="C15" s="514">
        <v>99907.951418666693</v>
      </c>
      <c r="D15" s="514">
        <v>58631.439944426696</v>
      </c>
      <c r="E15" s="514">
        <f t="shared" ref="E15:E18" si="2">C15-D15</f>
        <v>41276.511474239996</v>
      </c>
      <c r="F15" s="511"/>
    </row>
    <row r="16" spans="1:6" ht="18.75">
      <c r="A16" s="512">
        <v>13</v>
      </c>
      <c r="B16" s="513" t="s">
        <v>487</v>
      </c>
      <c r="C16" s="514">
        <v>58941.101743466701</v>
      </c>
      <c r="D16" s="514">
        <v>31871.335203306699</v>
      </c>
      <c r="E16" s="514">
        <f t="shared" si="2"/>
        <v>27069.766540159999</v>
      </c>
      <c r="F16" s="511"/>
    </row>
    <row r="17" spans="1:6" ht="18.75">
      <c r="A17" s="512">
        <v>14</v>
      </c>
      <c r="B17" s="513" t="s">
        <v>490</v>
      </c>
      <c r="C17" s="514">
        <v>58631.439944426696</v>
      </c>
      <c r="D17" s="514">
        <v>31221.145554666698</v>
      </c>
      <c r="E17" s="514">
        <f t="shared" si="2"/>
        <v>27410.294389760002</v>
      </c>
      <c r="F17" s="511"/>
    </row>
    <row r="18" spans="1:6" ht="18.75">
      <c r="A18" s="512">
        <v>15</v>
      </c>
      <c r="B18" s="513" t="s">
        <v>492</v>
      </c>
      <c r="C18" s="514">
        <v>31871.335203306699</v>
      </c>
      <c r="D18" s="514">
        <v>29984.870925426701</v>
      </c>
      <c r="E18" s="514">
        <f t="shared" si="2"/>
        <v>1886.4642778800001</v>
      </c>
      <c r="F18" s="511"/>
    </row>
    <row r="19" spans="1:6" ht="18.75">
      <c r="A19" s="513"/>
      <c r="B19" s="516" t="s">
        <v>42</v>
      </c>
      <c r="C19" s="516">
        <f>SUM(C4:C18)</f>
        <v>1028759.6072472</v>
      </c>
      <c r="D19" s="516">
        <f t="shared" ref="D19:E19" si="3">SUM(D4:D18)</f>
        <v>677146.04984272004</v>
      </c>
      <c r="E19" s="516">
        <f t="shared" si="3"/>
        <v>351613.55740448</v>
      </c>
      <c r="F19" s="511"/>
    </row>
    <row r="20" spans="1:6" ht="24.75" customHeight="1">
      <c r="A20" s="517"/>
      <c r="B20" s="517"/>
      <c r="C20" s="517"/>
      <c r="D20" s="517"/>
      <c r="E20" s="517"/>
      <c r="F20" s="511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8"/>
  <sheetViews>
    <sheetView workbookViewId="0">
      <selection activeCell="O196" sqref="O196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0.28515625" style="1" customWidth="1"/>
    <col min="6" max="6" width="18" style="1" customWidth="1"/>
    <col min="7" max="7" width="18.28515625" style="1" customWidth="1"/>
    <col min="8" max="8" width="18.140625" style="1" customWidth="1"/>
    <col min="9" max="9" width="17.85546875" style="1" customWidth="1"/>
    <col min="10" max="12" width="20" style="1" customWidth="1"/>
    <col min="13" max="15" width="19.7109375" style="1" customWidth="1"/>
    <col min="16" max="16" width="21.7109375" style="1" customWidth="1"/>
    <col min="17" max="16384" width="9.140625" style="1"/>
  </cols>
  <sheetData>
    <row r="1" spans="1:16" ht="27" customHeight="1">
      <c r="A1" s="857" t="s">
        <v>0</v>
      </c>
      <c r="B1" s="857"/>
      <c r="C1" s="857"/>
      <c r="D1" s="857"/>
      <c r="E1" s="857"/>
      <c r="F1" s="857"/>
      <c r="G1" s="199"/>
      <c r="H1" s="199"/>
      <c r="I1" s="199"/>
      <c r="J1" s="199"/>
      <c r="K1" s="199"/>
      <c r="L1" s="199"/>
    </row>
    <row r="2" spans="1:16" ht="33.75" customHeight="1">
      <c r="A2" s="483" t="s">
        <v>667</v>
      </c>
      <c r="B2" s="484"/>
      <c r="C2" s="483"/>
      <c r="D2" s="483"/>
      <c r="E2" s="485"/>
      <c r="F2" s="485"/>
      <c r="G2" s="279"/>
      <c r="H2" s="279"/>
      <c r="I2" s="279"/>
      <c r="J2" s="279"/>
      <c r="K2" s="279"/>
      <c r="L2" s="279"/>
      <c r="M2" s="65"/>
      <c r="N2" s="65"/>
      <c r="O2" s="65"/>
    </row>
    <row r="3" spans="1:16" ht="9.75" customHeight="1">
      <c r="A3" s="2"/>
      <c r="B3" s="2"/>
      <c r="C3" s="2"/>
      <c r="D3" s="2"/>
      <c r="E3" s="199" t="e">
        <f>'[1]FEB 08'!E11/'[1]FEB 08'!M11</f>
        <v>#REF!</v>
      </c>
      <c r="F3" s="199"/>
      <c r="G3" s="199"/>
      <c r="H3" s="199"/>
      <c r="I3" s="199"/>
      <c r="J3" s="199"/>
      <c r="K3" s="199"/>
      <c r="L3" s="199"/>
    </row>
    <row r="4" spans="1:16" ht="52.5" customHeight="1">
      <c r="A4" s="3"/>
      <c r="B4" s="4" t="s">
        <v>2</v>
      </c>
      <c r="C4" s="5" t="s">
        <v>3</v>
      </c>
      <c r="D4" s="6" t="s">
        <v>4</v>
      </c>
      <c r="E4" s="200" t="s">
        <v>308</v>
      </c>
      <c r="F4" s="200" t="s">
        <v>644</v>
      </c>
      <c r="G4" s="200" t="s">
        <v>645</v>
      </c>
      <c r="H4" s="200" t="s">
        <v>646</v>
      </c>
      <c r="I4" s="200" t="s">
        <v>8</v>
      </c>
      <c r="J4" s="486" t="s">
        <v>647</v>
      </c>
      <c r="K4" s="486" t="s">
        <v>648</v>
      </c>
      <c r="L4" s="486" t="s">
        <v>649</v>
      </c>
      <c r="M4" s="487" t="s">
        <v>650</v>
      </c>
      <c r="N4" s="487" t="s">
        <v>651</v>
      </c>
      <c r="O4" s="487" t="s">
        <v>652</v>
      </c>
    </row>
    <row r="5" spans="1:16" ht="17.25" customHeight="1">
      <c r="C5" s="7"/>
      <c r="D5" s="7"/>
      <c r="E5" s="69" t="s">
        <v>20</v>
      </c>
      <c r="F5" s="69" t="s">
        <v>20</v>
      </c>
      <c r="G5" s="69" t="s">
        <v>20</v>
      </c>
      <c r="H5" s="69" t="s">
        <v>20</v>
      </c>
      <c r="I5" s="69" t="s">
        <v>20</v>
      </c>
      <c r="J5" s="488"/>
      <c r="K5" s="488"/>
      <c r="L5" s="488"/>
      <c r="M5" s="489" t="s">
        <v>20</v>
      </c>
      <c r="N5" s="489"/>
      <c r="O5" s="489"/>
    </row>
    <row r="6" spans="1:16" ht="20.100000000000001" customHeight="1">
      <c r="A6" s="8" t="s">
        <v>21</v>
      </c>
      <c r="B6" s="7" t="s">
        <v>22</v>
      </c>
      <c r="C6" s="7"/>
      <c r="D6" s="7"/>
      <c r="E6" s="69"/>
      <c r="F6" s="20"/>
      <c r="G6" s="69"/>
      <c r="H6" s="69"/>
      <c r="I6" s="69"/>
      <c r="J6" s="488"/>
      <c r="K6" s="488"/>
      <c r="L6" s="488"/>
      <c r="M6" s="489"/>
      <c r="N6" s="489"/>
      <c r="O6" s="489"/>
    </row>
    <row r="7" spans="1:16" ht="20.100000000000001" customHeight="1">
      <c r="A7" s="9">
        <v>1</v>
      </c>
      <c r="B7" s="10" t="s">
        <v>345</v>
      </c>
      <c r="C7" s="11" t="s">
        <v>346</v>
      </c>
      <c r="D7" s="11" t="s">
        <v>347</v>
      </c>
      <c r="E7" s="72">
        <v>1659751.1669999999</v>
      </c>
      <c r="F7" s="72"/>
      <c r="G7" s="202">
        <f>250000</f>
        <v>250000</v>
      </c>
      <c r="H7" s="202"/>
      <c r="I7" s="72">
        <v>25235</v>
      </c>
      <c r="J7" s="490">
        <f>E7+F7+G7+H7+I7</f>
        <v>1934986.1669999999</v>
      </c>
      <c r="K7" s="490">
        <v>1158849.8400000001</v>
      </c>
      <c r="L7" s="490">
        <f>J7-K7</f>
        <v>776136.32700000005</v>
      </c>
      <c r="M7" s="491">
        <v>350184.01073066698</v>
      </c>
      <c r="N7" s="491">
        <v>201165.83594666701</v>
      </c>
      <c r="O7" s="492">
        <f>M7-N7</f>
        <v>149018.174784</v>
      </c>
      <c r="P7" s="12"/>
    </row>
    <row r="8" spans="1:16" ht="20.100000000000001" customHeight="1">
      <c r="A8" s="9">
        <v>2</v>
      </c>
      <c r="B8" s="10" t="s">
        <v>348</v>
      </c>
      <c r="C8" s="11" t="s">
        <v>349</v>
      </c>
      <c r="D8" s="9" t="s">
        <v>343</v>
      </c>
      <c r="E8" s="72">
        <v>762373.16666666698</v>
      </c>
      <c r="F8" s="72"/>
      <c r="G8" s="202"/>
      <c r="H8" s="202">
        <f>90000</f>
        <v>90000</v>
      </c>
      <c r="I8" s="72">
        <v>0</v>
      </c>
      <c r="J8" s="490">
        <f t="shared" ref="J8:J33" si="0">E8+F8+G8+H8+I8</f>
        <v>852373.16666666698</v>
      </c>
      <c r="K8" s="490">
        <v>541465.02474999998</v>
      </c>
      <c r="L8" s="490">
        <f t="shared" ref="L8:L33" si="1">J8-K8</f>
        <v>310908.14191666699</v>
      </c>
      <c r="M8" s="491">
        <v>130612.26282666701</v>
      </c>
      <c r="N8" s="491">
        <v>82627.951418666693</v>
      </c>
      <c r="O8" s="492">
        <f t="shared" ref="O8:O33" si="2">M8-N8</f>
        <v>47984.3114080003</v>
      </c>
      <c r="P8" s="12"/>
    </row>
    <row r="9" spans="1:16" ht="20.100000000000001" customHeight="1">
      <c r="A9" s="9">
        <v>3</v>
      </c>
      <c r="B9" s="13" t="s">
        <v>350</v>
      </c>
      <c r="C9" s="3" t="s">
        <v>351</v>
      </c>
      <c r="D9" s="9" t="s">
        <v>343</v>
      </c>
      <c r="E9" s="72">
        <v>762373.16666666698</v>
      </c>
      <c r="F9" s="72"/>
      <c r="G9" s="202"/>
      <c r="H9" s="202">
        <f>90000</f>
        <v>90000</v>
      </c>
      <c r="I9" s="72">
        <f>100000+100000</f>
        <v>200000</v>
      </c>
      <c r="J9" s="490">
        <f t="shared" si="0"/>
        <v>1052373.16666667</v>
      </c>
      <c r="K9" s="490">
        <v>741465.02474999998</v>
      </c>
      <c r="L9" s="490">
        <f t="shared" si="1"/>
        <v>310908.14191666699</v>
      </c>
      <c r="M9" s="491">
        <v>180722.31466666699</v>
      </c>
      <c r="N9" s="491">
        <v>121027.951418667</v>
      </c>
      <c r="O9" s="492">
        <f t="shared" si="2"/>
        <v>59694.363248000001</v>
      </c>
      <c r="P9" s="12"/>
    </row>
    <row r="10" spans="1:16" ht="20.100000000000001" customHeight="1">
      <c r="A10" s="9">
        <v>4</v>
      </c>
      <c r="B10" s="10" t="s">
        <v>352</v>
      </c>
      <c r="C10" s="16" t="s">
        <v>353</v>
      </c>
      <c r="D10" s="9" t="s">
        <v>343</v>
      </c>
      <c r="E10" s="72">
        <v>762373.16666666698</v>
      </c>
      <c r="F10" s="72"/>
      <c r="G10" s="202">
        <v>180000</v>
      </c>
      <c r="H10" s="202"/>
      <c r="I10" s="72">
        <v>0</v>
      </c>
      <c r="J10" s="490">
        <f t="shared" si="0"/>
        <v>942373.16666666698</v>
      </c>
      <c r="K10" s="490">
        <v>631465.02474999998</v>
      </c>
      <c r="L10" s="490">
        <f t="shared" si="1"/>
        <v>310908.14191666699</v>
      </c>
      <c r="M10" s="491">
        <v>147687.52761066699</v>
      </c>
      <c r="N10" s="491">
        <v>99703.216202666707</v>
      </c>
      <c r="O10" s="492">
        <f t="shared" si="2"/>
        <v>47984.3114080003</v>
      </c>
      <c r="P10" s="12"/>
    </row>
    <row r="11" spans="1:16" ht="20.100000000000001" customHeight="1">
      <c r="A11" s="9">
        <v>5</v>
      </c>
      <c r="B11" s="13" t="s">
        <v>354</v>
      </c>
      <c r="C11" s="3" t="s">
        <v>635</v>
      </c>
      <c r="D11" s="9" t="s">
        <v>343</v>
      </c>
      <c r="E11" s="72">
        <v>762373.16666666698</v>
      </c>
      <c r="F11" s="72"/>
      <c r="G11" s="202"/>
      <c r="H11" s="202">
        <f>80000+10000</f>
        <v>90000</v>
      </c>
      <c r="I11" s="72">
        <v>150000</v>
      </c>
      <c r="J11" s="490">
        <f t="shared" si="0"/>
        <v>1002373.16666667</v>
      </c>
      <c r="K11" s="490">
        <v>691465.02474999998</v>
      </c>
      <c r="L11" s="490">
        <f t="shared" si="1"/>
        <v>310908.14191666699</v>
      </c>
      <c r="M11" s="491">
        <v>159207.52761066699</v>
      </c>
      <c r="N11" s="491">
        <v>111223.216202667</v>
      </c>
      <c r="O11" s="492">
        <f t="shared" si="2"/>
        <v>47984.311408000001</v>
      </c>
      <c r="P11" s="12"/>
    </row>
    <row r="12" spans="1:16" ht="20.100000000000001" customHeight="1">
      <c r="A12" s="9">
        <v>6</v>
      </c>
      <c r="B12" s="17" t="s">
        <v>341</v>
      </c>
      <c r="C12" s="9" t="s">
        <v>342</v>
      </c>
      <c r="D12" s="9" t="s">
        <v>343</v>
      </c>
      <c r="E12" s="72">
        <v>762373.16666666698</v>
      </c>
      <c r="F12" s="72"/>
      <c r="G12" s="202"/>
      <c r="H12" s="202">
        <f>90000</f>
        <v>90000</v>
      </c>
      <c r="I12" s="72">
        <v>100000</v>
      </c>
      <c r="J12" s="490">
        <f t="shared" si="0"/>
        <v>952373.16666666698</v>
      </c>
      <c r="K12" s="490">
        <v>641465.02474999998</v>
      </c>
      <c r="L12" s="490">
        <f t="shared" si="1"/>
        <v>310908.14191666699</v>
      </c>
      <c r="M12" s="491">
        <v>161522.31466666699</v>
      </c>
      <c r="N12" s="491">
        <v>101827.951418667</v>
      </c>
      <c r="O12" s="492">
        <f t="shared" si="2"/>
        <v>59694.363248000001</v>
      </c>
      <c r="P12" s="12"/>
    </row>
    <row r="13" spans="1:16" ht="20.100000000000001" customHeight="1">
      <c r="A13" s="9">
        <v>7</v>
      </c>
      <c r="B13" s="10" t="s">
        <v>356</v>
      </c>
      <c r="C13" s="11" t="s">
        <v>357</v>
      </c>
      <c r="D13" s="14" t="s">
        <v>358</v>
      </c>
      <c r="E13" s="72">
        <v>620675.58333333302</v>
      </c>
      <c r="F13" s="72"/>
      <c r="G13" s="202"/>
      <c r="H13" s="202">
        <f t="shared" ref="H13:H124" si="3">80000</f>
        <v>80000</v>
      </c>
      <c r="I13" s="72">
        <v>50000</v>
      </c>
      <c r="J13" s="490">
        <f t="shared" si="0"/>
        <v>750675.58333333302</v>
      </c>
      <c r="K13" s="490">
        <v>497553.5025</v>
      </c>
      <c r="L13" s="490">
        <f t="shared" si="1"/>
        <v>253122.08083333299</v>
      </c>
      <c r="M13" s="491">
        <v>113101.965706667</v>
      </c>
      <c r="N13" s="491">
        <v>74036.103146666705</v>
      </c>
      <c r="O13" s="492">
        <f t="shared" si="2"/>
        <v>39065.8625600003</v>
      </c>
      <c r="P13" s="12"/>
    </row>
    <row r="14" spans="1:16" ht="20.100000000000001" customHeight="1">
      <c r="A14" s="9">
        <v>8</v>
      </c>
      <c r="B14" s="10" t="s">
        <v>359</v>
      </c>
      <c r="C14" s="3" t="s">
        <v>360</v>
      </c>
      <c r="D14" s="9" t="s">
        <v>99</v>
      </c>
      <c r="E14" s="72">
        <v>582118.08333333302</v>
      </c>
      <c r="F14" s="72"/>
      <c r="G14" s="202">
        <v>160000</v>
      </c>
      <c r="H14" s="202"/>
      <c r="I14" s="72">
        <f>100000</f>
        <v>100000</v>
      </c>
      <c r="J14" s="490">
        <f t="shared" si="0"/>
        <v>842118.08333333302</v>
      </c>
      <c r="K14" s="490">
        <v>604729.22199999995</v>
      </c>
      <c r="L14" s="490">
        <f t="shared" si="1"/>
        <v>237388.86133333301</v>
      </c>
      <c r="M14" s="491">
        <v>131263.10967466701</v>
      </c>
      <c r="N14" s="491">
        <v>94625.782058666693</v>
      </c>
      <c r="O14" s="492">
        <f t="shared" si="2"/>
        <v>36637.327616000301</v>
      </c>
      <c r="P14" s="12"/>
    </row>
    <row r="15" spans="1:16" ht="20.100000000000001" customHeight="1">
      <c r="A15" s="9">
        <v>9</v>
      </c>
      <c r="B15" s="10" t="s">
        <v>361</v>
      </c>
      <c r="C15" s="3" t="s">
        <v>362</v>
      </c>
      <c r="D15" s="14" t="s">
        <v>363</v>
      </c>
      <c r="E15" s="72">
        <v>484373.75</v>
      </c>
      <c r="F15" s="72"/>
      <c r="G15" s="202"/>
      <c r="H15" s="202">
        <f t="shared" ref="H15" si="4">70000</f>
        <v>70000</v>
      </c>
      <c r="I15" s="72">
        <f>0</f>
        <v>0</v>
      </c>
      <c r="J15" s="490">
        <f t="shared" si="0"/>
        <v>554373.75</v>
      </c>
      <c r="K15" s="490">
        <v>343333.03525000002</v>
      </c>
      <c r="L15" s="490">
        <f t="shared" si="1"/>
        <v>211040.71475000001</v>
      </c>
      <c r="M15" s="491">
        <v>77666.445866666705</v>
      </c>
      <c r="N15" s="491">
        <v>44846.6165886667</v>
      </c>
      <c r="O15" s="492">
        <f t="shared" si="2"/>
        <v>32819.829277999997</v>
      </c>
      <c r="P15" s="12"/>
    </row>
    <row r="16" spans="1:16" ht="20.100000000000001" customHeight="1">
      <c r="A16" s="9">
        <v>10</v>
      </c>
      <c r="B16" s="13" t="s">
        <v>364</v>
      </c>
      <c r="C16" s="16" t="s">
        <v>365</v>
      </c>
      <c r="D16" s="14" t="s">
        <v>366</v>
      </c>
      <c r="E16" s="72">
        <v>470498</v>
      </c>
      <c r="F16" s="72"/>
      <c r="G16" s="202">
        <v>140000</v>
      </c>
      <c r="H16" s="202"/>
      <c r="I16" s="72">
        <v>50000</v>
      </c>
      <c r="J16" s="490">
        <f t="shared" si="0"/>
        <v>660498</v>
      </c>
      <c r="K16" s="490">
        <v>463333.03525000002</v>
      </c>
      <c r="L16" s="490">
        <f t="shared" si="1"/>
        <v>197164.96475000001</v>
      </c>
      <c r="M16" s="493">
        <v>98255.4333866667</v>
      </c>
      <c r="N16" s="491">
        <v>67626.609434666694</v>
      </c>
      <c r="O16" s="492">
        <f t="shared" si="2"/>
        <v>30628.823951999999</v>
      </c>
      <c r="P16" s="12"/>
    </row>
    <row r="17" spans="1:16" ht="20.100000000000001" customHeight="1">
      <c r="A17" s="9">
        <v>11</v>
      </c>
      <c r="B17" s="10" t="s">
        <v>367</v>
      </c>
      <c r="C17" s="3" t="s">
        <v>368</v>
      </c>
      <c r="D17" s="9" t="s">
        <v>369</v>
      </c>
      <c r="E17" s="72">
        <v>442746.5</v>
      </c>
      <c r="F17" s="72"/>
      <c r="G17" s="202">
        <f>140000</f>
        <v>140000</v>
      </c>
      <c r="H17" s="202"/>
      <c r="I17" s="72">
        <v>150000</v>
      </c>
      <c r="J17" s="490">
        <f t="shared" si="0"/>
        <v>732746.5</v>
      </c>
      <c r="K17" s="490">
        <v>547211.36750000005</v>
      </c>
      <c r="L17" s="490">
        <f t="shared" si="1"/>
        <v>185535.13250000001</v>
      </c>
      <c r="M17" s="491">
        <v>112553.408426667</v>
      </c>
      <c r="N17" s="491">
        <v>83731.249226666696</v>
      </c>
      <c r="O17" s="492">
        <f t="shared" si="2"/>
        <v>28822.1592000003</v>
      </c>
      <c r="P17" s="12"/>
    </row>
    <row r="18" spans="1:16" ht="20.100000000000001" customHeight="1">
      <c r="A18" s="9">
        <v>12</v>
      </c>
      <c r="B18" s="10" t="s">
        <v>370</v>
      </c>
      <c r="C18" s="3" t="s">
        <v>371</v>
      </c>
      <c r="D18" s="9" t="s">
        <v>372</v>
      </c>
      <c r="E18" s="72">
        <v>441804.91666666698</v>
      </c>
      <c r="F18" s="72"/>
      <c r="G18" s="202"/>
      <c r="H18" s="202">
        <v>70000</v>
      </c>
      <c r="I18" s="72"/>
      <c r="J18" s="490">
        <f t="shared" si="0"/>
        <v>511804.91666666698</v>
      </c>
      <c r="K18" s="490">
        <v>326663.07750000001</v>
      </c>
      <c r="L18" s="490">
        <f t="shared" si="1"/>
        <v>185141.83916666699</v>
      </c>
      <c r="M18" s="491">
        <v>70147.087146666701</v>
      </c>
      <c r="N18" s="491">
        <v>42046.063686666697</v>
      </c>
      <c r="O18" s="492">
        <f t="shared" si="2"/>
        <v>28101.02346</v>
      </c>
    </row>
    <row r="19" spans="1:16" ht="20.100000000000001" customHeight="1">
      <c r="A19" s="9">
        <v>13</v>
      </c>
      <c r="B19" s="10" t="s">
        <v>373</v>
      </c>
      <c r="C19" s="11" t="s">
        <v>374</v>
      </c>
      <c r="D19" s="14" t="s">
        <v>375</v>
      </c>
      <c r="E19" s="72">
        <v>428915.91666666698</v>
      </c>
      <c r="F19" s="72"/>
      <c r="G19" s="202">
        <f>120000</f>
        <v>120000</v>
      </c>
      <c r="H19" s="202"/>
      <c r="I19" s="72">
        <v>0</v>
      </c>
      <c r="J19" s="490">
        <f t="shared" si="0"/>
        <v>548915.91666666698</v>
      </c>
      <c r="K19" s="490">
        <v>369177.65375</v>
      </c>
      <c r="L19" s="490">
        <f t="shared" si="1"/>
        <v>179738.26291666701</v>
      </c>
      <c r="M19" s="491">
        <v>77470.374186666697</v>
      </c>
      <c r="N19" s="491">
        <v>49548.776186666699</v>
      </c>
      <c r="O19" s="492">
        <f t="shared" si="2"/>
        <v>27921.598000000002</v>
      </c>
      <c r="P19" s="12"/>
    </row>
    <row r="20" spans="1:16" ht="20.100000000000001" customHeight="1">
      <c r="A20" s="9">
        <v>14</v>
      </c>
      <c r="B20" s="17" t="s">
        <v>376</v>
      </c>
      <c r="C20" s="3" t="s">
        <v>636</v>
      </c>
      <c r="D20" s="14" t="s">
        <v>378</v>
      </c>
      <c r="E20" s="72">
        <v>416026.91666666698</v>
      </c>
      <c r="F20" s="72"/>
      <c r="G20" s="202">
        <f>120000</f>
        <v>120000</v>
      </c>
      <c r="H20" s="202"/>
      <c r="I20" s="72">
        <f>100000</f>
        <v>100000</v>
      </c>
      <c r="J20" s="490">
        <f t="shared" si="0"/>
        <v>636026.91666666698</v>
      </c>
      <c r="K20" s="490">
        <v>462001.06050000002</v>
      </c>
      <c r="L20" s="490">
        <f t="shared" si="1"/>
        <v>174025.85616666701</v>
      </c>
      <c r="M20" s="491">
        <v>94274.903466666699</v>
      </c>
      <c r="N20" s="491">
        <v>67370.870282666699</v>
      </c>
      <c r="O20" s="492">
        <f t="shared" si="2"/>
        <v>26904.033184</v>
      </c>
      <c r="P20" s="12"/>
    </row>
    <row r="21" spans="1:16" ht="18.75" customHeight="1">
      <c r="A21" s="9">
        <v>15</v>
      </c>
      <c r="B21" s="10" t="s">
        <v>379</v>
      </c>
      <c r="C21" s="11" t="s">
        <v>233</v>
      </c>
      <c r="D21" s="14" t="s">
        <v>380</v>
      </c>
      <c r="E21" s="72">
        <v>377895.16666666698</v>
      </c>
      <c r="F21" s="72"/>
      <c r="G21" s="202"/>
      <c r="H21" s="202">
        <f>60000</f>
        <v>60000</v>
      </c>
      <c r="I21" s="72">
        <v>100000</v>
      </c>
      <c r="J21" s="490">
        <f t="shared" si="0"/>
        <v>537895.16666666698</v>
      </c>
      <c r="K21" s="490">
        <v>384536.99849999999</v>
      </c>
      <c r="L21" s="490">
        <f t="shared" si="1"/>
        <v>153358.16816666699</v>
      </c>
      <c r="M21" s="491">
        <v>76138.068906666696</v>
      </c>
      <c r="N21" s="491">
        <v>52497.770378666602</v>
      </c>
      <c r="O21" s="492">
        <f t="shared" si="2"/>
        <v>23640.298528000101</v>
      </c>
      <c r="P21" s="12"/>
    </row>
    <row r="22" spans="1:16" ht="20.100000000000001" customHeight="1">
      <c r="A22" s="9">
        <v>16</v>
      </c>
      <c r="B22" s="13" t="s">
        <v>381</v>
      </c>
      <c r="C22" s="16" t="s">
        <v>637</v>
      </c>
      <c r="D22" s="9" t="s">
        <v>32</v>
      </c>
      <c r="E22" s="72">
        <v>353512.5</v>
      </c>
      <c r="F22" s="72"/>
      <c r="G22" s="202">
        <f t="shared" ref="G22" si="5">100000</f>
        <v>100000</v>
      </c>
      <c r="H22" s="202"/>
      <c r="I22" s="72">
        <v>100000</v>
      </c>
      <c r="J22" s="490">
        <f t="shared" si="0"/>
        <v>553512.5</v>
      </c>
      <c r="K22" s="490">
        <v>400372.07500000001</v>
      </c>
      <c r="L22" s="490">
        <f t="shared" si="1"/>
        <v>153140.42499999999</v>
      </c>
      <c r="M22" s="491">
        <v>79511.114666666705</v>
      </c>
      <c r="N22" s="491">
        <v>55538.1050666667</v>
      </c>
      <c r="O22" s="492">
        <f t="shared" si="2"/>
        <v>23973.009600000001</v>
      </c>
      <c r="P22" s="12"/>
    </row>
    <row r="23" spans="1:16" ht="21.6" customHeight="1">
      <c r="A23" s="9">
        <v>17</v>
      </c>
      <c r="B23" s="10" t="s">
        <v>383</v>
      </c>
      <c r="C23" s="16" t="s">
        <v>34</v>
      </c>
      <c r="D23" s="14" t="s">
        <v>32</v>
      </c>
      <c r="E23" s="72">
        <v>353512.5</v>
      </c>
      <c r="F23" s="72"/>
      <c r="G23" s="202">
        <v>110000</v>
      </c>
      <c r="H23" s="202"/>
      <c r="I23" s="72">
        <v>0</v>
      </c>
      <c r="J23" s="490">
        <f t="shared" si="0"/>
        <v>463512.5</v>
      </c>
      <c r="K23" s="490">
        <v>1015372.075</v>
      </c>
      <c r="L23" s="490">
        <f t="shared" si="1"/>
        <v>-551859.57499999995</v>
      </c>
      <c r="M23" s="491">
        <v>62231.114666666697</v>
      </c>
      <c r="N23" s="491">
        <v>40149.175266666702</v>
      </c>
      <c r="O23" s="492">
        <f t="shared" si="2"/>
        <v>22081.939399999999</v>
      </c>
      <c r="P23" s="12"/>
    </row>
    <row r="24" spans="1:16" ht="20.100000000000001" customHeight="1">
      <c r="A24" s="9">
        <v>18</v>
      </c>
      <c r="B24" s="13" t="s">
        <v>384</v>
      </c>
      <c r="C24" s="16" t="s">
        <v>385</v>
      </c>
      <c r="D24" s="9" t="s">
        <v>37</v>
      </c>
      <c r="E24" s="72">
        <v>293029.66666666698</v>
      </c>
      <c r="F24" s="72"/>
      <c r="G24" s="202"/>
      <c r="H24" s="202">
        <f>50000+10000</f>
        <v>60000</v>
      </c>
      <c r="I24" s="72">
        <v>100000</v>
      </c>
      <c r="J24" s="490">
        <f t="shared" si="0"/>
        <v>453029.66666666698</v>
      </c>
      <c r="K24" s="490">
        <v>328602.07775</v>
      </c>
      <c r="L24" s="490">
        <f t="shared" si="1"/>
        <v>124427.58891666699</v>
      </c>
      <c r="M24" s="491">
        <v>61147.426986666702</v>
      </c>
      <c r="N24" s="491">
        <v>42371.815728666697</v>
      </c>
      <c r="O24" s="492">
        <f t="shared" si="2"/>
        <v>18775.611258000001</v>
      </c>
      <c r="P24" s="12"/>
    </row>
    <row r="25" spans="1:16" ht="18.75" customHeight="1">
      <c r="A25" s="9">
        <v>19</v>
      </c>
      <c r="B25" s="3" t="s">
        <v>386</v>
      </c>
      <c r="C25" s="3" t="s">
        <v>289</v>
      </c>
      <c r="D25" s="9" t="s">
        <v>387</v>
      </c>
      <c r="E25" s="72">
        <v>270481.66666666698</v>
      </c>
      <c r="F25" s="72"/>
      <c r="G25" s="202"/>
      <c r="H25" s="202">
        <f>50000+10000</f>
        <v>60000</v>
      </c>
      <c r="I25" s="72"/>
      <c r="J25" s="490">
        <f t="shared" si="0"/>
        <v>330481.66666666698</v>
      </c>
      <c r="K25" s="490">
        <v>213508.01</v>
      </c>
      <c r="L25" s="490">
        <f t="shared" si="1"/>
        <v>116973.656666667</v>
      </c>
      <c r="M25" s="493">
        <v>39052.313066666698</v>
      </c>
      <c r="N25" s="491">
        <v>23036.012346666699</v>
      </c>
      <c r="O25" s="492">
        <f t="shared" si="2"/>
        <v>16016.300719999999</v>
      </c>
      <c r="P25" s="12"/>
    </row>
    <row r="26" spans="1:16" ht="18.75" customHeight="1">
      <c r="A26" s="9">
        <v>20</v>
      </c>
      <c r="B26" s="17" t="s">
        <v>388</v>
      </c>
      <c r="C26" s="11" t="s">
        <v>289</v>
      </c>
      <c r="D26" s="14" t="s">
        <v>387</v>
      </c>
      <c r="E26" s="72">
        <v>270481.66666666698</v>
      </c>
      <c r="F26" s="72"/>
      <c r="G26" s="202"/>
      <c r="H26" s="202">
        <f>50000+10000</f>
        <v>60000</v>
      </c>
      <c r="I26" s="72"/>
      <c r="J26" s="490">
        <f t="shared" si="0"/>
        <v>330481.66666666698</v>
      </c>
      <c r="K26" s="490">
        <v>213508.01</v>
      </c>
      <c r="L26" s="490">
        <f t="shared" si="1"/>
        <v>116973.656666667</v>
      </c>
      <c r="M26" s="491">
        <v>39052.313066666698</v>
      </c>
      <c r="N26" s="491">
        <v>23036.012346666699</v>
      </c>
      <c r="O26" s="492">
        <f t="shared" si="2"/>
        <v>16016.300719999999</v>
      </c>
      <c r="P26" s="12"/>
    </row>
    <row r="27" spans="1:16" ht="20.100000000000001" customHeight="1">
      <c r="A27" s="9">
        <v>21</v>
      </c>
      <c r="B27" s="10" t="s">
        <v>389</v>
      </c>
      <c r="C27" s="16" t="s">
        <v>382</v>
      </c>
      <c r="D27" s="9" t="s">
        <v>387</v>
      </c>
      <c r="E27" s="72">
        <v>270481.66666666698</v>
      </c>
      <c r="F27" s="72"/>
      <c r="G27" s="202">
        <f t="shared" ref="G27" si="6">100000</f>
        <v>100000</v>
      </c>
      <c r="H27" s="202"/>
      <c r="I27" s="72"/>
      <c r="J27" s="490">
        <f t="shared" si="0"/>
        <v>370481.66666666698</v>
      </c>
      <c r="K27" s="490">
        <v>253508.01</v>
      </c>
      <c r="L27" s="490">
        <f t="shared" si="1"/>
        <v>116973.656666667</v>
      </c>
      <c r="M27" s="491">
        <v>45772.313066666698</v>
      </c>
      <c r="N27" s="491">
        <v>29756.012346666699</v>
      </c>
      <c r="O27" s="492">
        <f t="shared" si="2"/>
        <v>16016.300719999999</v>
      </c>
      <c r="P27" s="12"/>
    </row>
    <row r="28" spans="1:16" ht="18.75" customHeight="1">
      <c r="A28" s="9">
        <v>22</v>
      </c>
      <c r="B28" s="17" t="s">
        <v>390</v>
      </c>
      <c r="C28" s="11" t="s">
        <v>220</v>
      </c>
      <c r="D28" s="14" t="s">
        <v>391</v>
      </c>
      <c r="E28" s="72">
        <v>263165.33333333302</v>
      </c>
      <c r="F28" s="72"/>
      <c r="G28" s="202"/>
      <c r="H28" s="202">
        <f>60000</f>
        <v>60000</v>
      </c>
      <c r="I28" s="3"/>
      <c r="J28" s="490">
        <f t="shared" si="0"/>
        <v>323165.33333333302</v>
      </c>
      <c r="K28" s="490">
        <v>209356.04725</v>
      </c>
      <c r="L28" s="490">
        <f t="shared" si="1"/>
        <v>113809.28608333301</v>
      </c>
      <c r="M28" s="491">
        <v>37921.500586666698</v>
      </c>
      <c r="N28" s="491">
        <v>22338.4826046667</v>
      </c>
      <c r="O28" s="492">
        <f t="shared" si="2"/>
        <v>15583.017981999999</v>
      </c>
      <c r="P28" s="12"/>
    </row>
    <row r="29" spans="1:16" ht="18.75" customHeight="1">
      <c r="A29" s="9">
        <v>23</v>
      </c>
      <c r="B29" s="17" t="s">
        <v>392</v>
      </c>
      <c r="C29" s="3" t="s">
        <v>393</v>
      </c>
      <c r="D29" s="9" t="s">
        <v>55</v>
      </c>
      <c r="E29" s="72">
        <v>255849</v>
      </c>
      <c r="F29" s="72"/>
      <c r="G29" s="202"/>
      <c r="H29" s="202">
        <f>60000</f>
        <v>60000</v>
      </c>
      <c r="I29" s="72"/>
      <c r="J29" s="490">
        <f t="shared" si="0"/>
        <v>315849</v>
      </c>
      <c r="K29" s="490">
        <v>205204.0845</v>
      </c>
      <c r="L29" s="490">
        <f t="shared" si="1"/>
        <v>110644.9155</v>
      </c>
      <c r="M29" s="491">
        <v>36790.688106666697</v>
      </c>
      <c r="N29" s="491">
        <v>21640.952862666702</v>
      </c>
      <c r="O29" s="492">
        <f t="shared" si="2"/>
        <v>15149.735244</v>
      </c>
      <c r="P29" s="12"/>
    </row>
    <row r="30" spans="1:16" ht="18.75" customHeight="1">
      <c r="A30" s="9">
        <v>24</v>
      </c>
      <c r="B30" s="17" t="s">
        <v>394</v>
      </c>
      <c r="C30" s="3" t="s">
        <v>393</v>
      </c>
      <c r="D30" s="9" t="s">
        <v>55</v>
      </c>
      <c r="E30" s="72">
        <v>255849</v>
      </c>
      <c r="F30" s="72"/>
      <c r="G30" s="202"/>
      <c r="H30" s="202">
        <f>60000</f>
        <v>60000</v>
      </c>
      <c r="I30" s="72"/>
      <c r="J30" s="490">
        <f t="shared" si="0"/>
        <v>315849</v>
      </c>
      <c r="K30" s="490">
        <v>205204.0845</v>
      </c>
      <c r="L30" s="490">
        <f t="shared" si="1"/>
        <v>110644.9155</v>
      </c>
      <c r="M30" s="491">
        <v>36790.688106666697</v>
      </c>
      <c r="N30" s="491">
        <v>21640.952862666702</v>
      </c>
      <c r="O30" s="492">
        <f t="shared" si="2"/>
        <v>15149.735244</v>
      </c>
      <c r="P30" s="12"/>
    </row>
    <row r="31" spans="1:16" ht="18.75" customHeight="1">
      <c r="A31" s="9">
        <v>25</v>
      </c>
      <c r="B31" s="17" t="s">
        <v>395</v>
      </c>
      <c r="C31" s="16" t="s">
        <v>396</v>
      </c>
      <c r="D31" s="14" t="s">
        <v>387</v>
      </c>
      <c r="E31" s="72">
        <v>270481.66666666698</v>
      </c>
      <c r="F31" s="72"/>
      <c r="G31" s="202"/>
      <c r="H31" s="202">
        <f>60000</f>
        <v>60000</v>
      </c>
      <c r="I31" s="72"/>
      <c r="J31" s="490">
        <f t="shared" si="0"/>
        <v>330481.66666666698</v>
      </c>
      <c r="K31" s="490">
        <v>209356.04725</v>
      </c>
      <c r="L31" s="490">
        <f t="shared" si="1"/>
        <v>121125.619416667</v>
      </c>
      <c r="M31" s="494">
        <v>39052.313066666698</v>
      </c>
      <c r="N31" s="494">
        <v>22338.4826046667</v>
      </c>
      <c r="O31" s="492">
        <f t="shared" si="2"/>
        <v>16713.830462000002</v>
      </c>
      <c r="P31" s="12"/>
    </row>
    <row r="32" spans="1:16" ht="18.75" customHeight="1">
      <c r="A32" s="9">
        <v>26</v>
      </c>
      <c r="B32" s="17" t="s">
        <v>397</v>
      </c>
      <c r="C32" s="3" t="s">
        <v>398</v>
      </c>
      <c r="D32" s="9" t="s">
        <v>399</v>
      </c>
      <c r="E32" s="72">
        <v>230631.91666666701</v>
      </c>
      <c r="F32" s="72"/>
      <c r="G32" s="202"/>
      <c r="H32" s="202">
        <f>50000</f>
        <v>50000</v>
      </c>
      <c r="I32" s="72"/>
      <c r="J32" s="490">
        <f t="shared" si="0"/>
        <v>280631.91666666698</v>
      </c>
      <c r="K32" s="490">
        <v>180304.068</v>
      </c>
      <c r="L32" s="490">
        <f t="shared" si="1"/>
        <v>100327.84866666701</v>
      </c>
      <c r="M32" s="491">
        <v>31213.135706666701</v>
      </c>
      <c r="N32" s="491">
        <v>17572.885002666699</v>
      </c>
      <c r="O32" s="492">
        <f t="shared" si="2"/>
        <v>13640.250704</v>
      </c>
      <c r="P32" s="12"/>
    </row>
    <row r="33" spans="1:16" ht="18.75" customHeight="1">
      <c r="A33" s="9">
        <v>27</v>
      </c>
      <c r="B33" s="17" t="s">
        <v>400</v>
      </c>
      <c r="C33" s="11" t="s">
        <v>401</v>
      </c>
      <c r="D33" s="14" t="s">
        <v>402</v>
      </c>
      <c r="E33" s="72">
        <v>224459.75</v>
      </c>
      <c r="F33" s="72"/>
      <c r="G33" s="202"/>
      <c r="H33" s="202">
        <v>50000</v>
      </c>
      <c r="I33" s="72"/>
      <c r="J33" s="490">
        <f t="shared" si="0"/>
        <v>274459.75</v>
      </c>
      <c r="K33" s="490">
        <v>173329.04949999999</v>
      </c>
      <c r="L33" s="490">
        <f t="shared" si="1"/>
        <v>101130.70050000001</v>
      </c>
      <c r="M33" s="491">
        <v>30259.165626666701</v>
      </c>
      <c r="N33" s="491">
        <v>16512.682190666699</v>
      </c>
      <c r="O33" s="492">
        <f t="shared" si="2"/>
        <v>13746.483436</v>
      </c>
      <c r="P33" s="12"/>
    </row>
    <row r="34" spans="1:16" ht="26.25" customHeight="1">
      <c r="A34" s="9"/>
      <c r="B34" s="19" t="s">
        <v>42</v>
      </c>
      <c r="C34" s="20">
        <v>27</v>
      </c>
      <c r="D34" s="14"/>
      <c r="E34" s="203">
        <f>SUM(E7:E33)</f>
        <v>13048608.166999999</v>
      </c>
      <c r="F34" s="203">
        <f t="shared" ref="F34:O34" si="7">SUM(F7:F33)</f>
        <v>0</v>
      </c>
      <c r="G34" s="203">
        <f t="shared" si="7"/>
        <v>1420000</v>
      </c>
      <c r="H34" s="203">
        <f t="shared" si="7"/>
        <v>1160000</v>
      </c>
      <c r="I34" s="203">
        <f t="shared" si="7"/>
        <v>1225235</v>
      </c>
      <c r="J34" s="203">
        <f t="shared" si="7"/>
        <v>16853843.166999999</v>
      </c>
      <c r="K34" s="203">
        <v>12012337.55525</v>
      </c>
      <c r="L34" s="203">
        <f t="shared" si="7"/>
        <v>4841505.6117500002</v>
      </c>
      <c r="M34" s="203">
        <f t="shared" si="7"/>
        <v>2519600.8415999999</v>
      </c>
      <c r="N34" s="203">
        <v>1629837.534828</v>
      </c>
      <c r="O34" s="203">
        <f t="shared" si="7"/>
        <v>889763.30677200202</v>
      </c>
      <c r="P34" s="12"/>
    </row>
    <row r="35" spans="1:16" ht="18.75" customHeight="1">
      <c r="A35" s="9"/>
      <c r="B35" s="21"/>
      <c r="C35" s="3"/>
      <c r="D35" s="14"/>
      <c r="E35" s="203"/>
      <c r="F35" s="203"/>
      <c r="G35" s="202"/>
      <c r="H35" s="202"/>
      <c r="I35" s="203"/>
      <c r="J35" s="495"/>
      <c r="K35" s="495"/>
      <c r="L35" s="495"/>
      <c r="M35" s="496"/>
      <c r="N35" s="496"/>
      <c r="O35" s="496"/>
      <c r="P35" s="12"/>
    </row>
    <row r="36" spans="1:16" ht="18.75" customHeight="1">
      <c r="A36" s="9"/>
      <c r="B36" s="19" t="s">
        <v>225</v>
      </c>
      <c r="C36" s="3"/>
      <c r="D36" s="14"/>
      <c r="E36" s="72"/>
      <c r="F36" s="72"/>
      <c r="G36" s="202"/>
      <c r="H36" s="202"/>
      <c r="I36" s="72"/>
      <c r="J36" s="490"/>
      <c r="K36" s="490"/>
      <c r="L36" s="490"/>
      <c r="M36" s="491"/>
      <c r="N36" s="491"/>
      <c r="O36" s="491"/>
      <c r="P36" s="12"/>
    </row>
    <row r="37" spans="1:16" ht="18.75" customHeight="1">
      <c r="A37" s="9">
        <v>1</v>
      </c>
      <c r="B37" s="17" t="s">
        <v>403</v>
      </c>
      <c r="C37" s="3" t="s">
        <v>404</v>
      </c>
      <c r="D37" s="9" t="s">
        <v>405</v>
      </c>
      <c r="E37" s="72">
        <v>1435720</v>
      </c>
      <c r="F37" s="72"/>
      <c r="G37" s="202"/>
      <c r="H37" s="202">
        <f>100000</f>
        <v>100000</v>
      </c>
      <c r="I37" s="72"/>
      <c r="J37" s="490">
        <f>E37+F37+G37+H37+I37</f>
        <v>1535720</v>
      </c>
      <c r="K37" s="490">
        <v>950209.06350000005</v>
      </c>
      <c r="L37" s="490">
        <f>J37-K37</f>
        <v>585510.93649999995</v>
      </c>
      <c r="M37" s="492">
        <v>251472.247466667</v>
      </c>
      <c r="N37" s="491">
        <v>161106.806858667</v>
      </c>
      <c r="O37" s="492">
        <f>M37-N37</f>
        <v>90365.440608000004</v>
      </c>
      <c r="P37" s="12"/>
    </row>
    <row r="38" spans="1:16" ht="18.75" customHeight="1">
      <c r="A38" s="9">
        <v>2</v>
      </c>
      <c r="B38" s="17" t="s">
        <v>406</v>
      </c>
      <c r="C38" s="3" t="s">
        <v>638</v>
      </c>
      <c r="D38" s="9" t="s">
        <v>37</v>
      </c>
      <c r="E38" s="72">
        <v>293029.66666666698</v>
      </c>
      <c r="F38" s="72"/>
      <c r="G38" s="202"/>
      <c r="H38" s="202">
        <f>60000</f>
        <v>60000</v>
      </c>
      <c r="I38" s="72"/>
      <c r="J38" s="490">
        <f t="shared" ref="J38:J39" si="8">E38+F38+G38+H38+I38</f>
        <v>353029.66666666698</v>
      </c>
      <c r="K38" s="490">
        <v>176816.1</v>
      </c>
      <c r="L38" s="490">
        <f t="shared" ref="L38:L39" si="9">J38-K38</f>
        <v>176213.566666667</v>
      </c>
      <c r="M38" s="492">
        <v>42537.331946666702</v>
      </c>
      <c r="N38" s="491">
        <v>17042.713866666702</v>
      </c>
      <c r="O38" s="492">
        <f>M38-N38</f>
        <v>25494.61808</v>
      </c>
      <c r="P38" s="12"/>
    </row>
    <row r="39" spans="1:16" ht="18.75" customHeight="1">
      <c r="A39" s="9">
        <v>3</v>
      </c>
      <c r="B39" s="10" t="s">
        <v>408</v>
      </c>
      <c r="C39" s="11" t="s">
        <v>639</v>
      </c>
      <c r="D39" s="14" t="s">
        <v>409</v>
      </c>
      <c r="E39" s="72">
        <v>300965.58333333302</v>
      </c>
      <c r="F39" s="72"/>
      <c r="G39" s="202"/>
      <c r="H39" s="202">
        <f>50000+10000</f>
        <v>60000</v>
      </c>
      <c r="I39" s="72"/>
      <c r="J39" s="490">
        <f t="shared" si="8"/>
        <v>360965.58333333302</v>
      </c>
      <c r="K39" s="490">
        <v>233169.11749999999</v>
      </c>
      <c r="L39" s="490">
        <f t="shared" si="9"/>
        <v>127796.465833333</v>
      </c>
      <c r="M39" s="492">
        <v>43763.907226666699</v>
      </c>
      <c r="N39" s="491">
        <v>26339.0784066667</v>
      </c>
      <c r="O39" s="492">
        <f>M39-N39</f>
        <v>17424.828819999999</v>
      </c>
      <c r="P39" s="12"/>
    </row>
    <row r="40" spans="1:16" ht="19.5" customHeight="1">
      <c r="A40" s="9"/>
      <c r="B40" s="13"/>
      <c r="C40" s="20">
        <v>3</v>
      </c>
      <c r="D40" s="9"/>
      <c r="E40" s="203">
        <f>SUM(E37:E39)</f>
        <v>2029715.25</v>
      </c>
      <c r="F40" s="203">
        <f t="shared" ref="F40:O40" si="10">SUM(F37:F39)</f>
        <v>0</v>
      </c>
      <c r="G40" s="203">
        <f t="shared" si="10"/>
        <v>0</v>
      </c>
      <c r="H40" s="203">
        <f t="shared" si="10"/>
        <v>220000</v>
      </c>
      <c r="I40" s="203">
        <f t="shared" si="10"/>
        <v>0</v>
      </c>
      <c r="J40" s="203">
        <f t="shared" si="10"/>
        <v>2249715.25</v>
      </c>
      <c r="K40" s="203">
        <v>1360194.281</v>
      </c>
      <c r="L40" s="203">
        <f t="shared" si="10"/>
        <v>889520.96900000004</v>
      </c>
      <c r="M40" s="203">
        <f t="shared" si="10"/>
        <v>337773.48664000002</v>
      </c>
      <c r="N40" s="203">
        <v>204488.599132</v>
      </c>
      <c r="O40" s="203">
        <f t="shared" si="10"/>
        <v>133284.88750800001</v>
      </c>
      <c r="P40" s="12"/>
    </row>
    <row r="41" spans="1:16" ht="20.100000000000001" customHeight="1">
      <c r="A41" s="9"/>
      <c r="B41" s="13"/>
      <c r="C41" s="3"/>
      <c r="D41" s="9"/>
      <c r="E41" s="203"/>
      <c r="F41" s="203"/>
      <c r="G41" s="202"/>
      <c r="H41" s="202"/>
      <c r="I41" s="203"/>
      <c r="J41" s="495"/>
      <c r="K41" s="495"/>
      <c r="L41" s="495"/>
      <c r="M41" s="496"/>
      <c r="N41" s="496"/>
      <c r="O41" s="496"/>
      <c r="P41" s="12"/>
    </row>
    <row r="42" spans="1:16" ht="20.100000000000001" customHeight="1">
      <c r="A42" s="9"/>
      <c r="B42" s="22" t="s">
        <v>43</v>
      </c>
      <c r="C42" s="4"/>
      <c r="D42" s="23"/>
      <c r="E42" s="203"/>
      <c r="F42" s="203"/>
      <c r="G42" s="202"/>
      <c r="H42" s="202"/>
      <c r="I42" s="72"/>
      <c r="J42" s="490"/>
      <c r="K42" s="490"/>
      <c r="L42" s="490"/>
      <c r="M42" s="491"/>
      <c r="N42" s="491"/>
      <c r="O42" s="491"/>
      <c r="P42" s="12"/>
    </row>
    <row r="43" spans="1:16" ht="20.100000000000001" customHeight="1">
      <c r="A43" s="9">
        <v>1</v>
      </c>
      <c r="B43" s="10" t="s">
        <v>410</v>
      </c>
      <c r="C43" s="3" t="s">
        <v>411</v>
      </c>
      <c r="D43" s="9" t="s">
        <v>405</v>
      </c>
      <c r="E43" s="72">
        <v>1435720</v>
      </c>
      <c r="F43" s="72"/>
      <c r="G43" s="202">
        <f>200000</f>
        <v>200000</v>
      </c>
      <c r="H43" s="202"/>
      <c r="I43" s="72"/>
      <c r="J43" s="490">
        <f>E43+F43+G43+H43+I43</f>
        <v>1635720</v>
      </c>
      <c r="K43" s="490">
        <v>1050209.0634999999</v>
      </c>
      <c r="L43" s="490">
        <f>J43-K43</f>
        <v>585510.93649999995</v>
      </c>
      <c r="M43" s="492">
        <v>270672.24746666697</v>
      </c>
      <c r="N43" s="491">
        <v>180306.806858667</v>
      </c>
      <c r="O43" s="492">
        <f t="shared" ref="O43:O53" si="11">M43-N43</f>
        <v>90365.440608000004</v>
      </c>
      <c r="P43" s="12"/>
    </row>
    <row r="44" spans="1:16" ht="20.100000000000001" customHeight="1">
      <c r="A44" s="9">
        <v>2</v>
      </c>
      <c r="B44" s="10" t="s">
        <v>412</v>
      </c>
      <c r="C44" s="3" t="s">
        <v>413</v>
      </c>
      <c r="D44" s="9" t="s">
        <v>358</v>
      </c>
      <c r="E44" s="72">
        <v>620675.58333333302</v>
      </c>
      <c r="F44" s="72"/>
      <c r="G44" s="202">
        <f>160000</f>
        <v>160000</v>
      </c>
      <c r="H44" s="202"/>
      <c r="I44" s="72">
        <v>0</v>
      </c>
      <c r="J44" s="490">
        <f t="shared" ref="J44:J53" si="12">E44+F44+G44+H44+I44</f>
        <v>780675.58333333302</v>
      </c>
      <c r="K44" s="490">
        <v>527553.50249999994</v>
      </c>
      <c r="L44" s="490">
        <f t="shared" ref="L44:L53" si="13">J44-K44</f>
        <v>253122.08083333299</v>
      </c>
      <c r="M44" s="492">
        <v>119022.801706667</v>
      </c>
      <c r="N44" s="491">
        <v>79956.9391466667</v>
      </c>
      <c r="O44" s="492">
        <f t="shared" si="11"/>
        <v>39065.8625600003</v>
      </c>
      <c r="P44" s="12"/>
    </row>
    <row r="45" spans="1:16" ht="20.100000000000001" customHeight="1">
      <c r="A45" s="9">
        <v>3</v>
      </c>
      <c r="B45" s="10" t="s">
        <v>414</v>
      </c>
      <c r="C45" s="3" t="s">
        <v>415</v>
      </c>
      <c r="D45" s="9" t="s">
        <v>416</v>
      </c>
      <c r="E45" s="72">
        <v>739203.58333333302</v>
      </c>
      <c r="F45" s="72"/>
      <c r="G45" s="202">
        <f>180000</f>
        <v>180000</v>
      </c>
      <c r="H45" s="202"/>
      <c r="I45" s="72"/>
      <c r="J45" s="490">
        <f t="shared" si="12"/>
        <v>919203.58333333302</v>
      </c>
      <c r="K45" s="490">
        <v>617743.99575</v>
      </c>
      <c r="L45" s="490">
        <f t="shared" si="13"/>
        <v>301459.58758333302</v>
      </c>
      <c r="M45" s="492">
        <v>143799.58762666699</v>
      </c>
      <c r="N45" s="491">
        <v>97273.513850666699</v>
      </c>
      <c r="O45" s="492">
        <f t="shared" si="11"/>
        <v>46526.073776000303</v>
      </c>
      <c r="P45" s="12"/>
    </row>
    <row r="46" spans="1:16" ht="20.100000000000001" customHeight="1">
      <c r="A46" s="9">
        <v>4</v>
      </c>
      <c r="B46" s="10" t="s">
        <v>417</v>
      </c>
      <c r="C46" s="3" t="s">
        <v>418</v>
      </c>
      <c r="D46" s="9" t="s">
        <v>358</v>
      </c>
      <c r="E46" s="72">
        <v>620675.58333333302</v>
      </c>
      <c r="F46" s="72"/>
      <c r="G46" s="202">
        <f>160000</f>
        <v>160000</v>
      </c>
      <c r="H46" s="202"/>
      <c r="I46" s="72"/>
      <c r="J46" s="490">
        <f t="shared" si="12"/>
        <v>780675.58333333302</v>
      </c>
      <c r="K46" s="490">
        <v>527553.50249999994</v>
      </c>
      <c r="L46" s="490">
        <f t="shared" si="13"/>
        <v>253122.08083333299</v>
      </c>
      <c r="M46" s="492">
        <v>119022.801706667</v>
      </c>
      <c r="N46" s="491">
        <v>79956.9391466667</v>
      </c>
      <c r="O46" s="492">
        <f t="shared" si="11"/>
        <v>39065.8625600003</v>
      </c>
      <c r="P46" s="12"/>
    </row>
    <row r="47" spans="1:16" ht="20.100000000000001" customHeight="1">
      <c r="A47" s="9">
        <v>5</v>
      </c>
      <c r="B47" s="10" t="s">
        <v>419</v>
      </c>
      <c r="C47" s="3" t="s">
        <v>418</v>
      </c>
      <c r="D47" s="9" t="s">
        <v>358</v>
      </c>
      <c r="E47" s="72">
        <v>620675.58333333302</v>
      </c>
      <c r="F47" s="72"/>
      <c r="G47" s="202">
        <f>140000+20000</f>
        <v>160000</v>
      </c>
      <c r="H47" s="202"/>
      <c r="I47" s="72">
        <v>0</v>
      </c>
      <c r="J47" s="490">
        <f t="shared" si="12"/>
        <v>780675.58333333302</v>
      </c>
      <c r="K47" s="490">
        <v>527553.50249999994</v>
      </c>
      <c r="L47" s="490">
        <f t="shared" si="13"/>
        <v>253122.08083333299</v>
      </c>
      <c r="M47" s="492">
        <v>118861.965706667</v>
      </c>
      <c r="N47" s="491">
        <v>79796.103146666603</v>
      </c>
      <c r="O47" s="492">
        <f t="shared" si="11"/>
        <v>39065.862560000402</v>
      </c>
      <c r="P47" s="12"/>
    </row>
    <row r="48" spans="1:16" ht="20.100000000000001" customHeight="1">
      <c r="A48" s="9">
        <v>6</v>
      </c>
      <c r="B48" s="10" t="s">
        <v>420</v>
      </c>
      <c r="C48" s="3" t="s">
        <v>418</v>
      </c>
      <c r="D48" s="9" t="s">
        <v>99</v>
      </c>
      <c r="E48" s="72">
        <v>582118.08333333302</v>
      </c>
      <c r="F48" s="72"/>
      <c r="G48" s="202">
        <f>140000+20000</f>
        <v>160000</v>
      </c>
      <c r="H48" s="202"/>
      <c r="I48" s="72"/>
      <c r="J48" s="490">
        <f t="shared" si="12"/>
        <v>742118.08333333302</v>
      </c>
      <c r="K48" s="490">
        <v>504720.04700000002</v>
      </c>
      <c r="L48" s="490">
        <f t="shared" si="13"/>
        <v>237398.036333333</v>
      </c>
      <c r="M48" s="492">
        <v>112212.004906667</v>
      </c>
      <c r="N48" s="491">
        <v>75572.915690666705</v>
      </c>
      <c r="O48" s="492">
        <f t="shared" si="11"/>
        <v>36639.089216000299</v>
      </c>
      <c r="P48" s="12"/>
    </row>
    <row r="49" spans="1:16" ht="20.100000000000001" customHeight="1">
      <c r="A49" s="9">
        <v>7</v>
      </c>
      <c r="B49" s="13" t="s">
        <v>421</v>
      </c>
      <c r="C49" s="3" t="s">
        <v>365</v>
      </c>
      <c r="D49" s="15" t="s">
        <v>366</v>
      </c>
      <c r="E49" s="72">
        <v>470498</v>
      </c>
      <c r="F49" s="72"/>
      <c r="G49" s="202">
        <f>140000</f>
        <v>140000</v>
      </c>
      <c r="H49" s="202"/>
      <c r="I49" s="72"/>
      <c r="J49" s="490">
        <f t="shared" si="12"/>
        <v>610498</v>
      </c>
      <c r="K49" s="490">
        <v>413333.03525000002</v>
      </c>
      <c r="L49" s="490">
        <f t="shared" si="13"/>
        <v>197164.96475000001</v>
      </c>
      <c r="M49" s="492">
        <v>88655.4333866667</v>
      </c>
      <c r="N49" s="491">
        <v>58026.609434666701</v>
      </c>
      <c r="O49" s="492">
        <f t="shared" si="11"/>
        <v>30628.823951999999</v>
      </c>
      <c r="P49" s="12"/>
    </row>
    <row r="50" spans="1:16" ht="20.100000000000001" customHeight="1">
      <c r="A50" s="9">
        <v>8</v>
      </c>
      <c r="B50" s="10" t="s">
        <v>422</v>
      </c>
      <c r="C50" s="3" t="s">
        <v>64</v>
      </c>
      <c r="D50" s="9" t="s">
        <v>409</v>
      </c>
      <c r="E50" s="72">
        <v>300965.58333333302</v>
      </c>
      <c r="F50" s="72"/>
      <c r="G50" s="202">
        <v>100000</v>
      </c>
      <c r="H50" s="202"/>
      <c r="I50" s="72"/>
      <c r="J50" s="490">
        <f t="shared" si="12"/>
        <v>400965.58333333302</v>
      </c>
      <c r="K50" s="490">
        <v>273169.11749999999</v>
      </c>
      <c r="L50" s="490">
        <f t="shared" si="13"/>
        <v>127796.465833333</v>
      </c>
      <c r="M50" s="492">
        <v>51029.227306666697</v>
      </c>
      <c r="N50" s="491">
        <v>33059.078406666697</v>
      </c>
      <c r="O50" s="492">
        <f t="shared" si="11"/>
        <v>17970.1489</v>
      </c>
      <c r="P50" s="12"/>
    </row>
    <row r="51" spans="1:16" ht="20.100000000000001" customHeight="1">
      <c r="A51" s="9">
        <v>9</v>
      </c>
      <c r="B51" s="10" t="s">
        <v>423</v>
      </c>
      <c r="C51" s="3" t="s">
        <v>64</v>
      </c>
      <c r="D51" s="9" t="s">
        <v>391</v>
      </c>
      <c r="E51" s="72">
        <v>263165.33333333302</v>
      </c>
      <c r="F51" s="72"/>
      <c r="G51" s="202">
        <f>100000</f>
        <v>100000</v>
      </c>
      <c r="H51" s="202"/>
      <c r="I51" s="72"/>
      <c r="J51" s="490">
        <f t="shared" si="12"/>
        <v>363165.33333333302</v>
      </c>
      <c r="K51" s="490">
        <v>249356.04725</v>
      </c>
      <c r="L51" s="490">
        <f t="shared" si="13"/>
        <v>113809.28608333301</v>
      </c>
      <c r="M51" s="492">
        <v>44641.500586666698</v>
      </c>
      <c r="N51" s="491">
        <v>29058.4826046667</v>
      </c>
      <c r="O51" s="492">
        <f t="shared" si="11"/>
        <v>15583.017981999999</v>
      </c>
      <c r="P51" s="12"/>
    </row>
    <row r="52" spans="1:16" ht="20.100000000000001" customHeight="1">
      <c r="A52" s="9">
        <v>10</v>
      </c>
      <c r="B52" s="10" t="s">
        <v>424</v>
      </c>
      <c r="C52" s="3" t="s">
        <v>64</v>
      </c>
      <c r="D52" s="9" t="s">
        <v>391</v>
      </c>
      <c r="E52" s="72">
        <v>263165.33333333302</v>
      </c>
      <c r="F52" s="72"/>
      <c r="G52" s="202">
        <f>100000</f>
        <v>100000</v>
      </c>
      <c r="H52" s="202"/>
      <c r="I52" s="72"/>
      <c r="J52" s="490">
        <f t="shared" si="12"/>
        <v>363165.33333333302</v>
      </c>
      <c r="K52" s="490">
        <v>249356.04725</v>
      </c>
      <c r="L52" s="490">
        <f t="shared" si="13"/>
        <v>113809.28608333301</v>
      </c>
      <c r="M52" s="492">
        <v>44641.500586666698</v>
      </c>
      <c r="N52" s="491">
        <v>28360.952862666702</v>
      </c>
      <c r="O52" s="492">
        <f t="shared" si="11"/>
        <v>16280.547724</v>
      </c>
      <c r="P52" s="12"/>
    </row>
    <row r="53" spans="1:16" ht="20.100000000000001" customHeight="1">
      <c r="A53" s="9">
        <v>11</v>
      </c>
      <c r="B53" s="10" t="s">
        <v>425</v>
      </c>
      <c r="C53" s="3" t="s">
        <v>64</v>
      </c>
      <c r="D53" s="9" t="s">
        <v>391</v>
      </c>
      <c r="E53" s="72">
        <v>263165.33333333302</v>
      </c>
      <c r="F53" s="72"/>
      <c r="G53" s="202">
        <f>100000</f>
        <v>100000</v>
      </c>
      <c r="H53" s="202"/>
      <c r="I53" s="72"/>
      <c r="J53" s="490">
        <f t="shared" si="12"/>
        <v>363165.33333333302</v>
      </c>
      <c r="K53" s="490">
        <v>249356.04725</v>
      </c>
      <c r="L53" s="490">
        <f t="shared" si="13"/>
        <v>113809.28608333301</v>
      </c>
      <c r="M53" s="492">
        <v>44641.500586666698</v>
      </c>
      <c r="N53" s="491">
        <v>29058.4826046667</v>
      </c>
      <c r="O53" s="492">
        <f t="shared" si="11"/>
        <v>15583.017981999999</v>
      </c>
      <c r="P53" s="12"/>
    </row>
    <row r="54" spans="1:16" ht="25.5" customHeight="1">
      <c r="A54" s="9"/>
      <c r="B54" s="19" t="s">
        <v>42</v>
      </c>
      <c r="C54" s="20">
        <v>11</v>
      </c>
      <c r="D54" s="20"/>
      <c r="E54" s="80">
        <f>SUM(E43:E53)</f>
        <v>6180028</v>
      </c>
      <c r="F54" s="80">
        <f t="shared" ref="F54:O54" si="14">SUM(F43:F53)</f>
        <v>0</v>
      </c>
      <c r="G54" s="80">
        <f t="shared" si="14"/>
        <v>1560000</v>
      </c>
      <c r="H54" s="80">
        <f t="shared" si="14"/>
        <v>0</v>
      </c>
      <c r="I54" s="80">
        <f t="shared" si="14"/>
        <v>0</v>
      </c>
      <c r="J54" s="80">
        <f t="shared" si="14"/>
        <v>7740028</v>
      </c>
      <c r="K54" s="80">
        <v>5189903.9082500003</v>
      </c>
      <c r="L54" s="80">
        <f t="shared" si="14"/>
        <v>2550124.0917500001</v>
      </c>
      <c r="M54" s="80">
        <f t="shared" si="14"/>
        <v>1157200.5715733401</v>
      </c>
      <c r="N54" s="80">
        <v>770426.82375333295</v>
      </c>
      <c r="O54" s="80">
        <f t="shared" si="14"/>
        <v>386773.74782000203</v>
      </c>
      <c r="P54" s="12"/>
    </row>
    <row r="55" spans="1:16" ht="20.100000000000001" customHeight="1">
      <c r="A55" s="9"/>
      <c r="B55" s="21"/>
      <c r="C55" s="20"/>
      <c r="D55" s="20"/>
      <c r="E55" s="134"/>
      <c r="F55" s="134"/>
      <c r="G55" s="202"/>
      <c r="H55" s="202"/>
      <c r="I55" s="134"/>
      <c r="J55" s="497"/>
      <c r="K55" s="497"/>
      <c r="L55" s="497"/>
      <c r="M55" s="498"/>
      <c r="N55" s="498"/>
      <c r="O55" s="498"/>
      <c r="P55" s="12"/>
    </row>
    <row r="56" spans="1:16" ht="20.100000000000001" customHeight="1">
      <c r="A56" s="9"/>
      <c r="B56" s="19" t="s">
        <v>426</v>
      </c>
      <c r="C56" s="20"/>
      <c r="D56" s="20"/>
      <c r="E56" s="134"/>
      <c r="F56" s="134"/>
      <c r="G56" s="202"/>
      <c r="H56" s="202"/>
      <c r="I56" s="134"/>
      <c r="J56" s="497"/>
      <c r="K56" s="497"/>
      <c r="L56" s="497"/>
      <c r="M56" s="498"/>
      <c r="N56" s="498"/>
      <c r="O56" s="498"/>
      <c r="P56" s="12"/>
    </row>
    <row r="57" spans="1:16" ht="20.100000000000001" customHeight="1">
      <c r="A57" s="9">
        <v>1</v>
      </c>
      <c r="B57" s="10" t="s">
        <v>427</v>
      </c>
      <c r="C57" s="11" t="s">
        <v>428</v>
      </c>
      <c r="D57" s="14" t="s">
        <v>405</v>
      </c>
      <c r="E57" s="72">
        <v>1435720</v>
      </c>
      <c r="F57" s="72"/>
      <c r="G57" s="202">
        <f>200000</f>
        <v>200000</v>
      </c>
      <c r="H57" s="202"/>
      <c r="I57" s="72">
        <v>0</v>
      </c>
      <c r="J57" s="490">
        <f>E57+F57+G57+H57+I57</f>
        <v>1635720</v>
      </c>
      <c r="K57" s="490">
        <v>1050209.0634999999</v>
      </c>
      <c r="L57" s="490">
        <f>J57-K57</f>
        <v>585510.93649999995</v>
      </c>
      <c r="M57" s="492">
        <v>270672.24746666697</v>
      </c>
      <c r="N57" s="493">
        <v>180306.806858667</v>
      </c>
      <c r="O57" s="492">
        <f>M57-N57</f>
        <v>90365.440608000004</v>
      </c>
      <c r="P57" s="12"/>
    </row>
    <row r="58" spans="1:16" ht="20.100000000000001" customHeight="1">
      <c r="A58" s="9">
        <v>2</v>
      </c>
      <c r="B58" s="10" t="s">
        <v>429</v>
      </c>
      <c r="C58" s="11" t="s">
        <v>430</v>
      </c>
      <c r="D58" s="14" t="s">
        <v>335</v>
      </c>
      <c r="E58" s="72">
        <v>620675.58333333302</v>
      </c>
      <c r="F58" s="72"/>
      <c r="G58" s="202"/>
      <c r="H58" s="202">
        <v>80000</v>
      </c>
      <c r="I58" s="72"/>
      <c r="J58" s="490">
        <f>E58+F58+G58+H58+I58</f>
        <v>700675.58333333302</v>
      </c>
      <c r="K58" s="490">
        <v>447553.5025</v>
      </c>
      <c r="L58" s="490">
        <f>J58-K58</f>
        <v>253122.08083333299</v>
      </c>
      <c r="M58" s="492">
        <v>103662.801706667</v>
      </c>
      <c r="N58" s="493">
        <v>64596.9391466667</v>
      </c>
      <c r="O58" s="492">
        <f>M58-N58</f>
        <v>39065.8625600003</v>
      </c>
      <c r="P58" s="12"/>
    </row>
    <row r="59" spans="1:16" ht="20.100000000000001" customHeight="1">
      <c r="A59" s="9"/>
      <c r="B59" s="19" t="s">
        <v>42</v>
      </c>
      <c r="C59" s="20">
        <v>2</v>
      </c>
      <c r="D59" s="20"/>
      <c r="E59" s="80">
        <f>SUM(E57:E58)</f>
        <v>2056395.58333333</v>
      </c>
      <c r="F59" s="80">
        <f t="shared" ref="F59:O59" si="15">SUM(F57:F58)</f>
        <v>0</v>
      </c>
      <c r="G59" s="80">
        <f t="shared" si="15"/>
        <v>200000</v>
      </c>
      <c r="H59" s="80">
        <f t="shared" si="15"/>
        <v>80000</v>
      </c>
      <c r="I59" s="80">
        <f t="shared" si="15"/>
        <v>0</v>
      </c>
      <c r="J59" s="80">
        <f t="shared" si="15"/>
        <v>2336395.5833333302</v>
      </c>
      <c r="K59" s="80">
        <v>1497762.5660000001</v>
      </c>
      <c r="L59" s="80">
        <f t="shared" si="15"/>
        <v>838633.01733333303</v>
      </c>
      <c r="M59" s="80">
        <f t="shared" si="15"/>
        <v>374335.04917333397</v>
      </c>
      <c r="N59" s="80">
        <v>244903.746005333</v>
      </c>
      <c r="O59" s="80">
        <f t="shared" si="15"/>
        <v>129431.303168</v>
      </c>
      <c r="P59" s="12"/>
    </row>
    <row r="60" spans="1:16" ht="20.100000000000001" customHeight="1">
      <c r="A60" s="9"/>
      <c r="B60" s="19"/>
      <c r="C60" s="20"/>
      <c r="D60" s="20"/>
      <c r="E60" s="134"/>
      <c r="F60" s="134"/>
      <c r="G60" s="202"/>
      <c r="H60" s="202"/>
      <c r="I60" s="134"/>
      <c r="J60" s="497"/>
      <c r="K60" s="497"/>
      <c r="L60" s="497"/>
      <c r="M60" s="498"/>
      <c r="N60" s="498"/>
      <c r="O60" s="498"/>
      <c r="P60" s="12"/>
    </row>
    <row r="61" spans="1:16" ht="20.100000000000001" customHeight="1">
      <c r="A61" s="9"/>
      <c r="B61" s="19" t="s">
        <v>60</v>
      </c>
      <c r="C61" s="20"/>
      <c r="D61" s="20"/>
      <c r="E61" s="134"/>
      <c r="F61" s="134"/>
      <c r="G61" s="202"/>
      <c r="H61" s="202"/>
      <c r="I61" s="134"/>
      <c r="J61" s="497"/>
      <c r="K61" s="497"/>
      <c r="L61" s="497"/>
      <c r="M61" s="498"/>
      <c r="N61" s="498"/>
      <c r="O61" s="498"/>
      <c r="P61" s="12"/>
    </row>
    <row r="62" spans="1:16" ht="20.100000000000001" customHeight="1">
      <c r="A62" s="9">
        <v>1</v>
      </c>
      <c r="B62" s="10" t="s">
        <v>431</v>
      </c>
      <c r="C62" s="16" t="s">
        <v>432</v>
      </c>
      <c r="D62" s="9" t="s">
        <v>405</v>
      </c>
      <c r="E62" s="72">
        <v>1435720</v>
      </c>
      <c r="F62" s="72"/>
      <c r="G62" s="202">
        <f>200000</f>
        <v>200000</v>
      </c>
      <c r="H62" s="202"/>
      <c r="I62" s="72">
        <v>0</v>
      </c>
      <c r="J62" s="490">
        <f>E62+F62+G62+H62+I62</f>
        <v>1635720</v>
      </c>
      <c r="K62" s="490">
        <v>1050209.0634999999</v>
      </c>
      <c r="L62" s="490">
        <f>J62-K62</f>
        <v>585510.93649999995</v>
      </c>
      <c r="M62" s="492">
        <v>292724.90666666703</v>
      </c>
      <c r="N62" s="491">
        <v>180306.806858667</v>
      </c>
      <c r="O62" s="492">
        <f t="shared" ref="O62:O71" si="16">M62-N62</f>
        <v>112418.099808</v>
      </c>
      <c r="P62" s="12"/>
    </row>
    <row r="63" spans="1:16" ht="20.100000000000001" customHeight="1">
      <c r="A63" s="9">
        <v>2</v>
      </c>
      <c r="B63" s="330" t="s">
        <v>433</v>
      </c>
      <c r="C63" s="16" t="s">
        <v>434</v>
      </c>
      <c r="D63" s="14" t="s">
        <v>435</v>
      </c>
      <c r="E63" s="72">
        <v>601396.83333333302</v>
      </c>
      <c r="F63" s="72"/>
      <c r="G63" s="202">
        <f>160000</f>
        <v>160000</v>
      </c>
      <c r="H63" s="202"/>
      <c r="I63" s="134">
        <v>0</v>
      </c>
      <c r="J63" s="490">
        <f t="shared" ref="J63:J71" si="17">E63+F63+G63+H63+I63</f>
        <v>761396.83333333302</v>
      </c>
      <c r="K63" s="490">
        <v>516137.05</v>
      </c>
      <c r="L63" s="490">
        <f t="shared" ref="L63:L71" si="18">J63-K63</f>
        <v>245259.78333333301</v>
      </c>
      <c r="M63" s="492">
        <v>115617.40330666699</v>
      </c>
      <c r="N63" s="491">
        <v>77764.980266666695</v>
      </c>
      <c r="O63" s="492">
        <f t="shared" si="16"/>
        <v>37852.4230400003</v>
      </c>
      <c r="P63" s="12"/>
    </row>
    <row r="64" spans="1:16" ht="20.100000000000001" customHeight="1">
      <c r="A64" s="9">
        <v>3</v>
      </c>
      <c r="B64" s="10" t="s">
        <v>436</v>
      </c>
      <c r="C64" s="3" t="s">
        <v>365</v>
      </c>
      <c r="D64" s="9" t="s">
        <v>369</v>
      </c>
      <c r="E64" s="72">
        <v>442746.5</v>
      </c>
      <c r="F64" s="72"/>
      <c r="G64" s="202">
        <v>140000</v>
      </c>
      <c r="H64" s="202"/>
      <c r="I64" s="72"/>
      <c r="J64" s="490">
        <f t="shared" si="17"/>
        <v>582746.5</v>
      </c>
      <c r="K64" s="490">
        <v>397211.36749999999</v>
      </c>
      <c r="L64" s="490">
        <f t="shared" si="18"/>
        <v>185535.13250000001</v>
      </c>
      <c r="M64" s="492">
        <v>83753.408426666603</v>
      </c>
      <c r="N64" s="491">
        <v>54931.249226666703</v>
      </c>
      <c r="O64" s="492">
        <f t="shared" si="16"/>
        <v>28822.1591999999</v>
      </c>
      <c r="P64" s="12"/>
    </row>
    <row r="65" spans="1:16" ht="20.100000000000001" customHeight="1">
      <c r="A65" s="9">
        <v>4</v>
      </c>
      <c r="B65" s="17" t="s">
        <v>437</v>
      </c>
      <c r="C65" s="16" t="s">
        <v>231</v>
      </c>
      <c r="D65" s="14" t="s">
        <v>375</v>
      </c>
      <c r="E65" s="72">
        <v>428915.91666666698</v>
      </c>
      <c r="F65" s="72"/>
      <c r="G65" s="202">
        <f t="shared" ref="G65" si="19">120000</f>
        <v>120000</v>
      </c>
      <c r="H65" s="202"/>
      <c r="I65" s="72">
        <v>0</v>
      </c>
      <c r="J65" s="490">
        <f t="shared" si="17"/>
        <v>548915.91666666698</v>
      </c>
      <c r="K65" s="490">
        <v>369177.65375</v>
      </c>
      <c r="L65" s="490">
        <f t="shared" si="18"/>
        <v>179738.26291666701</v>
      </c>
      <c r="M65" s="492">
        <v>77470.374186666697</v>
      </c>
      <c r="N65" s="491">
        <v>49548.776186666699</v>
      </c>
      <c r="O65" s="492">
        <f t="shared" si="16"/>
        <v>27921.598000000002</v>
      </c>
      <c r="P65" s="12"/>
    </row>
    <row r="66" spans="1:16" ht="20.100000000000001" customHeight="1">
      <c r="A66" s="9">
        <v>5</v>
      </c>
      <c r="B66" s="13" t="s">
        <v>438</v>
      </c>
      <c r="C66" s="16" t="s">
        <v>365</v>
      </c>
      <c r="D66" s="14" t="s">
        <v>363</v>
      </c>
      <c r="E66" s="72">
        <v>484373.75</v>
      </c>
      <c r="F66" s="72"/>
      <c r="G66" s="202">
        <f>140000</f>
        <v>140000</v>
      </c>
      <c r="H66" s="202"/>
      <c r="I66" s="72"/>
      <c r="J66" s="490">
        <f t="shared" si="17"/>
        <v>624373.75</v>
      </c>
      <c r="K66" s="490">
        <v>421394.00675</v>
      </c>
      <c r="L66" s="490">
        <f t="shared" si="18"/>
        <v>202979.74325</v>
      </c>
      <c r="M66" s="492">
        <v>91106.445866666705</v>
      </c>
      <c r="N66" s="491">
        <v>59574.315962666697</v>
      </c>
      <c r="O66" s="492">
        <f t="shared" si="16"/>
        <v>31532.129904000001</v>
      </c>
      <c r="P66" s="12"/>
    </row>
    <row r="67" spans="1:16" ht="20.100000000000001" customHeight="1">
      <c r="A67" s="9">
        <v>7</v>
      </c>
      <c r="B67" s="10" t="s">
        <v>439</v>
      </c>
      <c r="C67" s="3" t="s">
        <v>64</v>
      </c>
      <c r="D67" s="9" t="s">
        <v>440</v>
      </c>
      <c r="E67" s="72">
        <v>365703.83333333302</v>
      </c>
      <c r="F67" s="72"/>
      <c r="G67" s="202">
        <f>110000</f>
        <v>110000</v>
      </c>
      <c r="H67" s="202"/>
      <c r="I67" s="72">
        <v>0</v>
      </c>
      <c r="J67" s="490">
        <f t="shared" si="17"/>
        <v>475703.83333333302</v>
      </c>
      <c r="K67" s="490">
        <v>322454.07400000002</v>
      </c>
      <c r="L67" s="490">
        <f t="shared" si="18"/>
        <v>153249.759333333</v>
      </c>
      <c r="M67" s="492">
        <v>64384.591786666701</v>
      </c>
      <c r="N67" s="491">
        <v>41338.951098666701</v>
      </c>
      <c r="O67" s="492">
        <f t="shared" si="16"/>
        <v>23045.640687999999</v>
      </c>
      <c r="P67" s="12"/>
    </row>
    <row r="68" spans="1:16" ht="20.100000000000001" customHeight="1">
      <c r="A68" s="9">
        <v>8</v>
      </c>
      <c r="B68" s="10" t="s">
        <v>441</v>
      </c>
      <c r="C68" s="16" t="s">
        <v>34</v>
      </c>
      <c r="D68" s="9" t="s">
        <v>440</v>
      </c>
      <c r="E68" s="72">
        <v>365703.83333333302</v>
      </c>
      <c r="F68" s="72"/>
      <c r="G68" s="202">
        <f t="shared" ref="G68:G70" si="20">110000</f>
        <v>110000</v>
      </c>
      <c r="H68" s="202"/>
      <c r="I68" s="72">
        <v>0</v>
      </c>
      <c r="J68" s="490">
        <f t="shared" si="17"/>
        <v>475703.83333333302</v>
      </c>
      <c r="K68" s="490">
        <v>322454.07400000002</v>
      </c>
      <c r="L68" s="490">
        <f t="shared" si="18"/>
        <v>153249.759333333</v>
      </c>
      <c r="M68" s="492">
        <v>64384.591786666701</v>
      </c>
      <c r="N68" s="491">
        <v>41338.951098666701</v>
      </c>
      <c r="O68" s="492">
        <f t="shared" si="16"/>
        <v>23045.640687999999</v>
      </c>
      <c r="P68" s="12"/>
    </row>
    <row r="69" spans="1:16" ht="20.100000000000001" customHeight="1">
      <c r="A69" s="9">
        <v>9</v>
      </c>
      <c r="B69" s="10" t="s">
        <v>442</v>
      </c>
      <c r="C69" s="16" t="s">
        <v>34</v>
      </c>
      <c r="D69" s="9" t="s">
        <v>440</v>
      </c>
      <c r="E69" s="72">
        <v>365703.83333333302</v>
      </c>
      <c r="F69" s="72"/>
      <c r="G69" s="202">
        <f t="shared" si="20"/>
        <v>110000</v>
      </c>
      <c r="H69" s="202"/>
      <c r="I69" s="72">
        <v>0</v>
      </c>
      <c r="J69" s="490">
        <f t="shared" si="17"/>
        <v>475703.83333333302</v>
      </c>
      <c r="K69" s="490">
        <v>322454.07400000002</v>
      </c>
      <c r="L69" s="490">
        <f t="shared" si="18"/>
        <v>153249.759333333</v>
      </c>
      <c r="M69" s="492">
        <v>64384.591786666701</v>
      </c>
      <c r="N69" s="491">
        <v>41338.951098666701</v>
      </c>
      <c r="O69" s="492">
        <f t="shared" si="16"/>
        <v>23045.640687999999</v>
      </c>
      <c r="P69" s="12"/>
    </row>
    <row r="70" spans="1:16" ht="20.100000000000001" customHeight="1">
      <c r="A70" s="9">
        <v>10</v>
      </c>
      <c r="B70" s="10" t="s">
        <v>443</v>
      </c>
      <c r="C70" s="3" t="s">
        <v>444</v>
      </c>
      <c r="D70" s="9" t="s">
        <v>380</v>
      </c>
      <c r="E70" s="441">
        <v>377895.16666666698</v>
      </c>
      <c r="F70" s="72"/>
      <c r="G70" s="202">
        <f t="shared" si="20"/>
        <v>110000</v>
      </c>
      <c r="H70" s="202"/>
      <c r="I70" s="72"/>
      <c r="J70" s="490">
        <f t="shared" si="17"/>
        <v>487895.16666666698</v>
      </c>
      <c r="K70" s="490">
        <v>334536.99849999999</v>
      </c>
      <c r="L70" s="490">
        <f t="shared" si="18"/>
        <v>153358.16816666699</v>
      </c>
      <c r="M70" s="492">
        <v>66538.068906666696</v>
      </c>
      <c r="N70" s="491">
        <v>43368.882414666703</v>
      </c>
      <c r="O70" s="492">
        <f t="shared" si="16"/>
        <v>23169.186492000001</v>
      </c>
      <c r="P70" s="12"/>
    </row>
    <row r="71" spans="1:16" ht="21.6" customHeight="1">
      <c r="A71" s="9">
        <v>11</v>
      </c>
      <c r="B71" s="10" t="s">
        <v>445</v>
      </c>
      <c r="C71" s="3" t="s">
        <v>64</v>
      </c>
      <c r="D71" s="9" t="s">
        <v>409</v>
      </c>
      <c r="E71" s="202">
        <v>300965.58333333302</v>
      </c>
      <c r="F71" s="72"/>
      <c r="G71" s="202">
        <v>100000</v>
      </c>
      <c r="H71" s="202"/>
      <c r="I71" s="72"/>
      <c r="J71" s="490">
        <f t="shared" si="17"/>
        <v>400965.58333333302</v>
      </c>
      <c r="K71" s="490">
        <v>277734.04700000002</v>
      </c>
      <c r="L71" s="490">
        <f t="shared" si="18"/>
        <v>123231.536333333</v>
      </c>
      <c r="M71" s="492">
        <v>51029.227306666697</v>
      </c>
      <c r="N71" s="491">
        <v>33825.986562666702</v>
      </c>
      <c r="O71" s="492">
        <f t="shared" si="16"/>
        <v>17203.240743999999</v>
      </c>
    </row>
    <row r="72" spans="1:16" ht="27" customHeight="1">
      <c r="A72" s="9"/>
      <c r="B72" s="19" t="s">
        <v>42</v>
      </c>
      <c r="C72" s="20">
        <v>12</v>
      </c>
      <c r="D72" s="20"/>
      <c r="E72" s="80">
        <f>SUM(E62:E71)</f>
        <v>5169125.25</v>
      </c>
      <c r="F72" s="80">
        <f t="shared" ref="F72:O72" si="21">SUM(F62:F71)</f>
        <v>0</v>
      </c>
      <c r="G72" s="80">
        <f t="shared" si="21"/>
        <v>1300000</v>
      </c>
      <c r="H72" s="80">
        <f t="shared" si="21"/>
        <v>0</v>
      </c>
      <c r="I72" s="80">
        <f t="shared" si="21"/>
        <v>0</v>
      </c>
      <c r="J72" s="80">
        <f t="shared" si="21"/>
        <v>6469125.25</v>
      </c>
      <c r="K72" s="80">
        <v>4333762.409</v>
      </c>
      <c r="L72" s="80">
        <f t="shared" si="21"/>
        <v>2135362.841</v>
      </c>
      <c r="M72" s="80">
        <f t="shared" si="21"/>
        <v>971393.61002666701</v>
      </c>
      <c r="N72" s="80">
        <v>623337.85077466699</v>
      </c>
      <c r="O72" s="80">
        <f t="shared" si="21"/>
        <v>348055.75925200002</v>
      </c>
      <c r="P72" s="12"/>
    </row>
    <row r="73" spans="1:16" ht="20.100000000000001" customHeight="1">
      <c r="A73" s="9"/>
      <c r="B73" s="21"/>
      <c r="C73" s="20"/>
      <c r="D73" s="20"/>
      <c r="E73" s="134"/>
      <c r="F73" s="134"/>
      <c r="G73" s="202"/>
      <c r="H73" s="202"/>
      <c r="I73" s="134"/>
      <c r="J73" s="497"/>
      <c r="K73" s="497"/>
      <c r="L73" s="497"/>
      <c r="M73" s="498"/>
      <c r="N73" s="498"/>
      <c r="O73" s="498"/>
      <c r="P73" s="12"/>
    </row>
    <row r="74" spans="1:16" ht="20.100000000000001" customHeight="1">
      <c r="A74" s="9"/>
      <c r="B74" s="19" t="s">
        <v>65</v>
      </c>
      <c r="C74" s="20"/>
      <c r="D74" s="20"/>
      <c r="E74" s="134"/>
      <c r="F74" s="134"/>
      <c r="G74" s="202"/>
      <c r="H74" s="202"/>
      <c r="I74" s="134"/>
      <c r="J74" s="497"/>
      <c r="K74" s="497"/>
      <c r="L74" s="497"/>
      <c r="M74" s="498"/>
      <c r="N74" s="498"/>
      <c r="O74" s="498"/>
      <c r="P74" s="12"/>
    </row>
    <row r="75" spans="1:16" ht="20.100000000000001" customHeight="1">
      <c r="A75" s="9">
        <v>1</v>
      </c>
      <c r="B75" s="10" t="s">
        <v>446</v>
      </c>
      <c r="C75" s="3" t="s">
        <v>447</v>
      </c>
      <c r="D75" s="9" t="s">
        <v>405</v>
      </c>
      <c r="E75" s="72">
        <v>1435720</v>
      </c>
      <c r="F75" s="72"/>
      <c r="G75" s="202">
        <f>200000</f>
        <v>200000</v>
      </c>
      <c r="H75" s="202"/>
      <c r="I75" s="72">
        <v>0</v>
      </c>
      <c r="J75" s="490">
        <f>E75+F75+G75+H75+I75</f>
        <v>1635720</v>
      </c>
      <c r="K75" s="490">
        <v>1050209.0634999999</v>
      </c>
      <c r="L75" s="490">
        <f>J75-K75</f>
        <v>585510.93649999995</v>
      </c>
      <c r="M75" s="492">
        <v>270672.24746666697</v>
      </c>
      <c r="N75" s="491">
        <v>180306.806858667</v>
      </c>
      <c r="O75" s="492">
        <f t="shared" ref="O75:O81" si="22">M75-N75</f>
        <v>90365.440608000004</v>
      </c>
      <c r="P75" s="12"/>
    </row>
    <row r="76" spans="1:16" ht="20.100000000000001" customHeight="1">
      <c r="A76" s="9">
        <v>2</v>
      </c>
      <c r="B76" s="13" t="s">
        <v>331</v>
      </c>
      <c r="C76" s="3" t="s">
        <v>76</v>
      </c>
      <c r="D76" s="14" t="s">
        <v>332</v>
      </c>
      <c r="E76" s="72">
        <v>601396.83333333302</v>
      </c>
      <c r="F76" s="72"/>
      <c r="G76" s="202">
        <f>160000</f>
        <v>160000</v>
      </c>
      <c r="H76" s="202"/>
      <c r="I76" s="134">
        <v>0</v>
      </c>
      <c r="J76" s="490">
        <f t="shared" ref="J76:J81" si="23">E76+F76+G76+H76+I76</f>
        <v>761396.83333333302</v>
      </c>
      <c r="K76" s="490">
        <v>516137.05</v>
      </c>
      <c r="L76" s="490">
        <f t="shared" ref="L76:L81" si="24">J76-K76</f>
        <v>245259.78333333301</v>
      </c>
      <c r="M76" s="492">
        <v>124854.858666667</v>
      </c>
      <c r="N76" s="491">
        <v>77764.980266666695</v>
      </c>
      <c r="O76" s="492">
        <f t="shared" si="22"/>
        <v>47089.8784000003</v>
      </c>
      <c r="P76" s="12"/>
    </row>
    <row r="77" spans="1:16" ht="20.100000000000001" customHeight="1">
      <c r="A77" s="9">
        <v>3</v>
      </c>
      <c r="B77" s="17" t="s">
        <v>333</v>
      </c>
      <c r="C77" s="11" t="s">
        <v>334</v>
      </c>
      <c r="D77" s="9" t="s">
        <v>335</v>
      </c>
      <c r="E77" s="72">
        <v>620675.58333333302</v>
      </c>
      <c r="F77" s="72"/>
      <c r="G77" s="202">
        <v>0</v>
      </c>
      <c r="H77" s="202">
        <v>80000</v>
      </c>
      <c r="I77" s="134">
        <v>0</v>
      </c>
      <c r="J77" s="490">
        <f t="shared" si="23"/>
        <v>700675.58333333302</v>
      </c>
      <c r="K77" s="490">
        <v>447553.5025</v>
      </c>
      <c r="L77" s="490">
        <f t="shared" si="24"/>
        <v>253122.08083333299</v>
      </c>
      <c r="M77" s="492">
        <v>113196.37866666701</v>
      </c>
      <c r="N77" s="491">
        <v>64596.9391466667</v>
      </c>
      <c r="O77" s="492">
        <f t="shared" si="22"/>
        <v>48599.439520000298</v>
      </c>
      <c r="P77" s="12"/>
    </row>
    <row r="78" spans="1:16" ht="20.100000000000001" customHeight="1">
      <c r="A78" s="9">
        <v>4</v>
      </c>
      <c r="B78" s="10" t="s">
        <v>448</v>
      </c>
      <c r="C78" s="3" t="s">
        <v>449</v>
      </c>
      <c r="D78" s="14" t="s">
        <v>450</v>
      </c>
      <c r="E78" s="72">
        <v>456622.25</v>
      </c>
      <c r="F78" s="72"/>
      <c r="G78" s="202">
        <f>140000</f>
        <v>140000</v>
      </c>
      <c r="H78" s="202"/>
      <c r="I78" s="72">
        <v>0</v>
      </c>
      <c r="J78" s="490">
        <f t="shared" si="23"/>
        <v>596622.25</v>
      </c>
      <c r="K78" s="490">
        <v>405272.06374999997</v>
      </c>
      <c r="L78" s="490">
        <f t="shared" si="24"/>
        <v>191350.18625</v>
      </c>
      <c r="M78" s="492">
        <v>86076.104186666693</v>
      </c>
      <c r="N78" s="491">
        <v>56350.586186666696</v>
      </c>
      <c r="O78" s="492">
        <f t="shared" si="22"/>
        <v>29725.518</v>
      </c>
      <c r="P78" s="12"/>
    </row>
    <row r="79" spans="1:16" ht="20.100000000000001" customHeight="1">
      <c r="A79" s="9">
        <v>5</v>
      </c>
      <c r="B79" s="10" t="s">
        <v>451</v>
      </c>
      <c r="C79" s="3" t="s">
        <v>452</v>
      </c>
      <c r="D79" s="9" t="s">
        <v>453</v>
      </c>
      <c r="E79" s="72">
        <v>308901.5</v>
      </c>
      <c r="F79" s="72"/>
      <c r="G79" s="202">
        <f>100000</f>
        <v>100000</v>
      </c>
      <c r="H79" s="202"/>
      <c r="I79" s="72"/>
      <c r="J79" s="490">
        <f t="shared" si="23"/>
        <v>408901.5</v>
      </c>
      <c r="K79" s="490">
        <v>273169.11749999999</v>
      </c>
      <c r="L79" s="490">
        <f t="shared" si="24"/>
        <v>135732.38250000001</v>
      </c>
      <c r="M79" s="492">
        <v>52431.027626666699</v>
      </c>
      <c r="N79" s="491">
        <v>33059.078406666697</v>
      </c>
      <c r="O79" s="492">
        <f t="shared" si="22"/>
        <v>19371.949219999999</v>
      </c>
      <c r="P79" s="12"/>
    </row>
    <row r="80" spans="1:16" ht="20.100000000000001" customHeight="1">
      <c r="A80" s="9">
        <v>6</v>
      </c>
      <c r="B80" s="10" t="s">
        <v>454</v>
      </c>
      <c r="C80" s="3" t="s">
        <v>452</v>
      </c>
      <c r="D80" s="9" t="s">
        <v>391</v>
      </c>
      <c r="E80" s="72">
        <v>263165.33333333302</v>
      </c>
      <c r="F80" s="72"/>
      <c r="G80" s="202">
        <v>100000</v>
      </c>
      <c r="H80" s="202"/>
      <c r="I80" s="72"/>
      <c r="J80" s="490">
        <f t="shared" si="23"/>
        <v>363165.33333333302</v>
      </c>
      <c r="K80" s="490">
        <v>249356.04725</v>
      </c>
      <c r="L80" s="490">
        <f t="shared" si="24"/>
        <v>113809.28608333301</v>
      </c>
      <c r="M80" s="492">
        <v>44641.500586666698</v>
      </c>
      <c r="N80" s="491">
        <v>29058.4826046667</v>
      </c>
      <c r="O80" s="492">
        <f t="shared" si="22"/>
        <v>15583.017981999999</v>
      </c>
      <c r="P80" s="12"/>
    </row>
    <row r="81" spans="1:16" ht="20.100000000000001" customHeight="1">
      <c r="A81" s="9">
        <v>7</v>
      </c>
      <c r="B81" s="10" t="s">
        <v>455</v>
      </c>
      <c r="C81" s="3" t="s">
        <v>456</v>
      </c>
      <c r="D81" s="9" t="s">
        <v>402</v>
      </c>
      <c r="E81" s="72">
        <v>224459.75</v>
      </c>
      <c r="F81" s="72"/>
      <c r="G81" s="202">
        <v>100000</v>
      </c>
      <c r="H81" s="202">
        <v>0</v>
      </c>
      <c r="I81" s="72"/>
      <c r="J81" s="490">
        <f t="shared" si="23"/>
        <v>324459.75</v>
      </c>
      <c r="K81" s="490">
        <v>223717.28450000001</v>
      </c>
      <c r="L81" s="490">
        <f t="shared" si="24"/>
        <v>100742.46550000001</v>
      </c>
      <c r="M81" s="492">
        <v>38659.165626666698</v>
      </c>
      <c r="N81" s="491">
        <v>24751.170462666701</v>
      </c>
      <c r="O81" s="492">
        <f t="shared" si="22"/>
        <v>13907.995164</v>
      </c>
      <c r="P81" s="12"/>
    </row>
    <row r="82" spans="1:16" ht="20.100000000000001" customHeight="1">
      <c r="A82" s="9"/>
      <c r="B82" s="19" t="s">
        <v>42</v>
      </c>
      <c r="C82" s="20">
        <v>7</v>
      </c>
      <c r="D82" s="20"/>
      <c r="E82" s="80">
        <f>SUM(E75:E81)</f>
        <v>3910941.25</v>
      </c>
      <c r="F82" s="80">
        <f t="shared" ref="F82:O82" si="25">SUM(F75:F81)</f>
        <v>0</v>
      </c>
      <c r="G82" s="80">
        <f t="shared" si="25"/>
        <v>800000</v>
      </c>
      <c r="H82" s="80">
        <f t="shared" si="25"/>
        <v>80000</v>
      </c>
      <c r="I82" s="80">
        <f t="shared" si="25"/>
        <v>0</v>
      </c>
      <c r="J82" s="80">
        <f t="shared" si="25"/>
        <v>4790941.25</v>
      </c>
      <c r="K82" s="80">
        <v>3165414.1290000002</v>
      </c>
      <c r="L82" s="80">
        <f t="shared" si="25"/>
        <v>1625527.121</v>
      </c>
      <c r="M82" s="80">
        <f t="shared" si="25"/>
        <v>730531.282826668</v>
      </c>
      <c r="N82" s="80">
        <v>465888.043932667</v>
      </c>
      <c r="O82" s="80">
        <f t="shared" si="25"/>
        <v>264643.238894001</v>
      </c>
      <c r="P82" s="12"/>
    </row>
    <row r="83" spans="1:16" ht="20.100000000000001" customHeight="1">
      <c r="A83" s="9"/>
      <c r="B83" s="19"/>
      <c r="C83" s="20"/>
      <c r="D83" s="20"/>
      <c r="E83" s="134"/>
      <c r="F83" s="134"/>
      <c r="G83" s="202"/>
      <c r="H83" s="202"/>
      <c r="I83" s="134"/>
      <c r="J83" s="497"/>
      <c r="K83" s="497"/>
      <c r="L83" s="497"/>
      <c r="M83" s="498"/>
      <c r="N83" s="498"/>
      <c r="O83" s="498"/>
      <c r="P83" s="12"/>
    </row>
    <row r="84" spans="1:16" ht="20.100000000000001" customHeight="1">
      <c r="A84" s="9"/>
      <c r="B84" s="19" t="s">
        <v>74</v>
      </c>
      <c r="C84" s="24"/>
      <c r="D84" s="20"/>
      <c r="E84" s="134"/>
      <c r="F84" s="134"/>
      <c r="G84" s="202"/>
      <c r="H84" s="202"/>
      <c r="I84" s="134"/>
      <c r="J84" s="497"/>
      <c r="K84" s="497"/>
      <c r="L84" s="497"/>
      <c r="M84" s="498"/>
      <c r="N84" s="498"/>
      <c r="O84" s="498"/>
      <c r="P84" s="12"/>
    </row>
    <row r="85" spans="1:16" ht="20.100000000000001" customHeight="1">
      <c r="A85" s="9">
        <v>1</v>
      </c>
      <c r="B85" s="10" t="s">
        <v>457</v>
      </c>
      <c r="C85" s="3" t="s">
        <v>418</v>
      </c>
      <c r="D85" s="9" t="s">
        <v>358</v>
      </c>
      <c r="E85" s="72">
        <v>620675.58333333302</v>
      </c>
      <c r="F85" s="72"/>
      <c r="G85" s="202">
        <f>160000</f>
        <v>160000</v>
      </c>
      <c r="H85" s="202"/>
      <c r="I85" s="72">
        <v>100000</v>
      </c>
      <c r="J85" s="490">
        <f>E85+F85+G85+H85+I85</f>
        <v>880675.58333333302</v>
      </c>
      <c r="K85" s="490">
        <v>627553.50249999994</v>
      </c>
      <c r="L85" s="490">
        <f>J85-K85</f>
        <v>253122.08083333299</v>
      </c>
      <c r="M85" s="492">
        <v>138222.801706667</v>
      </c>
      <c r="N85" s="491">
        <v>99156.9391466667</v>
      </c>
      <c r="O85" s="492">
        <f t="shared" ref="O85:O94" si="26">M85-N85</f>
        <v>39065.8625600003</v>
      </c>
      <c r="P85" s="12"/>
    </row>
    <row r="86" spans="1:16" ht="20.100000000000001" customHeight="1">
      <c r="A86" s="9">
        <v>2</v>
      </c>
      <c r="B86" s="10" t="s">
        <v>458</v>
      </c>
      <c r="C86" s="3" t="s">
        <v>418</v>
      </c>
      <c r="D86" s="9" t="s">
        <v>358</v>
      </c>
      <c r="E86" s="72">
        <v>620675.58333333302</v>
      </c>
      <c r="F86" s="72"/>
      <c r="G86" s="202">
        <f>160000</f>
        <v>160000</v>
      </c>
      <c r="H86" s="202"/>
      <c r="I86" s="72"/>
      <c r="J86" s="490">
        <f t="shared" ref="J86:J94" si="27">E86+F86+G86+H86+I86</f>
        <v>780675.58333333302</v>
      </c>
      <c r="K86" s="490">
        <v>527553.50249999994</v>
      </c>
      <c r="L86" s="490">
        <f t="shared" ref="L86:L94" si="28">J86-K86</f>
        <v>253122.08083333299</v>
      </c>
      <c r="M86" s="492">
        <v>118861.965706667</v>
      </c>
      <c r="N86" s="491">
        <v>79796.103146666603</v>
      </c>
      <c r="O86" s="492">
        <f t="shared" si="26"/>
        <v>39065.862560000402</v>
      </c>
      <c r="P86" s="12"/>
    </row>
    <row r="87" spans="1:16" ht="20.100000000000001" customHeight="1">
      <c r="A87" s="9">
        <v>3</v>
      </c>
      <c r="B87" s="10" t="s">
        <v>459</v>
      </c>
      <c r="C87" s="3" t="s">
        <v>418</v>
      </c>
      <c r="D87" s="9" t="s">
        <v>99</v>
      </c>
      <c r="E87" s="72">
        <v>582118.08333333302</v>
      </c>
      <c r="F87" s="72"/>
      <c r="G87" s="202">
        <v>160000</v>
      </c>
      <c r="H87" s="202"/>
      <c r="I87" s="72"/>
      <c r="J87" s="490">
        <f t="shared" si="27"/>
        <v>742118.08333333302</v>
      </c>
      <c r="K87" s="490">
        <v>504729.22200000001</v>
      </c>
      <c r="L87" s="490">
        <f t="shared" si="28"/>
        <v>237388.86133333301</v>
      </c>
      <c r="M87" s="492">
        <v>112212.004906667</v>
      </c>
      <c r="N87" s="491">
        <v>75574.677290666703</v>
      </c>
      <c r="O87" s="492">
        <f t="shared" si="26"/>
        <v>36637.327616000301</v>
      </c>
      <c r="P87" s="12"/>
    </row>
    <row r="88" spans="1:16" ht="21.6" customHeight="1">
      <c r="A88" s="9">
        <v>4</v>
      </c>
      <c r="B88" s="10" t="s">
        <v>460</v>
      </c>
      <c r="C88" s="3" t="s">
        <v>461</v>
      </c>
      <c r="D88" s="14" t="s">
        <v>372</v>
      </c>
      <c r="E88" s="72">
        <v>441804.91666666698</v>
      </c>
      <c r="F88" s="72"/>
      <c r="G88" s="202">
        <f>120000</f>
        <v>120000</v>
      </c>
      <c r="H88" s="202"/>
      <c r="I88" s="72">
        <v>0</v>
      </c>
      <c r="J88" s="490">
        <f t="shared" si="27"/>
        <v>561804.91666666698</v>
      </c>
      <c r="K88" s="490">
        <v>376663.07750000001</v>
      </c>
      <c r="L88" s="490">
        <f t="shared" si="28"/>
        <v>185141.83916666699</v>
      </c>
      <c r="M88" s="492">
        <v>79747.087146666701</v>
      </c>
      <c r="N88" s="491">
        <v>50985.977546666698</v>
      </c>
      <c r="O88" s="492">
        <f t="shared" si="26"/>
        <v>28761.1096</v>
      </c>
      <c r="P88" s="12"/>
    </row>
    <row r="89" spans="1:16" ht="21.6" customHeight="1">
      <c r="A89" s="9">
        <v>5</v>
      </c>
      <c r="B89" s="10" t="s">
        <v>462</v>
      </c>
      <c r="C89" s="11" t="s">
        <v>231</v>
      </c>
      <c r="D89" s="14" t="s">
        <v>375</v>
      </c>
      <c r="E89" s="72">
        <v>428915.91666666698</v>
      </c>
      <c r="F89" s="72"/>
      <c r="G89" s="202">
        <f t="shared" ref="G89" si="29">120000</f>
        <v>120000</v>
      </c>
      <c r="H89" s="202"/>
      <c r="I89" s="72">
        <v>0</v>
      </c>
      <c r="J89" s="490">
        <f t="shared" si="27"/>
        <v>548915.91666666698</v>
      </c>
      <c r="K89" s="490">
        <v>369177.65375</v>
      </c>
      <c r="L89" s="490">
        <f t="shared" si="28"/>
        <v>179738.26291666701</v>
      </c>
      <c r="M89" s="492">
        <v>77470.374186666697</v>
      </c>
      <c r="N89" s="491">
        <v>49548.776186666699</v>
      </c>
      <c r="O89" s="492">
        <f t="shared" si="26"/>
        <v>27921.598000000002</v>
      </c>
      <c r="P89" s="12"/>
    </row>
    <row r="90" spans="1:16" ht="21.6" customHeight="1">
      <c r="A90" s="9">
        <v>6</v>
      </c>
      <c r="B90" s="10" t="s">
        <v>463</v>
      </c>
      <c r="C90" s="11" t="s">
        <v>365</v>
      </c>
      <c r="D90" s="14" t="s">
        <v>29</v>
      </c>
      <c r="E90" s="72">
        <v>428870.75</v>
      </c>
      <c r="F90" s="72"/>
      <c r="G90" s="202">
        <f>140000</f>
        <v>140000</v>
      </c>
      <c r="H90" s="202"/>
      <c r="I90" s="72">
        <v>0</v>
      </c>
      <c r="J90" s="490">
        <f t="shared" si="27"/>
        <v>568870.75</v>
      </c>
      <c r="K90" s="490">
        <v>389153.05674999999</v>
      </c>
      <c r="L90" s="490">
        <f t="shared" si="28"/>
        <v>179717.69325000001</v>
      </c>
      <c r="M90" s="492">
        <v>81302.3959466667</v>
      </c>
      <c r="N90" s="491">
        <v>53384.053562666697</v>
      </c>
      <c r="O90" s="492">
        <f t="shared" si="26"/>
        <v>27918.342384</v>
      </c>
      <c r="P90" s="12"/>
    </row>
    <row r="91" spans="1:16" ht="21.6" customHeight="1">
      <c r="A91" s="9">
        <v>7</v>
      </c>
      <c r="B91" s="10" t="s">
        <v>464</v>
      </c>
      <c r="C91" s="16" t="s">
        <v>34</v>
      </c>
      <c r="D91" s="14" t="s">
        <v>440</v>
      </c>
      <c r="E91" s="72">
        <v>365703.83333333302</v>
      </c>
      <c r="F91" s="72"/>
      <c r="G91" s="202">
        <f t="shared" ref="G91" si="30">110000</f>
        <v>110000</v>
      </c>
      <c r="H91" s="202"/>
      <c r="I91" s="72">
        <v>0</v>
      </c>
      <c r="J91" s="490">
        <f t="shared" si="27"/>
        <v>475703.83333333302</v>
      </c>
      <c r="K91" s="490">
        <v>322454.07400000002</v>
      </c>
      <c r="L91" s="490">
        <f t="shared" si="28"/>
        <v>153249.759333333</v>
      </c>
      <c r="M91" s="492">
        <v>64384.591786666701</v>
      </c>
      <c r="N91" s="491">
        <v>41338.951098666701</v>
      </c>
      <c r="O91" s="492">
        <f t="shared" si="26"/>
        <v>23045.640687999999</v>
      </c>
      <c r="P91" s="12"/>
    </row>
    <row r="92" spans="1:16" ht="21.6" customHeight="1">
      <c r="A92" s="9">
        <v>8</v>
      </c>
      <c r="B92" s="10" t="s">
        <v>465</v>
      </c>
      <c r="C92" s="16" t="s">
        <v>231</v>
      </c>
      <c r="D92" s="14" t="s">
        <v>81</v>
      </c>
      <c r="E92" s="72">
        <v>390248.91666666698</v>
      </c>
      <c r="F92" s="72"/>
      <c r="G92" s="202">
        <v>120000</v>
      </c>
      <c r="H92" s="202"/>
      <c r="I92" s="72">
        <v>0</v>
      </c>
      <c r="J92" s="490">
        <f t="shared" si="27"/>
        <v>510248.91666666698</v>
      </c>
      <c r="K92" s="490">
        <v>346713.03324999998</v>
      </c>
      <c r="L92" s="490">
        <f t="shared" si="28"/>
        <v>163535.883416667</v>
      </c>
      <c r="M92" s="492">
        <v>70529.475354666705</v>
      </c>
      <c r="N92" s="491">
        <v>45317.541294666698</v>
      </c>
      <c r="O92" s="492">
        <f t="shared" si="26"/>
        <v>25211.93406</v>
      </c>
      <c r="P92" s="12"/>
    </row>
    <row r="93" spans="1:16" ht="21.6" customHeight="1">
      <c r="A93" s="9">
        <v>9</v>
      </c>
      <c r="B93" s="10" t="s">
        <v>466</v>
      </c>
      <c r="C93" s="3" t="s">
        <v>467</v>
      </c>
      <c r="D93" s="9" t="s">
        <v>409</v>
      </c>
      <c r="E93" s="202">
        <v>300965.58333333302</v>
      </c>
      <c r="F93" s="72"/>
      <c r="G93" s="202">
        <v>100000</v>
      </c>
      <c r="H93" s="202"/>
      <c r="I93" s="72"/>
      <c r="J93" s="490">
        <f t="shared" si="27"/>
        <v>400965.58333333302</v>
      </c>
      <c r="K93" s="490">
        <v>277734.04700000002</v>
      </c>
      <c r="L93" s="490">
        <f t="shared" si="28"/>
        <v>123231.536333333</v>
      </c>
      <c r="M93" s="492">
        <v>51029.227306666697</v>
      </c>
      <c r="N93" s="491">
        <v>33825.986562666702</v>
      </c>
      <c r="O93" s="492">
        <f t="shared" si="26"/>
        <v>17203.240743999999</v>
      </c>
      <c r="P93" s="12"/>
    </row>
    <row r="94" spans="1:16" ht="21.6" customHeight="1">
      <c r="A94" s="9">
        <v>10</v>
      </c>
      <c r="B94" s="10" t="s">
        <v>468</v>
      </c>
      <c r="C94" s="16" t="s">
        <v>469</v>
      </c>
      <c r="D94" s="14" t="s">
        <v>399</v>
      </c>
      <c r="E94" s="202">
        <v>230631.91666666701</v>
      </c>
      <c r="F94" s="72"/>
      <c r="G94" s="202">
        <f t="shared" ref="G94" si="31">100000</f>
        <v>100000</v>
      </c>
      <c r="H94" s="202"/>
      <c r="I94" s="72"/>
      <c r="J94" s="490">
        <f t="shared" si="27"/>
        <v>330631.91666666698</v>
      </c>
      <c r="K94" s="490">
        <v>254870.26344499999</v>
      </c>
      <c r="L94" s="490">
        <f t="shared" si="28"/>
        <v>75761.653221667002</v>
      </c>
      <c r="M94" s="492">
        <v>39613.135706666697</v>
      </c>
      <c r="N94" s="491">
        <v>29984.870925426701</v>
      </c>
      <c r="O94" s="492">
        <f t="shared" si="26"/>
        <v>9628.2647812399991</v>
      </c>
      <c r="P94" s="12"/>
    </row>
    <row r="95" spans="1:16" ht="20.100000000000001" customHeight="1">
      <c r="A95" s="9"/>
      <c r="B95" s="19" t="s">
        <v>42</v>
      </c>
      <c r="C95" s="20">
        <v>11</v>
      </c>
      <c r="D95" s="20"/>
      <c r="E95" s="80">
        <f>SUM(E85:E94)</f>
        <v>4410611.0833333302</v>
      </c>
      <c r="F95" s="80">
        <f t="shared" ref="F95:O95" si="32">SUM(F85:F94)</f>
        <v>0</v>
      </c>
      <c r="G95" s="80">
        <f t="shared" si="32"/>
        <v>1290000</v>
      </c>
      <c r="H95" s="80">
        <f t="shared" si="32"/>
        <v>0</v>
      </c>
      <c r="I95" s="80">
        <f t="shared" si="32"/>
        <v>100000</v>
      </c>
      <c r="J95" s="80">
        <f t="shared" si="32"/>
        <v>5800611.0833333302</v>
      </c>
      <c r="K95" s="80">
        <v>3996601.432695</v>
      </c>
      <c r="L95" s="80">
        <f t="shared" si="32"/>
        <v>1804009.65063833</v>
      </c>
      <c r="M95" s="80">
        <f t="shared" si="32"/>
        <v>833373.05975466804</v>
      </c>
      <c r="N95" s="80">
        <v>558913.87676142703</v>
      </c>
      <c r="O95" s="80">
        <f t="shared" si="32"/>
        <v>274459.182993241</v>
      </c>
      <c r="P95" s="12"/>
    </row>
    <row r="96" spans="1:16" ht="20.100000000000001" customHeight="1">
      <c r="A96" s="9"/>
      <c r="B96" s="21"/>
      <c r="C96" s="20"/>
      <c r="D96" s="20"/>
      <c r="E96" s="134"/>
      <c r="F96" s="134"/>
      <c r="G96" s="202"/>
      <c r="H96" s="202"/>
      <c r="I96" s="134"/>
      <c r="J96" s="497"/>
      <c r="K96" s="497"/>
      <c r="L96" s="497"/>
      <c r="M96" s="498"/>
      <c r="N96" s="498"/>
      <c r="O96" s="498"/>
      <c r="P96" s="12"/>
    </row>
    <row r="97" spans="1:16" ht="20.100000000000001" customHeight="1">
      <c r="A97" s="9"/>
      <c r="B97" s="19" t="s">
        <v>84</v>
      </c>
      <c r="C97" s="20"/>
      <c r="D97" s="20"/>
      <c r="E97" s="134"/>
      <c r="F97" s="134"/>
      <c r="G97" s="202"/>
      <c r="H97" s="202"/>
      <c r="I97" s="134"/>
      <c r="J97" s="497"/>
      <c r="K97" s="497"/>
      <c r="L97" s="497"/>
      <c r="M97" s="498"/>
      <c r="N97" s="498"/>
      <c r="O97" s="498"/>
      <c r="P97" s="12"/>
    </row>
    <row r="98" spans="1:16" ht="20.100000000000001" customHeight="1">
      <c r="A98" s="9">
        <v>1</v>
      </c>
      <c r="B98" s="13" t="s">
        <v>470</v>
      </c>
      <c r="C98" s="3" t="s">
        <v>471</v>
      </c>
      <c r="D98" s="15" t="s">
        <v>340</v>
      </c>
      <c r="E98" s="72">
        <v>762373.16666666698</v>
      </c>
      <c r="F98" s="72"/>
      <c r="G98" s="202"/>
      <c r="H98" s="202">
        <f>80000+10000</f>
        <v>90000</v>
      </c>
      <c r="I98" s="72"/>
      <c r="J98" s="490">
        <f>E98+F98+G98+H98+I98</f>
        <v>852373.16666666698</v>
      </c>
      <c r="K98" s="490">
        <v>541465.02474999998</v>
      </c>
      <c r="L98" s="490">
        <f>J98-K98</f>
        <v>310908.14191666699</v>
      </c>
      <c r="M98" s="500">
        <v>130407.52761066701</v>
      </c>
      <c r="N98" s="491">
        <v>82423.216202666707</v>
      </c>
      <c r="O98" s="500">
        <f>M98-N98</f>
        <v>47984.3114080003</v>
      </c>
      <c r="P98" s="12"/>
    </row>
    <row r="99" spans="1:16" ht="20.100000000000001" customHeight="1">
      <c r="A99" s="9">
        <v>2</v>
      </c>
      <c r="B99" s="10" t="s">
        <v>473</v>
      </c>
      <c r="C99" s="3" t="s">
        <v>474</v>
      </c>
      <c r="D99" s="14" t="s">
        <v>450</v>
      </c>
      <c r="E99" s="72">
        <v>456622.25</v>
      </c>
      <c r="F99" s="72"/>
      <c r="G99" s="202"/>
      <c r="H99" s="202">
        <v>70000</v>
      </c>
      <c r="I99" s="72">
        <v>0</v>
      </c>
      <c r="J99" s="490">
        <f t="shared" ref="J99:J101" si="33">E99+F99+G99+H99+I99</f>
        <v>526622.25</v>
      </c>
      <c r="K99" s="490">
        <v>335272.06374999997</v>
      </c>
      <c r="L99" s="490">
        <f t="shared" ref="L99:L101" si="34">J99-K99</f>
        <v>191350.18625</v>
      </c>
      <c r="M99" s="500">
        <v>72764.420906666695</v>
      </c>
      <c r="N99" s="491">
        <v>43492.373376666699</v>
      </c>
      <c r="O99" s="500">
        <f>M99-N99</f>
        <v>29272.04753</v>
      </c>
      <c r="P99" s="12"/>
    </row>
    <row r="100" spans="1:16" ht="20.100000000000001" customHeight="1">
      <c r="A100" s="9">
        <v>3</v>
      </c>
      <c r="B100" s="10" t="s">
        <v>475</v>
      </c>
      <c r="C100" s="3" t="s">
        <v>476</v>
      </c>
      <c r="D100" s="14" t="s">
        <v>380</v>
      </c>
      <c r="E100" s="72">
        <v>377895.16666666698</v>
      </c>
      <c r="F100" s="72"/>
      <c r="G100" s="202"/>
      <c r="H100" s="202">
        <f>60000</f>
        <v>60000</v>
      </c>
      <c r="I100" s="72"/>
      <c r="J100" s="490">
        <f t="shared" si="33"/>
        <v>437895.16666666698</v>
      </c>
      <c r="K100" s="490">
        <v>284536.99849999999</v>
      </c>
      <c r="L100" s="490">
        <f t="shared" si="34"/>
        <v>153358.16816666699</v>
      </c>
      <c r="M100" s="500">
        <v>56938.068906666696</v>
      </c>
      <c r="N100" s="491">
        <v>34968.882414666703</v>
      </c>
      <c r="O100" s="500">
        <f>M100-N100</f>
        <v>21969.186492000001</v>
      </c>
      <c r="P100" s="12"/>
    </row>
    <row r="101" spans="1:16" ht="20.100000000000001" customHeight="1">
      <c r="A101" s="9">
        <v>4</v>
      </c>
      <c r="B101" s="10" t="s">
        <v>477</v>
      </c>
      <c r="C101" s="3" t="s">
        <v>478</v>
      </c>
      <c r="D101" s="14" t="s">
        <v>409</v>
      </c>
      <c r="E101" s="202">
        <v>300965.58333333302</v>
      </c>
      <c r="F101" s="72"/>
      <c r="G101" s="202"/>
      <c r="H101" s="202">
        <f>60000</f>
        <v>60000</v>
      </c>
      <c r="I101" s="72"/>
      <c r="J101" s="490">
        <f t="shared" si="33"/>
        <v>360965.58333333302</v>
      </c>
      <c r="K101" s="490">
        <v>237734.04699999999</v>
      </c>
      <c r="L101" s="490">
        <f t="shared" si="34"/>
        <v>123231.536333333</v>
      </c>
      <c r="M101" s="500">
        <v>43763.907226666699</v>
      </c>
      <c r="N101" s="491">
        <v>27105.986562666702</v>
      </c>
      <c r="O101" s="500">
        <f>M101-N101</f>
        <v>16657.920664000001</v>
      </c>
      <c r="P101" s="12"/>
    </row>
    <row r="102" spans="1:16" ht="20.100000000000001" customHeight="1">
      <c r="A102" s="3"/>
      <c r="B102" s="19" t="s">
        <v>42</v>
      </c>
      <c r="C102" s="20">
        <v>4</v>
      </c>
      <c r="D102" s="25"/>
      <c r="E102" s="80">
        <f>SUM(E98:E101)</f>
        <v>1897856.16666667</v>
      </c>
      <c r="F102" s="80">
        <f t="shared" ref="F102:O102" si="35">SUM(F98:F101)</f>
        <v>0</v>
      </c>
      <c r="G102" s="80">
        <f t="shared" si="35"/>
        <v>0</v>
      </c>
      <c r="H102" s="80">
        <f t="shared" si="35"/>
        <v>280000</v>
      </c>
      <c r="I102" s="80">
        <f t="shared" si="35"/>
        <v>0</v>
      </c>
      <c r="J102" s="80">
        <f t="shared" si="35"/>
        <v>2177856.1666666698</v>
      </c>
      <c r="K102" s="80">
        <v>1399008.1340000001</v>
      </c>
      <c r="L102" s="80">
        <f t="shared" si="35"/>
        <v>778848.03266666702</v>
      </c>
      <c r="M102" s="80">
        <f t="shared" si="35"/>
        <v>303873.924650667</v>
      </c>
      <c r="N102" s="80">
        <v>187990.458556667</v>
      </c>
      <c r="O102" s="80">
        <f t="shared" si="35"/>
        <v>115883.466094</v>
      </c>
      <c r="P102" s="12"/>
    </row>
    <row r="103" spans="1:16" ht="20.100000000000001" customHeight="1">
      <c r="A103" s="3"/>
      <c r="B103" s="21"/>
      <c r="C103" s="20"/>
      <c r="D103" s="25"/>
      <c r="E103" s="134"/>
      <c r="F103" s="134"/>
      <c r="G103" s="202"/>
      <c r="H103" s="202"/>
      <c r="I103" s="134"/>
      <c r="J103" s="497"/>
      <c r="K103" s="497"/>
      <c r="L103" s="497"/>
      <c r="M103" s="498"/>
      <c r="N103" s="498"/>
      <c r="O103" s="498"/>
      <c r="P103" s="12"/>
    </row>
    <row r="104" spans="1:16" ht="20.100000000000001" customHeight="1">
      <c r="A104" s="3"/>
      <c r="B104" s="19" t="s">
        <v>479</v>
      </c>
      <c r="C104" s="3"/>
      <c r="D104" s="3"/>
      <c r="E104" s="3"/>
      <c r="F104" s="3"/>
      <c r="G104" s="202"/>
      <c r="H104" s="202"/>
      <c r="I104" s="3"/>
      <c r="J104" s="501"/>
      <c r="K104" s="501"/>
      <c r="L104" s="501"/>
      <c r="M104" s="502"/>
      <c r="N104" s="502"/>
      <c r="O104" s="502"/>
      <c r="P104" s="12"/>
    </row>
    <row r="105" spans="1:16" ht="20.100000000000001" customHeight="1">
      <c r="A105" s="3">
        <v>1</v>
      </c>
      <c r="B105" s="10" t="s">
        <v>480</v>
      </c>
      <c r="C105" s="11" t="s">
        <v>481</v>
      </c>
      <c r="D105" s="14" t="s">
        <v>405</v>
      </c>
      <c r="E105" s="72">
        <v>1435720</v>
      </c>
      <c r="F105" s="72"/>
      <c r="G105" s="202">
        <f>200000</f>
        <v>200000</v>
      </c>
      <c r="H105" s="202"/>
      <c r="I105" s="72">
        <v>0</v>
      </c>
      <c r="J105" s="490">
        <f>E105+F105+G105+H105+I105</f>
        <v>1635720</v>
      </c>
      <c r="K105" s="490">
        <v>1050209.0634999999</v>
      </c>
      <c r="L105" s="490">
        <f>J105-K105</f>
        <v>585510.93649999995</v>
      </c>
      <c r="M105" s="492">
        <v>270672.24746666697</v>
      </c>
      <c r="N105" s="491">
        <v>180306.806858667</v>
      </c>
      <c r="O105" s="492">
        <f t="shared" ref="O105:O111" si="36">M105-N105</f>
        <v>90365.440608000004</v>
      </c>
      <c r="P105" s="12"/>
    </row>
    <row r="106" spans="1:16" ht="20.100000000000001" customHeight="1">
      <c r="A106" s="3">
        <v>2</v>
      </c>
      <c r="B106" s="10" t="s">
        <v>482</v>
      </c>
      <c r="C106" s="3" t="s">
        <v>483</v>
      </c>
      <c r="D106" s="15" t="s">
        <v>340</v>
      </c>
      <c r="E106" s="72">
        <v>762373.16666666698</v>
      </c>
      <c r="F106" s="72"/>
      <c r="G106" s="202">
        <f>160000+20000</f>
        <v>180000</v>
      </c>
      <c r="H106" s="202"/>
      <c r="I106" s="72">
        <v>0</v>
      </c>
      <c r="J106" s="490">
        <f t="shared" ref="J106:J111" si="37">E106+F106+G106+H106+I106</f>
        <v>942373.16666666698</v>
      </c>
      <c r="K106" s="490">
        <v>631465.02474999998</v>
      </c>
      <c r="L106" s="490">
        <f t="shared" ref="L106:L111" si="38">J106-K106</f>
        <v>310908.14191666699</v>
      </c>
      <c r="M106" s="492">
        <v>147687.52761066699</v>
      </c>
      <c r="N106" s="491">
        <v>99703.216202666707</v>
      </c>
      <c r="O106" s="492">
        <f t="shared" si="36"/>
        <v>47984.3114080003</v>
      </c>
      <c r="P106" s="12"/>
    </row>
    <row r="107" spans="1:16" ht="20.100000000000001" customHeight="1">
      <c r="A107" s="3">
        <v>3</v>
      </c>
      <c r="B107" s="10" t="s">
        <v>484</v>
      </c>
      <c r="C107" s="3" t="s">
        <v>485</v>
      </c>
      <c r="D107" s="9" t="s">
        <v>372</v>
      </c>
      <c r="E107" s="72">
        <v>441804.91666666698</v>
      </c>
      <c r="F107" s="72"/>
      <c r="G107" s="202">
        <f>120000</f>
        <v>120000</v>
      </c>
      <c r="H107" s="202"/>
      <c r="I107" s="72">
        <v>41432.938524999998</v>
      </c>
      <c r="J107" s="490">
        <f t="shared" si="37"/>
        <v>603237.85519166698</v>
      </c>
      <c r="K107" s="490">
        <v>418096.01602500002</v>
      </c>
      <c r="L107" s="490">
        <f t="shared" si="38"/>
        <v>185141.83916666699</v>
      </c>
      <c r="M107" s="492">
        <v>87575.782703466699</v>
      </c>
      <c r="N107" s="491">
        <v>58814.673103466703</v>
      </c>
      <c r="O107" s="492">
        <f t="shared" si="36"/>
        <v>28761.1096</v>
      </c>
      <c r="P107" s="12"/>
    </row>
    <row r="108" spans="1:16" ht="20.100000000000001" customHeight="1">
      <c r="A108" s="3">
        <v>4</v>
      </c>
      <c r="B108" s="10" t="s">
        <v>486</v>
      </c>
      <c r="C108" s="3" t="s">
        <v>485</v>
      </c>
      <c r="D108" s="9" t="s">
        <v>372</v>
      </c>
      <c r="E108" s="72">
        <v>441804.91666666698</v>
      </c>
      <c r="F108" s="72"/>
      <c r="G108" s="202">
        <f>120000</f>
        <v>120000</v>
      </c>
      <c r="H108" s="202"/>
      <c r="I108" s="72">
        <v>39820.116654999998</v>
      </c>
      <c r="J108" s="490">
        <f t="shared" si="37"/>
        <v>601625.033321667</v>
      </c>
      <c r="K108" s="490">
        <v>416483.19415499998</v>
      </c>
      <c r="L108" s="490">
        <f t="shared" si="38"/>
        <v>185141.83916666699</v>
      </c>
      <c r="M108" s="492">
        <v>87392.5495444267</v>
      </c>
      <c r="N108" s="491">
        <v>58631.439944426696</v>
      </c>
      <c r="O108" s="492">
        <f t="shared" si="36"/>
        <v>28761.1096</v>
      </c>
      <c r="P108" s="12"/>
    </row>
    <row r="109" spans="1:16" ht="20.100000000000001" customHeight="1">
      <c r="A109" s="3">
        <v>5</v>
      </c>
      <c r="B109" s="10" t="s">
        <v>487</v>
      </c>
      <c r="C109" s="3" t="s">
        <v>488</v>
      </c>
      <c r="D109" s="14" t="s">
        <v>489</v>
      </c>
      <c r="E109" s="202">
        <v>249148.41666666701</v>
      </c>
      <c r="F109" s="72"/>
      <c r="G109" s="202">
        <f>100000</f>
        <v>100000</v>
      </c>
      <c r="H109" s="202"/>
      <c r="I109" s="72">
        <v>25333.447479999999</v>
      </c>
      <c r="J109" s="490">
        <f t="shared" si="37"/>
        <v>374481.86414666701</v>
      </c>
      <c r="K109" s="490">
        <v>266099.21747999999</v>
      </c>
      <c r="L109" s="490">
        <f t="shared" si="38"/>
        <v>108382.646666667</v>
      </c>
      <c r="M109" s="492">
        <v>46740.264902826697</v>
      </c>
      <c r="N109" s="491">
        <v>31871.335203306699</v>
      </c>
      <c r="O109" s="492">
        <f t="shared" si="36"/>
        <v>14868.92969952</v>
      </c>
      <c r="P109" s="12"/>
    </row>
    <row r="110" spans="1:16" ht="20.100000000000001" customHeight="1">
      <c r="A110" s="3">
        <v>6</v>
      </c>
      <c r="B110" s="17" t="s">
        <v>490</v>
      </c>
      <c r="C110" s="3" t="s">
        <v>488</v>
      </c>
      <c r="D110" s="9" t="s">
        <v>491</v>
      </c>
      <c r="E110" s="202">
        <v>242976.25</v>
      </c>
      <c r="F110" s="72"/>
      <c r="G110" s="202">
        <f>100000</f>
        <v>100000</v>
      </c>
      <c r="H110" s="202"/>
      <c r="I110" s="72">
        <v>24949.771000000001</v>
      </c>
      <c r="J110" s="490">
        <f t="shared" si="37"/>
        <v>367926.02100000001</v>
      </c>
      <c r="K110" s="490">
        <v>262229.04100000003</v>
      </c>
      <c r="L110" s="490">
        <f t="shared" si="38"/>
        <v>105696.98</v>
      </c>
      <c r="M110" s="492">
        <v>45712.637394666701</v>
      </c>
      <c r="N110" s="491">
        <v>31221.145554666698</v>
      </c>
      <c r="O110" s="492">
        <f t="shared" si="36"/>
        <v>14491.491840000001</v>
      </c>
      <c r="P110" s="12"/>
    </row>
    <row r="111" spans="1:16" ht="20.100000000000001" customHeight="1">
      <c r="A111" s="3">
        <v>7</v>
      </c>
      <c r="B111" s="17" t="s">
        <v>492</v>
      </c>
      <c r="C111" s="3" t="s">
        <v>488</v>
      </c>
      <c r="D111" s="14" t="s">
        <v>399</v>
      </c>
      <c r="E111" s="202">
        <v>230631.91666666701</v>
      </c>
      <c r="F111" s="72"/>
      <c r="G111" s="202">
        <f t="shared" ref="G111" si="39">100000</f>
        <v>100000</v>
      </c>
      <c r="H111" s="202"/>
      <c r="I111" s="72">
        <v>24566.195445000001</v>
      </c>
      <c r="J111" s="490">
        <f t="shared" si="37"/>
        <v>355198.112111667</v>
      </c>
      <c r="K111" s="490">
        <v>254870.26344499999</v>
      </c>
      <c r="L111" s="490">
        <f t="shared" si="38"/>
        <v>100327.84866666701</v>
      </c>
      <c r="M111" s="492">
        <v>43740.256541426701</v>
      </c>
      <c r="N111" s="491">
        <v>29984.870925426701</v>
      </c>
      <c r="O111" s="492">
        <f t="shared" si="36"/>
        <v>13755.385616</v>
      </c>
      <c r="P111" s="12"/>
    </row>
    <row r="112" spans="1:16" ht="25.5" customHeight="1">
      <c r="A112" s="3"/>
      <c r="B112" s="19" t="s">
        <v>42</v>
      </c>
      <c r="C112" s="20">
        <v>7</v>
      </c>
      <c r="D112" s="3"/>
      <c r="E112" s="205">
        <f>SUM(E105:E111)</f>
        <v>3804459.5833333302</v>
      </c>
      <c r="F112" s="205">
        <f t="shared" ref="F112:O112" si="40">SUM(F105:F111)</f>
        <v>0</v>
      </c>
      <c r="G112" s="205">
        <f t="shared" si="40"/>
        <v>920000</v>
      </c>
      <c r="H112" s="205">
        <f t="shared" si="40"/>
        <v>0</v>
      </c>
      <c r="I112" s="205">
        <f t="shared" si="40"/>
        <v>156102.469105</v>
      </c>
      <c r="J112" s="205">
        <f t="shared" si="40"/>
        <v>4880562.0524383401</v>
      </c>
      <c r="K112" s="205">
        <v>3299451.820355</v>
      </c>
      <c r="L112" s="205">
        <f t="shared" si="40"/>
        <v>1581110.2320833399</v>
      </c>
      <c r="M112" s="205">
        <f t="shared" si="40"/>
        <v>729521.26616414799</v>
      </c>
      <c r="N112" s="205">
        <v>490533.48779262701</v>
      </c>
      <c r="O112" s="205">
        <f t="shared" si="40"/>
        <v>238987.77837151999</v>
      </c>
      <c r="P112" s="12"/>
    </row>
    <row r="113" spans="1:16" ht="20.100000000000001" customHeight="1">
      <c r="A113" s="3"/>
      <c r="B113" s="19"/>
      <c r="C113" s="20"/>
      <c r="D113" s="3"/>
      <c r="E113" s="205"/>
      <c r="F113" s="205"/>
      <c r="G113" s="499"/>
      <c r="H113" s="499"/>
      <c r="I113" s="205"/>
      <c r="J113" s="503"/>
      <c r="K113" s="503"/>
      <c r="L113" s="503"/>
      <c r="M113" s="504"/>
      <c r="N113" s="504"/>
      <c r="O113" s="504"/>
      <c r="P113" s="12"/>
    </row>
    <row r="114" spans="1:16" ht="20.100000000000001" customHeight="1">
      <c r="A114" s="9"/>
      <c r="B114" s="19" t="s">
        <v>242</v>
      </c>
      <c r="C114" s="20"/>
      <c r="D114" s="20"/>
      <c r="E114" s="134"/>
      <c r="F114" s="134"/>
      <c r="G114" s="202"/>
      <c r="H114" s="202"/>
      <c r="I114" s="134"/>
      <c r="J114" s="497"/>
      <c r="K114" s="497"/>
      <c r="L114" s="497"/>
      <c r="M114" s="498"/>
      <c r="N114" s="498"/>
      <c r="O114" s="498"/>
      <c r="P114" s="12"/>
    </row>
    <row r="115" spans="1:16" ht="20.100000000000001" customHeight="1">
      <c r="A115" s="9">
        <v>1</v>
      </c>
      <c r="B115" s="13" t="s">
        <v>493</v>
      </c>
      <c r="C115" s="3" t="s">
        <v>418</v>
      </c>
      <c r="D115" s="9" t="s">
        <v>435</v>
      </c>
      <c r="E115" s="72">
        <v>601396.83333333302</v>
      </c>
      <c r="F115" s="72"/>
      <c r="G115" s="202">
        <v>160000</v>
      </c>
      <c r="H115" s="202"/>
      <c r="I115" s="72">
        <v>0</v>
      </c>
      <c r="J115" s="490">
        <f>E115+F115+G115+H115+I115</f>
        <v>761396.83333333302</v>
      </c>
      <c r="K115" s="490">
        <v>516137.05</v>
      </c>
      <c r="L115" s="490">
        <f>J115-K115</f>
        <v>245259.78333333301</v>
      </c>
      <c r="M115" s="492">
        <v>115462.53994666701</v>
      </c>
      <c r="N115" s="491">
        <v>77610.116906666706</v>
      </c>
      <c r="O115" s="492">
        <f>M115-N115</f>
        <v>37852.4230400003</v>
      </c>
      <c r="P115" s="12"/>
    </row>
    <row r="116" spans="1:16" ht="18.75" customHeight="1">
      <c r="A116" s="9">
        <v>2</v>
      </c>
      <c r="B116" s="10" t="s">
        <v>494</v>
      </c>
      <c r="C116" s="3" t="s">
        <v>495</v>
      </c>
      <c r="D116" s="14" t="s">
        <v>380</v>
      </c>
      <c r="E116" s="72">
        <v>377895.16666666698</v>
      </c>
      <c r="F116" s="72"/>
      <c r="G116" s="202">
        <v>110000</v>
      </c>
      <c r="H116" s="202">
        <v>0</v>
      </c>
      <c r="I116" s="72"/>
      <c r="J116" s="490">
        <f t="shared" ref="J116:J117" si="41">E116+F116+G116+H116+I116</f>
        <v>487895.16666666698</v>
      </c>
      <c r="K116" s="490">
        <v>334536.99849999999</v>
      </c>
      <c r="L116" s="490">
        <f t="shared" ref="L116:L117" si="42">J116-K116</f>
        <v>153358.16816666699</v>
      </c>
      <c r="M116" s="492">
        <v>66538.068906666696</v>
      </c>
      <c r="N116" s="491">
        <v>43368.882414666703</v>
      </c>
      <c r="O116" s="492">
        <f>M116-N116</f>
        <v>23169.186492000001</v>
      </c>
      <c r="P116" s="12"/>
    </row>
    <row r="117" spans="1:16" ht="20.100000000000001" customHeight="1">
      <c r="A117" s="9">
        <v>3</v>
      </c>
      <c r="B117" s="10" t="s">
        <v>496</v>
      </c>
      <c r="C117" s="11" t="s">
        <v>497</v>
      </c>
      <c r="D117" s="14" t="s">
        <v>498</v>
      </c>
      <c r="E117" s="72">
        <v>390086.5</v>
      </c>
      <c r="F117" s="72"/>
      <c r="G117" s="202"/>
      <c r="H117" s="202">
        <f>60000</f>
        <v>60000</v>
      </c>
      <c r="I117" s="72"/>
      <c r="J117" s="490">
        <f t="shared" si="41"/>
        <v>450086.5</v>
      </c>
      <c r="K117" s="490">
        <v>286619.99875000003</v>
      </c>
      <c r="L117" s="490">
        <f t="shared" si="42"/>
        <v>163466.50125</v>
      </c>
      <c r="M117" s="492">
        <v>58980.834746666696</v>
      </c>
      <c r="N117" s="491">
        <v>35221.954086666701</v>
      </c>
      <c r="O117" s="492">
        <f>M117-N117</f>
        <v>23758.880659999999</v>
      </c>
      <c r="P117" s="12"/>
    </row>
    <row r="118" spans="1:16" ht="24.75" customHeight="1">
      <c r="A118" s="3"/>
      <c r="B118" s="19" t="s">
        <v>42</v>
      </c>
      <c r="C118" s="20">
        <v>2</v>
      </c>
      <c r="D118" s="25"/>
      <c r="E118" s="80">
        <f>SUM(E115:E117)</f>
        <v>1369378.5</v>
      </c>
      <c r="F118" s="80">
        <f t="shared" ref="F118:O118" si="43">SUM(F115:F117)</f>
        <v>0</v>
      </c>
      <c r="G118" s="80">
        <f t="shared" si="43"/>
        <v>270000</v>
      </c>
      <c r="H118" s="80">
        <f t="shared" si="43"/>
        <v>60000</v>
      </c>
      <c r="I118" s="80">
        <f t="shared" si="43"/>
        <v>0</v>
      </c>
      <c r="J118" s="80">
        <f t="shared" si="43"/>
        <v>1699378.5</v>
      </c>
      <c r="K118" s="80">
        <v>1137294.0472500001</v>
      </c>
      <c r="L118" s="80">
        <f t="shared" si="43"/>
        <v>562084.45275000005</v>
      </c>
      <c r="M118" s="80">
        <f t="shared" si="43"/>
        <v>240981.4436</v>
      </c>
      <c r="N118" s="80">
        <v>156200.953408</v>
      </c>
      <c r="O118" s="80">
        <f t="shared" si="43"/>
        <v>84780.490192000303</v>
      </c>
      <c r="P118" s="12"/>
    </row>
    <row r="119" spans="1:16" ht="20.100000000000001" customHeight="1">
      <c r="A119" s="3"/>
      <c r="B119" s="21"/>
      <c r="C119" s="9"/>
      <c r="D119" s="3"/>
      <c r="E119" s="206"/>
      <c r="F119" s="8"/>
      <c r="G119" s="202"/>
      <c r="H119" s="202"/>
      <c r="I119" s="206"/>
      <c r="J119" s="505"/>
      <c r="K119" s="505"/>
      <c r="L119" s="505"/>
      <c r="M119" s="506"/>
      <c r="N119" s="506"/>
      <c r="O119" s="506"/>
      <c r="P119" s="12"/>
    </row>
    <row r="120" spans="1:16" ht="20.100000000000001" customHeight="1">
      <c r="A120" s="3"/>
      <c r="B120" s="19" t="s">
        <v>97</v>
      </c>
      <c r="C120" s="20"/>
      <c r="D120" s="20"/>
      <c r="E120" s="134"/>
      <c r="F120" s="134"/>
      <c r="G120" s="202"/>
      <c r="H120" s="202"/>
      <c r="I120" s="134"/>
      <c r="J120" s="497"/>
      <c r="K120" s="497"/>
      <c r="L120" s="497"/>
      <c r="M120" s="498"/>
      <c r="N120" s="498"/>
      <c r="O120" s="498"/>
      <c r="P120" s="12"/>
    </row>
    <row r="121" spans="1:16" ht="20.100000000000001" customHeight="1">
      <c r="A121" s="3">
        <v>1</v>
      </c>
      <c r="B121" s="10" t="s">
        <v>499</v>
      </c>
      <c r="C121" s="11" t="s">
        <v>500</v>
      </c>
      <c r="D121" s="14" t="s">
        <v>405</v>
      </c>
      <c r="E121" s="72">
        <v>1435720</v>
      </c>
      <c r="F121" s="72"/>
      <c r="G121" s="202"/>
      <c r="H121" s="202">
        <f>100000</f>
        <v>100000</v>
      </c>
      <c r="I121" s="72">
        <v>100000</v>
      </c>
      <c r="J121" s="490">
        <f>E121+F121+G121+H121+I121</f>
        <v>1635720</v>
      </c>
      <c r="K121" s="490">
        <v>1050209.0634999999</v>
      </c>
      <c r="L121" s="490">
        <f>J121-K121</f>
        <v>585510.93649999995</v>
      </c>
      <c r="M121" s="492">
        <v>270279.89537066699</v>
      </c>
      <c r="N121" s="491">
        <v>179914.45476266701</v>
      </c>
      <c r="O121" s="492">
        <f t="shared" ref="O121:O130" si="44">M121-N121</f>
        <v>90365.440608000004</v>
      </c>
      <c r="P121" s="12"/>
    </row>
    <row r="122" spans="1:16" ht="20.100000000000001" customHeight="1">
      <c r="A122" s="3">
        <v>2</v>
      </c>
      <c r="B122" s="10" t="s">
        <v>178</v>
      </c>
      <c r="C122" s="11" t="s">
        <v>501</v>
      </c>
      <c r="D122" s="14" t="s">
        <v>416</v>
      </c>
      <c r="E122" s="72">
        <v>739203.58333333302</v>
      </c>
      <c r="F122" s="72"/>
      <c r="G122" s="202"/>
      <c r="H122" s="202">
        <f>90000</f>
        <v>90000</v>
      </c>
      <c r="I122" s="72">
        <v>100000</v>
      </c>
      <c r="J122" s="490">
        <f t="shared" ref="J122:J130" si="45">E122+F122+G122+H122+I122</f>
        <v>929203.58333333302</v>
      </c>
      <c r="K122" s="490">
        <v>627743.99575</v>
      </c>
      <c r="L122" s="490">
        <f t="shared" ref="L122:L130" si="46">J122-K122</f>
        <v>301459.58758333302</v>
      </c>
      <c r="M122" s="492">
        <v>145522.03071466699</v>
      </c>
      <c r="N122" s="491">
        <v>98995.956938666699</v>
      </c>
      <c r="O122" s="492">
        <f t="shared" si="44"/>
        <v>46526.073776000303</v>
      </c>
      <c r="P122" s="12"/>
    </row>
    <row r="123" spans="1:16" ht="20.100000000000001" customHeight="1">
      <c r="A123" s="3">
        <v>3</v>
      </c>
      <c r="B123" s="13" t="s">
        <v>502</v>
      </c>
      <c r="C123" s="11" t="s">
        <v>337</v>
      </c>
      <c r="D123" s="14" t="s">
        <v>358</v>
      </c>
      <c r="E123" s="72">
        <v>620675.58333333302</v>
      </c>
      <c r="F123" s="72"/>
      <c r="G123" s="202"/>
      <c r="H123" s="202">
        <f t="shared" si="3"/>
        <v>80000</v>
      </c>
      <c r="I123" s="72">
        <f>100000+30000</f>
        <v>130000</v>
      </c>
      <c r="J123" s="490">
        <f t="shared" si="45"/>
        <v>830675.58333333302</v>
      </c>
      <c r="K123" s="490">
        <v>577553.50249999994</v>
      </c>
      <c r="L123" s="490">
        <f t="shared" si="46"/>
        <v>253122.08083333299</v>
      </c>
      <c r="M123" s="492">
        <v>128461.965706667</v>
      </c>
      <c r="N123" s="491">
        <v>89396.103146666603</v>
      </c>
      <c r="O123" s="492">
        <f t="shared" si="44"/>
        <v>39065.862560000402</v>
      </c>
      <c r="P123" s="12"/>
    </row>
    <row r="124" spans="1:16" ht="20.100000000000001" customHeight="1">
      <c r="A124" s="3">
        <v>4</v>
      </c>
      <c r="B124" s="13" t="s">
        <v>336</v>
      </c>
      <c r="C124" s="11" t="s">
        <v>337</v>
      </c>
      <c r="D124" s="14" t="s">
        <v>99</v>
      </c>
      <c r="E124" s="72">
        <v>582118.08333333302</v>
      </c>
      <c r="F124" s="72"/>
      <c r="G124" s="202"/>
      <c r="H124" s="202">
        <f t="shared" si="3"/>
        <v>80000</v>
      </c>
      <c r="I124" s="72">
        <v>0</v>
      </c>
      <c r="J124" s="490">
        <f t="shared" si="45"/>
        <v>662118.08333333302</v>
      </c>
      <c r="K124" s="490">
        <v>424729.22200000001</v>
      </c>
      <c r="L124" s="490">
        <f t="shared" si="46"/>
        <v>237388.86133333301</v>
      </c>
      <c r="M124" s="492">
        <v>105793.338666667</v>
      </c>
      <c r="N124" s="491">
        <v>60214.677290666703</v>
      </c>
      <c r="O124" s="492">
        <f t="shared" si="44"/>
        <v>45578.661376000302</v>
      </c>
      <c r="P124" s="12"/>
    </row>
    <row r="125" spans="1:16" ht="20.100000000000001" customHeight="1">
      <c r="A125" s="3">
        <v>5</v>
      </c>
      <c r="B125" s="10" t="s">
        <v>503</v>
      </c>
      <c r="C125" s="11" t="s">
        <v>504</v>
      </c>
      <c r="D125" s="14" t="s">
        <v>366</v>
      </c>
      <c r="E125" s="72">
        <v>470498</v>
      </c>
      <c r="F125" s="72"/>
      <c r="G125" s="202"/>
      <c r="H125" s="202">
        <f>70000</f>
        <v>70000</v>
      </c>
      <c r="I125" s="72">
        <v>0</v>
      </c>
      <c r="J125" s="490">
        <f t="shared" si="45"/>
        <v>540498</v>
      </c>
      <c r="K125" s="490">
        <v>343333.03525000002</v>
      </c>
      <c r="L125" s="490">
        <f t="shared" si="46"/>
        <v>197164.96475000001</v>
      </c>
      <c r="M125" s="492">
        <v>75215.4333866667</v>
      </c>
      <c r="N125" s="491">
        <v>44846.6165886667</v>
      </c>
      <c r="O125" s="492">
        <f t="shared" si="44"/>
        <v>30368.816798</v>
      </c>
      <c r="P125" s="12"/>
    </row>
    <row r="126" spans="1:16" ht="20.100000000000001" customHeight="1">
      <c r="A126" s="3">
        <v>6</v>
      </c>
      <c r="B126" s="10" t="s">
        <v>505</v>
      </c>
      <c r="C126" s="11" t="s">
        <v>506</v>
      </c>
      <c r="D126" s="14" t="s">
        <v>369</v>
      </c>
      <c r="E126" s="72">
        <v>442746.5</v>
      </c>
      <c r="F126" s="72"/>
      <c r="G126" s="202"/>
      <c r="H126" s="202">
        <f t="shared" ref="H126:H127" si="47">70000</f>
        <v>70000</v>
      </c>
      <c r="I126" s="72">
        <v>0</v>
      </c>
      <c r="J126" s="490">
        <f t="shared" si="45"/>
        <v>512746.5</v>
      </c>
      <c r="K126" s="490">
        <v>327211.36749999999</v>
      </c>
      <c r="L126" s="490">
        <f t="shared" si="46"/>
        <v>185535.13250000001</v>
      </c>
      <c r="M126" s="492">
        <v>70189.308746666706</v>
      </c>
      <c r="N126" s="491">
        <v>42029.589186666701</v>
      </c>
      <c r="O126" s="492">
        <f t="shared" si="44"/>
        <v>28159.719560000001</v>
      </c>
      <c r="P126" s="12"/>
    </row>
    <row r="127" spans="1:16" ht="20.100000000000001" customHeight="1">
      <c r="A127" s="3">
        <v>7</v>
      </c>
      <c r="B127" s="10" t="s">
        <v>507</v>
      </c>
      <c r="C127" s="11" t="s">
        <v>504</v>
      </c>
      <c r="D127" s="14" t="s">
        <v>450</v>
      </c>
      <c r="E127" s="72">
        <v>456622.25</v>
      </c>
      <c r="F127" s="72"/>
      <c r="G127" s="202"/>
      <c r="H127" s="202">
        <f t="shared" si="47"/>
        <v>70000</v>
      </c>
      <c r="I127" s="72"/>
      <c r="J127" s="490">
        <f t="shared" si="45"/>
        <v>526622.25</v>
      </c>
      <c r="K127" s="490">
        <v>335272.06374999997</v>
      </c>
      <c r="L127" s="490">
        <f t="shared" si="46"/>
        <v>191350.18625</v>
      </c>
      <c r="M127" s="492">
        <v>72636.104186666693</v>
      </c>
      <c r="N127" s="491">
        <v>43380.096246666697</v>
      </c>
      <c r="O127" s="492">
        <f t="shared" si="44"/>
        <v>29256.00794</v>
      </c>
      <c r="P127" s="12"/>
    </row>
    <row r="128" spans="1:16" ht="20.100000000000001" customHeight="1">
      <c r="A128" s="3">
        <v>8</v>
      </c>
      <c r="B128" s="10" t="s">
        <v>508</v>
      </c>
      <c r="C128" s="11" t="s">
        <v>509</v>
      </c>
      <c r="D128" s="9" t="s">
        <v>387</v>
      </c>
      <c r="E128" s="72">
        <v>270481.66666666698</v>
      </c>
      <c r="F128" s="72"/>
      <c r="G128" s="202"/>
      <c r="H128" s="202">
        <f>60000</f>
        <v>60000</v>
      </c>
      <c r="I128" s="72"/>
      <c r="J128" s="490">
        <f t="shared" si="45"/>
        <v>330481.66666666698</v>
      </c>
      <c r="K128" s="490">
        <v>213508.01</v>
      </c>
      <c r="L128" s="490">
        <f t="shared" si="46"/>
        <v>116973.656666667</v>
      </c>
      <c r="M128" s="492">
        <v>39052.313066666698</v>
      </c>
      <c r="N128" s="491">
        <v>23036.012346666699</v>
      </c>
      <c r="O128" s="492">
        <f t="shared" si="44"/>
        <v>16016.300719999999</v>
      </c>
      <c r="P128" s="12"/>
    </row>
    <row r="129" spans="1:16" ht="20.100000000000001" customHeight="1">
      <c r="A129" s="3">
        <v>9</v>
      </c>
      <c r="B129" s="17" t="s">
        <v>510</v>
      </c>
      <c r="C129" s="11" t="s">
        <v>511</v>
      </c>
      <c r="D129" s="14" t="s">
        <v>402</v>
      </c>
      <c r="E129" s="72">
        <v>224459.75</v>
      </c>
      <c r="F129" s="72"/>
      <c r="G129" s="202"/>
      <c r="H129" s="202">
        <f>50000</f>
        <v>50000</v>
      </c>
      <c r="I129" s="72"/>
      <c r="J129" s="490">
        <f t="shared" si="45"/>
        <v>274459.75</v>
      </c>
      <c r="K129" s="490">
        <v>176816.1</v>
      </c>
      <c r="L129" s="490">
        <f t="shared" si="46"/>
        <v>97643.65</v>
      </c>
      <c r="M129" s="492">
        <v>30259.165626666701</v>
      </c>
      <c r="N129" s="491">
        <v>17042.713866666702</v>
      </c>
      <c r="O129" s="492">
        <f t="shared" si="44"/>
        <v>13216.45176</v>
      </c>
      <c r="P129" s="12"/>
    </row>
    <row r="130" spans="1:16" ht="20.100000000000001" customHeight="1">
      <c r="A130" s="3">
        <v>10</v>
      </c>
      <c r="B130" s="17" t="s">
        <v>512</v>
      </c>
      <c r="C130" s="11" t="s">
        <v>248</v>
      </c>
      <c r="D130" s="14" t="s">
        <v>402</v>
      </c>
      <c r="E130" s="72">
        <v>224459.75</v>
      </c>
      <c r="F130" s="72"/>
      <c r="G130" s="202"/>
      <c r="H130" s="202">
        <v>50000</v>
      </c>
      <c r="I130" s="72"/>
      <c r="J130" s="490">
        <f t="shared" si="45"/>
        <v>274459.75</v>
      </c>
      <c r="K130" s="490">
        <v>176816.1</v>
      </c>
      <c r="L130" s="490">
        <f t="shared" si="46"/>
        <v>97643.65</v>
      </c>
      <c r="M130" s="492">
        <v>30259.165626666701</v>
      </c>
      <c r="N130" s="491">
        <v>17042.713866666702</v>
      </c>
      <c r="O130" s="492">
        <f t="shared" si="44"/>
        <v>13216.45176</v>
      </c>
      <c r="P130" s="12"/>
    </row>
    <row r="131" spans="1:16" ht="28.5" customHeight="1">
      <c r="A131" s="3"/>
      <c r="B131" s="19" t="s">
        <v>42</v>
      </c>
      <c r="C131" s="25" t="s">
        <v>513</v>
      </c>
      <c r="D131" s="14"/>
      <c r="E131" s="134">
        <f>SUM(E121:E130)</f>
        <v>5466985.1666666698</v>
      </c>
      <c r="F131" s="134">
        <f t="shared" ref="F131:O131" si="48">SUM(F121:F130)</f>
        <v>0</v>
      </c>
      <c r="G131" s="134">
        <f t="shared" si="48"/>
        <v>0</v>
      </c>
      <c r="H131" s="134">
        <f t="shared" si="48"/>
        <v>720000</v>
      </c>
      <c r="I131" s="134">
        <f t="shared" si="48"/>
        <v>330000</v>
      </c>
      <c r="J131" s="134">
        <f t="shared" si="48"/>
        <v>6516985.1666666698</v>
      </c>
      <c r="K131" s="134">
        <v>4253192.4602499995</v>
      </c>
      <c r="L131" s="134">
        <f t="shared" si="48"/>
        <v>2263792.7064166698</v>
      </c>
      <c r="M131" s="134">
        <f t="shared" si="48"/>
        <v>967668.72109866794</v>
      </c>
      <c r="N131" s="134">
        <v>615898.93424066703</v>
      </c>
      <c r="O131" s="134">
        <f t="shared" si="48"/>
        <v>351769.78685800103</v>
      </c>
      <c r="P131" s="12"/>
    </row>
    <row r="132" spans="1:16" ht="20.100000000000001" customHeight="1">
      <c r="A132" s="3"/>
      <c r="B132" s="21"/>
      <c r="C132" s="25"/>
      <c r="D132" s="14"/>
      <c r="E132" s="134"/>
      <c r="F132" s="134"/>
      <c r="G132" s="202"/>
      <c r="H132" s="202"/>
      <c r="I132" s="134"/>
      <c r="J132" s="497"/>
      <c r="K132" s="497"/>
      <c r="L132" s="497"/>
      <c r="M132" s="498"/>
      <c r="N132" s="498"/>
      <c r="O132" s="498"/>
      <c r="P132" s="12"/>
    </row>
    <row r="133" spans="1:16" ht="20.100000000000001" customHeight="1">
      <c r="A133" s="3"/>
      <c r="B133" s="19" t="s">
        <v>103</v>
      </c>
      <c r="C133" s="11"/>
      <c r="D133" s="14"/>
      <c r="E133" s="72"/>
      <c r="F133" s="72"/>
      <c r="G133" s="202"/>
      <c r="H133" s="202"/>
      <c r="I133" s="72"/>
      <c r="J133" s="490"/>
      <c r="K133" s="490"/>
      <c r="L133" s="490"/>
      <c r="M133" s="491"/>
      <c r="N133" s="491"/>
      <c r="O133" s="491"/>
      <c r="P133" s="12"/>
    </row>
    <row r="134" spans="1:16" ht="20.100000000000001" customHeight="1">
      <c r="A134" s="26">
        <v>1</v>
      </c>
      <c r="B134" s="10" t="s">
        <v>514</v>
      </c>
      <c r="C134" s="11" t="s">
        <v>515</v>
      </c>
      <c r="D134" s="14" t="s">
        <v>405</v>
      </c>
      <c r="E134" s="72">
        <v>1435720</v>
      </c>
      <c r="F134" s="72"/>
      <c r="G134" s="202"/>
      <c r="H134" s="202">
        <f>100000</f>
        <v>100000</v>
      </c>
      <c r="I134" s="72">
        <v>0</v>
      </c>
      <c r="J134" s="490">
        <f>E134+F134+G134+H134+I134</f>
        <v>1535720</v>
      </c>
      <c r="K134" s="490">
        <v>950209.06350000005</v>
      </c>
      <c r="L134" s="490">
        <f>J134-K134</f>
        <v>585510.93649999995</v>
      </c>
      <c r="M134" s="492">
        <v>251472.247466667</v>
      </c>
      <c r="N134" s="491">
        <v>161106.806858667</v>
      </c>
      <c r="O134" s="492">
        <f t="shared" ref="O134:O192" si="49">M134-N134</f>
        <v>90365.440608000004</v>
      </c>
      <c r="P134" s="12"/>
    </row>
    <row r="135" spans="1:16" ht="20.100000000000001" customHeight="1">
      <c r="A135" s="26">
        <v>2</v>
      </c>
      <c r="B135" s="10" t="s">
        <v>338</v>
      </c>
      <c r="C135" s="11" t="s">
        <v>339</v>
      </c>
      <c r="D135" s="14" t="s">
        <v>340</v>
      </c>
      <c r="E135" s="72">
        <v>762373.16666666698</v>
      </c>
      <c r="F135" s="72"/>
      <c r="G135" s="202"/>
      <c r="H135" s="202">
        <v>90000</v>
      </c>
      <c r="I135" s="72"/>
      <c r="J135" s="490">
        <f t="shared" ref="J135:J192" si="50">E135+F135+G135+H135+I135</f>
        <v>852373.16666666698</v>
      </c>
      <c r="K135" s="490">
        <v>541465.02474999998</v>
      </c>
      <c r="L135" s="490">
        <f t="shared" ref="L135:L192" si="51">J135-K135</f>
        <v>310908.14191666699</v>
      </c>
      <c r="M135" s="492">
        <v>142322.31466666699</v>
      </c>
      <c r="N135" s="491">
        <v>82627.951418666693</v>
      </c>
      <c r="O135" s="492">
        <f t="shared" si="49"/>
        <v>59694.3632480003</v>
      </c>
      <c r="P135" s="12"/>
    </row>
    <row r="136" spans="1:16" ht="20.100000000000001" customHeight="1">
      <c r="A136" s="26">
        <v>3</v>
      </c>
      <c r="B136" s="13" t="s">
        <v>516</v>
      </c>
      <c r="C136" s="3" t="s">
        <v>517</v>
      </c>
      <c r="D136" s="15" t="s">
        <v>340</v>
      </c>
      <c r="E136" s="72">
        <v>762373.16666666698</v>
      </c>
      <c r="F136" s="72"/>
      <c r="G136" s="202"/>
      <c r="H136" s="202">
        <f>80000+10000</f>
        <v>90000</v>
      </c>
      <c r="I136" s="72">
        <v>50000</v>
      </c>
      <c r="J136" s="490">
        <f t="shared" si="50"/>
        <v>902373.16666666698</v>
      </c>
      <c r="K136" s="490">
        <v>591465.02474999998</v>
      </c>
      <c r="L136" s="490">
        <f t="shared" si="51"/>
        <v>310908.14191666699</v>
      </c>
      <c r="M136" s="492">
        <v>140007.52761066699</v>
      </c>
      <c r="N136" s="491">
        <v>92023.216202666707</v>
      </c>
      <c r="O136" s="492">
        <f t="shared" si="49"/>
        <v>47984.3114080003</v>
      </c>
      <c r="P136" s="12"/>
    </row>
    <row r="137" spans="1:16" ht="20.100000000000001" customHeight="1">
      <c r="A137" s="26">
        <v>4</v>
      </c>
      <c r="B137" s="10" t="s">
        <v>518</v>
      </c>
      <c r="C137" s="11" t="s">
        <v>519</v>
      </c>
      <c r="D137" s="14" t="s">
        <v>363</v>
      </c>
      <c r="E137" s="72">
        <v>484373.75</v>
      </c>
      <c r="F137" s="72"/>
      <c r="G137" s="202"/>
      <c r="H137" s="202">
        <v>70000</v>
      </c>
      <c r="I137" s="72"/>
      <c r="J137" s="490">
        <f t="shared" si="50"/>
        <v>554373.75</v>
      </c>
      <c r="K137" s="490">
        <v>351394.00675</v>
      </c>
      <c r="L137" s="490">
        <f t="shared" si="51"/>
        <v>202979.74325</v>
      </c>
      <c r="M137" s="492">
        <v>77529.694778666701</v>
      </c>
      <c r="N137" s="491">
        <v>46081.202598666699</v>
      </c>
      <c r="O137" s="492">
        <f t="shared" si="49"/>
        <v>31448.492180000001</v>
      </c>
      <c r="P137" s="12"/>
    </row>
    <row r="138" spans="1:16" ht="20.100000000000001" customHeight="1">
      <c r="A138" s="26">
        <v>5</v>
      </c>
      <c r="B138" s="10" t="s">
        <v>520</v>
      </c>
      <c r="C138" s="3" t="s">
        <v>521</v>
      </c>
      <c r="D138" s="14" t="s">
        <v>363</v>
      </c>
      <c r="E138" s="72">
        <v>484373.75</v>
      </c>
      <c r="F138" s="72"/>
      <c r="G138" s="202"/>
      <c r="H138" s="202">
        <v>70000</v>
      </c>
      <c r="I138" s="72">
        <v>0</v>
      </c>
      <c r="J138" s="490">
        <f t="shared" si="50"/>
        <v>554373.75</v>
      </c>
      <c r="K138" s="490">
        <v>351394.00675</v>
      </c>
      <c r="L138" s="490">
        <f t="shared" si="51"/>
        <v>202979.74325</v>
      </c>
      <c r="M138" s="492">
        <v>77529.694778666701</v>
      </c>
      <c r="N138" s="491">
        <v>46081.202598666699</v>
      </c>
      <c r="O138" s="492">
        <f t="shared" si="49"/>
        <v>31448.492180000001</v>
      </c>
      <c r="P138" s="12"/>
    </row>
    <row r="139" spans="1:16" ht="20.100000000000001" customHeight="1">
      <c r="A139" s="26">
        <v>6</v>
      </c>
      <c r="B139" s="10" t="s">
        <v>522</v>
      </c>
      <c r="C139" s="3" t="s">
        <v>521</v>
      </c>
      <c r="D139" s="14" t="s">
        <v>363</v>
      </c>
      <c r="E139" s="72">
        <v>484373.75</v>
      </c>
      <c r="F139" s="72"/>
      <c r="G139" s="202"/>
      <c r="H139" s="202">
        <v>70000</v>
      </c>
      <c r="I139" s="72">
        <v>0</v>
      </c>
      <c r="J139" s="490">
        <f t="shared" si="50"/>
        <v>554373.75</v>
      </c>
      <c r="K139" s="490">
        <v>351394.00675</v>
      </c>
      <c r="L139" s="490">
        <f t="shared" si="51"/>
        <v>202979.74325</v>
      </c>
      <c r="M139" s="492">
        <v>77529.694778666701</v>
      </c>
      <c r="N139" s="491">
        <v>46081.202598666699</v>
      </c>
      <c r="O139" s="492">
        <f t="shared" si="49"/>
        <v>31448.492180000001</v>
      </c>
      <c r="P139" s="12"/>
    </row>
    <row r="140" spans="1:16" ht="20.100000000000001" customHeight="1">
      <c r="A140" s="26">
        <v>7</v>
      </c>
      <c r="B140" s="10" t="s">
        <v>523</v>
      </c>
      <c r="C140" s="11" t="s">
        <v>524</v>
      </c>
      <c r="D140" s="14" t="s">
        <v>498</v>
      </c>
      <c r="E140" s="72">
        <v>390086.5</v>
      </c>
      <c r="F140" s="72"/>
      <c r="G140" s="202"/>
      <c r="H140" s="202">
        <f t="shared" ref="H140:H145" si="52">60000</f>
        <v>60000</v>
      </c>
      <c r="I140" s="72">
        <v>0</v>
      </c>
      <c r="J140" s="490">
        <f t="shared" si="50"/>
        <v>450086.5</v>
      </c>
      <c r="K140" s="490">
        <v>286619.99875000003</v>
      </c>
      <c r="L140" s="490">
        <f t="shared" si="51"/>
        <v>163466.50125</v>
      </c>
      <c r="M140" s="492">
        <v>58980.834746666696</v>
      </c>
      <c r="N140" s="491">
        <v>35221.954086666701</v>
      </c>
      <c r="O140" s="492">
        <f t="shared" si="49"/>
        <v>23758.880659999999</v>
      </c>
      <c r="P140" s="12"/>
    </row>
    <row r="141" spans="1:16" ht="20.100000000000001" customHeight="1">
      <c r="A141" s="26">
        <v>8</v>
      </c>
      <c r="B141" s="10" t="s">
        <v>525</v>
      </c>
      <c r="C141" s="11" t="s">
        <v>524</v>
      </c>
      <c r="D141" s="14" t="s">
        <v>498</v>
      </c>
      <c r="E141" s="72">
        <v>390086.5</v>
      </c>
      <c r="F141" s="72"/>
      <c r="G141" s="202"/>
      <c r="H141" s="202">
        <f t="shared" si="52"/>
        <v>60000</v>
      </c>
      <c r="I141" s="72">
        <v>0</v>
      </c>
      <c r="J141" s="490">
        <f t="shared" si="50"/>
        <v>450086.5</v>
      </c>
      <c r="K141" s="490">
        <v>286619.99875000003</v>
      </c>
      <c r="L141" s="490">
        <f t="shared" si="51"/>
        <v>163466.50125</v>
      </c>
      <c r="M141" s="492">
        <v>59091.5460266667</v>
      </c>
      <c r="N141" s="491">
        <v>35318.826456666699</v>
      </c>
      <c r="O141" s="492">
        <f t="shared" si="49"/>
        <v>23772.719570000001</v>
      </c>
      <c r="P141" s="12"/>
    </row>
    <row r="142" spans="1:16" ht="20.100000000000001" customHeight="1">
      <c r="A142" s="26">
        <v>9</v>
      </c>
      <c r="B142" s="10" t="s">
        <v>526</v>
      </c>
      <c r="C142" s="3" t="s">
        <v>527</v>
      </c>
      <c r="D142" s="14" t="s">
        <v>498</v>
      </c>
      <c r="E142" s="72">
        <v>390086.5</v>
      </c>
      <c r="F142" s="72"/>
      <c r="G142" s="202"/>
      <c r="H142" s="202">
        <f t="shared" si="52"/>
        <v>60000</v>
      </c>
      <c r="I142" s="72"/>
      <c r="J142" s="490">
        <f t="shared" si="50"/>
        <v>450086.5</v>
      </c>
      <c r="K142" s="490">
        <v>286619.99875000003</v>
      </c>
      <c r="L142" s="490">
        <f t="shared" si="51"/>
        <v>163466.50125</v>
      </c>
      <c r="M142" s="492">
        <v>59091.5460266667</v>
      </c>
      <c r="N142" s="491">
        <v>35318.826456666699</v>
      </c>
      <c r="O142" s="492">
        <f t="shared" si="49"/>
        <v>23772.719570000001</v>
      </c>
      <c r="P142" s="12"/>
    </row>
    <row r="143" spans="1:16" ht="20.100000000000001" customHeight="1">
      <c r="A143" s="26">
        <v>10</v>
      </c>
      <c r="B143" s="10" t="s">
        <v>528</v>
      </c>
      <c r="C143" s="11" t="s">
        <v>529</v>
      </c>
      <c r="D143" s="14" t="s">
        <v>380</v>
      </c>
      <c r="E143" s="72">
        <v>377895.16666666698</v>
      </c>
      <c r="F143" s="72"/>
      <c r="G143" s="202"/>
      <c r="H143" s="202">
        <f t="shared" si="52"/>
        <v>60000</v>
      </c>
      <c r="I143" s="72"/>
      <c r="J143" s="490">
        <f t="shared" si="50"/>
        <v>437895.16666666698</v>
      </c>
      <c r="K143" s="490">
        <v>284536.99849999999</v>
      </c>
      <c r="L143" s="490">
        <f t="shared" si="51"/>
        <v>153358.16816666699</v>
      </c>
      <c r="M143" s="492">
        <v>56938.068906666696</v>
      </c>
      <c r="N143" s="491">
        <v>34968.882414666703</v>
      </c>
      <c r="O143" s="492">
        <f t="shared" si="49"/>
        <v>21969.186492000001</v>
      </c>
      <c r="P143" s="12"/>
    </row>
    <row r="144" spans="1:16" ht="20.100000000000001" customHeight="1">
      <c r="A144" s="26">
        <v>11</v>
      </c>
      <c r="B144" s="10" t="s">
        <v>530</v>
      </c>
      <c r="C144" s="11" t="s">
        <v>531</v>
      </c>
      <c r="D144" s="14" t="s">
        <v>440</v>
      </c>
      <c r="E144" s="72">
        <v>365703.83333333302</v>
      </c>
      <c r="F144" s="72"/>
      <c r="G144" s="202"/>
      <c r="H144" s="202">
        <f t="shared" si="52"/>
        <v>60000</v>
      </c>
      <c r="I144" s="72"/>
      <c r="J144" s="490">
        <f t="shared" si="50"/>
        <v>425703.83333333302</v>
      </c>
      <c r="K144" s="490">
        <v>272454.07400000002</v>
      </c>
      <c r="L144" s="490">
        <f t="shared" si="51"/>
        <v>153249.759333333</v>
      </c>
      <c r="M144" s="492">
        <v>54681.291562666702</v>
      </c>
      <c r="N144" s="491">
        <v>32848.563402666703</v>
      </c>
      <c r="O144" s="492">
        <f t="shared" si="49"/>
        <v>21832.728159999999</v>
      </c>
      <c r="P144" s="12"/>
    </row>
    <row r="145" spans="1:16" ht="20.100000000000001" customHeight="1">
      <c r="A145" s="26">
        <v>12</v>
      </c>
      <c r="B145" s="10" t="s">
        <v>532</v>
      </c>
      <c r="C145" s="11" t="s">
        <v>533</v>
      </c>
      <c r="D145" s="14" t="s">
        <v>498</v>
      </c>
      <c r="E145" s="72">
        <v>390086.5</v>
      </c>
      <c r="F145" s="72"/>
      <c r="G145" s="202"/>
      <c r="H145" s="202">
        <f t="shared" si="52"/>
        <v>60000</v>
      </c>
      <c r="I145" s="72"/>
      <c r="J145" s="490">
        <f t="shared" si="50"/>
        <v>450086.5</v>
      </c>
      <c r="K145" s="490">
        <v>286619.99875000003</v>
      </c>
      <c r="L145" s="490">
        <f t="shared" si="51"/>
        <v>163466.50125</v>
      </c>
      <c r="M145" s="492">
        <v>58980.834746666696</v>
      </c>
      <c r="N145" s="491">
        <v>35221.954086666701</v>
      </c>
      <c r="O145" s="492">
        <f t="shared" si="49"/>
        <v>23758.880659999999</v>
      </c>
      <c r="P145" s="12"/>
    </row>
    <row r="146" spans="1:16" ht="20.100000000000001" customHeight="1">
      <c r="A146" s="26">
        <v>13</v>
      </c>
      <c r="B146" s="17" t="s">
        <v>534</v>
      </c>
      <c r="C146" s="3" t="s">
        <v>535</v>
      </c>
      <c r="D146" s="14" t="s">
        <v>32</v>
      </c>
      <c r="E146" s="202">
        <v>353512.5</v>
      </c>
      <c r="F146" s="72"/>
      <c r="G146" s="202"/>
      <c r="H146" s="202">
        <v>60000</v>
      </c>
      <c r="I146" s="72"/>
      <c r="J146" s="490">
        <f t="shared" si="50"/>
        <v>413512.5</v>
      </c>
      <c r="K146" s="490">
        <v>265372.07500000001</v>
      </c>
      <c r="L146" s="490">
        <f t="shared" si="51"/>
        <v>148140.42499999999</v>
      </c>
      <c r="M146" s="492">
        <v>52631.114666666697</v>
      </c>
      <c r="N146" s="491">
        <v>31749.175266666702</v>
      </c>
      <c r="O146" s="492">
        <f t="shared" si="49"/>
        <v>20881.939399999999</v>
      </c>
      <c r="P146" s="12"/>
    </row>
    <row r="147" spans="1:16" ht="20.100000000000001" customHeight="1">
      <c r="A147" s="26">
        <v>14</v>
      </c>
      <c r="B147" s="10" t="s">
        <v>536</v>
      </c>
      <c r="C147" s="3" t="s">
        <v>537</v>
      </c>
      <c r="D147" s="14" t="s">
        <v>453</v>
      </c>
      <c r="E147" s="202">
        <v>308901.5</v>
      </c>
      <c r="F147" s="72"/>
      <c r="G147" s="202"/>
      <c r="H147" s="202">
        <f>60000</f>
        <v>60000</v>
      </c>
      <c r="I147" s="72"/>
      <c r="J147" s="490">
        <f t="shared" si="50"/>
        <v>368901.5</v>
      </c>
      <c r="K147" s="490">
        <v>237734.04699999999</v>
      </c>
      <c r="L147" s="490">
        <f t="shared" si="51"/>
        <v>131167.45300000001</v>
      </c>
      <c r="M147" s="492">
        <v>44990.482506666704</v>
      </c>
      <c r="N147" s="491">
        <v>27105.986562666702</v>
      </c>
      <c r="O147" s="492">
        <f t="shared" si="49"/>
        <v>17884.495943999998</v>
      </c>
      <c r="P147" s="12"/>
    </row>
    <row r="148" spans="1:16" ht="20.100000000000001" customHeight="1">
      <c r="A148" s="26">
        <v>15</v>
      </c>
      <c r="B148" s="10" t="s">
        <v>538</v>
      </c>
      <c r="C148" s="3" t="s">
        <v>537</v>
      </c>
      <c r="D148" s="14" t="s">
        <v>539</v>
      </c>
      <c r="E148" s="202">
        <v>316837.41666666698</v>
      </c>
      <c r="F148" s="72"/>
      <c r="G148" s="202"/>
      <c r="H148" s="202">
        <f>60000</f>
        <v>60000</v>
      </c>
      <c r="I148" s="72"/>
      <c r="J148" s="490">
        <f t="shared" si="50"/>
        <v>376837.41666666698</v>
      </c>
      <c r="K148" s="490">
        <v>242300.07750000001</v>
      </c>
      <c r="L148" s="490">
        <f t="shared" si="51"/>
        <v>134537.33916666699</v>
      </c>
      <c r="M148" s="492">
        <v>46138.184726666703</v>
      </c>
      <c r="N148" s="491">
        <v>27794.206626666699</v>
      </c>
      <c r="O148" s="492">
        <f t="shared" si="49"/>
        <v>18343.9781</v>
      </c>
      <c r="P148" s="12"/>
    </row>
    <row r="149" spans="1:16" ht="20.100000000000001" customHeight="1">
      <c r="A149" s="26">
        <v>16</v>
      </c>
      <c r="B149" s="10" t="s">
        <v>540</v>
      </c>
      <c r="C149" s="3" t="s">
        <v>537</v>
      </c>
      <c r="D149" s="14" t="s">
        <v>539</v>
      </c>
      <c r="E149" s="202">
        <v>316837.41666666698</v>
      </c>
      <c r="F149" s="72"/>
      <c r="G149" s="202"/>
      <c r="H149" s="202">
        <f>60000</f>
        <v>60000</v>
      </c>
      <c r="I149" s="72"/>
      <c r="J149" s="490">
        <f t="shared" si="50"/>
        <v>376837.41666666698</v>
      </c>
      <c r="K149" s="490">
        <v>242300.07750000001</v>
      </c>
      <c r="L149" s="490">
        <f t="shared" si="51"/>
        <v>134537.33916666699</v>
      </c>
      <c r="M149" s="492">
        <v>46217.057786666701</v>
      </c>
      <c r="N149" s="491">
        <v>27873.079686666701</v>
      </c>
      <c r="O149" s="492">
        <f t="shared" si="49"/>
        <v>18343.9781</v>
      </c>
      <c r="P149" s="12"/>
    </row>
    <row r="150" spans="1:16" ht="20.100000000000001" customHeight="1">
      <c r="A150" s="26">
        <v>17</v>
      </c>
      <c r="B150" s="10" t="s">
        <v>541</v>
      </c>
      <c r="C150" s="11" t="s">
        <v>542</v>
      </c>
      <c r="D150" s="14" t="s">
        <v>409</v>
      </c>
      <c r="E150" s="202">
        <v>300965.58333333302</v>
      </c>
      <c r="F150" s="72"/>
      <c r="G150" s="202"/>
      <c r="H150" s="202">
        <f>60000</f>
        <v>60000</v>
      </c>
      <c r="I150" s="72"/>
      <c r="J150" s="490">
        <f t="shared" si="50"/>
        <v>360965.58333333302</v>
      </c>
      <c r="K150" s="490">
        <v>237734.04699999999</v>
      </c>
      <c r="L150" s="490">
        <f t="shared" si="51"/>
        <v>123231.536333333</v>
      </c>
      <c r="M150" s="492">
        <v>43763.907226666699</v>
      </c>
      <c r="N150" s="491">
        <v>27105.986562666702</v>
      </c>
      <c r="O150" s="492">
        <f t="shared" si="49"/>
        <v>16657.920664000001</v>
      </c>
      <c r="P150" s="12"/>
    </row>
    <row r="151" spans="1:16" ht="20.100000000000001" customHeight="1">
      <c r="A151" s="26">
        <v>18</v>
      </c>
      <c r="B151" s="10" t="s">
        <v>543</v>
      </c>
      <c r="C151" s="11" t="s">
        <v>544</v>
      </c>
      <c r="D151" s="9" t="s">
        <v>391</v>
      </c>
      <c r="E151" s="72">
        <v>263165.33333333302</v>
      </c>
      <c r="F151" s="72"/>
      <c r="G151" s="202"/>
      <c r="H151" s="202">
        <f>60000</f>
        <v>60000</v>
      </c>
      <c r="I151" s="72"/>
      <c r="J151" s="490">
        <f t="shared" si="50"/>
        <v>323165.33333333302</v>
      </c>
      <c r="K151" s="490">
        <v>209356.04725</v>
      </c>
      <c r="L151" s="490">
        <f t="shared" si="51"/>
        <v>113809.28608333301</v>
      </c>
      <c r="M151" s="492">
        <v>37921.500586666698</v>
      </c>
      <c r="N151" s="491">
        <v>22338.4826046667</v>
      </c>
      <c r="O151" s="492">
        <f t="shared" si="49"/>
        <v>15583.017981999999</v>
      </c>
      <c r="P151" s="12"/>
    </row>
    <row r="152" spans="1:16" ht="20.100000000000001" customHeight="1">
      <c r="A152" s="26">
        <v>19</v>
      </c>
      <c r="B152" s="10" t="s">
        <v>545</v>
      </c>
      <c r="C152" s="11" t="s">
        <v>546</v>
      </c>
      <c r="D152" s="14" t="s">
        <v>453</v>
      </c>
      <c r="E152" s="202">
        <v>308901.5</v>
      </c>
      <c r="F152" s="72"/>
      <c r="G152" s="202"/>
      <c r="H152" s="202">
        <f>50000+10000</f>
        <v>60000</v>
      </c>
      <c r="I152" s="72"/>
      <c r="J152" s="490">
        <f t="shared" si="50"/>
        <v>368901.5</v>
      </c>
      <c r="K152" s="490">
        <v>237734.04699999999</v>
      </c>
      <c r="L152" s="490">
        <f t="shared" si="51"/>
        <v>131167.45300000001</v>
      </c>
      <c r="M152" s="492">
        <v>44990.482506666704</v>
      </c>
      <c r="N152" s="491">
        <v>27105.986562666702</v>
      </c>
      <c r="O152" s="492">
        <f t="shared" si="49"/>
        <v>17884.495943999998</v>
      </c>
      <c r="P152" s="12"/>
    </row>
    <row r="153" spans="1:16" ht="20.100000000000001" customHeight="1">
      <c r="A153" s="26">
        <v>20</v>
      </c>
      <c r="B153" s="10" t="s">
        <v>547</v>
      </c>
      <c r="C153" s="11" t="s">
        <v>548</v>
      </c>
      <c r="D153" s="14" t="s">
        <v>387</v>
      </c>
      <c r="E153" s="202">
        <v>270481.66666666698</v>
      </c>
      <c r="F153" s="72"/>
      <c r="G153" s="202"/>
      <c r="H153" s="202">
        <f>50000+10000</f>
        <v>60000</v>
      </c>
      <c r="I153" s="72"/>
      <c r="J153" s="490">
        <f t="shared" si="50"/>
        <v>330481.66666666698</v>
      </c>
      <c r="K153" s="490">
        <v>213508.01</v>
      </c>
      <c r="L153" s="490">
        <f t="shared" si="51"/>
        <v>116973.656666667</v>
      </c>
      <c r="M153" s="492">
        <v>39052.313066666698</v>
      </c>
      <c r="N153" s="491">
        <v>23036.012346666699</v>
      </c>
      <c r="O153" s="492">
        <f t="shared" si="49"/>
        <v>16016.300719999999</v>
      </c>
      <c r="P153" s="12"/>
    </row>
    <row r="154" spans="1:16" ht="20.100000000000001" customHeight="1">
      <c r="A154" s="26">
        <v>21</v>
      </c>
      <c r="B154" s="10" t="s">
        <v>549</v>
      </c>
      <c r="C154" s="11" t="s">
        <v>550</v>
      </c>
      <c r="D154" s="14" t="s">
        <v>453</v>
      </c>
      <c r="E154" s="202">
        <v>308901.5</v>
      </c>
      <c r="F154" s="72"/>
      <c r="G154" s="202"/>
      <c r="H154" s="202">
        <f>50000+10000</f>
        <v>60000</v>
      </c>
      <c r="I154" s="72"/>
      <c r="J154" s="490">
        <f t="shared" si="50"/>
        <v>368901.5</v>
      </c>
      <c r="K154" s="490">
        <v>237734.04699999999</v>
      </c>
      <c r="L154" s="490">
        <f t="shared" si="51"/>
        <v>131167.45300000001</v>
      </c>
      <c r="M154" s="492">
        <v>44913.699618666702</v>
      </c>
      <c r="N154" s="491">
        <v>27029.2036746667</v>
      </c>
      <c r="O154" s="492">
        <f t="shared" si="49"/>
        <v>17884.495943999998</v>
      </c>
      <c r="P154" s="12"/>
    </row>
    <row r="155" spans="1:16" ht="20.100000000000001" customHeight="1">
      <c r="A155" s="26">
        <v>22</v>
      </c>
      <c r="B155" s="10" t="s">
        <v>551</v>
      </c>
      <c r="C155" s="11" t="s">
        <v>552</v>
      </c>
      <c r="D155" s="14" t="s">
        <v>387</v>
      </c>
      <c r="E155" s="202">
        <v>270481.66666666698</v>
      </c>
      <c r="F155" s="72"/>
      <c r="G155" s="202"/>
      <c r="H155" s="202">
        <f>50000+10000</f>
        <v>60000</v>
      </c>
      <c r="I155" s="72"/>
      <c r="J155" s="490">
        <f t="shared" si="50"/>
        <v>330481.66666666698</v>
      </c>
      <c r="K155" s="490">
        <v>209356.04725</v>
      </c>
      <c r="L155" s="490">
        <f t="shared" si="51"/>
        <v>121125.619416667</v>
      </c>
      <c r="M155" s="492">
        <v>39052.313066666698</v>
      </c>
      <c r="N155" s="491">
        <v>22338.4826046667</v>
      </c>
      <c r="O155" s="492">
        <f t="shared" si="49"/>
        <v>16713.830462000002</v>
      </c>
      <c r="P155" s="12"/>
    </row>
    <row r="156" spans="1:16" ht="20.100000000000001" customHeight="1">
      <c r="A156" s="26">
        <v>23</v>
      </c>
      <c r="B156" s="17" t="s">
        <v>553</v>
      </c>
      <c r="C156" s="11" t="s">
        <v>554</v>
      </c>
      <c r="D156" s="14" t="s">
        <v>55</v>
      </c>
      <c r="E156" s="202">
        <v>255849</v>
      </c>
      <c r="F156" s="72"/>
      <c r="G156" s="202"/>
      <c r="H156" s="202">
        <f>60000</f>
        <v>60000</v>
      </c>
      <c r="I156" s="3"/>
      <c r="J156" s="490">
        <f t="shared" si="50"/>
        <v>315849</v>
      </c>
      <c r="K156" s="490">
        <v>205204.0845</v>
      </c>
      <c r="L156" s="490">
        <f t="shared" si="51"/>
        <v>110644.9155</v>
      </c>
      <c r="M156" s="492">
        <v>36790.688106666697</v>
      </c>
      <c r="N156" s="491">
        <v>21640.952862666702</v>
      </c>
      <c r="O156" s="492">
        <f t="shared" si="49"/>
        <v>15149.735244</v>
      </c>
      <c r="P156" s="12"/>
    </row>
    <row r="157" spans="1:16" ht="20.100000000000001" customHeight="1">
      <c r="A157" s="26">
        <v>24</v>
      </c>
      <c r="B157" s="17" t="s">
        <v>555</v>
      </c>
      <c r="C157" s="11" t="s">
        <v>556</v>
      </c>
      <c r="D157" s="14" t="s">
        <v>402</v>
      </c>
      <c r="E157" s="72">
        <v>224459.75</v>
      </c>
      <c r="F157" s="72"/>
      <c r="G157" s="202"/>
      <c r="H157" s="202">
        <f>50000</f>
        <v>50000</v>
      </c>
      <c r="I157" s="72"/>
      <c r="J157" s="490">
        <f t="shared" si="50"/>
        <v>274459.75</v>
      </c>
      <c r="K157" s="490">
        <v>176816.1</v>
      </c>
      <c r="L157" s="490">
        <f t="shared" si="51"/>
        <v>97643.65</v>
      </c>
      <c r="M157" s="492">
        <v>30259.165626666701</v>
      </c>
      <c r="N157" s="491">
        <v>17042.713866666702</v>
      </c>
      <c r="O157" s="492">
        <f t="shared" si="49"/>
        <v>13216.45176</v>
      </c>
      <c r="P157" s="12"/>
    </row>
    <row r="158" spans="1:16" ht="20.100000000000001" customHeight="1">
      <c r="A158" s="26">
        <v>25</v>
      </c>
      <c r="B158" s="17" t="s">
        <v>557</v>
      </c>
      <c r="C158" s="11" t="s">
        <v>558</v>
      </c>
      <c r="D158" s="14" t="s">
        <v>402</v>
      </c>
      <c r="E158" s="72">
        <v>224459.75</v>
      </c>
      <c r="F158" s="72"/>
      <c r="G158" s="202"/>
      <c r="H158" s="202">
        <f>50000</f>
        <v>50000</v>
      </c>
      <c r="I158" s="72"/>
      <c r="J158" s="490">
        <f t="shared" si="50"/>
        <v>274459.75</v>
      </c>
      <c r="K158" s="490">
        <v>176816.1</v>
      </c>
      <c r="L158" s="490">
        <f t="shared" si="51"/>
        <v>97643.65</v>
      </c>
      <c r="M158" s="492">
        <v>30259.165626666701</v>
      </c>
      <c r="N158" s="491">
        <v>17042.713866666702</v>
      </c>
      <c r="O158" s="492">
        <f t="shared" si="49"/>
        <v>13216.45176</v>
      </c>
      <c r="P158" s="12"/>
    </row>
    <row r="159" spans="1:16" ht="20.100000000000001" customHeight="1">
      <c r="A159" s="26">
        <v>26</v>
      </c>
      <c r="B159" s="17" t="s">
        <v>559</v>
      </c>
      <c r="C159" s="11" t="s">
        <v>560</v>
      </c>
      <c r="D159" s="14" t="s">
        <v>402</v>
      </c>
      <c r="E159" s="72">
        <v>224459.75</v>
      </c>
      <c r="F159" s="72"/>
      <c r="G159" s="202"/>
      <c r="H159" s="202">
        <f>50000</f>
        <v>50000</v>
      </c>
      <c r="I159" s="72"/>
      <c r="J159" s="490">
        <f t="shared" si="50"/>
        <v>274459.75</v>
      </c>
      <c r="K159" s="490">
        <v>176816.1</v>
      </c>
      <c r="L159" s="490">
        <f t="shared" si="51"/>
        <v>97643.65</v>
      </c>
      <c r="M159" s="492">
        <v>30259.165626666701</v>
      </c>
      <c r="N159" s="491">
        <v>17042.713866666702</v>
      </c>
      <c r="O159" s="492">
        <f t="shared" si="49"/>
        <v>13216.45176</v>
      </c>
      <c r="P159" s="12"/>
    </row>
    <row r="160" spans="1:16" ht="20.100000000000001" customHeight="1">
      <c r="A160" s="26">
        <v>27</v>
      </c>
      <c r="B160" s="17" t="s">
        <v>561</v>
      </c>
      <c r="C160" s="11" t="s">
        <v>562</v>
      </c>
      <c r="D160" s="14" t="s">
        <v>399</v>
      </c>
      <c r="E160" s="72">
        <v>230631.91666666701</v>
      </c>
      <c r="F160" s="72"/>
      <c r="G160" s="202"/>
      <c r="H160" s="202">
        <f>50000</f>
        <v>50000</v>
      </c>
      <c r="I160" s="72"/>
      <c r="J160" s="490">
        <f t="shared" si="50"/>
        <v>280631.91666666698</v>
      </c>
      <c r="K160" s="490">
        <v>180304.068</v>
      </c>
      <c r="L160" s="490">
        <f t="shared" si="51"/>
        <v>100327.84866666701</v>
      </c>
      <c r="M160" s="492">
        <v>31213.135706666701</v>
      </c>
      <c r="N160" s="491">
        <v>17572.885002666699</v>
      </c>
      <c r="O160" s="492">
        <f t="shared" si="49"/>
        <v>13640.250704</v>
      </c>
      <c r="P160" s="12"/>
    </row>
    <row r="161" spans="1:16" ht="20.100000000000001" customHeight="1">
      <c r="A161" s="26">
        <v>28</v>
      </c>
      <c r="B161" s="17" t="s">
        <v>563</v>
      </c>
      <c r="C161" s="11" t="s">
        <v>558</v>
      </c>
      <c r="D161" s="14" t="s">
        <v>402</v>
      </c>
      <c r="E161" s="72">
        <v>224459.75</v>
      </c>
      <c r="F161" s="72"/>
      <c r="G161" s="202"/>
      <c r="H161" s="202">
        <f>50000</f>
        <v>50000</v>
      </c>
      <c r="I161" s="72"/>
      <c r="J161" s="490">
        <f t="shared" si="50"/>
        <v>274459.75</v>
      </c>
      <c r="K161" s="490">
        <v>176816.1</v>
      </c>
      <c r="L161" s="490">
        <f t="shared" si="51"/>
        <v>97643.65</v>
      </c>
      <c r="M161" s="492">
        <v>30259.165626666701</v>
      </c>
      <c r="N161" s="491">
        <v>17042.713866666702</v>
      </c>
      <c r="O161" s="492">
        <f t="shared" si="49"/>
        <v>13216.45176</v>
      </c>
      <c r="P161" s="12"/>
    </row>
    <row r="162" spans="1:16" ht="20.100000000000001" customHeight="1">
      <c r="A162" s="26">
        <v>29</v>
      </c>
      <c r="B162" s="10" t="s">
        <v>564</v>
      </c>
      <c r="C162" s="11" t="s">
        <v>565</v>
      </c>
      <c r="D162" s="14" t="s">
        <v>566</v>
      </c>
      <c r="E162" s="208">
        <v>168598.16666666701</v>
      </c>
      <c r="F162" s="202"/>
      <c r="G162" s="202"/>
      <c r="H162" s="202">
        <f>30000</f>
        <v>30000</v>
      </c>
      <c r="I162" s="72">
        <f>4000</f>
        <v>4000</v>
      </c>
      <c r="J162" s="490">
        <f t="shared" si="50"/>
        <v>202598.16666666701</v>
      </c>
      <c r="K162" s="490">
        <v>135590.73000000001</v>
      </c>
      <c r="L162" s="490">
        <f t="shared" si="51"/>
        <v>67007.436666666996</v>
      </c>
      <c r="M162" s="492">
        <v>18892.9833866667</v>
      </c>
      <c r="N162" s="491">
        <v>10739.3048</v>
      </c>
      <c r="O162" s="492">
        <f t="shared" si="49"/>
        <v>8153.6785866666996</v>
      </c>
      <c r="P162" s="12"/>
    </row>
    <row r="163" spans="1:16" ht="20.100000000000001" customHeight="1">
      <c r="A163" s="26">
        <v>30</v>
      </c>
      <c r="B163" s="10" t="s">
        <v>567</v>
      </c>
      <c r="C163" s="11" t="s">
        <v>565</v>
      </c>
      <c r="D163" s="14" t="s">
        <v>566</v>
      </c>
      <c r="E163" s="208">
        <v>168598.16666666701</v>
      </c>
      <c r="F163" s="202"/>
      <c r="G163" s="202"/>
      <c r="H163" s="202">
        <f>30000</f>
        <v>30000</v>
      </c>
      <c r="I163" s="72">
        <f>7000</f>
        <v>7000</v>
      </c>
      <c r="J163" s="490">
        <f t="shared" si="50"/>
        <v>205598.16666666701</v>
      </c>
      <c r="K163" s="490">
        <v>138590.73000000001</v>
      </c>
      <c r="L163" s="490">
        <f t="shared" si="51"/>
        <v>67007.436666666996</v>
      </c>
      <c r="M163" s="492">
        <v>19441.199306666698</v>
      </c>
      <c r="N163" s="491">
        <v>11232.457626666701</v>
      </c>
      <c r="O163" s="492">
        <f t="shared" si="49"/>
        <v>8208.7416799999992</v>
      </c>
      <c r="P163" s="12"/>
    </row>
    <row r="164" spans="1:16" ht="20.100000000000001" customHeight="1">
      <c r="A164" s="26">
        <v>31</v>
      </c>
      <c r="B164" s="10" t="s">
        <v>568</v>
      </c>
      <c r="C164" s="11" t="s">
        <v>565</v>
      </c>
      <c r="D164" s="14" t="s">
        <v>566</v>
      </c>
      <c r="E164" s="208">
        <v>168598.16666666701</v>
      </c>
      <c r="F164" s="202"/>
      <c r="G164" s="202"/>
      <c r="H164" s="202">
        <f>30000</f>
        <v>30000</v>
      </c>
      <c r="I164" s="72">
        <f>4000</f>
        <v>4000</v>
      </c>
      <c r="J164" s="490">
        <f t="shared" si="50"/>
        <v>202598.16666666701</v>
      </c>
      <c r="K164" s="490">
        <v>135590.73000000001</v>
      </c>
      <c r="L164" s="490">
        <f t="shared" si="51"/>
        <v>67007.436666666996</v>
      </c>
      <c r="M164" s="492">
        <v>18937.199306666698</v>
      </c>
      <c r="N164" s="491">
        <v>10776.457626666701</v>
      </c>
      <c r="O164" s="492">
        <f t="shared" si="49"/>
        <v>8160.7416800000001</v>
      </c>
      <c r="P164" s="12"/>
    </row>
    <row r="165" spans="1:16" ht="20.100000000000001" customHeight="1">
      <c r="A165" s="26">
        <v>32</v>
      </c>
      <c r="B165" s="10" t="s">
        <v>569</v>
      </c>
      <c r="C165" s="11" t="s">
        <v>565</v>
      </c>
      <c r="D165" s="14" t="s">
        <v>566</v>
      </c>
      <c r="E165" s="208">
        <v>168598.16666666701</v>
      </c>
      <c r="F165" s="202"/>
      <c r="G165" s="202"/>
      <c r="H165" s="202">
        <f>30000</f>
        <v>30000</v>
      </c>
      <c r="I165" s="72">
        <f>4000</f>
        <v>4000</v>
      </c>
      <c r="J165" s="490">
        <f t="shared" si="50"/>
        <v>202598.16666666701</v>
      </c>
      <c r="K165" s="490">
        <v>135590.73000000001</v>
      </c>
      <c r="L165" s="490">
        <f t="shared" si="51"/>
        <v>67007.436666666996</v>
      </c>
      <c r="M165" s="492">
        <v>18892.9833866667</v>
      </c>
      <c r="N165" s="491">
        <v>10739.3048</v>
      </c>
      <c r="O165" s="492">
        <f t="shared" si="49"/>
        <v>8153.6785866666996</v>
      </c>
      <c r="P165" s="12"/>
    </row>
    <row r="166" spans="1:16" ht="20.100000000000001" customHeight="1">
      <c r="A166" s="26">
        <v>33</v>
      </c>
      <c r="B166" s="10" t="s">
        <v>570</v>
      </c>
      <c r="C166" s="11" t="s">
        <v>565</v>
      </c>
      <c r="D166" s="14" t="s">
        <v>566</v>
      </c>
      <c r="E166" s="208">
        <v>168598.16666666701</v>
      </c>
      <c r="F166" s="202"/>
      <c r="G166" s="202"/>
      <c r="H166" s="202">
        <f>30000</f>
        <v>30000</v>
      </c>
      <c r="I166" s="72">
        <f>4000</f>
        <v>4000</v>
      </c>
      <c r="J166" s="490">
        <f t="shared" si="50"/>
        <v>202598.16666666701</v>
      </c>
      <c r="K166" s="490">
        <v>135590.73000000001</v>
      </c>
      <c r="L166" s="490">
        <f t="shared" si="51"/>
        <v>67007.436666666996</v>
      </c>
      <c r="M166" s="492">
        <v>18937.199306666698</v>
      </c>
      <c r="N166" s="491">
        <v>10776.457626666701</v>
      </c>
      <c r="O166" s="492">
        <f t="shared" si="49"/>
        <v>8160.7416800000001</v>
      </c>
      <c r="P166" s="12"/>
    </row>
    <row r="167" spans="1:16" ht="20.100000000000001" customHeight="1">
      <c r="A167" s="26">
        <v>34</v>
      </c>
      <c r="B167" s="10" t="s">
        <v>571</v>
      </c>
      <c r="C167" s="11" t="s">
        <v>565</v>
      </c>
      <c r="D167" s="14" t="s">
        <v>572</v>
      </c>
      <c r="E167" s="208">
        <v>163336.83333333299</v>
      </c>
      <c r="F167" s="202"/>
      <c r="G167" s="202"/>
      <c r="H167" s="202">
        <f>20000+10000</f>
        <v>30000</v>
      </c>
      <c r="I167" s="72">
        <f>7000</f>
        <v>7000</v>
      </c>
      <c r="J167" s="490">
        <f t="shared" si="50"/>
        <v>200336.83333333299</v>
      </c>
      <c r="K167" s="490">
        <v>138590.73000000001</v>
      </c>
      <c r="L167" s="490">
        <f t="shared" si="51"/>
        <v>61746.103333332998</v>
      </c>
      <c r="M167" s="492">
        <v>18631.689439999998</v>
      </c>
      <c r="N167" s="491">
        <v>11232.457626666701</v>
      </c>
      <c r="O167" s="492">
        <f t="shared" si="49"/>
        <v>7399.2318133333001</v>
      </c>
      <c r="P167" s="12"/>
    </row>
    <row r="168" spans="1:16" ht="20.100000000000001" customHeight="1">
      <c r="A168" s="26">
        <v>35</v>
      </c>
      <c r="B168" s="10" t="s">
        <v>573</v>
      </c>
      <c r="C168" s="11" t="s">
        <v>565</v>
      </c>
      <c r="D168" s="14" t="s">
        <v>572</v>
      </c>
      <c r="E168" s="208">
        <v>163336.83333333299</v>
      </c>
      <c r="F168" s="202"/>
      <c r="G168" s="202"/>
      <c r="H168" s="202">
        <f t="shared" ref="H168:H172" si="53">20000+10000</f>
        <v>30000</v>
      </c>
      <c r="I168" s="72">
        <f>4000</f>
        <v>4000</v>
      </c>
      <c r="J168" s="490">
        <f t="shared" si="50"/>
        <v>197336.83333333299</v>
      </c>
      <c r="K168" s="490">
        <v>135590.73000000001</v>
      </c>
      <c r="L168" s="490">
        <f t="shared" si="51"/>
        <v>61746.103333332998</v>
      </c>
      <c r="M168" s="492">
        <v>18175.689439999998</v>
      </c>
      <c r="N168" s="491">
        <v>10776.457626666701</v>
      </c>
      <c r="O168" s="492">
        <f t="shared" si="49"/>
        <v>7399.2318133333001</v>
      </c>
      <c r="P168" s="12"/>
    </row>
    <row r="169" spans="1:16" ht="20.100000000000001" customHeight="1">
      <c r="A169" s="26">
        <v>36</v>
      </c>
      <c r="B169" s="13" t="s">
        <v>574</v>
      </c>
      <c r="C169" s="11" t="s">
        <v>565</v>
      </c>
      <c r="D169" s="14" t="s">
        <v>572</v>
      </c>
      <c r="E169" s="208">
        <v>163336.83333333299</v>
      </c>
      <c r="F169" s="202"/>
      <c r="G169" s="202"/>
      <c r="H169" s="202">
        <f t="shared" si="53"/>
        <v>30000</v>
      </c>
      <c r="I169" s="72">
        <f>7000</f>
        <v>7000</v>
      </c>
      <c r="J169" s="490">
        <f t="shared" si="50"/>
        <v>200336.83333333299</v>
      </c>
      <c r="K169" s="490">
        <v>138590.73000000001</v>
      </c>
      <c r="L169" s="490">
        <f t="shared" si="51"/>
        <v>61746.103333332998</v>
      </c>
      <c r="M169" s="492">
        <v>18631.689439999998</v>
      </c>
      <c r="N169" s="491">
        <v>11232.457626666701</v>
      </c>
      <c r="O169" s="492">
        <f t="shared" si="49"/>
        <v>7399.2318133333001</v>
      </c>
      <c r="P169" s="12"/>
    </row>
    <row r="170" spans="1:16" ht="20.100000000000001" customHeight="1">
      <c r="A170" s="26">
        <v>37</v>
      </c>
      <c r="B170" s="10" t="s">
        <v>575</v>
      </c>
      <c r="C170" s="11" t="s">
        <v>565</v>
      </c>
      <c r="D170" s="14" t="s">
        <v>572</v>
      </c>
      <c r="E170" s="208">
        <v>163336.83333333299</v>
      </c>
      <c r="F170" s="202"/>
      <c r="G170" s="202"/>
      <c r="H170" s="202">
        <f t="shared" si="53"/>
        <v>30000</v>
      </c>
      <c r="I170" s="72">
        <f>4000</f>
        <v>4000</v>
      </c>
      <c r="J170" s="490">
        <f t="shared" si="50"/>
        <v>197336.83333333299</v>
      </c>
      <c r="K170" s="490">
        <v>135590.73000000001</v>
      </c>
      <c r="L170" s="490">
        <f t="shared" si="51"/>
        <v>61746.103333332998</v>
      </c>
      <c r="M170" s="492">
        <v>18175.689439999998</v>
      </c>
      <c r="N170" s="491">
        <v>10776.457626666701</v>
      </c>
      <c r="O170" s="492">
        <f t="shared" si="49"/>
        <v>7399.2318133333001</v>
      </c>
      <c r="P170" s="12"/>
    </row>
    <row r="171" spans="1:16" ht="20.100000000000001" customHeight="1">
      <c r="A171" s="26">
        <v>38</v>
      </c>
      <c r="B171" s="17" t="s">
        <v>576</v>
      </c>
      <c r="C171" s="11" t="s">
        <v>565</v>
      </c>
      <c r="D171" s="14" t="s">
        <v>572</v>
      </c>
      <c r="E171" s="208">
        <v>163336.83333333299</v>
      </c>
      <c r="F171" s="202"/>
      <c r="G171" s="202"/>
      <c r="H171" s="202">
        <f t="shared" si="53"/>
        <v>30000</v>
      </c>
      <c r="I171" s="72">
        <f>4000</f>
        <v>4000</v>
      </c>
      <c r="J171" s="490">
        <f t="shared" si="50"/>
        <v>197336.83333333299</v>
      </c>
      <c r="K171" s="490">
        <v>135590.73000000001</v>
      </c>
      <c r="L171" s="490">
        <f t="shared" si="51"/>
        <v>61746.103333332998</v>
      </c>
      <c r="M171" s="492">
        <v>18175.689439999998</v>
      </c>
      <c r="N171" s="491">
        <v>10776.457626666701</v>
      </c>
      <c r="O171" s="492">
        <f t="shared" si="49"/>
        <v>7399.2318133333001</v>
      </c>
      <c r="P171" s="12"/>
    </row>
    <row r="172" spans="1:16" ht="20.100000000000001" customHeight="1">
      <c r="A172" s="26">
        <v>39</v>
      </c>
      <c r="B172" s="17" t="s">
        <v>577</v>
      </c>
      <c r="C172" s="11" t="s">
        <v>565</v>
      </c>
      <c r="D172" s="14" t="s">
        <v>572</v>
      </c>
      <c r="E172" s="208">
        <v>163336.83333333299</v>
      </c>
      <c r="F172" s="202"/>
      <c r="G172" s="202"/>
      <c r="H172" s="202">
        <f t="shared" si="53"/>
        <v>30000</v>
      </c>
      <c r="I172" s="72">
        <f t="shared" ref="I172:I177" si="54">7000</f>
        <v>7000</v>
      </c>
      <c r="J172" s="490">
        <f t="shared" si="50"/>
        <v>200336.83333333299</v>
      </c>
      <c r="K172" s="490">
        <v>138590.73000000001</v>
      </c>
      <c r="L172" s="490">
        <f t="shared" si="51"/>
        <v>61746.103333332998</v>
      </c>
      <c r="M172" s="492">
        <v>18631.689439999998</v>
      </c>
      <c r="N172" s="491">
        <v>11232.457626666701</v>
      </c>
      <c r="O172" s="492">
        <f t="shared" si="49"/>
        <v>7399.2318133333001</v>
      </c>
      <c r="P172" s="12"/>
    </row>
    <row r="173" spans="1:16" ht="20.100000000000001" customHeight="1">
      <c r="A173" s="26">
        <v>40</v>
      </c>
      <c r="B173" s="10" t="s">
        <v>578</v>
      </c>
      <c r="C173" s="11" t="s">
        <v>579</v>
      </c>
      <c r="D173" s="14" t="s">
        <v>580</v>
      </c>
      <c r="E173" s="72">
        <v>152814.16666666701</v>
      </c>
      <c r="F173" s="202"/>
      <c r="G173" s="202"/>
      <c r="H173" s="202">
        <f>30000</f>
        <v>30000</v>
      </c>
      <c r="I173" s="72">
        <f t="shared" si="54"/>
        <v>7000</v>
      </c>
      <c r="J173" s="490">
        <f t="shared" si="50"/>
        <v>189814.16666666701</v>
      </c>
      <c r="K173" s="490">
        <v>122104.99825</v>
      </c>
      <c r="L173" s="490">
        <f t="shared" si="51"/>
        <v>67709.168416667002</v>
      </c>
      <c r="M173" s="492">
        <v>17160.199733333298</v>
      </c>
      <c r="N173" s="491">
        <v>9152.5997900000002</v>
      </c>
      <c r="O173" s="492">
        <f t="shared" si="49"/>
        <v>8007.5999433333</v>
      </c>
      <c r="P173" s="12"/>
    </row>
    <row r="174" spans="1:16" ht="20.100000000000001" customHeight="1">
      <c r="A174" s="26">
        <v>41</v>
      </c>
      <c r="B174" s="10" t="s">
        <v>581</v>
      </c>
      <c r="C174" s="11" t="s">
        <v>579</v>
      </c>
      <c r="D174" s="14" t="s">
        <v>580</v>
      </c>
      <c r="E174" s="72">
        <v>152814.16666666701</v>
      </c>
      <c r="F174" s="202"/>
      <c r="G174" s="202"/>
      <c r="H174" s="202">
        <f>30000</f>
        <v>30000</v>
      </c>
      <c r="I174" s="72">
        <f t="shared" si="54"/>
        <v>7000</v>
      </c>
      <c r="J174" s="490">
        <f t="shared" si="50"/>
        <v>189814.16666666701</v>
      </c>
      <c r="K174" s="490">
        <v>122104.99825</v>
      </c>
      <c r="L174" s="490">
        <f t="shared" si="51"/>
        <v>67709.168416667002</v>
      </c>
      <c r="M174" s="492">
        <v>17160.199733333298</v>
      </c>
      <c r="N174" s="491">
        <v>9152.5997900000002</v>
      </c>
      <c r="O174" s="492">
        <f t="shared" si="49"/>
        <v>8007.5999433333</v>
      </c>
      <c r="P174" s="12"/>
    </row>
    <row r="175" spans="1:16" ht="20.100000000000001" customHeight="1">
      <c r="A175" s="26">
        <v>42</v>
      </c>
      <c r="B175" s="17" t="s">
        <v>582</v>
      </c>
      <c r="C175" s="11" t="s">
        <v>579</v>
      </c>
      <c r="D175" s="14" t="s">
        <v>583</v>
      </c>
      <c r="E175" s="72">
        <v>158075.5</v>
      </c>
      <c r="F175" s="202"/>
      <c r="G175" s="202"/>
      <c r="H175" s="202">
        <f>30000</f>
        <v>30000</v>
      </c>
      <c r="I175" s="72">
        <f t="shared" si="54"/>
        <v>7000</v>
      </c>
      <c r="J175" s="490">
        <f t="shared" si="50"/>
        <v>195075.5</v>
      </c>
      <c r="K175" s="490">
        <v>125035.03449999999</v>
      </c>
      <c r="L175" s="490">
        <f t="shared" si="51"/>
        <v>70040.465500000006</v>
      </c>
      <c r="M175" s="492">
        <v>17895.944586666701</v>
      </c>
      <c r="N175" s="491">
        <v>9504.2041399999998</v>
      </c>
      <c r="O175" s="492">
        <f t="shared" si="49"/>
        <v>8391.7404466666994</v>
      </c>
      <c r="P175" s="12"/>
    </row>
    <row r="176" spans="1:16" ht="20.100000000000001" customHeight="1">
      <c r="A176" s="26">
        <v>43</v>
      </c>
      <c r="B176" s="10" t="s">
        <v>584</v>
      </c>
      <c r="C176" s="11" t="s">
        <v>585</v>
      </c>
      <c r="D176" s="14" t="s">
        <v>586</v>
      </c>
      <c r="E176" s="72">
        <v>94145.75</v>
      </c>
      <c r="F176" s="202"/>
      <c r="G176" s="202"/>
      <c r="H176" s="202">
        <f t="shared" ref="H176:H183" si="55">20000</f>
        <v>20000</v>
      </c>
      <c r="I176" s="72">
        <f t="shared" si="54"/>
        <v>7000</v>
      </c>
      <c r="J176" s="490">
        <f t="shared" si="50"/>
        <v>121145.75</v>
      </c>
      <c r="K176" s="490">
        <v>81803.001000000004</v>
      </c>
      <c r="L176" s="490">
        <f t="shared" si="51"/>
        <v>39342.749000000003</v>
      </c>
      <c r="M176" s="492">
        <v>8133.6908000000003</v>
      </c>
      <c r="N176" s="491">
        <v>4365.3307546666701</v>
      </c>
      <c r="O176" s="492">
        <f t="shared" si="49"/>
        <v>3768.3600453333302</v>
      </c>
      <c r="P176" s="12"/>
    </row>
    <row r="177" spans="1:16" ht="20.100000000000001" customHeight="1">
      <c r="A177" s="26">
        <v>44</v>
      </c>
      <c r="B177" s="10" t="s">
        <v>587</v>
      </c>
      <c r="C177" s="11" t="s">
        <v>588</v>
      </c>
      <c r="D177" s="14" t="s">
        <v>589</v>
      </c>
      <c r="E177" s="72">
        <v>91598</v>
      </c>
      <c r="F177" s="202"/>
      <c r="G177" s="202"/>
      <c r="H177" s="202">
        <f t="shared" si="55"/>
        <v>20000</v>
      </c>
      <c r="I177" s="72">
        <f t="shared" si="54"/>
        <v>7000</v>
      </c>
      <c r="J177" s="490">
        <f t="shared" si="50"/>
        <v>118598</v>
      </c>
      <c r="K177" s="490">
        <v>80237.012000000002</v>
      </c>
      <c r="L177" s="490">
        <f t="shared" si="51"/>
        <v>38360.987999999998</v>
      </c>
      <c r="M177" s="492">
        <v>7852.4192000000003</v>
      </c>
      <c r="N177" s="491">
        <v>4227.5237226666704</v>
      </c>
      <c r="O177" s="492">
        <f t="shared" si="49"/>
        <v>3624.8954773333298</v>
      </c>
      <c r="P177" s="12"/>
    </row>
    <row r="178" spans="1:16" ht="20.100000000000001" customHeight="1">
      <c r="A178" s="26">
        <v>45</v>
      </c>
      <c r="B178" s="10" t="s">
        <v>590</v>
      </c>
      <c r="C178" s="11" t="s">
        <v>588</v>
      </c>
      <c r="D178" s="14" t="s">
        <v>589</v>
      </c>
      <c r="E178" s="72">
        <v>91598</v>
      </c>
      <c r="F178" s="202"/>
      <c r="G178" s="202"/>
      <c r="H178" s="202">
        <f t="shared" si="55"/>
        <v>20000</v>
      </c>
      <c r="I178" s="72">
        <f>4000</f>
        <v>4000</v>
      </c>
      <c r="J178" s="490">
        <f t="shared" si="50"/>
        <v>115598</v>
      </c>
      <c r="K178" s="490">
        <v>77237.012000000002</v>
      </c>
      <c r="L178" s="490">
        <f t="shared" si="51"/>
        <v>38360.987999999998</v>
      </c>
      <c r="M178" s="492">
        <v>7492.4192000000003</v>
      </c>
      <c r="N178" s="491">
        <v>3963.52372266667</v>
      </c>
      <c r="O178" s="492">
        <f t="shared" si="49"/>
        <v>3528.8954773333298</v>
      </c>
      <c r="P178" s="12"/>
    </row>
    <row r="179" spans="1:16" ht="20.100000000000001" customHeight="1">
      <c r="A179" s="26">
        <v>46</v>
      </c>
      <c r="B179" s="10" t="s">
        <v>591</v>
      </c>
      <c r="C179" s="11" t="s">
        <v>588</v>
      </c>
      <c r="D179" s="14" t="s">
        <v>589</v>
      </c>
      <c r="E179" s="72">
        <v>91598</v>
      </c>
      <c r="F179" s="202"/>
      <c r="G179" s="202"/>
      <c r="H179" s="202">
        <f t="shared" si="55"/>
        <v>20000</v>
      </c>
      <c r="I179" s="72">
        <f>7000</f>
        <v>7000</v>
      </c>
      <c r="J179" s="490">
        <f t="shared" si="50"/>
        <v>118598</v>
      </c>
      <c r="K179" s="490">
        <v>80237.012000000002</v>
      </c>
      <c r="L179" s="490">
        <f t="shared" si="51"/>
        <v>38360.987999999998</v>
      </c>
      <c r="M179" s="492">
        <v>7852.4192000000003</v>
      </c>
      <c r="N179" s="491">
        <v>4227.5237226666704</v>
      </c>
      <c r="O179" s="492">
        <f t="shared" si="49"/>
        <v>3624.8954773333298</v>
      </c>
      <c r="P179" s="12"/>
    </row>
    <row r="180" spans="1:16" ht="20.100000000000001" customHeight="1">
      <c r="A180" s="26">
        <v>47</v>
      </c>
      <c r="B180" s="10" t="s">
        <v>592</v>
      </c>
      <c r="C180" s="11" t="s">
        <v>588</v>
      </c>
      <c r="D180" s="14" t="s">
        <v>589</v>
      </c>
      <c r="E180" s="72">
        <v>91598</v>
      </c>
      <c r="F180" s="202"/>
      <c r="G180" s="202"/>
      <c r="H180" s="202">
        <f t="shared" si="55"/>
        <v>20000</v>
      </c>
      <c r="I180" s="72">
        <f>4000</f>
        <v>4000</v>
      </c>
      <c r="J180" s="490">
        <f t="shared" si="50"/>
        <v>115598</v>
      </c>
      <c r="K180" s="490">
        <v>77237.012000000002</v>
      </c>
      <c r="L180" s="490">
        <f t="shared" si="51"/>
        <v>38360.987999999998</v>
      </c>
      <c r="M180" s="492">
        <v>7492.4192000000003</v>
      </c>
      <c r="N180" s="491">
        <v>3963.52372266667</v>
      </c>
      <c r="O180" s="492">
        <f t="shared" si="49"/>
        <v>3528.8954773333298</v>
      </c>
      <c r="P180" s="12"/>
    </row>
    <row r="181" spans="1:16" ht="20.100000000000001" customHeight="1">
      <c r="A181" s="26">
        <v>48</v>
      </c>
      <c r="B181" s="10" t="s">
        <v>593</v>
      </c>
      <c r="C181" s="11" t="s">
        <v>588</v>
      </c>
      <c r="D181" s="14" t="s">
        <v>589</v>
      </c>
      <c r="E181" s="72">
        <v>91598</v>
      </c>
      <c r="F181" s="202"/>
      <c r="G181" s="202"/>
      <c r="H181" s="202">
        <f t="shared" si="55"/>
        <v>20000</v>
      </c>
      <c r="I181" s="72">
        <f>7000</f>
        <v>7000</v>
      </c>
      <c r="J181" s="490">
        <f t="shared" si="50"/>
        <v>118598</v>
      </c>
      <c r="K181" s="490">
        <v>80237.012000000002</v>
      </c>
      <c r="L181" s="490">
        <f t="shared" si="51"/>
        <v>38360.987999999998</v>
      </c>
      <c r="M181" s="492">
        <v>7852.4192000000003</v>
      </c>
      <c r="N181" s="491">
        <v>4227.5237226666704</v>
      </c>
      <c r="O181" s="492">
        <f t="shared" si="49"/>
        <v>3624.8954773333298</v>
      </c>
      <c r="P181" s="12"/>
    </row>
    <row r="182" spans="1:16" ht="20.100000000000001" customHeight="1">
      <c r="A182" s="26">
        <v>49</v>
      </c>
      <c r="B182" s="17" t="s">
        <v>594</v>
      </c>
      <c r="C182" s="11" t="s">
        <v>588</v>
      </c>
      <c r="D182" s="14" t="s">
        <v>589</v>
      </c>
      <c r="E182" s="72">
        <v>91598</v>
      </c>
      <c r="F182" s="202"/>
      <c r="G182" s="202"/>
      <c r="H182" s="202">
        <f t="shared" si="55"/>
        <v>20000</v>
      </c>
      <c r="I182" s="72">
        <f>4000</f>
        <v>4000</v>
      </c>
      <c r="J182" s="490">
        <f t="shared" si="50"/>
        <v>115598</v>
      </c>
      <c r="K182" s="490">
        <v>77237.012000000002</v>
      </c>
      <c r="L182" s="490">
        <f t="shared" si="51"/>
        <v>38360.987999999998</v>
      </c>
      <c r="M182" s="492">
        <v>7492.4192000000003</v>
      </c>
      <c r="N182" s="491">
        <v>3963.52372266667</v>
      </c>
      <c r="O182" s="492">
        <f t="shared" si="49"/>
        <v>3528.8954773333298</v>
      </c>
      <c r="P182" s="12"/>
    </row>
    <row r="183" spans="1:16" ht="20.100000000000001" customHeight="1">
      <c r="A183" s="26">
        <v>50</v>
      </c>
      <c r="B183" s="17" t="s">
        <v>595</v>
      </c>
      <c r="C183" s="11" t="s">
        <v>588</v>
      </c>
      <c r="D183" s="14" t="s">
        <v>589</v>
      </c>
      <c r="E183" s="72">
        <v>91598</v>
      </c>
      <c r="F183" s="202"/>
      <c r="G183" s="202"/>
      <c r="H183" s="202">
        <f t="shared" si="55"/>
        <v>20000</v>
      </c>
      <c r="I183" s="72">
        <f>7000</f>
        <v>7000</v>
      </c>
      <c r="J183" s="490">
        <f t="shared" si="50"/>
        <v>118598</v>
      </c>
      <c r="K183" s="490">
        <v>80237.012000000002</v>
      </c>
      <c r="L183" s="490">
        <f t="shared" si="51"/>
        <v>38360.987999999998</v>
      </c>
      <c r="M183" s="492">
        <v>7852.4192000000003</v>
      </c>
      <c r="N183" s="491">
        <v>4227.5237226666704</v>
      </c>
      <c r="O183" s="492">
        <f t="shared" si="49"/>
        <v>3624.8954773333298</v>
      </c>
      <c r="P183" s="12"/>
    </row>
    <row r="184" spans="1:16" ht="20.100000000000001" customHeight="1">
      <c r="A184" s="26">
        <v>51</v>
      </c>
      <c r="B184" s="10" t="s">
        <v>596</v>
      </c>
      <c r="C184" s="11" t="s">
        <v>585</v>
      </c>
      <c r="D184" s="14" t="s">
        <v>589</v>
      </c>
      <c r="E184" s="72">
        <v>91598</v>
      </c>
      <c r="F184" s="202"/>
      <c r="G184" s="202"/>
      <c r="H184" s="202">
        <v>20000</v>
      </c>
      <c r="I184" s="72">
        <v>7000</v>
      </c>
      <c r="J184" s="490">
        <f t="shared" si="50"/>
        <v>118598</v>
      </c>
      <c r="K184" s="490">
        <v>78671.023000000001</v>
      </c>
      <c r="L184" s="490">
        <f t="shared" si="51"/>
        <v>39926.976999999999</v>
      </c>
      <c r="M184" s="492">
        <v>7852.4192000000003</v>
      </c>
      <c r="N184" s="491">
        <v>4089.7166906666698</v>
      </c>
      <c r="O184" s="492">
        <f t="shared" si="49"/>
        <v>3762.70250933333</v>
      </c>
      <c r="P184" s="12"/>
    </row>
    <row r="185" spans="1:16" ht="20.100000000000001" customHeight="1">
      <c r="A185" s="26">
        <v>52</v>
      </c>
      <c r="B185" s="10" t="s">
        <v>597</v>
      </c>
      <c r="C185" s="11" t="s">
        <v>585</v>
      </c>
      <c r="D185" s="14" t="s">
        <v>589</v>
      </c>
      <c r="E185" s="72">
        <v>91598</v>
      </c>
      <c r="F185" s="202"/>
      <c r="G185" s="202"/>
      <c r="H185" s="202">
        <v>20000</v>
      </c>
      <c r="I185" s="72">
        <f>7000</f>
        <v>7000</v>
      </c>
      <c r="J185" s="490">
        <f t="shared" si="50"/>
        <v>118598</v>
      </c>
      <c r="K185" s="490">
        <v>80237.012000000002</v>
      </c>
      <c r="L185" s="490">
        <f t="shared" si="51"/>
        <v>38360.987999999998</v>
      </c>
      <c r="M185" s="492">
        <v>7852.4192000000003</v>
      </c>
      <c r="N185" s="491">
        <v>4227.5237226666704</v>
      </c>
      <c r="O185" s="492">
        <f t="shared" si="49"/>
        <v>3624.8954773333298</v>
      </c>
      <c r="P185" s="12"/>
    </row>
    <row r="186" spans="1:16" ht="20.100000000000001" customHeight="1">
      <c r="A186" s="26">
        <v>53</v>
      </c>
      <c r="B186" s="17" t="s">
        <v>598</v>
      </c>
      <c r="C186" s="11" t="s">
        <v>286</v>
      </c>
      <c r="D186" s="14" t="s">
        <v>599</v>
      </c>
      <c r="E186" s="72">
        <v>89050.25</v>
      </c>
      <c r="F186" s="202"/>
      <c r="G186" s="202"/>
      <c r="H186" s="202">
        <f>20000</f>
        <v>20000</v>
      </c>
      <c r="I186" s="72">
        <f>4000+3000</f>
        <v>7000</v>
      </c>
      <c r="J186" s="490">
        <f t="shared" si="50"/>
        <v>116050.25</v>
      </c>
      <c r="K186" s="490">
        <v>78671.023000000001</v>
      </c>
      <c r="L186" s="490">
        <f t="shared" si="51"/>
        <v>37379.226999999999</v>
      </c>
      <c r="M186" s="492">
        <v>7571.1476000000002</v>
      </c>
      <c r="N186" s="491">
        <v>4089.7166906666698</v>
      </c>
      <c r="O186" s="492">
        <f t="shared" si="49"/>
        <v>3481.43090933333</v>
      </c>
      <c r="P186" s="12"/>
    </row>
    <row r="187" spans="1:16" ht="20.100000000000001" customHeight="1">
      <c r="A187" s="26">
        <v>54</v>
      </c>
      <c r="B187" s="17" t="s">
        <v>600</v>
      </c>
      <c r="C187" s="11" t="s">
        <v>588</v>
      </c>
      <c r="D187" s="14" t="s">
        <v>601</v>
      </c>
      <c r="E187" s="202">
        <v>80926.916666666701</v>
      </c>
      <c r="F187" s="202"/>
      <c r="G187" s="202"/>
      <c r="H187" s="202">
        <f>15000</f>
        <v>15000</v>
      </c>
      <c r="I187" s="72">
        <f>7000</f>
        <v>7000</v>
      </c>
      <c r="J187" s="490">
        <f t="shared" si="50"/>
        <v>102926.91666666701</v>
      </c>
      <c r="K187" s="490">
        <v>68675.997025000004</v>
      </c>
      <c r="L187" s="490">
        <f t="shared" si="51"/>
        <v>34250.919641666696</v>
      </c>
      <c r="M187" s="492">
        <v>6074.3316000000004</v>
      </c>
      <c r="N187" s="491">
        <v>3210.1544048666701</v>
      </c>
      <c r="O187" s="492">
        <f t="shared" si="49"/>
        <v>2864.1771951333299</v>
      </c>
      <c r="P187" s="12"/>
    </row>
    <row r="188" spans="1:16" ht="20.100000000000001" customHeight="1">
      <c r="A188" s="26">
        <v>55</v>
      </c>
      <c r="B188" s="17" t="s">
        <v>602</v>
      </c>
      <c r="C188" s="11" t="s">
        <v>603</v>
      </c>
      <c r="D188" s="14" t="s">
        <v>604</v>
      </c>
      <c r="E188" s="72">
        <v>76540.75</v>
      </c>
      <c r="F188" s="112"/>
      <c r="G188" s="3"/>
      <c r="H188" s="112">
        <v>15000</v>
      </c>
      <c r="I188" s="112">
        <v>4000</v>
      </c>
      <c r="J188" s="490">
        <f t="shared" si="50"/>
        <v>95540.75</v>
      </c>
      <c r="K188" s="490">
        <v>62980.079250000003</v>
      </c>
      <c r="L188" s="490">
        <f t="shared" si="51"/>
        <v>32560.670750000001</v>
      </c>
      <c r="M188" s="492">
        <v>5230.0987999999998</v>
      </c>
      <c r="N188" s="491">
        <v>2708.9136406666698</v>
      </c>
      <c r="O188" s="492">
        <f t="shared" si="49"/>
        <v>2521.1851593333299</v>
      </c>
      <c r="P188" s="12"/>
    </row>
    <row r="189" spans="1:16" ht="20.100000000000001" customHeight="1">
      <c r="A189" s="26">
        <v>56</v>
      </c>
      <c r="B189" s="17" t="s">
        <v>605</v>
      </c>
      <c r="C189" s="11" t="s">
        <v>603</v>
      </c>
      <c r="D189" s="14" t="s">
        <v>604</v>
      </c>
      <c r="E189" s="72">
        <v>76540.75</v>
      </c>
      <c r="F189" s="112"/>
      <c r="G189" s="3"/>
      <c r="H189" s="112">
        <v>15000</v>
      </c>
      <c r="I189" s="112">
        <v>4000</v>
      </c>
      <c r="J189" s="490">
        <f t="shared" si="50"/>
        <v>95540.75</v>
      </c>
      <c r="K189" s="490">
        <v>62980.079250000003</v>
      </c>
      <c r="L189" s="490">
        <f t="shared" si="51"/>
        <v>32560.670750000001</v>
      </c>
      <c r="M189" s="492">
        <v>5230.0987999999998</v>
      </c>
      <c r="N189" s="491">
        <v>2708.9136406666698</v>
      </c>
      <c r="O189" s="492">
        <f t="shared" si="49"/>
        <v>2521.1851593333299</v>
      </c>
      <c r="P189" s="12"/>
    </row>
    <row r="190" spans="1:16" ht="20.100000000000001" customHeight="1">
      <c r="A190" s="26">
        <v>57</v>
      </c>
      <c r="B190" s="17" t="s">
        <v>606</v>
      </c>
      <c r="C190" s="11" t="s">
        <v>603</v>
      </c>
      <c r="D190" s="14" t="s">
        <v>604</v>
      </c>
      <c r="E190" s="72">
        <v>76540.75</v>
      </c>
      <c r="F190" s="112"/>
      <c r="G190" s="3"/>
      <c r="H190" s="112">
        <v>15000</v>
      </c>
      <c r="I190" s="112">
        <v>4000</v>
      </c>
      <c r="J190" s="490">
        <f t="shared" si="50"/>
        <v>95540.75</v>
      </c>
      <c r="K190" s="490">
        <v>62980.079250000003</v>
      </c>
      <c r="L190" s="490">
        <f t="shared" si="51"/>
        <v>32560.670750000001</v>
      </c>
      <c r="M190" s="492">
        <v>5230.0987999999998</v>
      </c>
      <c r="N190" s="491">
        <v>2708.9136406666698</v>
      </c>
      <c r="O190" s="492">
        <f t="shared" si="49"/>
        <v>2521.1851593333299</v>
      </c>
      <c r="P190" s="12"/>
    </row>
    <row r="191" spans="1:16" ht="20.100000000000001" customHeight="1">
      <c r="A191" s="26">
        <v>58</v>
      </c>
      <c r="B191" s="17" t="s">
        <v>607</v>
      </c>
      <c r="C191" s="11" t="s">
        <v>608</v>
      </c>
      <c r="D191" s="14" t="s">
        <v>609</v>
      </c>
      <c r="E191" s="72">
        <v>86502.5</v>
      </c>
      <c r="F191" s="112"/>
      <c r="G191" s="202"/>
      <c r="H191" s="202">
        <f>15000</f>
        <v>15000</v>
      </c>
      <c r="I191" s="72">
        <v>7000</v>
      </c>
      <c r="J191" s="490">
        <f t="shared" si="50"/>
        <v>108502.5</v>
      </c>
      <c r="K191" s="490">
        <v>72103.749500000005</v>
      </c>
      <c r="L191" s="490">
        <f t="shared" si="51"/>
        <v>36398.750500000002</v>
      </c>
      <c r="M191" s="492">
        <v>6689.8760000000002</v>
      </c>
      <c r="N191" s="491">
        <v>3511.7966226666699</v>
      </c>
      <c r="O191" s="492">
        <f t="shared" si="49"/>
        <v>3178.0793773333298</v>
      </c>
      <c r="P191" s="12"/>
    </row>
    <row r="192" spans="1:16" ht="20.100000000000001" customHeight="1">
      <c r="A192" s="26">
        <v>59</v>
      </c>
      <c r="B192" s="17" t="s">
        <v>610</v>
      </c>
      <c r="C192" s="11" t="s">
        <v>608</v>
      </c>
      <c r="D192" s="14" t="s">
        <v>609</v>
      </c>
      <c r="E192" s="72">
        <v>86502.5</v>
      </c>
      <c r="F192" s="112"/>
      <c r="G192" s="202"/>
      <c r="H192" s="202">
        <f>15000</f>
        <v>15000</v>
      </c>
      <c r="I192" s="72">
        <v>7000</v>
      </c>
      <c r="J192" s="490">
        <f t="shared" si="50"/>
        <v>108502.5</v>
      </c>
      <c r="K192" s="490">
        <v>72103.749500000005</v>
      </c>
      <c r="L192" s="490">
        <f t="shared" si="51"/>
        <v>36398.750500000002</v>
      </c>
      <c r="M192" s="492">
        <v>6689.8760000000002</v>
      </c>
      <c r="N192" s="491">
        <v>3511.7966226666699</v>
      </c>
      <c r="O192" s="492">
        <f t="shared" si="49"/>
        <v>3178.0793773333298</v>
      </c>
      <c r="P192" s="12"/>
    </row>
    <row r="193" spans="1:16" ht="20.100000000000001" customHeight="1">
      <c r="A193" s="26"/>
      <c r="B193" s="7" t="s">
        <v>42</v>
      </c>
      <c r="C193" s="27" t="s">
        <v>611</v>
      </c>
      <c r="D193" s="28"/>
      <c r="E193" s="80">
        <f>SUM(E134:E192)</f>
        <v>14898686.4166667</v>
      </c>
      <c r="F193" s="80">
        <f t="shared" ref="F193:O193" si="56">SUM(F134:F192)</f>
        <v>0</v>
      </c>
      <c r="G193" s="80">
        <f t="shared" si="56"/>
        <v>0</v>
      </c>
      <c r="H193" s="80">
        <f t="shared" si="56"/>
        <v>2490000</v>
      </c>
      <c r="I193" s="80">
        <f t="shared" si="56"/>
        <v>228000</v>
      </c>
      <c r="J193" s="80">
        <f t="shared" si="56"/>
        <v>17616686.416666701</v>
      </c>
      <c r="K193" s="80">
        <v>11413301.213524999</v>
      </c>
      <c r="L193" s="80">
        <f t="shared" si="56"/>
        <v>6203385.2031416697</v>
      </c>
      <c r="M193" s="80">
        <f t="shared" si="56"/>
        <v>2121047.87476133</v>
      </c>
      <c r="N193" s="80">
        <v>1265795.4594602</v>
      </c>
      <c r="O193" s="80">
        <f t="shared" si="56"/>
        <v>855252.41530113399</v>
      </c>
      <c r="P193" s="12"/>
    </row>
    <row r="194" spans="1:16" ht="30.75" customHeight="1">
      <c r="A194" s="3"/>
      <c r="B194" s="29" t="s">
        <v>125</v>
      </c>
      <c r="C194" s="30">
        <f>C34+C40+C54+C59+C72+C82+C95+C102+C112+C131+C193</f>
        <v>153</v>
      </c>
      <c r="D194" s="31"/>
      <c r="E194" s="209">
        <f>E193+E131+E118+E112+E102+E95+E82+E72+E59+E54+E40+E34</f>
        <v>64242790.417000003</v>
      </c>
      <c r="F194" s="209">
        <f t="shared" ref="F194:O194" si="57">F193+F131+F118+F112+F102+F95+F82+F72+F59+F54+F40+F34</f>
        <v>0</v>
      </c>
      <c r="G194" s="209">
        <f t="shared" si="57"/>
        <v>7760000</v>
      </c>
      <c r="H194" s="209">
        <f t="shared" si="57"/>
        <v>5090000</v>
      </c>
      <c r="I194" s="209">
        <f t="shared" si="57"/>
        <v>2039337.4691049999</v>
      </c>
      <c r="J194" s="209">
        <f t="shared" si="57"/>
        <v>79132127.886105001</v>
      </c>
      <c r="K194" s="209">
        <f t="shared" si="57"/>
        <v>53058223.956574999</v>
      </c>
      <c r="L194" s="507">
        <f t="shared" si="57"/>
        <v>26073903.929529998</v>
      </c>
      <c r="M194" s="209">
        <f t="shared" si="57"/>
        <v>11287301.131869501</v>
      </c>
      <c r="N194" s="209">
        <f t="shared" si="57"/>
        <v>7214215.7686455902</v>
      </c>
      <c r="O194" s="507">
        <f t="shared" si="57"/>
        <v>4073085.3632239001</v>
      </c>
      <c r="P194" s="12"/>
    </row>
    <row r="195" spans="1:16" ht="20.100000000000001" customHeight="1">
      <c r="A195" s="2"/>
      <c r="B195" s="32"/>
      <c r="C195" s="2"/>
      <c r="D195" s="33"/>
      <c r="E195" s="33"/>
      <c r="F195" s="33"/>
      <c r="G195" s="210"/>
      <c r="H195" s="210"/>
      <c r="I195" s="210"/>
      <c r="J195" s="210"/>
      <c r="K195" s="210"/>
      <c r="L195" s="210"/>
      <c r="M195" s="210"/>
      <c r="N195" s="210"/>
      <c r="O195" s="210"/>
      <c r="P195" s="34"/>
    </row>
    <row r="196" spans="1:16" ht="36.75" customHeight="1">
      <c r="A196" s="2"/>
      <c r="B196" s="32"/>
      <c r="C196" s="33"/>
      <c r="D196" s="33"/>
      <c r="E196" s="33"/>
      <c r="F196" s="33"/>
      <c r="G196" s="210"/>
      <c r="H196" s="210"/>
      <c r="J196" s="34"/>
      <c r="L196" s="34"/>
      <c r="M196" s="210">
        <f>'May New PAYE '!V189</f>
        <v>11302661.131869501</v>
      </c>
      <c r="N196" s="210"/>
      <c r="O196" s="210"/>
    </row>
    <row r="197" spans="1:16">
      <c r="J197" s="34"/>
      <c r="K197" s="34"/>
      <c r="M197" s="34">
        <f>M194-M196</f>
        <v>-15359.999999994399</v>
      </c>
    </row>
    <row r="198" spans="1:16" ht="20.100000000000001" customHeight="1">
      <c r="J198" s="34"/>
    </row>
  </sheetData>
  <mergeCells count="1">
    <mergeCell ref="A1:F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1"/>
  <sheetViews>
    <sheetView topLeftCell="A64" workbookViewId="0">
      <selection activeCell="W69" sqref="W69"/>
    </sheetView>
  </sheetViews>
  <sheetFormatPr defaultColWidth="9.140625" defaultRowHeight="12.75"/>
  <cols>
    <col min="1" max="1" width="6.85546875" style="276" customWidth="1"/>
    <col min="2" max="2" width="39.140625" style="276" customWidth="1"/>
    <col min="3" max="3" width="16.85546875" style="276" customWidth="1"/>
    <col min="4" max="4" width="6.7109375" style="276" customWidth="1"/>
    <col min="5" max="5" width="13.140625" style="276" customWidth="1"/>
    <col min="6" max="6" width="11.140625" style="276" customWidth="1"/>
    <col min="7" max="7" width="14.42578125" style="276" customWidth="1"/>
    <col min="8" max="8" width="5.85546875" style="276" customWidth="1"/>
    <col min="9" max="9" width="12.85546875" style="276" customWidth="1"/>
    <col min="10" max="10" width="11.5703125" style="276" customWidth="1"/>
    <col min="11" max="11" width="6.85546875" style="276" customWidth="1"/>
    <col min="12" max="12" width="10.85546875" style="276" customWidth="1"/>
    <col min="13" max="13" width="12.5703125" style="276" customWidth="1"/>
    <col min="14" max="14" width="11" style="276" customWidth="1"/>
    <col min="15" max="15" width="12.140625" style="276" customWidth="1"/>
    <col min="16" max="16" width="15.42578125" style="276" customWidth="1"/>
    <col min="17" max="17" width="16.5703125" style="276" customWidth="1"/>
    <col min="18" max="18" width="9.85546875" style="276" customWidth="1"/>
    <col min="19" max="19" width="10.5703125" style="276" customWidth="1"/>
    <col min="20" max="20" width="11.5703125" style="276" customWidth="1"/>
    <col min="21" max="21" width="12.42578125" style="276" customWidth="1"/>
    <col min="22" max="22" width="14.5703125" style="276" customWidth="1"/>
    <col min="23" max="23" width="9.5703125" style="276" customWidth="1"/>
    <col min="24" max="24" width="15.140625" style="276" customWidth="1"/>
    <col min="25" max="25" width="9" style="276" customWidth="1"/>
    <col min="26" max="26" width="14.140625" style="276" customWidth="1"/>
    <col min="27" max="27" width="16.28515625" style="276" customWidth="1"/>
    <col min="28" max="28" width="14.7109375" style="276" customWidth="1"/>
    <col min="29" max="29" width="27.42578125" style="276" customWidth="1"/>
    <col min="30" max="16384" width="9.140625" style="276"/>
  </cols>
  <sheetData>
    <row r="1" spans="1:31" hidden="1">
      <c r="A1" s="849" t="s">
        <v>0</v>
      </c>
      <c r="B1" s="849"/>
      <c r="C1" s="849"/>
      <c r="D1" s="849"/>
      <c r="E1" s="849"/>
      <c r="F1" s="849"/>
      <c r="G1" s="849"/>
      <c r="H1" s="849"/>
      <c r="I1" s="849"/>
      <c r="J1" s="849"/>
      <c r="K1" s="849"/>
      <c r="L1" s="849"/>
      <c r="M1" s="849"/>
      <c r="N1" s="849"/>
      <c r="O1" s="849"/>
      <c r="P1" s="849"/>
      <c r="Q1" s="849"/>
      <c r="R1" s="849"/>
      <c r="S1" s="849"/>
      <c r="T1" s="849"/>
      <c r="U1" s="849"/>
      <c r="V1" s="849"/>
      <c r="W1" s="849"/>
      <c r="X1" s="849"/>
      <c r="Y1" s="849"/>
      <c r="Z1" s="456"/>
    </row>
    <row r="2" spans="1:31" hidden="1">
      <c r="A2" s="850" t="s">
        <v>266</v>
      </c>
      <c r="B2" s="850"/>
      <c r="C2" s="850"/>
      <c r="D2" s="850"/>
      <c r="E2" s="850"/>
      <c r="F2" s="850"/>
      <c r="G2" s="850"/>
      <c r="H2" s="850"/>
      <c r="I2" s="850"/>
      <c r="J2" s="850"/>
      <c r="K2" s="850"/>
      <c r="L2" s="850"/>
      <c r="M2" s="850"/>
      <c r="N2" s="850"/>
      <c r="O2" s="850"/>
      <c r="P2" s="850"/>
      <c r="Q2" s="850"/>
      <c r="R2" s="850"/>
      <c r="S2" s="850"/>
      <c r="T2" s="850"/>
      <c r="U2" s="850"/>
      <c r="V2" s="850"/>
      <c r="W2" s="850"/>
      <c r="X2" s="850"/>
      <c r="Y2" s="850"/>
      <c r="Z2" s="456"/>
    </row>
    <row r="3" spans="1:31" hidden="1">
      <c r="A3" s="851" t="s">
        <v>267</v>
      </c>
      <c r="B3" s="849"/>
      <c r="C3" s="849"/>
      <c r="D3" s="849"/>
      <c r="E3" s="849"/>
      <c r="F3" s="849"/>
      <c r="G3" s="849"/>
      <c r="H3" s="849"/>
      <c r="I3" s="849"/>
      <c r="J3" s="849"/>
      <c r="K3" s="849"/>
      <c r="L3" s="849"/>
      <c r="M3" s="849"/>
      <c r="N3" s="849"/>
      <c r="O3" s="849"/>
      <c r="P3" s="849"/>
      <c r="Q3" s="849"/>
      <c r="R3" s="849"/>
      <c r="S3" s="849"/>
      <c r="T3" s="849"/>
      <c r="U3" s="849"/>
      <c r="V3" s="849"/>
      <c r="W3" s="849"/>
      <c r="X3" s="849"/>
      <c r="Y3" s="849"/>
      <c r="Z3" s="456"/>
    </row>
    <row r="4" spans="1:31" ht="83.25" customHeight="1">
      <c r="A4" s="442" t="s">
        <v>181</v>
      </c>
      <c r="B4" s="443" t="s">
        <v>182</v>
      </c>
      <c r="C4" s="444" t="s">
        <v>268</v>
      </c>
      <c r="D4" s="443" t="s">
        <v>183</v>
      </c>
      <c r="E4" s="444" t="s">
        <v>184</v>
      </c>
      <c r="F4" s="444" t="s">
        <v>186</v>
      </c>
      <c r="G4" s="444" t="s">
        <v>187</v>
      </c>
      <c r="H4" s="444" t="s">
        <v>188</v>
      </c>
      <c r="I4" s="444" t="s">
        <v>269</v>
      </c>
      <c r="J4" s="444"/>
      <c r="K4" s="444"/>
      <c r="L4" s="444"/>
      <c r="M4" s="444" t="s">
        <v>270</v>
      </c>
      <c r="N4" s="444" t="s">
        <v>189</v>
      </c>
      <c r="O4" s="444" t="s">
        <v>190</v>
      </c>
      <c r="P4" s="444" t="s">
        <v>271</v>
      </c>
      <c r="Q4" s="444" t="s">
        <v>272</v>
      </c>
      <c r="R4" s="444" t="s">
        <v>273</v>
      </c>
      <c r="S4" s="444" t="s">
        <v>274</v>
      </c>
      <c r="T4" s="444" t="s">
        <v>275</v>
      </c>
      <c r="U4" s="444" t="s">
        <v>276</v>
      </c>
      <c r="V4" s="444" t="s">
        <v>191</v>
      </c>
      <c r="W4" s="444"/>
      <c r="X4" s="444" t="s">
        <v>277</v>
      </c>
      <c r="Y4" s="444" t="s">
        <v>278</v>
      </c>
      <c r="Z4" s="457" t="s">
        <v>279</v>
      </c>
      <c r="AA4" s="458"/>
      <c r="AB4" s="458" t="s">
        <v>625</v>
      </c>
    </row>
    <row r="5" spans="1:31" ht="18.75">
      <c r="A5" s="445">
        <v>1</v>
      </c>
      <c r="B5" s="7" t="s">
        <v>22</v>
      </c>
      <c r="C5" s="446"/>
      <c r="D5" s="447"/>
      <c r="E5" s="448"/>
      <c r="F5" s="448"/>
      <c r="G5" s="448"/>
      <c r="H5" s="448"/>
      <c r="I5" s="448"/>
      <c r="J5" s="448"/>
      <c r="K5" s="448"/>
      <c r="L5" s="448"/>
      <c r="M5" s="448"/>
      <c r="N5" s="448"/>
      <c r="O5" s="448"/>
      <c r="P5" s="448"/>
      <c r="Q5" s="448"/>
      <c r="R5" s="448"/>
      <c r="S5" s="448"/>
      <c r="T5" s="448"/>
      <c r="U5" s="448"/>
      <c r="V5" s="448"/>
      <c r="W5" s="455"/>
      <c r="X5" s="448"/>
      <c r="Y5" s="448"/>
      <c r="Z5" s="459"/>
      <c r="AA5" s="460"/>
      <c r="AB5" s="460"/>
      <c r="AC5" s="460"/>
      <c r="AD5" s="460"/>
      <c r="AE5" s="460"/>
    </row>
    <row r="6" spans="1:31" ht="37.5">
      <c r="A6" s="445">
        <v>3</v>
      </c>
      <c r="B6" s="10" t="s">
        <v>345</v>
      </c>
      <c r="C6" s="446">
        <v>1934986.1669999999</v>
      </c>
      <c r="D6" s="447">
        <v>12</v>
      </c>
      <c r="E6" s="448">
        <f>C6*D6</f>
        <v>23219834.004000001</v>
      </c>
      <c r="F6" s="448"/>
      <c r="G6" s="448"/>
      <c r="H6" s="448"/>
      <c r="I6" s="448">
        <f t="shared" ref="I6:I32" si="0">E6-F6-G6-H6</f>
        <v>23219834.004000001</v>
      </c>
      <c r="J6" s="448">
        <v>200000</v>
      </c>
      <c r="K6" s="448">
        <v>0.2</v>
      </c>
      <c r="L6" s="448">
        <f t="shared" ref="L6:L75" si="1">I6*K6</f>
        <v>4643966.8008000003</v>
      </c>
      <c r="M6" s="448">
        <f t="shared" ref="M6:M75" si="2">J6+L6</f>
        <v>4843966.8008000003</v>
      </c>
      <c r="N6" s="448">
        <f t="shared" ref="N6:N32" si="3">F6+G6+H6+M6</f>
        <v>4843966.8008000003</v>
      </c>
      <c r="O6" s="448">
        <f t="shared" ref="O6:O32" si="4">E6-N6</f>
        <v>18375867.203200001</v>
      </c>
      <c r="P6" s="448">
        <f t="shared" ref="P6:P75" si="5">IF(O6&lt;300000,0.07*O6,21000)</f>
        <v>21000</v>
      </c>
      <c r="Q6" s="448">
        <f t="shared" ref="Q6:Q75" si="6">IF((O6-300000)&lt;0,0,IF((O6-300000)&lt;300000,0.11*(O6-300000),33000))</f>
        <v>33000</v>
      </c>
      <c r="R6" s="448">
        <f t="shared" ref="R6:R75" si="7">IF((O6-600000)&lt;0,0,IF((O6-600000)&lt;500000,0.15*(O6-600000),75000))</f>
        <v>75000</v>
      </c>
      <c r="S6" s="448">
        <f t="shared" ref="S6:S75" si="8">IF((O6-1100000)&lt;0,0,IF((O6-1100000)&lt;500000,0.19*(O6-1100000),95000))</f>
        <v>95000</v>
      </c>
      <c r="T6" s="448">
        <f t="shared" ref="T6:T75" si="9">IF((O6-1600000)&lt;0,0,IF((O6-1600000)&lt;1600000,0.21*(O6-1600000),336000))</f>
        <v>336000</v>
      </c>
      <c r="U6" s="448">
        <f t="shared" ref="U6:U73" si="10">24%*(O6-3200000)</f>
        <v>3642208.1287679998</v>
      </c>
      <c r="V6" s="448">
        <f t="shared" ref="V6:V75" si="11">P6+Q6+R6+S6+T6+U6</f>
        <v>4202208.1287679998</v>
      </c>
      <c r="W6" s="455">
        <v>12</v>
      </c>
      <c r="X6" s="448">
        <f t="shared" ref="X6:X75" si="12">V6/W6</f>
        <v>350184.01073066698</v>
      </c>
      <c r="Y6" s="448"/>
      <c r="Z6" s="459">
        <f t="shared" ref="Z6:Z75" si="13">X6</f>
        <v>350184.01073066698</v>
      </c>
      <c r="AA6" s="460">
        <v>201165.83594666701</v>
      </c>
      <c r="AB6" s="460">
        <f>Z6-AA6</f>
        <v>149018.174784</v>
      </c>
      <c r="AC6" s="460"/>
      <c r="AD6" s="460"/>
      <c r="AE6" s="460"/>
    </row>
    <row r="7" spans="1:31" ht="18.75">
      <c r="A7" s="445">
        <v>4</v>
      </c>
      <c r="B7" s="10" t="s">
        <v>348</v>
      </c>
      <c r="C7" s="446">
        <v>852373.16666666698</v>
      </c>
      <c r="D7" s="447">
        <v>12</v>
      </c>
      <c r="E7" s="448">
        <f t="shared" ref="E7:E32" si="14">C7*D7</f>
        <v>10228478</v>
      </c>
      <c r="F7" s="448"/>
      <c r="G7" s="448">
        <v>731878.24</v>
      </c>
      <c r="H7" s="448"/>
      <c r="I7" s="448">
        <f t="shared" si="0"/>
        <v>9496599.7599999998</v>
      </c>
      <c r="J7" s="448">
        <v>200000</v>
      </c>
      <c r="K7" s="448">
        <v>0.2</v>
      </c>
      <c r="L7" s="448">
        <f t="shared" si="1"/>
        <v>1899319.952</v>
      </c>
      <c r="M7" s="448">
        <f t="shared" si="2"/>
        <v>2099319.952</v>
      </c>
      <c r="N7" s="448">
        <f t="shared" si="3"/>
        <v>2831198.1919999998</v>
      </c>
      <c r="O7" s="448">
        <f t="shared" si="4"/>
        <v>7397279.8080000002</v>
      </c>
      <c r="P7" s="448">
        <f t="shared" si="5"/>
        <v>21000</v>
      </c>
      <c r="Q7" s="448">
        <f t="shared" si="6"/>
        <v>33000</v>
      </c>
      <c r="R7" s="448">
        <f t="shared" si="7"/>
        <v>75000</v>
      </c>
      <c r="S7" s="448">
        <f t="shared" si="8"/>
        <v>95000</v>
      </c>
      <c r="T7" s="448">
        <f t="shared" si="9"/>
        <v>336000</v>
      </c>
      <c r="U7" s="448">
        <f t="shared" si="10"/>
        <v>1007347.15392</v>
      </c>
      <c r="V7" s="448">
        <f t="shared" si="11"/>
        <v>1567347.15392</v>
      </c>
      <c r="W7" s="455">
        <v>12</v>
      </c>
      <c r="X7" s="448">
        <f t="shared" si="12"/>
        <v>130612.26282666701</v>
      </c>
      <c r="Y7" s="448"/>
      <c r="Z7" s="459">
        <f t="shared" si="13"/>
        <v>130612.26282666701</v>
      </c>
      <c r="AA7" s="460">
        <v>82627.951418666693</v>
      </c>
      <c r="AB7" s="460">
        <f t="shared" ref="AB7:AB32" si="15">Z7-AA7</f>
        <v>47984.311408000001</v>
      </c>
      <c r="AC7" s="460"/>
      <c r="AD7" s="460"/>
      <c r="AE7" s="460"/>
    </row>
    <row r="8" spans="1:31" ht="18.75">
      <c r="A8" s="445">
        <v>5</v>
      </c>
      <c r="B8" s="13" t="s">
        <v>350</v>
      </c>
      <c r="C8" s="446">
        <v>1052373.16666667</v>
      </c>
      <c r="D8" s="447">
        <v>12</v>
      </c>
      <c r="E8" s="448">
        <f t="shared" si="14"/>
        <v>12628478</v>
      </c>
      <c r="F8" s="448"/>
      <c r="G8" s="448">
        <v>0</v>
      </c>
      <c r="H8" s="448"/>
      <c r="I8" s="448">
        <f t="shared" si="0"/>
        <v>12628478</v>
      </c>
      <c r="J8" s="448">
        <v>200000</v>
      </c>
      <c r="K8" s="448">
        <v>0.2</v>
      </c>
      <c r="L8" s="448">
        <f t="shared" si="1"/>
        <v>2525695.6000000099</v>
      </c>
      <c r="M8" s="448">
        <f t="shared" si="2"/>
        <v>2725695.6000000099</v>
      </c>
      <c r="N8" s="448">
        <f t="shared" si="3"/>
        <v>2725695.6000000099</v>
      </c>
      <c r="O8" s="448">
        <f t="shared" si="4"/>
        <v>9902782.4000000302</v>
      </c>
      <c r="P8" s="448">
        <f t="shared" si="5"/>
        <v>21000</v>
      </c>
      <c r="Q8" s="448">
        <f t="shared" si="6"/>
        <v>33000</v>
      </c>
      <c r="R8" s="448">
        <f t="shared" si="7"/>
        <v>75000</v>
      </c>
      <c r="S8" s="448">
        <f t="shared" si="8"/>
        <v>95000</v>
      </c>
      <c r="T8" s="448">
        <f t="shared" si="9"/>
        <v>336000</v>
      </c>
      <c r="U8" s="448">
        <f t="shared" si="10"/>
        <v>1608667.7760000101</v>
      </c>
      <c r="V8" s="448">
        <f t="shared" si="11"/>
        <v>2168667.7760000098</v>
      </c>
      <c r="W8" s="455">
        <v>12</v>
      </c>
      <c r="X8" s="448">
        <f t="shared" si="12"/>
        <v>180722.31466666699</v>
      </c>
      <c r="Y8" s="448"/>
      <c r="Z8" s="459">
        <f t="shared" si="13"/>
        <v>180722.31466666699</v>
      </c>
      <c r="AA8" s="460">
        <v>121027.951418667</v>
      </c>
      <c r="AB8" s="460">
        <f t="shared" si="15"/>
        <v>59694.3632480003</v>
      </c>
      <c r="AC8" s="460"/>
      <c r="AD8" s="460"/>
      <c r="AE8" s="460"/>
    </row>
    <row r="9" spans="1:31" ht="18.75">
      <c r="A9" s="445">
        <v>6</v>
      </c>
      <c r="B9" s="10" t="s">
        <v>352</v>
      </c>
      <c r="C9" s="446">
        <v>942373.16666666698</v>
      </c>
      <c r="D9" s="447">
        <v>12</v>
      </c>
      <c r="E9" s="448">
        <f t="shared" si="14"/>
        <v>11308478</v>
      </c>
      <c r="F9" s="448">
        <f>'[8]JANUARY 2024'!$V$10*12</f>
        <v>12795.950999999999</v>
      </c>
      <c r="G9" s="448">
        <v>731878.24</v>
      </c>
      <c r="H9" s="448"/>
      <c r="I9" s="448">
        <f t="shared" si="0"/>
        <v>10563803.809</v>
      </c>
      <c r="J9" s="448">
        <v>200000</v>
      </c>
      <c r="K9" s="448">
        <v>0.2</v>
      </c>
      <c r="L9" s="448">
        <f t="shared" si="1"/>
        <v>2112760.7618</v>
      </c>
      <c r="M9" s="448">
        <f t="shared" si="2"/>
        <v>2312760.7618</v>
      </c>
      <c r="N9" s="448">
        <f t="shared" si="3"/>
        <v>3057434.9528000001</v>
      </c>
      <c r="O9" s="448">
        <f t="shared" si="4"/>
        <v>8251043.0471999999</v>
      </c>
      <c r="P9" s="448">
        <f t="shared" si="5"/>
        <v>21000</v>
      </c>
      <c r="Q9" s="448">
        <f t="shared" si="6"/>
        <v>33000</v>
      </c>
      <c r="R9" s="448">
        <f t="shared" si="7"/>
        <v>75000</v>
      </c>
      <c r="S9" s="448">
        <f t="shared" si="8"/>
        <v>95000</v>
      </c>
      <c r="T9" s="448">
        <f t="shared" si="9"/>
        <v>336000</v>
      </c>
      <c r="U9" s="448">
        <f t="shared" si="10"/>
        <v>1212250.3313279999</v>
      </c>
      <c r="V9" s="448">
        <f t="shared" si="11"/>
        <v>1772250.3313279999</v>
      </c>
      <c r="W9" s="455">
        <v>12</v>
      </c>
      <c r="X9" s="448">
        <f t="shared" si="12"/>
        <v>147687.52761066699</v>
      </c>
      <c r="Y9" s="448"/>
      <c r="Z9" s="459">
        <f t="shared" si="13"/>
        <v>147687.52761066699</v>
      </c>
      <c r="AA9" s="460">
        <v>99703.216202666707</v>
      </c>
      <c r="AB9" s="460">
        <f t="shared" si="15"/>
        <v>47984.311408000001</v>
      </c>
      <c r="AC9" s="460"/>
      <c r="AD9" s="460"/>
      <c r="AE9" s="460"/>
    </row>
    <row r="10" spans="1:31" ht="18.75">
      <c r="A10" s="445">
        <v>7</v>
      </c>
      <c r="B10" s="13" t="s">
        <v>354</v>
      </c>
      <c r="C10" s="446">
        <v>1002373.16666667</v>
      </c>
      <c r="D10" s="447">
        <v>12</v>
      </c>
      <c r="E10" s="448">
        <f t="shared" si="14"/>
        <v>12028478</v>
      </c>
      <c r="F10" s="448">
        <f>'[8]JANUARY 2024'!$V$10*12</f>
        <v>12795.950999999999</v>
      </c>
      <c r="G10" s="448">
        <v>731878.24</v>
      </c>
      <c r="H10" s="448"/>
      <c r="I10" s="448">
        <f t="shared" si="0"/>
        <v>11283803.809</v>
      </c>
      <c r="J10" s="448">
        <v>200000</v>
      </c>
      <c r="K10" s="448">
        <v>0.2</v>
      </c>
      <c r="L10" s="448">
        <f t="shared" si="1"/>
        <v>2256760.7618000102</v>
      </c>
      <c r="M10" s="448">
        <f t="shared" si="2"/>
        <v>2456760.7618000102</v>
      </c>
      <c r="N10" s="448">
        <f t="shared" si="3"/>
        <v>3201434.9528000099</v>
      </c>
      <c r="O10" s="448">
        <f t="shared" si="4"/>
        <v>8827043.0472000297</v>
      </c>
      <c r="P10" s="448">
        <f t="shared" si="5"/>
        <v>21000</v>
      </c>
      <c r="Q10" s="448">
        <f t="shared" si="6"/>
        <v>33000</v>
      </c>
      <c r="R10" s="448">
        <f t="shared" si="7"/>
        <v>75000</v>
      </c>
      <c r="S10" s="448">
        <f t="shared" si="8"/>
        <v>95000</v>
      </c>
      <c r="T10" s="448">
        <f t="shared" si="9"/>
        <v>336000</v>
      </c>
      <c r="U10" s="448">
        <f t="shared" si="10"/>
        <v>1350490.33132801</v>
      </c>
      <c r="V10" s="448">
        <f t="shared" si="11"/>
        <v>1910490.33132801</v>
      </c>
      <c r="W10" s="455">
        <v>12</v>
      </c>
      <c r="X10" s="448">
        <f t="shared" si="12"/>
        <v>159207.52761066699</v>
      </c>
      <c r="Y10" s="448"/>
      <c r="Z10" s="459">
        <f t="shared" si="13"/>
        <v>159207.52761066699</v>
      </c>
      <c r="AA10" s="460">
        <v>111223.216202667</v>
      </c>
      <c r="AB10" s="460">
        <f t="shared" si="15"/>
        <v>47984.3114080003</v>
      </c>
      <c r="AC10" s="460"/>
      <c r="AD10" s="460"/>
      <c r="AE10" s="460"/>
    </row>
    <row r="11" spans="1:31" ht="18.75">
      <c r="A11" s="445">
        <v>8</v>
      </c>
      <c r="B11" s="17" t="s">
        <v>341</v>
      </c>
      <c r="C11" s="446">
        <v>952373.16666666698</v>
      </c>
      <c r="D11" s="447">
        <v>12</v>
      </c>
      <c r="E11" s="448">
        <f t="shared" si="14"/>
        <v>11428478</v>
      </c>
      <c r="F11" s="448"/>
      <c r="G11" s="448">
        <v>0</v>
      </c>
      <c r="H11" s="448"/>
      <c r="I11" s="448">
        <f t="shared" si="0"/>
        <v>11428478</v>
      </c>
      <c r="J11" s="448">
        <v>200000</v>
      </c>
      <c r="K11" s="448">
        <v>0.2</v>
      </c>
      <c r="L11" s="448">
        <f t="shared" si="1"/>
        <v>2285695.6</v>
      </c>
      <c r="M11" s="448">
        <f t="shared" si="2"/>
        <v>2485695.6</v>
      </c>
      <c r="N11" s="448">
        <f t="shared" si="3"/>
        <v>2485695.6</v>
      </c>
      <c r="O11" s="448">
        <f t="shared" si="4"/>
        <v>8942782.4000000004</v>
      </c>
      <c r="P11" s="448">
        <f t="shared" si="5"/>
        <v>21000</v>
      </c>
      <c r="Q11" s="448">
        <f t="shared" si="6"/>
        <v>33000</v>
      </c>
      <c r="R11" s="448">
        <f t="shared" si="7"/>
        <v>75000</v>
      </c>
      <c r="S11" s="448">
        <f t="shared" si="8"/>
        <v>95000</v>
      </c>
      <c r="T11" s="448">
        <f t="shared" si="9"/>
        <v>336000</v>
      </c>
      <c r="U11" s="448">
        <f t="shared" si="10"/>
        <v>1378267.7760000001</v>
      </c>
      <c r="V11" s="448">
        <f t="shared" si="11"/>
        <v>1938267.7760000001</v>
      </c>
      <c r="W11" s="455">
        <v>12</v>
      </c>
      <c r="X11" s="448">
        <f t="shared" si="12"/>
        <v>161522.31466666699</v>
      </c>
      <c r="Y11" s="448"/>
      <c r="Z11" s="459">
        <f t="shared" si="13"/>
        <v>161522.31466666699</v>
      </c>
      <c r="AA11" s="460">
        <v>101827.951418667</v>
      </c>
      <c r="AB11" s="460">
        <f t="shared" si="15"/>
        <v>59694.363247999703</v>
      </c>
      <c r="AC11" s="460"/>
      <c r="AD11" s="460"/>
      <c r="AE11" s="460"/>
    </row>
    <row r="12" spans="1:31" ht="18.75">
      <c r="A12" s="445">
        <v>9</v>
      </c>
      <c r="B12" s="10" t="s">
        <v>356</v>
      </c>
      <c r="C12" s="446">
        <v>750675.58333333302</v>
      </c>
      <c r="D12" s="447">
        <v>12</v>
      </c>
      <c r="E12" s="448">
        <f t="shared" si="14"/>
        <v>9008107</v>
      </c>
      <c r="F12" s="448">
        <f>'[8]JANUARY 2024'!$V$13*12</f>
        <v>10052.25</v>
      </c>
      <c r="G12" s="448">
        <v>595848.56000000006</v>
      </c>
      <c r="H12" s="448"/>
      <c r="I12" s="448">
        <f t="shared" si="0"/>
        <v>8402206.1899999995</v>
      </c>
      <c r="J12" s="448">
        <v>200000</v>
      </c>
      <c r="K12" s="448">
        <v>0.2</v>
      </c>
      <c r="L12" s="448">
        <f t="shared" si="1"/>
        <v>1680441.2379999999</v>
      </c>
      <c r="M12" s="448">
        <f t="shared" si="2"/>
        <v>1880441.2379999999</v>
      </c>
      <c r="N12" s="448">
        <f t="shared" si="3"/>
        <v>2486342.048</v>
      </c>
      <c r="O12" s="448">
        <f t="shared" si="4"/>
        <v>6521764.9519999996</v>
      </c>
      <c r="P12" s="448">
        <f t="shared" si="5"/>
        <v>21000</v>
      </c>
      <c r="Q12" s="448">
        <f t="shared" si="6"/>
        <v>33000</v>
      </c>
      <c r="R12" s="448">
        <f t="shared" si="7"/>
        <v>75000</v>
      </c>
      <c r="S12" s="448">
        <f t="shared" si="8"/>
        <v>95000</v>
      </c>
      <c r="T12" s="448">
        <f t="shared" si="9"/>
        <v>336000</v>
      </c>
      <c r="U12" s="448">
        <f t="shared" si="10"/>
        <v>797223.58847999899</v>
      </c>
      <c r="V12" s="448">
        <f t="shared" si="11"/>
        <v>1357223.5884799999</v>
      </c>
      <c r="W12" s="455">
        <v>12</v>
      </c>
      <c r="X12" s="448">
        <f t="shared" si="12"/>
        <v>113101.965706667</v>
      </c>
      <c r="Y12" s="448"/>
      <c r="Z12" s="459">
        <f t="shared" si="13"/>
        <v>113101.965706667</v>
      </c>
      <c r="AA12" s="460">
        <v>74036.103146666705</v>
      </c>
      <c r="AB12" s="460">
        <f t="shared" si="15"/>
        <v>39065.8625599999</v>
      </c>
      <c r="AC12" s="460"/>
      <c r="AD12" s="460"/>
      <c r="AE12" s="460"/>
    </row>
    <row r="13" spans="1:31" ht="18.75">
      <c r="A13" s="445">
        <v>10</v>
      </c>
      <c r="B13" s="10" t="s">
        <v>359</v>
      </c>
      <c r="C13" s="446">
        <v>842118.08333333302</v>
      </c>
      <c r="D13" s="447">
        <v>12</v>
      </c>
      <c r="E13" s="448">
        <f t="shared" si="14"/>
        <v>10105417</v>
      </c>
      <c r="F13" s="448">
        <f>'[8]JANUARY 2024'!$V$14*12</f>
        <v>9305.9519999999993</v>
      </c>
      <c r="G13" s="448">
        <v>558833.36</v>
      </c>
      <c r="H13" s="448"/>
      <c r="I13" s="448">
        <f t="shared" si="0"/>
        <v>9537277.6879999992</v>
      </c>
      <c r="J13" s="448">
        <v>200000</v>
      </c>
      <c r="K13" s="448">
        <v>0.2</v>
      </c>
      <c r="L13" s="448">
        <f t="shared" si="1"/>
        <v>1907455.5375999999</v>
      </c>
      <c r="M13" s="448">
        <f t="shared" si="2"/>
        <v>2107455.5375999999</v>
      </c>
      <c r="N13" s="448">
        <f t="shared" si="3"/>
        <v>2675594.8495999998</v>
      </c>
      <c r="O13" s="448">
        <f t="shared" si="4"/>
        <v>7429822.1503999997</v>
      </c>
      <c r="P13" s="448">
        <f t="shared" si="5"/>
        <v>21000</v>
      </c>
      <c r="Q13" s="448">
        <f t="shared" si="6"/>
        <v>33000</v>
      </c>
      <c r="R13" s="448">
        <f t="shared" si="7"/>
        <v>75000</v>
      </c>
      <c r="S13" s="448">
        <f t="shared" si="8"/>
        <v>95000</v>
      </c>
      <c r="T13" s="448">
        <f t="shared" si="9"/>
        <v>336000</v>
      </c>
      <c r="U13" s="448">
        <f t="shared" si="10"/>
        <v>1015157.316096</v>
      </c>
      <c r="V13" s="448">
        <f t="shared" si="11"/>
        <v>1575157.3160959999</v>
      </c>
      <c r="W13" s="455">
        <v>12</v>
      </c>
      <c r="X13" s="448">
        <f t="shared" si="12"/>
        <v>131263.10967466701</v>
      </c>
      <c r="Y13" s="448"/>
      <c r="Z13" s="459">
        <f t="shared" si="13"/>
        <v>131263.10967466701</v>
      </c>
      <c r="AA13" s="460">
        <v>94625.782058666693</v>
      </c>
      <c r="AB13" s="460">
        <f t="shared" si="15"/>
        <v>36637.3276159999</v>
      </c>
      <c r="AC13" s="460"/>
      <c r="AD13" s="460"/>
      <c r="AE13" s="460"/>
    </row>
    <row r="14" spans="1:31" ht="18.75">
      <c r="A14" s="445">
        <v>11</v>
      </c>
      <c r="B14" s="10" t="s">
        <v>361</v>
      </c>
      <c r="C14" s="446">
        <v>554373.75</v>
      </c>
      <c r="D14" s="447">
        <v>12</v>
      </c>
      <c r="E14" s="448">
        <f t="shared" si="14"/>
        <v>6652485</v>
      </c>
      <c r="F14" s="448"/>
      <c r="G14" s="448">
        <v>464998.8</v>
      </c>
      <c r="H14" s="448"/>
      <c r="I14" s="448">
        <f t="shared" si="0"/>
        <v>6187486.2000000002</v>
      </c>
      <c r="J14" s="448">
        <v>200000</v>
      </c>
      <c r="K14" s="448">
        <v>0.2</v>
      </c>
      <c r="L14" s="448">
        <f t="shared" si="1"/>
        <v>1237497.24</v>
      </c>
      <c r="M14" s="448">
        <f t="shared" si="2"/>
        <v>1437497.24</v>
      </c>
      <c r="N14" s="448">
        <f t="shared" si="3"/>
        <v>1902496.04</v>
      </c>
      <c r="O14" s="448">
        <f t="shared" si="4"/>
        <v>4749988.96</v>
      </c>
      <c r="P14" s="448">
        <f t="shared" si="5"/>
        <v>21000</v>
      </c>
      <c r="Q14" s="448">
        <f t="shared" si="6"/>
        <v>33000</v>
      </c>
      <c r="R14" s="448">
        <f t="shared" si="7"/>
        <v>75000</v>
      </c>
      <c r="S14" s="448">
        <f t="shared" si="8"/>
        <v>95000</v>
      </c>
      <c r="T14" s="448">
        <f t="shared" si="9"/>
        <v>336000</v>
      </c>
      <c r="U14" s="448">
        <f t="shared" si="10"/>
        <v>371997.3504</v>
      </c>
      <c r="V14" s="448">
        <f t="shared" si="11"/>
        <v>931997.3504</v>
      </c>
      <c r="W14" s="455">
        <v>12</v>
      </c>
      <c r="X14" s="448">
        <f t="shared" si="12"/>
        <v>77666.445866666705</v>
      </c>
      <c r="Y14" s="448"/>
      <c r="Z14" s="459">
        <f t="shared" si="13"/>
        <v>77666.445866666705</v>
      </c>
      <c r="AA14" s="460">
        <v>44846.6165886667</v>
      </c>
      <c r="AB14" s="460">
        <f t="shared" si="15"/>
        <v>32819.829277999997</v>
      </c>
      <c r="AC14" s="460"/>
      <c r="AD14" s="460"/>
      <c r="AE14" s="460"/>
    </row>
    <row r="15" spans="1:31" ht="18.75">
      <c r="A15" s="445">
        <v>12</v>
      </c>
      <c r="B15" s="13" t="s">
        <v>364</v>
      </c>
      <c r="C15" s="446">
        <v>660498</v>
      </c>
      <c r="D15" s="447">
        <v>12</v>
      </c>
      <c r="E15" s="448">
        <f t="shared" si="14"/>
        <v>7925976</v>
      </c>
      <c r="F15" s="448"/>
      <c r="G15" s="449">
        <v>451678.08</v>
      </c>
      <c r="H15" s="448"/>
      <c r="I15" s="448">
        <f t="shared" si="0"/>
        <v>7474297.9199999999</v>
      </c>
      <c r="J15" s="448">
        <v>200000</v>
      </c>
      <c r="K15" s="448">
        <v>0.2</v>
      </c>
      <c r="L15" s="448">
        <f t="shared" si="1"/>
        <v>1494859.584</v>
      </c>
      <c r="M15" s="448">
        <f t="shared" si="2"/>
        <v>1694859.584</v>
      </c>
      <c r="N15" s="448">
        <f t="shared" si="3"/>
        <v>2146537.6639999999</v>
      </c>
      <c r="O15" s="448">
        <f t="shared" si="4"/>
        <v>5779438.3360000001</v>
      </c>
      <c r="P15" s="448">
        <f t="shared" si="5"/>
        <v>21000</v>
      </c>
      <c r="Q15" s="448">
        <f t="shared" si="6"/>
        <v>33000</v>
      </c>
      <c r="R15" s="448">
        <f t="shared" si="7"/>
        <v>75000</v>
      </c>
      <c r="S15" s="448">
        <f t="shared" si="8"/>
        <v>95000</v>
      </c>
      <c r="T15" s="448">
        <f t="shared" si="9"/>
        <v>336000</v>
      </c>
      <c r="U15" s="448">
        <f t="shared" si="10"/>
        <v>619065.20064000005</v>
      </c>
      <c r="V15" s="448">
        <f t="shared" si="11"/>
        <v>1179065.2006399999</v>
      </c>
      <c r="W15" s="455">
        <v>12</v>
      </c>
      <c r="X15" s="448">
        <f t="shared" si="12"/>
        <v>98255.4333866667</v>
      </c>
      <c r="Y15" s="448"/>
      <c r="Z15" s="459">
        <f t="shared" si="13"/>
        <v>98255.4333866667</v>
      </c>
      <c r="AA15" s="460">
        <v>46666.666666666701</v>
      </c>
      <c r="AB15" s="460">
        <f t="shared" si="15"/>
        <v>51588.76672</v>
      </c>
      <c r="AC15" s="460"/>
      <c r="AD15" s="460"/>
      <c r="AE15" s="460"/>
    </row>
    <row r="16" spans="1:31" ht="18.75">
      <c r="A16" s="445">
        <v>13</v>
      </c>
      <c r="B16" s="10" t="s">
        <v>367</v>
      </c>
      <c r="C16" s="446">
        <v>732746.5</v>
      </c>
      <c r="D16" s="447">
        <v>12</v>
      </c>
      <c r="E16" s="448">
        <f t="shared" si="14"/>
        <v>8792958</v>
      </c>
      <c r="F16" s="448"/>
      <c r="G16" s="448">
        <v>425036.64</v>
      </c>
      <c r="H16" s="448"/>
      <c r="I16" s="448">
        <f t="shared" si="0"/>
        <v>8367921.3600000003</v>
      </c>
      <c r="J16" s="448">
        <v>200000</v>
      </c>
      <c r="K16" s="448">
        <v>0.2</v>
      </c>
      <c r="L16" s="448">
        <f t="shared" si="1"/>
        <v>1673584.2720000001</v>
      </c>
      <c r="M16" s="448">
        <f t="shared" si="2"/>
        <v>1873584.2720000001</v>
      </c>
      <c r="N16" s="448">
        <f t="shared" si="3"/>
        <v>2298620.912</v>
      </c>
      <c r="O16" s="448">
        <f t="shared" si="4"/>
        <v>6494337.0880000005</v>
      </c>
      <c r="P16" s="448">
        <f t="shared" si="5"/>
        <v>21000</v>
      </c>
      <c r="Q16" s="448">
        <f t="shared" si="6"/>
        <v>33000</v>
      </c>
      <c r="R16" s="448">
        <f t="shared" si="7"/>
        <v>75000</v>
      </c>
      <c r="S16" s="448">
        <f t="shared" si="8"/>
        <v>95000</v>
      </c>
      <c r="T16" s="448">
        <f t="shared" si="9"/>
        <v>336000</v>
      </c>
      <c r="U16" s="448">
        <f t="shared" si="10"/>
        <v>790640.90112000005</v>
      </c>
      <c r="V16" s="448">
        <f t="shared" si="11"/>
        <v>1350640.9011200001</v>
      </c>
      <c r="W16" s="455">
        <v>12</v>
      </c>
      <c r="X16" s="448">
        <f t="shared" si="12"/>
        <v>112553.408426667</v>
      </c>
      <c r="Y16" s="448"/>
      <c r="Z16" s="459">
        <f t="shared" si="13"/>
        <v>112553.408426667</v>
      </c>
      <c r="AA16" s="460">
        <v>46666.666666666701</v>
      </c>
      <c r="AB16" s="460">
        <f t="shared" si="15"/>
        <v>65886.741759999903</v>
      </c>
      <c r="AC16" s="460"/>
      <c r="AD16" s="460"/>
      <c r="AE16" s="460"/>
    </row>
    <row r="17" spans="1:31" ht="18.75">
      <c r="A17" s="445">
        <v>14</v>
      </c>
      <c r="B17" s="10" t="s">
        <v>370</v>
      </c>
      <c r="C17" s="446">
        <v>511804.91666666698</v>
      </c>
      <c r="D17" s="447">
        <v>12</v>
      </c>
      <c r="E17" s="448">
        <f t="shared" si="14"/>
        <v>6141659</v>
      </c>
      <c r="F17" s="448"/>
      <c r="G17" s="448">
        <v>424132.72</v>
      </c>
      <c r="H17" s="448"/>
      <c r="I17" s="448">
        <f t="shared" si="0"/>
        <v>5717526.2800000003</v>
      </c>
      <c r="J17" s="448">
        <v>200000</v>
      </c>
      <c r="K17" s="448">
        <v>0.2</v>
      </c>
      <c r="L17" s="448">
        <f t="shared" si="1"/>
        <v>1143505.2560000001</v>
      </c>
      <c r="M17" s="448">
        <f t="shared" si="2"/>
        <v>1343505.2560000001</v>
      </c>
      <c r="N17" s="448">
        <f t="shared" si="3"/>
        <v>1767637.976</v>
      </c>
      <c r="O17" s="448">
        <f t="shared" si="4"/>
        <v>4374021.0240000002</v>
      </c>
      <c r="P17" s="448">
        <f t="shared" si="5"/>
        <v>21000</v>
      </c>
      <c r="Q17" s="448">
        <f t="shared" si="6"/>
        <v>33000</v>
      </c>
      <c r="R17" s="448">
        <f t="shared" si="7"/>
        <v>75000</v>
      </c>
      <c r="S17" s="448">
        <f t="shared" si="8"/>
        <v>95000</v>
      </c>
      <c r="T17" s="448">
        <f t="shared" si="9"/>
        <v>336000</v>
      </c>
      <c r="U17" s="448">
        <f t="shared" si="10"/>
        <v>281765.045760001</v>
      </c>
      <c r="V17" s="448">
        <f t="shared" si="11"/>
        <v>841765.04576000106</v>
      </c>
      <c r="W17" s="455">
        <v>12</v>
      </c>
      <c r="X17" s="448">
        <f t="shared" si="12"/>
        <v>70147.087146666701</v>
      </c>
      <c r="Y17" s="448"/>
      <c r="Z17" s="459">
        <f t="shared" si="13"/>
        <v>70147.087146666701</v>
      </c>
      <c r="AA17" s="460">
        <v>42046.063686666697</v>
      </c>
      <c r="AB17" s="460">
        <f t="shared" si="15"/>
        <v>28101.02346</v>
      </c>
      <c r="AC17" s="460"/>
      <c r="AD17" s="460"/>
      <c r="AE17" s="460"/>
    </row>
    <row r="18" spans="1:31" ht="18.75">
      <c r="A18" s="445">
        <v>15</v>
      </c>
      <c r="B18" s="10" t="s">
        <v>373</v>
      </c>
      <c r="C18" s="446">
        <v>548915.91666666698</v>
      </c>
      <c r="D18" s="447">
        <v>12</v>
      </c>
      <c r="E18" s="448">
        <f t="shared" si="14"/>
        <v>6586991</v>
      </c>
      <c r="F18" s="448"/>
      <c r="G18" s="448">
        <v>411759.28</v>
      </c>
      <c r="H18" s="448"/>
      <c r="I18" s="448">
        <f t="shared" si="0"/>
        <v>6175231.7199999997</v>
      </c>
      <c r="J18" s="448">
        <v>200000</v>
      </c>
      <c r="K18" s="448">
        <v>0.2</v>
      </c>
      <c r="L18" s="448">
        <f t="shared" si="1"/>
        <v>1235046.344</v>
      </c>
      <c r="M18" s="448">
        <f t="shared" si="2"/>
        <v>1435046.344</v>
      </c>
      <c r="N18" s="448">
        <f t="shared" si="3"/>
        <v>1846805.6240000001</v>
      </c>
      <c r="O18" s="448">
        <f t="shared" si="4"/>
        <v>4740185.3760000002</v>
      </c>
      <c r="P18" s="448">
        <f t="shared" si="5"/>
        <v>21000</v>
      </c>
      <c r="Q18" s="448">
        <f t="shared" si="6"/>
        <v>33000</v>
      </c>
      <c r="R18" s="448">
        <f t="shared" si="7"/>
        <v>75000</v>
      </c>
      <c r="S18" s="448">
        <f t="shared" si="8"/>
        <v>95000</v>
      </c>
      <c r="T18" s="448">
        <f t="shared" si="9"/>
        <v>336000</v>
      </c>
      <c r="U18" s="448">
        <f t="shared" si="10"/>
        <v>369644.490240001</v>
      </c>
      <c r="V18" s="448">
        <f t="shared" si="11"/>
        <v>929644.490240001</v>
      </c>
      <c r="W18" s="455">
        <v>12</v>
      </c>
      <c r="X18" s="448">
        <f t="shared" si="12"/>
        <v>77470.374186666697</v>
      </c>
      <c r="Y18" s="448"/>
      <c r="Z18" s="459">
        <f t="shared" si="13"/>
        <v>77470.374186666697</v>
      </c>
      <c r="AA18" s="460">
        <v>46666.666666666701</v>
      </c>
      <c r="AB18" s="460">
        <f t="shared" si="15"/>
        <v>30803.70752</v>
      </c>
      <c r="AC18" s="460"/>
      <c r="AD18" s="460"/>
      <c r="AE18" s="460"/>
    </row>
    <row r="19" spans="1:31" ht="18.75">
      <c r="A19" s="445">
        <v>16</v>
      </c>
      <c r="B19" s="17" t="s">
        <v>376</v>
      </c>
      <c r="C19" s="446">
        <v>636026.91666666698</v>
      </c>
      <c r="D19" s="447">
        <v>12</v>
      </c>
      <c r="E19" s="448">
        <f t="shared" si="14"/>
        <v>7632323</v>
      </c>
      <c r="F19" s="448">
        <f>618.53*12</f>
        <v>7422.36</v>
      </c>
      <c r="G19" s="448">
        <v>399385.84</v>
      </c>
      <c r="H19" s="448"/>
      <c r="I19" s="448">
        <f t="shared" si="0"/>
        <v>7225514.7999999998</v>
      </c>
      <c r="J19" s="448">
        <v>200000</v>
      </c>
      <c r="K19" s="448">
        <v>0.2</v>
      </c>
      <c r="L19" s="448">
        <f t="shared" si="1"/>
        <v>1445102.96</v>
      </c>
      <c r="M19" s="448">
        <f t="shared" si="2"/>
        <v>1645102.96</v>
      </c>
      <c r="N19" s="448">
        <f t="shared" si="3"/>
        <v>2051911.16</v>
      </c>
      <c r="O19" s="448">
        <f t="shared" si="4"/>
        <v>5580411.8399999999</v>
      </c>
      <c r="P19" s="448">
        <f t="shared" si="5"/>
        <v>21000</v>
      </c>
      <c r="Q19" s="448">
        <f t="shared" si="6"/>
        <v>33000</v>
      </c>
      <c r="R19" s="448">
        <f t="shared" si="7"/>
        <v>75000</v>
      </c>
      <c r="S19" s="448">
        <f t="shared" si="8"/>
        <v>95000</v>
      </c>
      <c r="T19" s="448">
        <f t="shared" si="9"/>
        <v>336000</v>
      </c>
      <c r="U19" s="448">
        <f t="shared" si="10"/>
        <v>571298.84160000097</v>
      </c>
      <c r="V19" s="448">
        <f t="shared" si="11"/>
        <v>1131298.8415999999</v>
      </c>
      <c r="W19" s="455">
        <v>12</v>
      </c>
      <c r="X19" s="448">
        <f t="shared" si="12"/>
        <v>94274.903466666699</v>
      </c>
      <c r="Y19" s="448"/>
      <c r="Z19" s="459">
        <f t="shared" si="13"/>
        <v>94274.903466666699</v>
      </c>
      <c r="AA19" s="460">
        <v>46666.666666666701</v>
      </c>
      <c r="AB19" s="460">
        <f t="shared" si="15"/>
        <v>47608.236799999999</v>
      </c>
      <c r="AC19" s="460"/>
      <c r="AD19" s="460"/>
      <c r="AE19" s="460"/>
    </row>
    <row r="20" spans="1:31" ht="18.75">
      <c r="A20" s="445">
        <v>17</v>
      </c>
      <c r="B20" s="10" t="s">
        <v>379</v>
      </c>
      <c r="C20" s="446">
        <v>537895.16666666698</v>
      </c>
      <c r="D20" s="447">
        <v>12</v>
      </c>
      <c r="E20" s="448">
        <f t="shared" si="14"/>
        <v>6454742</v>
      </c>
      <c r="F20" s="448"/>
      <c r="G20" s="448">
        <v>362779.36</v>
      </c>
      <c r="H20" s="448"/>
      <c r="I20" s="448">
        <f t="shared" si="0"/>
        <v>6091962.6399999997</v>
      </c>
      <c r="J20" s="448">
        <v>200000</v>
      </c>
      <c r="K20" s="448">
        <v>0.2</v>
      </c>
      <c r="L20" s="448">
        <f t="shared" si="1"/>
        <v>1218392.5279999999</v>
      </c>
      <c r="M20" s="448">
        <f t="shared" si="2"/>
        <v>1418392.5279999999</v>
      </c>
      <c r="N20" s="448">
        <f t="shared" si="3"/>
        <v>1781171.888</v>
      </c>
      <c r="O20" s="448">
        <f t="shared" si="4"/>
        <v>4673570.1119999997</v>
      </c>
      <c r="P20" s="448">
        <f t="shared" si="5"/>
        <v>21000</v>
      </c>
      <c r="Q20" s="448">
        <f t="shared" si="6"/>
        <v>33000</v>
      </c>
      <c r="R20" s="448">
        <f t="shared" si="7"/>
        <v>75000</v>
      </c>
      <c r="S20" s="448">
        <f t="shared" si="8"/>
        <v>95000</v>
      </c>
      <c r="T20" s="448">
        <f t="shared" si="9"/>
        <v>336000</v>
      </c>
      <c r="U20" s="448">
        <f t="shared" si="10"/>
        <v>353656.826880001</v>
      </c>
      <c r="V20" s="448">
        <f t="shared" si="11"/>
        <v>913656.826880001</v>
      </c>
      <c r="W20" s="455">
        <v>12</v>
      </c>
      <c r="X20" s="448">
        <f t="shared" si="12"/>
        <v>76138.068906666696</v>
      </c>
      <c r="Y20" s="448"/>
      <c r="Z20" s="459">
        <f t="shared" si="13"/>
        <v>76138.068906666696</v>
      </c>
      <c r="AA20" s="460">
        <v>52497.770378666602</v>
      </c>
      <c r="AB20" s="460">
        <f t="shared" si="15"/>
        <v>23640.298528000101</v>
      </c>
      <c r="AC20" s="460"/>
      <c r="AD20" s="460"/>
      <c r="AE20" s="460"/>
    </row>
    <row r="21" spans="1:31" ht="18.75">
      <c r="A21" s="445">
        <v>18</v>
      </c>
      <c r="B21" s="13" t="s">
        <v>381</v>
      </c>
      <c r="C21" s="446">
        <v>553512.5</v>
      </c>
      <c r="D21" s="447">
        <v>12</v>
      </c>
      <c r="E21" s="448">
        <f t="shared" si="14"/>
        <v>6642150</v>
      </c>
      <c r="F21" s="448"/>
      <c r="G21" s="448">
        <v>339372</v>
      </c>
      <c r="H21" s="448"/>
      <c r="I21" s="448">
        <f t="shared" si="0"/>
        <v>6302778</v>
      </c>
      <c r="J21" s="448">
        <v>200000</v>
      </c>
      <c r="K21" s="448">
        <v>0.2</v>
      </c>
      <c r="L21" s="448">
        <f t="shared" si="1"/>
        <v>1260555.6000000001</v>
      </c>
      <c r="M21" s="448">
        <f t="shared" si="2"/>
        <v>1460555.6</v>
      </c>
      <c r="N21" s="448">
        <f t="shared" si="3"/>
        <v>1799927.6</v>
      </c>
      <c r="O21" s="448">
        <f t="shared" si="4"/>
        <v>4842222.4000000004</v>
      </c>
      <c r="P21" s="448">
        <f t="shared" si="5"/>
        <v>21000</v>
      </c>
      <c r="Q21" s="448">
        <f t="shared" si="6"/>
        <v>33000</v>
      </c>
      <c r="R21" s="448">
        <f t="shared" si="7"/>
        <v>75000</v>
      </c>
      <c r="S21" s="448">
        <f t="shared" si="8"/>
        <v>95000</v>
      </c>
      <c r="T21" s="448">
        <f t="shared" si="9"/>
        <v>336000</v>
      </c>
      <c r="U21" s="448">
        <f t="shared" si="10"/>
        <v>394133.37599999999</v>
      </c>
      <c r="V21" s="448">
        <f t="shared" si="11"/>
        <v>954133.37600000005</v>
      </c>
      <c r="W21" s="455">
        <v>12</v>
      </c>
      <c r="X21" s="448">
        <f t="shared" si="12"/>
        <v>79511.114666666705</v>
      </c>
      <c r="Y21" s="448"/>
      <c r="Z21" s="459">
        <f t="shared" si="13"/>
        <v>79511.114666666705</v>
      </c>
      <c r="AA21" s="460">
        <v>46666.666666666701</v>
      </c>
      <c r="AB21" s="460">
        <f t="shared" si="15"/>
        <v>32844.447999999997</v>
      </c>
      <c r="AC21" s="460"/>
      <c r="AD21" s="460"/>
      <c r="AE21" s="460"/>
    </row>
    <row r="22" spans="1:31" ht="18.75">
      <c r="A22" s="445">
        <v>19</v>
      </c>
      <c r="B22" s="10" t="s">
        <v>383</v>
      </c>
      <c r="C22" s="446">
        <v>463512.5</v>
      </c>
      <c r="D22" s="447">
        <v>12</v>
      </c>
      <c r="E22" s="448">
        <f t="shared" si="14"/>
        <v>5562150</v>
      </c>
      <c r="F22" s="448"/>
      <c r="G22" s="448">
        <v>339372</v>
      </c>
      <c r="H22" s="448"/>
      <c r="I22" s="448">
        <f t="shared" si="0"/>
        <v>5222778</v>
      </c>
      <c r="J22" s="448">
        <v>200000</v>
      </c>
      <c r="K22" s="448">
        <v>0.2</v>
      </c>
      <c r="L22" s="448">
        <f t="shared" si="1"/>
        <v>1044555.6</v>
      </c>
      <c r="M22" s="448">
        <f t="shared" si="2"/>
        <v>1244555.6000000001</v>
      </c>
      <c r="N22" s="448">
        <f t="shared" si="3"/>
        <v>1583927.6</v>
      </c>
      <c r="O22" s="448">
        <f t="shared" si="4"/>
        <v>3978222.4</v>
      </c>
      <c r="P22" s="448">
        <f t="shared" si="5"/>
        <v>21000</v>
      </c>
      <c r="Q22" s="448">
        <f t="shared" si="6"/>
        <v>33000</v>
      </c>
      <c r="R22" s="448">
        <f t="shared" si="7"/>
        <v>75000</v>
      </c>
      <c r="S22" s="448">
        <f t="shared" si="8"/>
        <v>95000</v>
      </c>
      <c r="T22" s="448">
        <f t="shared" si="9"/>
        <v>336000</v>
      </c>
      <c r="U22" s="448">
        <f t="shared" si="10"/>
        <v>186773.37599999999</v>
      </c>
      <c r="V22" s="448">
        <f t="shared" si="11"/>
        <v>746773.37600000005</v>
      </c>
      <c r="W22" s="455">
        <v>12</v>
      </c>
      <c r="X22" s="448">
        <f t="shared" si="12"/>
        <v>62231.114666666697</v>
      </c>
      <c r="Y22" s="448"/>
      <c r="Z22" s="459">
        <f t="shared" si="13"/>
        <v>62231.114666666697</v>
      </c>
      <c r="AA22" s="460">
        <v>46666.666666666701</v>
      </c>
      <c r="AB22" s="460">
        <f t="shared" si="15"/>
        <v>15564.448</v>
      </c>
      <c r="AC22" s="460"/>
      <c r="AD22" s="460"/>
      <c r="AE22" s="460"/>
    </row>
    <row r="23" spans="1:31" ht="18.75">
      <c r="A23" s="445">
        <v>20</v>
      </c>
      <c r="B23" s="13" t="s">
        <v>384</v>
      </c>
      <c r="C23" s="446">
        <v>453029.66666666698</v>
      </c>
      <c r="D23" s="447">
        <v>12</v>
      </c>
      <c r="E23" s="448">
        <f t="shared" si="14"/>
        <v>5436356</v>
      </c>
      <c r="F23" s="448"/>
      <c r="G23" s="448">
        <v>281308.48</v>
      </c>
      <c r="H23" s="448"/>
      <c r="I23" s="448">
        <f t="shared" si="0"/>
        <v>5155047.5199999996</v>
      </c>
      <c r="J23" s="448">
        <v>200000</v>
      </c>
      <c r="K23" s="448">
        <v>0.2</v>
      </c>
      <c r="L23" s="448">
        <f t="shared" si="1"/>
        <v>1031009.504</v>
      </c>
      <c r="M23" s="448">
        <f t="shared" si="2"/>
        <v>1231009.504</v>
      </c>
      <c r="N23" s="448">
        <f t="shared" si="3"/>
        <v>1512317.9839999999</v>
      </c>
      <c r="O23" s="448">
        <f t="shared" si="4"/>
        <v>3924038.0159999998</v>
      </c>
      <c r="P23" s="448">
        <f t="shared" si="5"/>
        <v>21000</v>
      </c>
      <c r="Q23" s="448">
        <f t="shared" si="6"/>
        <v>33000</v>
      </c>
      <c r="R23" s="448">
        <f t="shared" si="7"/>
        <v>75000</v>
      </c>
      <c r="S23" s="448">
        <f t="shared" si="8"/>
        <v>95000</v>
      </c>
      <c r="T23" s="448">
        <f t="shared" si="9"/>
        <v>336000</v>
      </c>
      <c r="U23" s="448">
        <f t="shared" si="10"/>
        <v>173769.123840001</v>
      </c>
      <c r="V23" s="448">
        <f t="shared" si="11"/>
        <v>733769.12384000095</v>
      </c>
      <c r="W23" s="455">
        <v>12</v>
      </c>
      <c r="X23" s="448">
        <f t="shared" si="12"/>
        <v>61147.426986666702</v>
      </c>
      <c r="Y23" s="448"/>
      <c r="Z23" s="459">
        <f t="shared" si="13"/>
        <v>61147.426986666702</v>
      </c>
      <c r="AA23" s="460">
        <v>42371.815728666697</v>
      </c>
      <c r="AB23" s="460">
        <f t="shared" si="15"/>
        <v>18775.611258000001</v>
      </c>
      <c r="AC23" s="460"/>
      <c r="AD23" s="460"/>
      <c r="AE23" s="460"/>
    </row>
    <row r="24" spans="1:31" ht="18.75">
      <c r="A24" s="445">
        <v>21</v>
      </c>
      <c r="B24" s="3" t="s">
        <v>386</v>
      </c>
      <c r="C24" s="446">
        <v>330481.66666666698</v>
      </c>
      <c r="D24" s="447">
        <v>12</v>
      </c>
      <c r="E24" s="448">
        <f t="shared" si="14"/>
        <v>3965780</v>
      </c>
      <c r="F24" s="448"/>
      <c r="G24" s="448">
        <v>259662.4</v>
      </c>
      <c r="H24" s="448"/>
      <c r="I24" s="448">
        <f t="shared" si="0"/>
        <v>3706117.6</v>
      </c>
      <c r="J24" s="448">
        <v>200000</v>
      </c>
      <c r="K24" s="448">
        <v>0.2</v>
      </c>
      <c r="L24" s="448">
        <f t="shared" si="1"/>
        <v>741223.52000000095</v>
      </c>
      <c r="M24" s="448">
        <f t="shared" si="2"/>
        <v>941223.52000000095</v>
      </c>
      <c r="N24" s="448">
        <f t="shared" si="3"/>
        <v>1200885.92</v>
      </c>
      <c r="O24" s="448">
        <f t="shared" si="4"/>
        <v>2764894.08</v>
      </c>
      <c r="P24" s="448">
        <f t="shared" si="5"/>
        <v>21000</v>
      </c>
      <c r="Q24" s="448">
        <f t="shared" si="6"/>
        <v>33000</v>
      </c>
      <c r="R24" s="448">
        <f t="shared" si="7"/>
        <v>75000</v>
      </c>
      <c r="S24" s="448">
        <f t="shared" si="8"/>
        <v>95000</v>
      </c>
      <c r="T24" s="448">
        <f t="shared" si="9"/>
        <v>244627.75680000099</v>
      </c>
      <c r="U24" s="448"/>
      <c r="V24" s="448">
        <f t="shared" si="11"/>
        <v>468627.75680000102</v>
      </c>
      <c r="W24" s="455">
        <v>12</v>
      </c>
      <c r="X24" s="448">
        <f t="shared" si="12"/>
        <v>39052.313066666698</v>
      </c>
      <c r="Y24" s="448"/>
      <c r="Z24" s="459">
        <f t="shared" si="13"/>
        <v>39052.313066666698</v>
      </c>
      <c r="AA24" s="460">
        <v>23036.012346666699</v>
      </c>
      <c r="AB24" s="460">
        <f t="shared" si="15"/>
        <v>16016.300719999999</v>
      </c>
      <c r="AC24" s="460"/>
      <c r="AD24" s="460"/>
      <c r="AE24" s="460"/>
    </row>
    <row r="25" spans="1:31" ht="18.75">
      <c r="A25" s="445">
        <v>22</v>
      </c>
      <c r="B25" s="17" t="s">
        <v>388</v>
      </c>
      <c r="C25" s="446">
        <v>330481.66666666698</v>
      </c>
      <c r="D25" s="447">
        <v>12</v>
      </c>
      <c r="E25" s="448">
        <f t="shared" si="14"/>
        <v>3965780</v>
      </c>
      <c r="F25" s="448"/>
      <c r="G25" s="448">
        <v>259662.4</v>
      </c>
      <c r="H25" s="448"/>
      <c r="I25" s="448">
        <f t="shared" si="0"/>
        <v>3706117.6</v>
      </c>
      <c r="J25" s="448">
        <v>200000</v>
      </c>
      <c r="K25" s="448">
        <v>0.2</v>
      </c>
      <c r="L25" s="448">
        <f t="shared" si="1"/>
        <v>741223.52000000095</v>
      </c>
      <c r="M25" s="448">
        <f t="shared" si="2"/>
        <v>941223.52000000095</v>
      </c>
      <c r="N25" s="448">
        <f t="shared" si="3"/>
        <v>1200885.92</v>
      </c>
      <c r="O25" s="448">
        <f t="shared" si="4"/>
        <v>2764894.08</v>
      </c>
      <c r="P25" s="448">
        <f t="shared" si="5"/>
        <v>21000</v>
      </c>
      <c r="Q25" s="448">
        <f t="shared" si="6"/>
        <v>33000</v>
      </c>
      <c r="R25" s="448">
        <f t="shared" si="7"/>
        <v>75000</v>
      </c>
      <c r="S25" s="448">
        <f t="shared" si="8"/>
        <v>95000</v>
      </c>
      <c r="T25" s="448">
        <f t="shared" si="9"/>
        <v>244627.75680000099</v>
      </c>
      <c r="U25" s="448"/>
      <c r="V25" s="448">
        <f t="shared" si="11"/>
        <v>468627.75680000102</v>
      </c>
      <c r="W25" s="455">
        <v>12</v>
      </c>
      <c r="X25" s="448">
        <f t="shared" si="12"/>
        <v>39052.313066666698</v>
      </c>
      <c r="Y25" s="448"/>
      <c r="Z25" s="459">
        <f t="shared" si="13"/>
        <v>39052.313066666698</v>
      </c>
      <c r="AA25" s="460">
        <v>23036.012346666699</v>
      </c>
      <c r="AB25" s="460">
        <f t="shared" si="15"/>
        <v>16016.300719999999</v>
      </c>
      <c r="AC25" s="460"/>
      <c r="AD25" s="460"/>
      <c r="AE25" s="460"/>
    </row>
    <row r="26" spans="1:31" ht="18.75">
      <c r="A26" s="445">
        <v>23</v>
      </c>
      <c r="B26" s="10" t="s">
        <v>389</v>
      </c>
      <c r="C26" s="446">
        <v>370481.66666666698</v>
      </c>
      <c r="D26" s="447">
        <v>12</v>
      </c>
      <c r="E26" s="448">
        <f t="shared" si="14"/>
        <v>4445780</v>
      </c>
      <c r="F26" s="448"/>
      <c r="G26" s="448">
        <v>259662.4</v>
      </c>
      <c r="H26" s="448"/>
      <c r="I26" s="448">
        <f t="shared" si="0"/>
        <v>4186117.6</v>
      </c>
      <c r="J26" s="448">
        <v>200000</v>
      </c>
      <c r="K26" s="448">
        <v>0.2</v>
      </c>
      <c r="L26" s="448">
        <f t="shared" si="1"/>
        <v>837223.52000000095</v>
      </c>
      <c r="M26" s="448">
        <f t="shared" si="2"/>
        <v>1037223.52</v>
      </c>
      <c r="N26" s="448">
        <f t="shared" si="3"/>
        <v>1296885.92</v>
      </c>
      <c r="O26" s="448">
        <f t="shared" si="4"/>
        <v>3148894.08</v>
      </c>
      <c r="P26" s="448">
        <f t="shared" si="5"/>
        <v>21000</v>
      </c>
      <c r="Q26" s="448">
        <f t="shared" si="6"/>
        <v>33000</v>
      </c>
      <c r="R26" s="448">
        <f t="shared" si="7"/>
        <v>75000</v>
      </c>
      <c r="S26" s="448">
        <f t="shared" si="8"/>
        <v>95000</v>
      </c>
      <c r="T26" s="448">
        <f t="shared" si="9"/>
        <v>325267.75680000102</v>
      </c>
      <c r="U26" s="448"/>
      <c r="V26" s="448">
        <f t="shared" si="11"/>
        <v>549267.75680000102</v>
      </c>
      <c r="W26" s="455">
        <v>12</v>
      </c>
      <c r="X26" s="448">
        <f t="shared" si="12"/>
        <v>45772.313066666698</v>
      </c>
      <c r="Y26" s="448"/>
      <c r="Z26" s="459">
        <f t="shared" si="13"/>
        <v>45772.313066666698</v>
      </c>
      <c r="AA26" s="460">
        <v>29756.012346666699</v>
      </c>
      <c r="AB26" s="460">
        <f t="shared" si="15"/>
        <v>16016.300719999999</v>
      </c>
      <c r="AC26" s="460"/>
      <c r="AD26" s="460"/>
      <c r="AE26" s="460"/>
    </row>
    <row r="27" spans="1:31" ht="37.5">
      <c r="A27" s="445">
        <v>24</v>
      </c>
      <c r="B27" s="17" t="s">
        <v>390</v>
      </c>
      <c r="C27" s="446">
        <v>323165.33333333302</v>
      </c>
      <c r="D27" s="447">
        <v>12</v>
      </c>
      <c r="E27" s="448">
        <f t="shared" si="14"/>
        <v>3877984</v>
      </c>
      <c r="F27" s="448"/>
      <c r="G27" s="448">
        <v>252638.72</v>
      </c>
      <c r="H27" s="448"/>
      <c r="I27" s="448">
        <f t="shared" si="0"/>
        <v>3625345.28</v>
      </c>
      <c r="J27" s="448">
        <v>200000</v>
      </c>
      <c r="K27" s="448">
        <v>0.2</v>
      </c>
      <c r="L27" s="448">
        <f t="shared" ref="L27" si="16">I27*K27</f>
        <v>725069.05599999905</v>
      </c>
      <c r="M27" s="448">
        <f t="shared" ref="M27" si="17">J27+L27</f>
        <v>925069.05599999905</v>
      </c>
      <c r="N27" s="448">
        <f t="shared" si="3"/>
        <v>1177707.7760000001</v>
      </c>
      <c r="O27" s="448">
        <f t="shared" si="4"/>
        <v>2700276.2239999999</v>
      </c>
      <c r="P27" s="448">
        <f t="shared" ref="P27" si="18">IF(O27&lt;300000,0.07*O27,21000)</f>
        <v>21000</v>
      </c>
      <c r="Q27" s="448">
        <f t="shared" ref="Q27" si="19">IF((O27-300000)&lt;0,0,IF((O27-300000)&lt;300000,0.11*(O27-300000),33000))</f>
        <v>33000</v>
      </c>
      <c r="R27" s="448">
        <f t="shared" ref="R27" si="20">IF((O27-600000)&lt;0,0,IF((O27-600000)&lt;500000,0.15*(O27-600000),75000))</f>
        <v>75000</v>
      </c>
      <c r="S27" s="448">
        <f t="shared" ref="S27" si="21">IF((O27-1100000)&lt;0,0,IF((O27-1100000)&lt;500000,0.19*(O27-1100000),95000))</f>
        <v>95000</v>
      </c>
      <c r="T27" s="448">
        <f t="shared" ref="T27" si="22">IF((O27-1600000)&lt;0,0,IF((O27-1600000)&lt;1600000,0.21*(O27-1600000),336000))</f>
        <v>231058.00703999901</v>
      </c>
      <c r="U27" s="448"/>
      <c r="V27" s="448">
        <f t="shared" ref="V27" si="23">P27+Q27+R27+S27+T27+U27</f>
        <v>455058.00703999901</v>
      </c>
      <c r="W27" s="455">
        <v>12</v>
      </c>
      <c r="X27" s="448">
        <f t="shared" ref="X27" si="24">V27/W27</f>
        <v>37921.500586666603</v>
      </c>
      <c r="Y27" s="448"/>
      <c r="Z27" s="459">
        <f t="shared" ref="Z27" si="25">X27</f>
        <v>37921.500586666603</v>
      </c>
      <c r="AA27" s="460">
        <v>22338.4826046667</v>
      </c>
      <c r="AB27" s="460">
        <f t="shared" si="15"/>
        <v>15583.017981999899</v>
      </c>
      <c r="AC27" s="460"/>
      <c r="AD27" s="460"/>
      <c r="AE27" s="460"/>
    </row>
    <row r="28" spans="1:31" ht="18.75">
      <c r="A28" s="445">
        <v>25</v>
      </c>
      <c r="B28" s="17" t="s">
        <v>392</v>
      </c>
      <c r="C28" s="446">
        <v>315849</v>
      </c>
      <c r="D28" s="447">
        <v>12</v>
      </c>
      <c r="E28" s="448">
        <f t="shared" si="14"/>
        <v>3790188</v>
      </c>
      <c r="F28" s="448"/>
      <c r="G28" s="448">
        <v>245615.04</v>
      </c>
      <c r="H28" s="448"/>
      <c r="I28" s="448">
        <f t="shared" si="0"/>
        <v>3544572.96</v>
      </c>
      <c r="J28" s="448">
        <v>200000</v>
      </c>
      <c r="K28" s="448">
        <v>0.2</v>
      </c>
      <c r="L28" s="448">
        <f t="shared" si="1"/>
        <v>708914.59199999995</v>
      </c>
      <c r="M28" s="448">
        <f t="shared" si="2"/>
        <v>908914.59199999995</v>
      </c>
      <c r="N28" s="448">
        <f t="shared" si="3"/>
        <v>1154529.632</v>
      </c>
      <c r="O28" s="448">
        <f t="shared" si="4"/>
        <v>2635658.3679999998</v>
      </c>
      <c r="P28" s="448">
        <f t="shared" si="5"/>
        <v>21000</v>
      </c>
      <c r="Q28" s="448">
        <f t="shared" si="6"/>
        <v>33000</v>
      </c>
      <c r="R28" s="448">
        <f t="shared" si="7"/>
        <v>75000</v>
      </c>
      <c r="S28" s="448">
        <f t="shared" si="8"/>
        <v>95000</v>
      </c>
      <c r="T28" s="448">
        <f t="shared" si="9"/>
        <v>217488.25727999999</v>
      </c>
      <c r="U28" s="448"/>
      <c r="V28" s="448">
        <f t="shared" si="11"/>
        <v>441488.25728000002</v>
      </c>
      <c r="W28" s="455">
        <v>12</v>
      </c>
      <c r="X28" s="448">
        <f t="shared" si="12"/>
        <v>36790.688106666697</v>
      </c>
      <c r="Y28" s="448"/>
      <c r="Z28" s="459">
        <f t="shared" si="13"/>
        <v>36790.688106666697</v>
      </c>
      <c r="AA28" s="460">
        <v>21640.952862666702</v>
      </c>
      <c r="AB28" s="460">
        <f t="shared" si="15"/>
        <v>15149.735244</v>
      </c>
      <c r="AC28" s="460"/>
      <c r="AD28" s="460"/>
      <c r="AE28" s="460"/>
    </row>
    <row r="29" spans="1:31" ht="37.5">
      <c r="A29" s="445">
        <v>26</v>
      </c>
      <c r="B29" s="17" t="s">
        <v>394</v>
      </c>
      <c r="C29" s="446">
        <v>315849</v>
      </c>
      <c r="D29" s="447">
        <v>12</v>
      </c>
      <c r="E29" s="448">
        <f t="shared" si="14"/>
        <v>3790188</v>
      </c>
      <c r="F29" s="448"/>
      <c r="G29" s="448">
        <v>245615.04</v>
      </c>
      <c r="H29" s="448"/>
      <c r="I29" s="448">
        <f t="shared" si="0"/>
        <v>3544572.96</v>
      </c>
      <c r="J29" s="448">
        <v>200000</v>
      </c>
      <c r="K29" s="448">
        <v>0.2</v>
      </c>
      <c r="L29" s="448">
        <f t="shared" si="1"/>
        <v>708914.59199999995</v>
      </c>
      <c r="M29" s="448">
        <f t="shared" si="2"/>
        <v>908914.59199999995</v>
      </c>
      <c r="N29" s="448">
        <f t="shared" si="3"/>
        <v>1154529.632</v>
      </c>
      <c r="O29" s="448">
        <f t="shared" si="4"/>
        <v>2635658.3679999998</v>
      </c>
      <c r="P29" s="448">
        <f t="shared" si="5"/>
        <v>21000</v>
      </c>
      <c r="Q29" s="448">
        <f t="shared" si="6"/>
        <v>33000</v>
      </c>
      <c r="R29" s="448">
        <f t="shared" si="7"/>
        <v>75000</v>
      </c>
      <c r="S29" s="448">
        <f t="shared" si="8"/>
        <v>95000</v>
      </c>
      <c r="T29" s="448">
        <f t="shared" si="9"/>
        <v>217488.25727999999</v>
      </c>
      <c r="U29" s="448"/>
      <c r="V29" s="448">
        <f t="shared" si="11"/>
        <v>441488.25728000002</v>
      </c>
      <c r="W29" s="455">
        <v>12</v>
      </c>
      <c r="X29" s="448">
        <f t="shared" si="12"/>
        <v>36790.688106666697</v>
      </c>
      <c r="Y29" s="448"/>
      <c r="Z29" s="459">
        <f t="shared" si="13"/>
        <v>36790.688106666697</v>
      </c>
      <c r="AA29" s="460">
        <v>21640.952862666702</v>
      </c>
      <c r="AB29" s="460">
        <f t="shared" si="15"/>
        <v>15149.735244</v>
      </c>
      <c r="AC29" s="460"/>
      <c r="AD29" s="460"/>
      <c r="AE29" s="460"/>
    </row>
    <row r="30" spans="1:31" ht="18.75">
      <c r="A30" s="445">
        <v>27</v>
      </c>
      <c r="B30" s="17" t="s">
        <v>395</v>
      </c>
      <c r="C30" s="446">
        <v>330481.66666666698</v>
      </c>
      <c r="D30" s="447">
        <v>12</v>
      </c>
      <c r="E30" s="448">
        <f t="shared" si="14"/>
        <v>3965780</v>
      </c>
      <c r="F30" s="448"/>
      <c r="G30" s="448">
        <v>259662.4</v>
      </c>
      <c r="H30" s="448"/>
      <c r="I30" s="448">
        <f t="shared" si="0"/>
        <v>3706117.6</v>
      </c>
      <c r="J30" s="448">
        <v>200000</v>
      </c>
      <c r="K30" s="448">
        <v>0.2</v>
      </c>
      <c r="L30" s="448">
        <f t="shared" si="1"/>
        <v>741223.52000000095</v>
      </c>
      <c r="M30" s="448">
        <f t="shared" si="2"/>
        <v>941223.52000000095</v>
      </c>
      <c r="N30" s="448">
        <f t="shared" si="3"/>
        <v>1200885.92</v>
      </c>
      <c r="O30" s="448">
        <f t="shared" si="4"/>
        <v>2764894.08</v>
      </c>
      <c r="P30" s="448">
        <f t="shared" si="5"/>
        <v>21000</v>
      </c>
      <c r="Q30" s="448">
        <f t="shared" si="6"/>
        <v>33000</v>
      </c>
      <c r="R30" s="448">
        <f t="shared" si="7"/>
        <v>75000</v>
      </c>
      <c r="S30" s="448">
        <f t="shared" si="8"/>
        <v>95000</v>
      </c>
      <c r="T30" s="448">
        <f t="shared" si="9"/>
        <v>244627.75680000099</v>
      </c>
      <c r="U30" s="448"/>
      <c r="V30" s="448">
        <f t="shared" si="11"/>
        <v>468627.75680000102</v>
      </c>
      <c r="W30" s="455">
        <v>12</v>
      </c>
      <c r="X30" s="448">
        <f t="shared" si="12"/>
        <v>39052.313066666698</v>
      </c>
      <c r="Y30" s="448"/>
      <c r="Z30" s="459">
        <f t="shared" si="13"/>
        <v>39052.313066666698</v>
      </c>
      <c r="AA30" s="460">
        <v>22338.4826046667</v>
      </c>
      <c r="AB30" s="460">
        <f t="shared" si="15"/>
        <v>16713.830462000002</v>
      </c>
      <c r="AC30" s="460"/>
      <c r="AD30" s="460"/>
      <c r="AE30" s="460"/>
    </row>
    <row r="31" spans="1:31" ht="18.75">
      <c r="A31" s="445">
        <v>28</v>
      </c>
      <c r="B31" s="17" t="s">
        <v>397</v>
      </c>
      <c r="C31" s="446">
        <v>280631.91666666698</v>
      </c>
      <c r="D31" s="447">
        <v>12</v>
      </c>
      <c r="E31" s="448">
        <f t="shared" si="14"/>
        <v>3367583</v>
      </c>
      <c r="F31" s="448"/>
      <c r="G31" s="449">
        <v>221406.64</v>
      </c>
      <c r="H31" s="448"/>
      <c r="I31" s="448">
        <f t="shared" si="0"/>
        <v>3146176.36</v>
      </c>
      <c r="J31" s="448">
        <v>200000</v>
      </c>
      <c r="K31" s="448">
        <v>0.2</v>
      </c>
      <c r="L31" s="448">
        <f t="shared" si="1"/>
        <v>629235.27200000104</v>
      </c>
      <c r="M31" s="448">
        <f t="shared" si="2"/>
        <v>829235.27200000104</v>
      </c>
      <c r="N31" s="448">
        <f t="shared" si="3"/>
        <v>1050641.912</v>
      </c>
      <c r="O31" s="448">
        <f t="shared" si="4"/>
        <v>2316941.088</v>
      </c>
      <c r="P31" s="448">
        <f t="shared" si="5"/>
        <v>21000</v>
      </c>
      <c r="Q31" s="448">
        <f t="shared" si="6"/>
        <v>33000</v>
      </c>
      <c r="R31" s="448">
        <f t="shared" si="7"/>
        <v>75000</v>
      </c>
      <c r="S31" s="448">
        <f t="shared" si="8"/>
        <v>95000</v>
      </c>
      <c r="T31" s="448">
        <f t="shared" si="9"/>
        <v>150557.628480001</v>
      </c>
      <c r="U31" s="448"/>
      <c r="V31" s="448">
        <f t="shared" si="11"/>
        <v>374557.628480001</v>
      </c>
      <c r="W31" s="455">
        <v>12</v>
      </c>
      <c r="X31" s="448">
        <f t="shared" si="12"/>
        <v>31213.135706666701</v>
      </c>
      <c r="Y31" s="448"/>
      <c r="Z31" s="459">
        <f t="shared" si="13"/>
        <v>31213.135706666701</v>
      </c>
      <c r="AA31" s="460">
        <v>17572.885002666699</v>
      </c>
      <c r="AB31" s="460">
        <f t="shared" si="15"/>
        <v>13640.250704</v>
      </c>
      <c r="AC31" s="460"/>
      <c r="AD31" s="460"/>
      <c r="AE31" s="460"/>
    </row>
    <row r="32" spans="1:31" ht="18.75">
      <c r="A32" s="445">
        <v>29</v>
      </c>
      <c r="B32" s="17" t="s">
        <v>400</v>
      </c>
      <c r="C32" s="446">
        <v>274459.75</v>
      </c>
      <c r="D32" s="447">
        <v>12</v>
      </c>
      <c r="E32" s="448">
        <f t="shared" si="14"/>
        <v>3293517</v>
      </c>
      <c r="F32" s="448"/>
      <c r="G32" s="449">
        <f>17956.78*12</f>
        <v>215481.36</v>
      </c>
      <c r="H32" s="448"/>
      <c r="I32" s="448">
        <f t="shared" si="0"/>
        <v>3078035.64</v>
      </c>
      <c r="J32" s="448">
        <v>200000</v>
      </c>
      <c r="K32" s="448">
        <v>0.2</v>
      </c>
      <c r="L32" s="448">
        <f t="shared" si="1"/>
        <v>615607.12800000003</v>
      </c>
      <c r="M32" s="448">
        <f t="shared" si="2"/>
        <v>815607.12800000003</v>
      </c>
      <c r="N32" s="448">
        <f t="shared" si="3"/>
        <v>1031088.488</v>
      </c>
      <c r="O32" s="448">
        <f t="shared" si="4"/>
        <v>2262428.5120000001</v>
      </c>
      <c r="P32" s="448">
        <f t="shared" si="5"/>
        <v>21000</v>
      </c>
      <c r="Q32" s="448">
        <f t="shared" si="6"/>
        <v>33000</v>
      </c>
      <c r="R32" s="448">
        <f t="shared" si="7"/>
        <v>75000</v>
      </c>
      <c r="S32" s="448">
        <f t="shared" si="8"/>
        <v>95000</v>
      </c>
      <c r="T32" s="448">
        <f t="shared" si="9"/>
        <v>139109.98752</v>
      </c>
      <c r="U32" s="448"/>
      <c r="V32" s="448">
        <f t="shared" si="11"/>
        <v>363109.98752000002</v>
      </c>
      <c r="W32" s="455">
        <v>12</v>
      </c>
      <c r="X32" s="448">
        <f t="shared" si="12"/>
        <v>30259.165626666701</v>
      </c>
      <c r="Y32" s="448"/>
      <c r="Z32" s="459">
        <f t="shared" si="13"/>
        <v>30259.165626666701</v>
      </c>
      <c r="AA32" s="460">
        <v>16512.682190666699</v>
      </c>
      <c r="AB32" s="460">
        <f t="shared" si="15"/>
        <v>13746.483436</v>
      </c>
      <c r="AC32" s="460"/>
      <c r="AD32" s="460"/>
      <c r="AE32" s="460"/>
    </row>
    <row r="33" spans="1:31" ht="18.75">
      <c r="A33" s="445">
        <v>31</v>
      </c>
      <c r="B33" s="21"/>
      <c r="C33" s="450"/>
      <c r="D33" s="447"/>
      <c r="E33" s="448"/>
      <c r="F33" s="451"/>
      <c r="G33" s="451"/>
      <c r="H33" s="451"/>
      <c r="I33" s="448"/>
      <c r="J33" s="448"/>
      <c r="K33" s="448"/>
      <c r="L33" s="448"/>
      <c r="M33" s="448"/>
      <c r="N33" s="448"/>
      <c r="O33" s="448"/>
      <c r="P33" s="448"/>
      <c r="Q33" s="448"/>
      <c r="R33" s="448"/>
      <c r="S33" s="448"/>
      <c r="T33" s="448"/>
      <c r="U33" s="448"/>
      <c r="V33" s="448"/>
      <c r="W33" s="455"/>
      <c r="X33" s="448"/>
      <c r="Y33" s="451"/>
      <c r="Z33" s="459"/>
      <c r="AA33" s="460"/>
      <c r="AB33" s="460"/>
      <c r="AC33" s="460"/>
      <c r="AD33" s="460"/>
      <c r="AE33" s="460"/>
    </row>
    <row r="34" spans="1:31" ht="18.75">
      <c r="A34" s="445">
        <v>32</v>
      </c>
      <c r="B34" s="19" t="s">
        <v>225</v>
      </c>
      <c r="C34" s="448"/>
      <c r="D34" s="447"/>
      <c r="E34" s="448"/>
      <c r="F34" s="451"/>
      <c r="G34" s="451"/>
      <c r="H34" s="451"/>
      <c r="I34" s="448"/>
      <c r="J34" s="448"/>
      <c r="K34" s="448"/>
      <c r="L34" s="448"/>
      <c r="M34" s="448"/>
      <c r="N34" s="448"/>
      <c r="O34" s="448"/>
      <c r="P34" s="448"/>
      <c r="Q34" s="448"/>
      <c r="R34" s="448"/>
      <c r="S34" s="448"/>
      <c r="T34" s="448"/>
      <c r="U34" s="448"/>
      <c r="V34" s="448"/>
      <c r="W34" s="455"/>
      <c r="X34" s="448"/>
      <c r="Y34" s="451"/>
      <c r="Z34" s="459"/>
      <c r="AA34" s="460"/>
      <c r="AB34" s="460"/>
      <c r="AC34" s="460"/>
      <c r="AD34" s="460"/>
      <c r="AE34" s="460"/>
    </row>
    <row r="35" spans="1:31" ht="18.75">
      <c r="A35" s="445"/>
      <c r="B35" s="17" t="s">
        <v>403</v>
      </c>
      <c r="C35" s="452">
        <v>1535720</v>
      </c>
      <c r="D35" s="448">
        <v>12</v>
      </c>
      <c r="E35" s="448">
        <f>C35*D35</f>
        <v>18428640</v>
      </c>
      <c r="F35" s="448"/>
      <c r="G35" s="449">
        <v>1378291.2</v>
      </c>
      <c r="H35" s="448"/>
      <c r="I35" s="448">
        <f>E35-F35-G35-H35</f>
        <v>17050348.800000001</v>
      </c>
      <c r="J35" s="448">
        <v>200000</v>
      </c>
      <c r="K35" s="448">
        <v>0.2</v>
      </c>
      <c r="L35" s="448">
        <f>I35*K35</f>
        <v>3410069.76</v>
      </c>
      <c r="M35" s="448">
        <f>J35+L35</f>
        <v>3610069.76</v>
      </c>
      <c r="N35" s="448">
        <f>F35+G35+H35+M35</f>
        <v>4988360.96</v>
      </c>
      <c r="O35" s="448">
        <f>E35-N35</f>
        <v>13440279.039999999</v>
      </c>
      <c r="P35" s="448">
        <f t="shared" si="5"/>
        <v>21000</v>
      </c>
      <c r="Q35" s="448">
        <f t="shared" ref="Q35:Q37" si="26">IF((O35-300000)&lt;0,0,IF((O35-300000)&lt;300000,0.11*(O35-300000),33000))</f>
        <v>33000</v>
      </c>
      <c r="R35" s="448">
        <f t="shared" ref="R35:R37" si="27">IF((O35-600000)&lt;0,0,IF((O35-600000)&lt;500000,0.15*(O35-600000),75000))</f>
        <v>75000</v>
      </c>
      <c r="S35" s="448">
        <f t="shared" ref="S35:S37" si="28">IF((O35-1100000)&lt;0,0,IF((O35-1100000)&lt;500000,0.19*(O35-1100000),95000))</f>
        <v>95000</v>
      </c>
      <c r="T35" s="448">
        <f t="shared" ref="T35:T37" si="29">IF((O35-1600000)&lt;0,0,IF((O35-1600000)&lt;1600000,0.21*(O35-1600000),336000))</f>
        <v>336000</v>
      </c>
      <c r="U35" s="448">
        <f t="shared" si="10"/>
        <v>2457666.9696</v>
      </c>
      <c r="V35" s="448">
        <f>P35+Q35+R35+S35+T35+U35</f>
        <v>3017666.9696</v>
      </c>
      <c r="W35" s="448">
        <v>12</v>
      </c>
      <c r="X35" s="448">
        <f>V35/W35</f>
        <v>251472.247466667</v>
      </c>
      <c r="Y35" s="448"/>
      <c r="Z35" s="459">
        <f>X35</f>
        <v>251472.247466667</v>
      </c>
      <c r="AA35" s="448">
        <v>161106.806858667</v>
      </c>
      <c r="AB35" s="448">
        <f>Z35-AA35</f>
        <v>90365.440607999597</v>
      </c>
      <c r="AC35" s="460"/>
      <c r="AD35" s="460"/>
      <c r="AE35" s="460"/>
    </row>
    <row r="36" spans="1:31" ht="18.75">
      <c r="A36" s="445"/>
      <c r="B36" s="17" t="s">
        <v>406</v>
      </c>
      <c r="C36" s="448">
        <v>353029.66666666698</v>
      </c>
      <c r="D36" s="447">
        <v>12</v>
      </c>
      <c r="E36" s="448">
        <f>C36*D36</f>
        <v>4236356</v>
      </c>
      <c r="F36" s="448"/>
      <c r="G36" s="449">
        <v>281308.48</v>
      </c>
      <c r="H36" s="448"/>
      <c r="I36" s="448">
        <f>E36-F36-G36-H36</f>
        <v>3955047.52</v>
      </c>
      <c r="J36" s="448">
        <v>200000</v>
      </c>
      <c r="K36" s="448">
        <v>0.2</v>
      </c>
      <c r="L36" s="448">
        <f>I36*K36</f>
        <v>791009.504000001</v>
      </c>
      <c r="M36" s="448">
        <f>J36+L36</f>
        <v>991009.504000001</v>
      </c>
      <c r="N36" s="448">
        <f>F36+G36+H36+M36</f>
        <v>1272317.9839999999</v>
      </c>
      <c r="O36" s="448">
        <f>E36-N36</f>
        <v>2964038.0159999998</v>
      </c>
      <c r="P36" s="448">
        <f t="shared" si="5"/>
        <v>21000</v>
      </c>
      <c r="Q36" s="448">
        <f t="shared" si="26"/>
        <v>33000</v>
      </c>
      <c r="R36" s="448">
        <f t="shared" si="27"/>
        <v>75000</v>
      </c>
      <c r="S36" s="448">
        <f t="shared" si="28"/>
        <v>95000</v>
      </c>
      <c r="T36" s="448">
        <f t="shared" si="29"/>
        <v>286447.983360001</v>
      </c>
      <c r="U36" s="448"/>
      <c r="V36" s="448">
        <f>P36+Q36+R36+S36+T36+U36</f>
        <v>510447.983360001</v>
      </c>
      <c r="W36" s="448">
        <v>12</v>
      </c>
      <c r="X36" s="448">
        <f>V36/W36</f>
        <v>42537.331946666702</v>
      </c>
      <c r="Y36" s="448"/>
      <c r="Z36" s="459">
        <f>X36</f>
        <v>42537.331946666702</v>
      </c>
      <c r="AA36" s="460">
        <v>17042.713866666702</v>
      </c>
      <c r="AB36" s="448">
        <f t="shared" ref="AB36:AB37" si="30">Z36-AA36</f>
        <v>25494.61808</v>
      </c>
      <c r="AC36" s="460"/>
      <c r="AD36" s="460"/>
      <c r="AE36" s="460"/>
    </row>
    <row r="37" spans="1:31" ht="18.75">
      <c r="A37" s="445">
        <v>33</v>
      </c>
      <c r="B37" s="10" t="s">
        <v>408</v>
      </c>
      <c r="C37" s="446">
        <v>360965.58333333302</v>
      </c>
      <c r="D37" s="447">
        <v>12</v>
      </c>
      <c r="E37" s="448">
        <f>C37*D37</f>
        <v>4331587</v>
      </c>
      <c r="F37" s="448"/>
      <c r="G37" s="449">
        <v>288926.96000000002</v>
      </c>
      <c r="H37" s="448"/>
      <c r="I37" s="448">
        <f>E37-F37-G37-H37</f>
        <v>4042660.04</v>
      </c>
      <c r="J37" s="448">
        <v>200000</v>
      </c>
      <c r="K37" s="448">
        <v>0.2</v>
      </c>
      <c r="L37" s="448">
        <f>I37*K37</f>
        <v>808532.00799999898</v>
      </c>
      <c r="M37" s="448">
        <f>J37+L37</f>
        <v>1008532.008</v>
      </c>
      <c r="N37" s="448">
        <f>F37+G37+H37+M37</f>
        <v>1297458.9680000001</v>
      </c>
      <c r="O37" s="448">
        <f>E37-N37</f>
        <v>3034128.0320000001</v>
      </c>
      <c r="P37" s="448">
        <f t="shared" si="5"/>
        <v>21000</v>
      </c>
      <c r="Q37" s="448">
        <f t="shared" si="26"/>
        <v>33000</v>
      </c>
      <c r="R37" s="448">
        <f t="shared" si="27"/>
        <v>75000</v>
      </c>
      <c r="S37" s="448">
        <f t="shared" si="28"/>
        <v>95000</v>
      </c>
      <c r="T37" s="448">
        <f t="shared" si="29"/>
        <v>301166.88671999902</v>
      </c>
      <c r="U37" s="448"/>
      <c r="V37" s="448">
        <f>P37+Q37+R37+S37+T37+U37</f>
        <v>525166.88671999902</v>
      </c>
      <c r="W37" s="448">
        <v>12</v>
      </c>
      <c r="X37" s="448">
        <f>V37/W37</f>
        <v>43763.907226666597</v>
      </c>
      <c r="Y37" s="448"/>
      <c r="Z37" s="459">
        <f>X37</f>
        <v>43763.907226666597</v>
      </c>
      <c r="AA37" s="460">
        <v>26339.0784066667</v>
      </c>
      <c r="AB37" s="448">
        <f t="shared" si="30"/>
        <v>17424.828819999901</v>
      </c>
      <c r="AC37" s="460"/>
      <c r="AD37" s="460"/>
      <c r="AE37" s="460"/>
    </row>
    <row r="38" spans="1:31" ht="18.75">
      <c r="A38" s="445"/>
      <c r="B38" s="13"/>
      <c r="C38" s="450"/>
      <c r="D38" s="447"/>
      <c r="E38" s="448"/>
      <c r="F38" s="451"/>
      <c r="G38" s="451">
        <v>0</v>
      </c>
      <c r="H38" s="451"/>
      <c r="I38" s="448"/>
      <c r="J38" s="448"/>
      <c r="K38" s="448"/>
      <c r="L38" s="448"/>
      <c r="M38" s="448"/>
      <c r="N38" s="448"/>
      <c r="O38" s="448"/>
      <c r="P38" s="448"/>
      <c r="Q38" s="448"/>
      <c r="R38" s="448"/>
      <c r="S38" s="448"/>
      <c r="T38" s="448"/>
      <c r="U38" s="448"/>
      <c r="V38" s="448"/>
      <c r="W38" s="455"/>
      <c r="X38" s="448"/>
      <c r="Y38" s="451"/>
      <c r="Z38" s="459"/>
      <c r="AA38" s="460"/>
      <c r="AB38" s="460"/>
      <c r="AC38" s="460"/>
      <c r="AD38" s="460"/>
      <c r="AE38" s="460"/>
    </row>
    <row r="39" spans="1:31" ht="18.75">
      <c r="A39" s="445"/>
      <c r="B39" s="22" t="s">
        <v>43</v>
      </c>
      <c r="C39" s="448"/>
      <c r="D39" s="447"/>
      <c r="E39" s="448"/>
      <c r="F39" s="451"/>
      <c r="G39" s="451">
        <v>0</v>
      </c>
      <c r="H39" s="451"/>
      <c r="I39" s="448"/>
      <c r="J39" s="448"/>
      <c r="K39" s="448"/>
      <c r="L39" s="448"/>
      <c r="M39" s="448"/>
      <c r="N39" s="448"/>
      <c r="O39" s="448"/>
      <c r="P39" s="448"/>
      <c r="Q39" s="448"/>
      <c r="R39" s="448"/>
      <c r="S39" s="448"/>
      <c r="T39" s="448"/>
      <c r="U39" s="448"/>
      <c r="V39" s="448"/>
      <c r="W39" s="455"/>
      <c r="X39" s="448"/>
      <c r="Y39" s="451"/>
      <c r="Z39" s="459"/>
      <c r="AA39" s="460"/>
      <c r="AB39" s="460"/>
      <c r="AC39" s="460"/>
      <c r="AD39" s="460"/>
      <c r="AE39" s="460"/>
    </row>
    <row r="40" spans="1:31" ht="37.5">
      <c r="A40" s="445">
        <v>35</v>
      </c>
      <c r="B40" s="10" t="s">
        <v>410</v>
      </c>
      <c r="C40" s="446">
        <v>1635720</v>
      </c>
      <c r="D40" s="447">
        <v>12</v>
      </c>
      <c r="E40" s="448">
        <f>C40*D40</f>
        <v>19628640</v>
      </c>
      <c r="F40" s="448"/>
      <c r="G40" s="449">
        <v>1378291.2</v>
      </c>
      <c r="H40" s="448"/>
      <c r="I40" s="448">
        <f t="shared" ref="I40:I50" si="31">E40-F40-G40-H40</f>
        <v>18250348.800000001</v>
      </c>
      <c r="J40" s="448">
        <v>200000</v>
      </c>
      <c r="K40" s="448">
        <v>0.2</v>
      </c>
      <c r="L40" s="448">
        <f>I40*K40</f>
        <v>3650069.76</v>
      </c>
      <c r="M40" s="448">
        <f>J40+L40</f>
        <v>3850069.76</v>
      </c>
      <c r="N40" s="448">
        <f t="shared" ref="N40:N50" si="32">F40+G40+H40+M40</f>
        <v>5228360.96</v>
      </c>
      <c r="O40" s="448">
        <f t="shared" ref="O40:O50" si="33">E40-N40</f>
        <v>14400279.039999999</v>
      </c>
      <c r="P40" s="448">
        <f>IF(O40&lt;300000,0.07*O40,21000)</f>
        <v>21000</v>
      </c>
      <c r="Q40" s="448">
        <f>IF((O40-300000)&lt;0,0,IF((O40-300000)&lt;300000,0.11*(O40-300000),33000))</f>
        <v>33000</v>
      </c>
      <c r="R40" s="448">
        <f>IF((O40-600000)&lt;0,0,IF((O40-600000)&lt;500000,0.15*(O40-600000),75000))</f>
        <v>75000</v>
      </c>
      <c r="S40" s="448">
        <f>IF((O40-1100000)&lt;0,0,IF((O40-1100000)&lt;500000,0.19*(O40-1100000),95000))</f>
        <v>95000</v>
      </c>
      <c r="T40" s="448">
        <f>IF((O40-1600000)&lt;0,0,IF((O40-1600000)&lt;1600000,0.21*(O40-1600000),336000))</f>
        <v>336000</v>
      </c>
      <c r="U40" s="448">
        <f>0.24*(O40-3200000)</f>
        <v>2688066.9696</v>
      </c>
      <c r="V40" s="448">
        <f>P40+Q40+R40+S40+T40+U40</f>
        <v>3248066.9696</v>
      </c>
      <c r="W40" s="455">
        <v>12</v>
      </c>
      <c r="X40" s="448">
        <f>V40/W40</f>
        <v>270672.24746666697</v>
      </c>
      <c r="Y40" s="448"/>
      <c r="Z40" s="459">
        <f>X40</f>
        <v>270672.24746666697</v>
      </c>
      <c r="AA40" s="460">
        <v>180306.806858667</v>
      </c>
      <c r="AB40" s="460">
        <f>Z40-AA40</f>
        <v>90365.440607999597</v>
      </c>
      <c r="AC40" s="460"/>
      <c r="AD40" s="460"/>
      <c r="AE40" s="460"/>
    </row>
    <row r="41" spans="1:31" ht="18.75">
      <c r="A41" s="445">
        <v>36</v>
      </c>
      <c r="B41" s="10" t="s">
        <v>412</v>
      </c>
      <c r="C41" s="448">
        <v>780675.58333333302</v>
      </c>
      <c r="D41" s="447">
        <v>12</v>
      </c>
      <c r="E41" s="448">
        <f t="shared" ref="E41:E50" si="34">C41*D41</f>
        <v>9368107</v>
      </c>
      <c r="F41" s="451"/>
      <c r="G41" s="449">
        <v>595848.56000000006</v>
      </c>
      <c r="H41" s="451"/>
      <c r="I41" s="448">
        <f t="shared" si="31"/>
        <v>8772258.4399999995</v>
      </c>
      <c r="J41" s="448">
        <v>200000</v>
      </c>
      <c r="K41" s="448">
        <v>0.2</v>
      </c>
      <c r="L41" s="448">
        <f t="shared" si="1"/>
        <v>1754451.6880000001</v>
      </c>
      <c r="M41" s="448">
        <f t="shared" si="2"/>
        <v>1954451.6880000001</v>
      </c>
      <c r="N41" s="448">
        <f t="shared" si="32"/>
        <v>2550300.2480000001</v>
      </c>
      <c r="O41" s="448">
        <f t="shared" si="33"/>
        <v>6817806.7520000003</v>
      </c>
      <c r="P41" s="448">
        <f t="shared" si="5"/>
        <v>21000</v>
      </c>
      <c r="Q41" s="448">
        <f t="shared" si="6"/>
        <v>33000</v>
      </c>
      <c r="R41" s="448">
        <f t="shared" si="7"/>
        <v>75000</v>
      </c>
      <c r="S41" s="448">
        <f t="shared" si="8"/>
        <v>95000</v>
      </c>
      <c r="T41" s="448">
        <f t="shared" si="9"/>
        <v>336000</v>
      </c>
      <c r="U41" s="448">
        <f t="shared" si="10"/>
        <v>868273.62047999899</v>
      </c>
      <c r="V41" s="448">
        <f t="shared" si="11"/>
        <v>1428273.62048</v>
      </c>
      <c r="W41" s="455">
        <v>12</v>
      </c>
      <c r="X41" s="448">
        <f t="shared" si="12"/>
        <v>119022.801706667</v>
      </c>
      <c r="Y41" s="451"/>
      <c r="Z41" s="459">
        <f t="shared" si="13"/>
        <v>119022.801706667</v>
      </c>
      <c r="AA41" s="460">
        <v>79956.9391466667</v>
      </c>
      <c r="AB41" s="460">
        <f t="shared" ref="AB41:AB50" si="35">Z41-AA41</f>
        <v>39065.8625599999</v>
      </c>
      <c r="AC41" s="460"/>
      <c r="AD41" s="460"/>
      <c r="AE41" s="460"/>
    </row>
    <row r="42" spans="1:31" ht="18.75">
      <c r="A42" s="445">
        <v>37</v>
      </c>
      <c r="B42" s="10" t="s">
        <v>414</v>
      </c>
      <c r="C42" s="448">
        <v>919203.58333333302</v>
      </c>
      <c r="D42" s="447">
        <v>12</v>
      </c>
      <c r="E42" s="448">
        <f t="shared" si="34"/>
        <v>11030443</v>
      </c>
      <c r="F42" s="451"/>
      <c r="G42" s="449">
        <v>709635.44</v>
      </c>
      <c r="H42" s="451"/>
      <c r="I42" s="448">
        <f t="shared" si="31"/>
        <v>10320807.560000001</v>
      </c>
      <c r="J42" s="448">
        <v>200000</v>
      </c>
      <c r="K42" s="448">
        <v>0.2</v>
      </c>
      <c r="L42" s="448">
        <f t="shared" si="1"/>
        <v>2064161.5120000001</v>
      </c>
      <c r="M42" s="448">
        <f t="shared" si="2"/>
        <v>2264161.5120000001</v>
      </c>
      <c r="N42" s="448">
        <f t="shared" si="32"/>
        <v>2973796.952</v>
      </c>
      <c r="O42" s="448">
        <f t="shared" si="33"/>
        <v>8056646.0480000004</v>
      </c>
      <c r="P42" s="448">
        <f t="shared" si="5"/>
        <v>21000</v>
      </c>
      <c r="Q42" s="448">
        <f t="shared" si="6"/>
        <v>33000</v>
      </c>
      <c r="R42" s="448">
        <f t="shared" si="7"/>
        <v>75000</v>
      </c>
      <c r="S42" s="448">
        <f t="shared" si="8"/>
        <v>95000</v>
      </c>
      <c r="T42" s="448">
        <f t="shared" si="9"/>
        <v>336000</v>
      </c>
      <c r="U42" s="448">
        <f t="shared" si="10"/>
        <v>1165595.05152</v>
      </c>
      <c r="V42" s="448">
        <f t="shared" si="11"/>
        <v>1725595.05152</v>
      </c>
      <c r="W42" s="455">
        <v>12</v>
      </c>
      <c r="X42" s="448">
        <f t="shared" si="12"/>
        <v>143799.58762666699</v>
      </c>
      <c r="Y42" s="451"/>
      <c r="Z42" s="459">
        <f t="shared" si="13"/>
        <v>143799.58762666699</v>
      </c>
      <c r="AA42" s="460">
        <v>97273.513850666699</v>
      </c>
      <c r="AB42" s="460">
        <f t="shared" si="35"/>
        <v>46526.073775999903</v>
      </c>
      <c r="AC42" s="460"/>
      <c r="AD42" s="460"/>
      <c r="AE42" s="460"/>
    </row>
    <row r="43" spans="1:31" ht="18.75">
      <c r="A43" s="445">
        <v>38</v>
      </c>
      <c r="B43" s="10" t="s">
        <v>417</v>
      </c>
      <c r="C43" s="448">
        <v>780675.58333333302</v>
      </c>
      <c r="D43" s="447">
        <v>12</v>
      </c>
      <c r="E43" s="448">
        <f t="shared" si="34"/>
        <v>9368107</v>
      </c>
      <c r="F43" s="451"/>
      <c r="G43" s="449">
        <v>595848.56000000006</v>
      </c>
      <c r="H43" s="451"/>
      <c r="I43" s="448">
        <f t="shared" si="31"/>
        <v>8772258.4399999995</v>
      </c>
      <c r="J43" s="448">
        <v>200000</v>
      </c>
      <c r="K43" s="448">
        <v>0.2</v>
      </c>
      <c r="L43" s="448">
        <f t="shared" si="1"/>
        <v>1754451.6880000001</v>
      </c>
      <c r="M43" s="448">
        <f t="shared" si="2"/>
        <v>1954451.6880000001</v>
      </c>
      <c r="N43" s="448">
        <f t="shared" si="32"/>
        <v>2550300.2480000001</v>
      </c>
      <c r="O43" s="448">
        <f t="shared" si="33"/>
        <v>6817806.7520000003</v>
      </c>
      <c r="P43" s="448">
        <f t="shared" si="5"/>
        <v>21000</v>
      </c>
      <c r="Q43" s="448">
        <f t="shared" si="6"/>
        <v>33000</v>
      </c>
      <c r="R43" s="448">
        <f t="shared" si="7"/>
        <v>75000</v>
      </c>
      <c r="S43" s="448">
        <f t="shared" si="8"/>
        <v>95000</v>
      </c>
      <c r="T43" s="448">
        <f t="shared" si="9"/>
        <v>336000</v>
      </c>
      <c r="U43" s="448">
        <f t="shared" si="10"/>
        <v>868273.62047999899</v>
      </c>
      <c r="V43" s="448">
        <f t="shared" si="11"/>
        <v>1428273.62048</v>
      </c>
      <c r="W43" s="455">
        <v>12</v>
      </c>
      <c r="X43" s="448">
        <f t="shared" si="12"/>
        <v>119022.801706667</v>
      </c>
      <c r="Y43" s="451"/>
      <c r="Z43" s="459">
        <f t="shared" si="13"/>
        <v>119022.801706667</v>
      </c>
      <c r="AA43" s="460">
        <v>79956.9391466667</v>
      </c>
      <c r="AB43" s="460">
        <f t="shared" si="35"/>
        <v>39065.8625599999</v>
      </c>
      <c r="AC43" s="460"/>
      <c r="AD43" s="460"/>
      <c r="AE43" s="460"/>
    </row>
    <row r="44" spans="1:31" ht="18.75">
      <c r="A44" s="445">
        <v>39</v>
      </c>
      <c r="B44" s="10" t="s">
        <v>419</v>
      </c>
      <c r="C44" s="448">
        <v>780675.58333333302</v>
      </c>
      <c r="D44" s="447">
        <v>12</v>
      </c>
      <c r="E44" s="448">
        <f t="shared" si="34"/>
        <v>9368107</v>
      </c>
      <c r="F44" s="448">
        <f>'[8]JANUARY 2024'!$V$47*12</f>
        <v>10052.25</v>
      </c>
      <c r="G44" s="449">
        <v>595848.56000000006</v>
      </c>
      <c r="H44" s="451"/>
      <c r="I44" s="448">
        <f t="shared" si="31"/>
        <v>8762206.1899999995</v>
      </c>
      <c r="J44" s="448">
        <v>200000</v>
      </c>
      <c r="K44" s="448">
        <v>0.2</v>
      </c>
      <c r="L44" s="448">
        <f t="shared" si="1"/>
        <v>1752441.2379999999</v>
      </c>
      <c r="M44" s="448">
        <f t="shared" si="2"/>
        <v>1952441.2379999999</v>
      </c>
      <c r="N44" s="448">
        <f t="shared" si="32"/>
        <v>2558342.048</v>
      </c>
      <c r="O44" s="448">
        <f t="shared" si="33"/>
        <v>6809764.9519999996</v>
      </c>
      <c r="P44" s="448">
        <f t="shared" si="5"/>
        <v>21000</v>
      </c>
      <c r="Q44" s="448">
        <f t="shared" si="6"/>
        <v>33000</v>
      </c>
      <c r="R44" s="448">
        <f t="shared" si="7"/>
        <v>75000</v>
      </c>
      <c r="S44" s="448">
        <f t="shared" si="8"/>
        <v>95000</v>
      </c>
      <c r="T44" s="448">
        <f t="shared" si="9"/>
        <v>336000</v>
      </c>
      <c r="U44" s="448">
        <f t="shared" si="10"/>
        <v>866343.58847999899</v>
      </c>
      <c r="V44" s="448">
        <f t="shared" si="11"/>
        <v>1426343.5884799999</v>
      </c>
      <c r="W44" s="455">
        <v>12</v>
      </c>
      <c r="X44" s="448">
        <f t="shared" si="12"/>
        <v>118861.965706667</v>
      </c>
      <c r="Y44" s="451"/>
      <c r="Z44" s="459">
        <f t="shared" si="13"/>
        <v>118861.965706667</v>
      </c>
      <c r="AA44" s="460">
        <v>79796.103146666603</v>
      </c>
      <c r="AB44" s="460">
        <f t="shared" si="35"/>
        <v>39065.862560000001</v>
      </c>
      <c r="AC44" s="460"/>
      <c r="AD44" s="460"/>
      <c r="AE44" s="460"/>
    </row>
    <row r="45" spans="1:31" ht="18.75">
      <c r="A45" s="445">
        <v>40</v>
      </c>
      <c r="B45" s="10" t="s">
        <v>420</v>
      </c>
      <c r="C45" s="448">
        <v>742118.08333333302</v>
      </c>
      <c r="D45" s="447">
        <v>12</v>
      </c>
      <c r="E45" s="448">
        <f t="shared" si="34"/>
        <v>8905417</v>
      </c>
      <c r="F45" s="448"/>
      <c r="G45" s="449">
        <v>558833.36</v>
      </c>
      <c r="H45" s="451"/>
      <c r="I45" s="448">
        <f t="shared" si="31"/>
        <v>8346583.6399999997</v>
      </c>
      <c r="J45" s="448">
        <v>200000</v>
      </c>
      <c r="K45" s="448">
        <v>0.2</v>
      </c>
      <c r="L45" s="448">
        <f t="shared" si="1"/>
        <v>1669316.7279999999</v>
      </c>
      <c r="M45" s="448">
        <f t="shared" si="2"/>
        <v>1869316.7279999999</v>
      </c>
      <c r="N45" s="448">
        <f t="shared" si="32"/>
        <v>2428150.088</v>
      </c>
      <c r="O45" s="448">
        <f t="shared" si="33"/>
        <v>6477266.9119999995</v>
      </c>
      <c r="P45" s="448">
        <f t="shared" si="5"/>
        <v>21000</v>
      </c>
      <c r="Q45" s="448">
        <f t="shared" si="6"/>
        <v>33000</v>
      </c>
      <c r="R45" s="448">
        <f t="shared" si="7"/>
        <v>75000</v>
      </c>
      <c r="S45" s="448">
        <f t="shared" si="8"/>
        <v>95000</v>
      </c>
      <c r="T45" s="448">
        <f t="shared" si="9"/>
        <v>336000</v>
      </c>
      <c r="U45" s="448">
        <f t="shared" si="10"/>
        <v>786544.05887999898</v>
      </c>
      <c r="V45" s="448">
        <f t="shared" si="11"/>
        <v>1346544.0588799999</v>
      </c>
      <c r="W45" s="455">
        <v>12</v>
      </c>
      <c r="X45" s="448">
        <f t="shared" si="12"/>
        <v>112212.004906667</v>
      </c>
      <c r="Y45" s="451"/>
      <c r="Z45" s="459">
        <f t="shared" si="13"/>
        <v>112212.004906667</v>
      </c>
      <c r="AA45" s="460">
        <v>75572.915690666705</v>
      </c>
      <c r="AB45" s="460">
        <f t="shared" si="35"/>
        <v>36639.089215999898</v>
      </c>
      <c r="AC45" s="460"/>
      <c r="AD45" s="460"/>
      <c r="AE45" s="460"/>
    </row>
    <row r="46" spans="1:31" ht="18.75">
      <c r="A46" s="445">
        <v>41</v>
      </c>
      <c r="B46" s="13" t="s">
        <v>421</v>
      </c>
      <c r="C46" s="448">
        <v>610498</v>
      </c>
      <c r="D46" s="447">
        <v>12</v>
      </c>
      <c r="E46" s="448">
        <f t="shared" si="34"/>
        <v>7325976</v>
      </c>
      <c r="F46" s="448"/>
      <c r="G46" s="449">
        <v>451678.08</v>
      </c>
      <c r="H46" s="451"/>
      <c r="I46" s="448">
        <f t="shared" si="31"/>
        <v>6874297.9199999999</v>
      </c>
      <c r="J46" s="448">
        <v>200000</v>
      </c>
      <c r="K46" s="448">
        <v>0.2</v>
      </c>
      <c r="L46" s="448">
        <f t="shared" si="1"/>
        <v>1374859.584</v>
      </c>
      <c r="M46" s="448">
        <f t="shared" si="2"/>
        <v>1574859.584</v>
      </c>
      <c r="N46" s="448">
        <f t="shared" si="32"/>
        <v>2026537.6640000001</v>
      </c>
      <c r="O46" s="448">
        <f t="shared" si="33"/>
        <v>5299438.3360000001</v>
      </c>
      <c r="P46" s="448">
        <f t="shared" si="5"/>
        <v>21000</v>
      </c>
      <c r="Q46" s="448">
        <f t="shared" si="6"/>
        <v>33000</v>
      </c>
      <c r="R46" s="448">
        <f t="shared" si="7"/>
        <v>75000</v>
      </c>
      <c r="S46" s="448">
        <f t="shared" si="8"/>
        <v>95000</v>
      </c>
      <c r="T46" s="448">
        <f t="shared" si="9"/>
        <v>336000</v>
      </c>
      <c r="U46" s="448">
        <f t="shared" si="10"/>
        <v>503865.20064</v>
      </c>
      <c r="V46" s="448">
        <f t="shared" si="11"/>
        <v>1063865.2006399999</v>
      </c>
      <c r="W46" s="455">
        <v>12</v>
      </c>
      <c r="X46" s="448">
        <f t="shared" si="12"/>
        <v>88655.4333866667</v>
      </c>
      <c r="Y46" s="451"/>
      <c r="Z46" s="459">
        <f t="shared" si="13"/>
        <v>88655.4333866667</v>
      </c>
      <c r="AA46" s="460">
        <v>58026.609434666701</v>
      </c>
      <c r="AB46" s="460">
        <f t="shared" si="35"/>
        <v>30628.823951999999</v>
      </c>
      <c r="AC46" s="460"/>
      <c r="AD46" s="460"/>
      <c r="AE46" s="460"/>
    </row>
    <row r="47" spans="1:31" ht="18.75">
      <c r="A47" s="445">
        <v>42</v>
      </c>
      <c r="B47" s="10" t="s">
        <v>422</v>
      </c>
      <c r="C47" s="448">
        <v>400965.58333333302</v>
      </c>
      <c r="D47" s="447">
        <v>12</v>
      </c>
      <c r="E47" s="448">
        <f t="shared" si="34"/>
        <v>4811587</v>
      </c>
      <c r="F47" s="448"/>
      <c r="G47" s="449">
        <v>288926.96000000002</v>
      </c>
      <c r="H47" s="451"/>
      <c r="I47" s="448">
        <f t="shared" si="31"/>
        <v>4522660.04</v>
      </c>
      <c r="J47" s="448">
        <v>200000</v>
      </c>
      <c r="K47" s="448">
        <v>0.2</v>
      </c>
      <c r="L47" s="448">
        <f t="shared" si="1"/>
        <v>904532.00799999898</v>
      </c>
      <c r="M47" s="448">
        <f t="shared" si="2"/>
        <v>1104532.0079999999</v>
      </c>
      <c r="N47" s="448">
        <f t="shared" si="32"/>
        <v>1393458.9680000001</v>
      </c>
      <c r="O47" s="448">
        <f t="shared" si="33"/>
        <v>3418128.0320000001</v>
      </c>
      <c r="P47" s="448">
        <f t="shared" si="5"/>
        <v>21000</v>
      </c>
      <c r="Q47" s="448">
        <f t="shared" si="6"/>
        <v>33000</v>
      </c>
      <c r="R47" s="448">
        <f t="shared" si="7"/>
        <v>75000</v>
      </c>
      <c r="S47" s="448">
        <f t="shared" si="8"/>
        <v>95000</v>
      </c>
      <c r="T47" s="448">
        <f t="shared" si="9"/>
        <v>336000</v>
      </c>
      <c r="U47" s="448">
        <f t="shared" si="10"/>
        <v>52350.727679999203</v>
      </c>
      <c r="V47" s="448">
        <f t="shared" si="11"/>
        <v>612350.72767999896</v>
      </c>
      <c r="W47" s="455">
        <v>12</v>
      </c>
      <c r="X47" s="448">
        <f t="shared" si="12"/>
        <v>51029.227306666602</v>
      </c>
      <c r="Y47" s="451"/>
      <c r="Z47" s="459">
        <f t="shared" si="13"/>
        <v>51029.227306666602</v>
      </c>
      <c r="AA47" s="460">
        <v>33059.078406666697</v>
      </c>
      <c r="AB47" s="460">
        <f t="shared" si="35"/>
        <v>17970.148899999898</v>
      </c>
      <c r="AC47" s="460"/>
      <c r="AD47" s="460"/>
      <c r="AE47" s="460"/>
    </row>
    <row r="48" spans="1:31" ht="18.75">
      <c r="A48" s="445">
        <v>43</v>
      </c>
      <c r="B48" s="10" t="s">
        <v>423</v>
      </c>
      <c r="C48" s="448">
        <v>363165.33333333302</v>
      </c>
      <c r="D48" s="447">
        <v>12</v>
      </c>
      <c r="E48" s="448">
        <f t="shared" si="34"/>
        <v>4357984</v>
      </c>
      <c r="F48" s="448"/>
      <c r="G48" s="449">
        <v>252638.72</v>
      </c>
      <c r="H48" s="451"/>
      <c r="I48" s="448">
        <f t="shared" si="31"/>
        <v>4105345.28</v>
      </c>
      <c r="J48" s="448">
        <v>200000</v>
      </c>
      <c r="K48" s="448">
        <v>0.2</v>
      </c>
      <c r="L48" s="448">
        <f t="shared" si="1"/>
        <v>821069.05599999905</v>
      </c>
      <c r="M48" s="448">
        <f t="shared" si="2"/>
        <v>1021069.056</v>
      </c>
      <c r="N48" s="448">
        <f t="shared" si="32"/>
        <v>1273707.7760000001</v>
      </c>
      <c r="O48" s="448">
        <f t="shared" si="33"/>
        <v>3084276.2239999999</v>
      </c>
      <c r="P48" s="448">
        <f t="shared" si="5"/>
        <v>21000</v>
      </c>
      <c r="Q48" s="448">
        <f t="shared" si="6"/>
        <v>33000</v>
      </c>
      <c r="R48" s="448">
        <f t="shared" si="7"/>
        <v>75000</v>
      </c>
      <c r="S48" s="448">
        <f t="shared" si="8"/>
        <v>95000</v>
      </c>
      <c r="T48" s="448">
        <f t="shared" si="9"/>
        <v>311698.00703999901</v>
      </c>
      <c r="U48" s="448"/>
      <c r="V48" s="448">
        <f t="shared" si="11"/>
        <v>535698.00703999901</v>
      </c>
      <c r="W48" s="455">
        <v>12</v>
      </c>
      <c r="X48" s="448">
        <f t="shared" si="12"/>
        <v>44641.500586666603</v>
      </c>
      <c r="Y48" s="451"/>
      <c r="Z48" s="459">
        <f t="shared" si="13"/>
        <v>44641.500586666603</v>
      </c>
      <c r="AA48" s="460">
        <v>29058.4826046667</v>
      </c>
      <c r="AB48" s="460">
        <f t="shared" si="35"/>
        <v>15583.017981999899</v>
      </c>
      <c r="AC48" s="460"/>
      <c r="AD48" s="460"/>
      <c r="AE48" s="460"/>
    </row>
    <row r="49" spans="1:31" ht="18.75">
      <c r="A49" s="445">
        <v>44</v>
      </c>
      <c r="B49" s="10" t="s">
        <v>424</v>
      </c>
      <c r="C49" s="448">
        <v>363165.33333333302</v>
      </c>
      <c r="D49" s="447">
        <v>12</v>
      </c>
      <c r="E49" s="448">
        <f t="shared" si="34"/>
        <v>4357984</v>
      </c>
      <c r="F49" s="448"/>
      <c r="G49" s="449">
        <v>252638.72</v>
      </c>
      <c r="H49" s="451"/>
      <c r="I49" s="448">
        <f t="shared" si="31"/>
        <v>4105345.28</v>
      </c>
      <c r="J49" s="448">
        <v>200000</v>
      </c>
      <c r="K49" s="448">
        <v>0.2</v>
      </c>
      <c r="L49" s="448">
        <f t="shared" si="1"/>
        <v>821069.05599999905</v>
      </c>
      <c r="M49" s="448">
        <f t="shared" si="2"/>
        <v>1021069.056</v>
      </c>
      <c r="N49" s="448">
        <f t="shared" si="32"/>
        <v>1273707.7760000001</v>
      </c>
      <c r="O49" s="448">
        <f t="shared" si="33"/>
        <v>3084276.2239999999</v>
      </c>
      <c r="P49" s="448">
        <f t="shared" si="5"/>
        <v>21000</v>
      </c>
      <c r="Q49" s="448">
        <f t="shared" si="6"/>
        <v>33000</v>
      </c>
      <c r="R49" s="448">
        <f t="shared" si="7"/>
        <v>75000</v>
      </c>
      <c r="S49" s="448">
        <f t="shared" si="8"/>
        <v>95000</v>
      </c>
      <c r="T49" s="448">
        <f t="shared" si="9"/>
        <v>311698.00703999901</v>
      </c>
      <c r="U49" s="448"/>
      <c r="V49" s="448">
        <f t="shared" si="11"/>
        <v>535698.00703999901</v>
      </c>
      <c r="W49" s="455">
        <v>12</v>
      </c>
      <c r="X49" s="448">
        <f t="shared" si="12"/>
        <v>44641.500586666603</v>
      </c>
      <c r="Y49" s="451"/>
      <c r="Z49" s="459">
        <f t="shared" si="13"/>
        <v>44641.500586666603</v>
      </c>
      <c r="AA49" s="460">
        <v>28360.952862666702</v>
      </c>
      <c r="AB49" s="460">
        <f t="shared" si="35"/>
        <v>16280.5477239999</v>
      </c>
      <c r="AC49" s="460"/>
      <c r="AD49" s="460"/>
      <c r="AE49" s="460"/>
    </row>
    <row r="50" spans="1:31" ht="18.75">
      <c r="A50" s="445">
        <v>45</v>
      </c>
      <c r="B50" s="10" t="s">
        <v>425</v>
      </c>
      <c r="C50" s="448">
        <v>363165.33333333302</v>
      </c>
      <c r="D50" s="447">
        <v>12</v>
      </c>
      <c r="E50" s="448">
        <f t="shared" si="34"/>
        <v>4357984</v>
      </c>
      <c r="F50" s="448"/>
      <c r="G50" s="449">
        <v>252638.72</v>
      </c>
      <c r="H50" s="451"/>
      <c r="I50" s="448">
        <f t="shared" si="31"/>
        <v>4105345.28</v>
      </c>
      <c r="J50" s="448">
        <v>200000</v>
      </c>
      <c r="K50" s="448">
        <v>0.2</v>
      </c>
      <c r="L50" s="448">
        <f t="shared" si="1"/>
        <v>821069.05599999905</v>
      </c>
      <c r="M50" s="448">
        <f t="shared" si="2"/>
        <v>1021069.056</v>
      </c>
      <c r="N50" s="448">
        <f t="shared" si="32"/>
        <v>1273707.7760000001</v>
      </c>
      <c r="O50" s="448">
        <f t="shared" si="33"/>
        <v>3084276.2239999999</v>
      </c>
      <c r="P50" s="448">
        <f t="shared" si="5"/>
        <v>21000</v>
      </c>
      <c r="Q50" s="448">
        <f t="shared" si="6"/>
        <v>33000</v>
      </c>
      <c r="R50" s="448">
        <f t="shared" si="7"/>
        <v>75000</v>
      </c>
      <c r="S50" s="448">
        <f t="shared" si="8"/>
        <v>95000</v>
      </c>
      <c r="T50" s="448">
        <f t="shared" si="9"/>
        <v>311698.00703999901</v>
      </c>
      <c r="U50" s="448"/>
      <c r="V50" s="448">
        <f t="shared" si="11"/>
        <v>535698.00703999901</v>
      </c>
      <c r="W50" s="455">
        <v>12</v>
      </c>
      <c r="X50" s="448">
        <f t="shared" si="12"/>
        <v>44641.500586666603</v>
      </c>
      <c r="Y50" s="451"/>
      <c r="Z50" s="459">
        <f t="shared" si="13"/>
        <v>44641.500586666603</v>
      </c>
      <c r="AA50" s="460">
        <v>29058.4826046667</v>
      </c>
      <c r="AB50" s="460">
        <f t="shared" si="35"/>
        <v>15583.017981999899</v>
      </c>
      <c r="AC50" s="460"/>
      <c r="AD50" s="460"/>
      <c r="AE50" s="460"/>
    </row>
    <row r="51" spans="1:31" ht="18.75">
      <c r="A51" s="445"/>
      <c r="B51" s="21"/>
      <c r="C51" s="453"/>
      <c r="D51" s="447"/>
      <c r="E51" s="448"/>
      <c r="F51" s="448"/>
      <c r="G51" s="451"/>
      <c r="H51" s="451"/>
      <c r="I51" s="448"/>
      <c r="J51" s="448"/>
      <c r="K51" s="448"/>
      <c r="L51" s="448"/>
      <c r="M51" s="448"/>
      <c r="N51" s="448"/>
      <c r="O51" s="448"/>
      <c r="P51" s="448"/>
      <c r="Q51" s="448"/>
      <c r="R51" s="448"/>
      <c r="S51" s="448"/>
      <c r="T51" s="448"/>
      <c r="U51" s="448"/>
      <c r="V51" s="448"/>
      <c r="W51" s="455"/>
      <c r="X51" s="448"/>
      <c r="Y51" s="451"/>
      <c r="Z51" s="459"/>
      <c r="AA51" s="460"/>
      <c r="AB51" s="460"/>
      <c r="AC51" s="460"/>
      <c r="AD51" s="460"/>
      <c r="AE51" s="460"/>
    </row>
    <row r="52" spans="1:31" ht="18.75">
      <c r="A52" s="445"/>
      <c r="B52" s="19" t="s">
        <v>426</v>
      </c>
      <c r="C52" s="448"/>
      <c r="D52" s="447"/>
      <c r="E52" s="448"/>
      <c r="F52" s="448"/>
      <c r="G52" s="451"/>
      <c r="H52" s="451"/>
      <c r="I52" s="448"/>
      <c r="J52" s="448"/>
      <c r="K52" s="448"/>
      <c r="L52" s="448"/>
      <c r="M52" s="448"/>
      <c r="N52" s="448"/>
      <c r="O52" s="448"/>
      <c r="P52" s="448"/>
      <c r="Q52" s="448"/>
      <c r="R52" s="448"/>
      <c r="S52" s="448"/>
      <c r="T52" s="448"/>
      <c r="U52" s="448"/>
      <c r="V52" s="448"/>
      <c r="W52" s="455"/>
      <c r="X52" s="448"/>
      <c r="Y52" s="451"/>
      <c r="Z52" s="459"/>
      <c r="AA52" s="460"/>
      <c r="AB52" s="460"/>
      <c r="AC52" s="460"/>
      <c r="AD52" s="460"/>
      <c r="AE52" s="460"/>
    </row>
    <row r="53" spans="1:31" ht="18.75">
      <c r="A53" s="445">
        <v>47</v>
      </c>
      <c r="B53" s="10" t="s">
        <v>626</v>
      </c>
      <c r="C53" s="448">
        <v>1635720</v>
      </c>
      <c r="D53" s="447">
        <v>12</v>
      </c>
      <c r="E53" s="448">
        <f>C53*D53</f>
        <v>19628640</v>
      </c>
      <c r="F53" s="448"/>
      <c r="G53" s="449">
        <v>1378291.2</v>
      </c>
      <c r="H53" s="451"/>
      <c r="I53" s="448">
        <f>E53-F53-G53-H53</f>
        <v>18250348.800000001</v>
      </c>
      <c r="J53" s="448">
        <v>200000</v>
      </c>
      <c r="K53" s="448">
        <v>0.2</v>
      </c>
      <c r="L53" s="448">
        <f t="shared" si="1"/>
        <v>3650069.76</v>
      </c>
      <c r="M53" s="448">
        <f t="shared" si="2"/>
        <v>3850069.76</v>
      </c>
      <c r="N53" s="448">
        <f>F53+G53+H53+M53</f>
        <v>5228360.96</v>
      </c>
      <c r="O53" s="448">
        <f>E53-N53</f>
        <v>14400279.039999999</v>
      </c>
      <c r="P53" s="448">
        <f t="shared" si="5"/>
        <v>21000</v>
      </c>
      <c r="Q53" s="448">
        <f t="shared" si="6"/>
        <v>33000</v>
      </c>
      <c r="R53" s="448">
        <f t="shared" si="7"/>
        <v>75000</v>
      </c>
      <c r="S53" s="448">
        <f t="shared" si="8"/>
        <v>95000</v>
      </c>
      <c r="T53" s="448">
        <f t="shared" si="9"/>
        <v>336000</v>
      </c>
      <c r="U53" s="448">
        <f t="shared" si="10"/>
        <v>2688066.9696</v>
      </c>
      <c r="V53" s="448">
        <f t="shared" si="11"/>
        <v>3248066.9696</v>
      </c>
      <c r="W53" s="455">
        <v>12</v>
      </c>
      <c r="X53" s="448">
        <f t="shared" si="12"/>
        <v>270672.24746666697</v>
      </c>
      <c r="Y53" s="451"/>
      <c r="Z53" s="459">
        <f t="shared" si="13"/>
        <v>270672.24746666697</v>
      </c>
      <c r="AA53" s="460">
        <v>180306.806858667</v>
      </c>
      <c r="AB53" s="460">
        <f>Z53-AA53</f>
        <v>90365.440607999597</v>
      </c>
      <c r="AC53" s="460"/>
      <c r="AD53" s="460"/>
      <c r="AE53" s="460"/>
    </row>
    <row r="54" spans="1:31" ht="18.75">
      <c r="A54" s="445">
        <v>48</v>
      </c>
      <c r="B54" s="10" t="s">
        <v>429</v>
      </c>
      <c r="C54" s="448">
        <v>700675.58333333302</v>
      </c>
      <c r="D54" s="447">
        <v>12</v>
      </c>
      <c r="E54" s="448">
        <f>C54*D54</f>
        <v>8408107</v>
      </c>
      <c r="F54" s="448"/>
      <c r="G54" s="448">
        <v>595848.56000000006</v>
      </c>
      <c r="H54" s="451"/>
      <c r="I54" s="448">
        <f>E54-F54-G54-H54</f>
        <v>7812258.4400000004</v>
      </c>
      <c r="J54" s="448">
        <v>200000</v>
      </c>
      <c r="K54" s="448">
        <v>0.2</v>
      </c>
      <c r="L54" s="448">
        <f t="shared" si="1"/>
        <v>1562451.6880000001</v>
      </c>
      <c r="M54" s="448">
        <f t="shared" si="2"/>
        <v>1762451.6880000001</v>
      </c>
      <c r="N54" s="448">
        <f>F54+G54+H54+M54</f>
        <v>2358300.2480000001</v>
      </c>
      <c r="O54" s="448">
        <f>E54-N54</f>
        <v>6049806.7520000003</v>
      </c>
      <c r="P54" s="448">
        <f t="shared" si="5"/>
        <v>21000</v>
      </c>
      <c r="Q54" s="448">
        <f t="shared" si="6"/>
        <v>33000</v>
      </c>
      <c r="R54" s="448">
        <f t="shared" si="7"/>
        <v>75000</v>
      </c>
      <c r="S54" s="448">
        <f t="shared" si="8"/>
        <v>95000</v>
      </c>
      <c r="T54" s="448">
        <f t="shared" si="9"/>
        <v>336000</v>
      </c>
      <c r="U54" s="448">
        <f t="shared" si="10"/>
        <v>683953.62047999899</v>
      </c>
      <c r="V54" s="448">
        <f t="shared" si="11"/>
        <v>1243953.62048</v>
      </c>
      <c r="W54" s="455">
        <v>12</v>
      </c>
      <c r="X54" s="448">
        <f t="shared" si="12"/>
        <v>103662.801706667</v>
      </c>
      <c r="Y54" s="451"/>
      <c r="Z54" s="459">
        <f t="shared" si="13"/>
        <v>103662.801706667</v>
      </c>
      <c r="AA54" s="460">
        <v>64596.9391466667</v>
      </c>
      <c r="AB54" s="460">
        <f>Z54-AA54</f>
        <v>39065.8625599999</v>
      </c>
      <c r="AC54" s="460"/>
      <c r="AD54" s="460"/>
      <c r="AE54" s="460"/>
    </row>
    <row r="55" spans="1:31" ht="18.75">
      <c r="A55" s="445"/>
      <c r="B55" s="19"/>
      <c r="C55" s="448"/>
      <c r="D55" s="447"/>
      <c r="E55" s="448"/>
      <c r="F55" s="448"/>
      <c r="G55" s="451">
        <v>0</v>
      </c>
      <c r="H55" s="451"/>
      <c r="I55" s="448"/>
      <c r="J55" s="448"/>
      <c r="K55" s="448"/>
      <c r="L55" s="448"/>
      <c r="M55" s="448"/>
      <c r="N55" s="448"/>
      <c r="O55" s="448"/>
      <c r="P55" s="448"/>
      <c r="Q55" s="448"/>
      <c r="R55" s="448"/>
      <c r="S55" s="448"/>
      <c r="T55" s="448"/>
      <c r="U55" s="448"/>
      <c r="V55" s="448"/>
      <c r="W55" s="455"/>
      <c r="X55" s="448"/>
      <c r="Y55" s="451"/>
      <c r="Z55" s="459"/>
      <c r="AA55" s="460"/>
      <c r="AB55" s="460"/>
      <c r="AC55" s="460"/>
      <c r="AD55" s="460"/>
      <c r="AE55" s="460"/>
    </row>
    <row r="56" spans="1:31" ht="37.5">
      <c r="A56" s="445">
        <v>49</v>
      </c>
      <c r="B56" s="19" t="s">
        <v>60</v>
      </c>
      <c r="C56" s="448"/>
      <c r="D56" s="447"/>
      <c r="E56" s="448"/>
      <c r="F56" s="448"/>
      <c r="G56" s="451">
        <v>0</v>
      </c>
      <c r="H56" s="451"/>
      <c r="I56" s="448"/>
      <c r="J56" s="448"/>
      <c r="K56" s="448"/>
      <c r="L56" s="448"/>
      <c r="M56" s="448"/>
      <c r="N56" s="448"/>
      <c r="O56" s="448"/>
      <c r="P56" s="448"/>
      <c r="Q56" s="448"/>
      <c r="R56" s="448"/>
      <c r="S56" s="448"/>
      <c r="T56" s="448"/>
      <c r="U56" s="448"/>
      <c r="V56" s="448"/>
      <c r="W56" s="455"/>
      <c r="X56" s="448"/>
      <c r="Y56" s="451"/>
      <c r="Z56" s="459"/>
      <c r="AA56" s="460"/>
      <c r="AB56" s="460"/>
      <c r="AC56" s="460"/>
      <c r="AD56" s="460"/>
      <c r="AE56" s="460"/>
    </row>
    <row r="57" spans="1:31" ht="18.75">
      <c r="A57" s="445">
        <v>50</v>
      </c>
      <c r="B57" s="10" t="s">
        <v>431</v>
      </c>
      <c r="C57" s="448">
        <v>1635720</v>
      </c>
      <c r="D57" s="447">
        <v>12</v>
      </c>
      <c r="E57" s="448">
        <f>C57*D57</f>
        <v>19628640</v>
      </c>
      <c r="F57" s="448"/>
      <c r="G57" s="449">
        <v>0</v>
      </c>
      <c r="H57" s="451"/>
      <c r="I57" s="448">
        <f t="shared" ref="I57:I66" si="36">E57-F57-G57-H57</f>
        <v>19628640</v>
      </c>
      <c r="J57" s="448">
        <v>200000</v>
      </c>
      <c r="K57" s="448">
        <v>0.2</v>
      </c>
      <c r="L57" s="448">
        <f t="shared" si="1"/>
        <v>3925728</v>
      </c>
      <c r="M57" s="448">
        <f t="shared" si="2"/>
        <v>4125728</v>
      </c>
      <c r="N57" s="448">
        <f t="shared" ref="N57:N66" si="37">F57+G57+H57+M57</f>
        <v>4125728</v>
      </c>
      <c r="O57" s="448">
        <f t="shared" ref="O57:O66" si="38">E57-N57</f>
        <v>15502912</v>
      </c>
      <c r="P57" s="448">
        <f t="shared" si="5"/>
        <v>21000</v>
      </c>
      <c r="Q57" s="448">
        <f t="shared" si="6"/>
        <v>33000</v>
      </c>
      <c r="R57" s="448">
        <f t="shared" si="7"/>
        <v>75000</v>
      </c>
      <c r="S57" s="448">
        <f t="shared" si="8"/>
        <v>95000</v>
      </c>
      <c r="T57" s="448">
        <f t="shared" si="9"/>
        <v>336000</v>
      </c>
      <c r="U57" s="448">
        <f t="shared" si="10"/>
        <v>2952698.88</v>
      </c>
      <c r="V57" s="448">
        <f t="shared" si="11"/>
        <v>3512698.8799999999</v>
      </c>
      <c r="W57" s="455">
        <v>12</v>
      </c>
      <c r="X57" s="448">
        <f t="shared" si="12"/>
        <v>292724.90666666703</v>
      </c>
      <c r="Y57" s="451"/>
      <c r="Z57" s="459">
        <f t="shared" si="13"/>
        <v>292724.90666666703</v>
      </c>
      <c r="AA57" s="460">
        <v>180306.806858667</v>
      </c>
      <c r="AB57" s="460">
        <f>Z57-AA57</f>
        <v>112418.099808</v>
      </c>
      <c r="AC57" s="460"/>
      <c r="AD57" s="460"/>
      <c r="AE57" s="460"/>
    </row>
    <row r="58" spans="1:31" ht="23.25" customHeight="1">
      <c r="A58" s="445">
        <v>51</v>
      </c>
      <c r="B58" s="330" t="s">
        <v>433</v>
      </c>
      <c r="C58" s="448">
        <v>761396.83333333302</v>
      </c>
      <c r="D58" s="447">
        <v>12</v>
      </c>
      <c r="E58" s="448">
        <f t="shared" ref="E58:E66" si="39">C58*D58</f>
        <v>9136762</v>
      </c>
      <c r="F58" s="448"/>
      <c r="G58" s="454">
        <f>48111.7466666667*12</f>
        <v>577340.96</v>
      </c>
      <c r="H58" s="451"/>
      <c r="I58" s="448">
        <f t="shared" si="36"/>
        <v>8559421.0399999991</v>
      </c>
      <c r="J58" s="448">
        <v>200000</v>
      </c>
      <c r="K58" s="448">
        <v>0.2</v>
      </c>
      <c r="L58" s="448">
        <f t="shared" si="1"/>
        <v>1711884.2080000001</v>
      </c>
      <c r="M58" s="448">
        <f t="shared" si="2"/>
        <v>1911884.2080000001</v>
      </c>
      <c r="N58" s="448">
        <f t="shared" si="37"/>
        <v>2489225.1680000001</v>
      </c>
      <c r="O58" s="448">
        <f t="shared" si="38"/>
        <v>6647536.8320000004</v>
      </c>
      <c r="P58" s="448">
        <f t="shared" si="5"/>
        <v>21000</v>
      </c>
      <c r="Q58" s="448">
        <f t="shared" si="6"/>
        <v>33000</v>
      </c>
      <c r="R58" s="448">
        <f t="shared" si="7"/>
        <v>75000</v>
      </c>
      <c r="S58" s="448">
        <f t="shared" si="8"/>
        <v>95000</v>
      </c>
      <c r="T58" s="448">
        <f t="shared" si="9"/>
        <v>336000</v>
      </c>
      <c r="U58" s="448">
        <f t="shared" si="10"/>
        <v>827408.83967999904</v>
      </c>
      <c r="V58" s="448">
        <f t="shared" si="11"/>
        <v>1387408.83968</v>
      </c>
      <c r="W58" s="455">
        <v>12</v>
      </c>
      <c r="X58" s="448">
        <f t="shared" si="12"/>
        <v>115617.40330666699</v>
      </c>
      <c r="Y58" s="451"/>
      <c r="Z58" s="459">
        <f t="shared" si="13"/>
        <v>115617.40330666699</v>
      </c>
      <c r="AA58" s="460">
        <v>77764.980266666695</v>
      </c>
      <c r="AB58" s="460">
        <f t="shared" ref="AB58:AB66" si="40">Z58-AA58</f>
        <v>37852.4230399999</v>
      </c>
      <c r="AC58" s="460"/>
      <c r="AD58" s="460"/>
      <c r="AE58" s="460"/>
    </row>
    <row r="59" spans="1:31" ht="18.75">
      <c r="A59" s="445">
        <v>52</v>
      </c>
      <c r="B59" s="10" t="s">
        <v>436</v>
      </c>
      <c r="C59" s="448">
        <v>582746.5</v>
      </c>
      <c r="D59" s="447">
        <v>12</v>
      </c>
      <c r="E59" s="448">
        <f t="shared" si="39"/>
        <v>6992958</v>
      </c>
      <c r="F59" s="448"/>
      <c r="G59" s="449">
        <v>425036.64</v>
      </c>
      <c r="H59" s="451"/>
      <c r="I59" s="448">
        <f t="shared" si="36"/>
        <v>6567921.3600000003</v>
      </c>
      <c r="J59" s="448">
        <v>200000</v>
      </c>
      <c r="K59" s="448">
        <v>0.2</v>
      </c>
      <c r="L59" s="448">
        <f t="shared" si="1"/>
        <v>1313584.2720000001</v>
      </c>
      <c r="M59" s="448">
        <f t="shared" si="2"/>
        <v>1513584.2720000001</v>
      </c>
      <c r="N59" s="448">
        <f t="shared" si="37"/>
        <v>1938620.912</v>
      </c>
      <c r="O59" s="448">
        <f t="shared" si="38"/>
        <v>5054337.0880000005</v>
      </c>
      <c r="P59" s="448">
        <f t="shared" si="5"/>
        <v>21000</v>
      </c>
      <c r="Q59" s="448">
        <f t="shared" si="6"/>
        <v>33000</v>
      </c>
      <c r="R59" s="448">
        <f t="shared" si="7"/>
        <v>75000</v>
      </c>
      <c r="S59" s="448">
        <f t="shared" si="8"/>
        <v>95000</v>
      </c>
      <c r="T59" s="448">
        <f t="shared" si="9"/>
        <v>336000</v>
      </c>
      <c r="U59" s="448">
        <f t="shared" si="10"/>
        <v>445040.90111999999</v>
      </c>
      <c r="V59" s="448">
        <f t="shared" si="11"/>
        <v>1005040.9011200001</v>
      </c>
      <c r="W59" s="455">
        <v>12</v>
      </c>
      <c r="X59" s="448">
        <f t="shared" si="12"/>
        <v>83753.408426666603</v>
      </c>
      <c r="Y59" s="451"/>
      <c r="Z59" s="459">
        <f t="shared" si="13"/>
        <v>83753.408426666603</v>
      </c>
      <c r="AA59" s="460">
        <v>54931.249226666703</v>
      </c>
      <c r="AB59" s="460">
        <f t="shared" si="40"/>
        <v>28822.1591999999</v>
      </c>
      <c r="AC59" s="460"/>
      <c r="AD59" s="460"/>
      <c r="AE59" s="460"/>
    </row>
    <row r="60" spans="1:31" ht="18.75">
      <c r="A60" s="445">
        <v>53</v>
      </c>
      <c r="B60" s="17" t="s">
        <v>437</v>
      </c>
      <c r="C60" s="448">
        <v>548915.91666666698</v>
      </c>
      <c r="D60" s="447">
        <v>12</v>
      </c>
      <c r="E60" s="448">
        <f t="shared" si="39"/>
        <v>6586991</v>
      </c>
      <c r="F60" s="448"/>
      <c r="G60" s="449">
        <v>411759.28</v>
      </c>
      <c r="H60" s="451"/>
      <c r="I60" s="448">
        <f t="shared" si="36"/>
        <v>6175231.7199999997</v>
      </c>
      <c r="J60" s="448">
        <v>200000</v>
      </c>
      <c r="K60" s="448">
        <v>0.2</v>
      </c>
      <c r="L60" s="448">
        <f t="shared" si="1"/>
        <v>1235046.344</v>
      </c>
      <c r="M60" s="448">
        <f t="shared" si="2"/>
        <v>1435046.344</v>
      </c>
      <c r="N60" s="448">
        <f t="shared" si="37"/>
        <v>1846805.6240000001</v>
      </c>
      <c r="O60" s="448">
        <f t="shared" si="38"/>
        <v>4740185.3760000002</v>
      </c>
      <c r="P60" s="448">
        <f t="shared" si="5"/>
        <v>21000</v>
      </c>
      <c r="Q60" s="448">
        <f t="shared" si="6"/>
        <v>33000</v>
      </c>
      <c r="R60" s="448">
        <f t="shared" si="7"/>
        <v>75000</v>
      </c>
      <c r="S60" s="448">
        <f t="shared" si="8"/>
        <v>95000</v>
      </c>
      <c r="T60" s="448">
        <f t="shared" si="9"/>
        <v>336000</v>
      </c>
      <c r="U60" s="448">
        <f t="shared" si="10"/>
        <v>369644.490240001</v>
      </c>
      <c r="V60" s="448">
        <f t="shared" si="11"/>
        <v>929644.490240001</v>
      </c>
      <c r="W60" s="455">
        <v>12</v>
      </c>
      <c r="X60" s="448">
        <f t="shared" si="12"/>
        <v>77470.374186666697</v>
      </c>
      <c r="Y60" s="451"/>
      <c r="Z60" s="459">
        <f t="shared" si="13"/>
        <v>77470.374186666697</v>
      </c>
      <c r="AA60" s="460">
        <v>49548.776186666699</v>
      </c>
      <c r="AB60" s="460">
        <f t="shared" si="40"/>
        <v>27921.598000000002</v>
      </c>
      <c r="AC60" s="460"/>
      <c r="AD60" s="460"/>
      <c r="AE60" s="460"/>
    </row>
    <row r="61" spans="1:31" ht="18.75">
      <c r="A61" s="445">
        <v>54</v>
      </c>
      <c r="B61" s="13" t="s">
        <v>438</v>
      </c>
      <c r="C61" s="448">
        <v>624373.75</v>
      </c>
      <c r="D61" s="447">
        <v>12</v>
      </c>
      <c r="E61" s="448">
        <f t="shared" si="39"/>
        <v>7492485</v>
      </c>
      <c r="F61" s="448"/>
      <c r="G61" s="449">
        <v>464998.8</v>
      </c>
      <c r="H61" s="451"/>
      <c r="I61" s="448">
        <f t="shared" si="36"/>
        <v>7027486.2000000002</v>
      </c>
      <c r="J61" s="448">
        <v>200000</v>
      </c>
      <c r="K61" s="448">
        <v>0.2</v>
      </c>
      <c r="L61" s="448">
        <f t="shared" si="1"/>
        <v>1405497.24</v>
      </c>
      <c r="M61" s="448">
        <f t="shared" si="2"/>
        <v>1605497.24</v>
      </c>
      <c r="N61" s="448">
        <f t="shared" si="37"/>
        <v>2070496.04</v>
      </c>
      <c r="O61" s="448">
        <f t="shared" si="38"/>
        <v>5421988.96</v>
      </c>
      <c r="P61" s="448">
        <f t="shared" si="5"/>
        <v>21000</v>
      </c>
      <c r="Q61" s="448">
        <f t="shared" si="6"/>
        <v>33000</v>
      </c>
      <c r="R61" s="448">
        <f t="shared" si="7"/>
        <v>75000</v>
      </c>
      <c r="S61" s="448">
        <f t="shared" si="8"/>
        <v>95000</v>
      </c>
      <c r="T61" s="448">
        <f t="shared" si="9"/>
        <v>336000</v>
      </c>
      <c r="U61" s="448">
        <f t="shared" si="10"/>
        <v>533277.3504</v>
      </c>
      <c r="V61" s="448">
        <f t="shared" si="11"/>
        <v>1093277.3504000001</v>
      </c>
      <c r="W61" s="455">
        <v>12</v>
      </c>
      <c r="X61" s="448">
        <f t="shared" si="12"/>
        <v>91106.445866666705</v>
      </c>
      <c r="Y61" s="451"/>
      <c r="Z61" s="459">
        <f t="shared" si="13"/>
        <v>91106.445866666705</v>
      </c>
      <c r="AA61" s="460">
        <v>46666.666666666701</v>
      </c>
      <c r="AB61" s="460">
        <f t="shared" si="40"/>
        <v>44439.779199999997</v>
      </c>
      <c r="AC61" s="460"/>
      <c r="AD61" s="460"/>
      <c r="AE61" s="460"/>
    </row>
    <row r="62" spans="1:31" ht="37.5">
      <c r="A62" s="445">
        <v>55</v>
      </c>
      <c r="B62" s="10" t="s">
        <v>439</v>
      </c>
      <c r="C62" s="448">
        <v>475703.83333333302</v>
      </c>
      <c r="D62" s="447">
        <v>12</v>
      </c>
      <c r="E62" s="448">
        <f t="shared" si="39"/>
        <v>5708446</v>
      </c>
      <c r="F62" s="448"/>
      <c r="G62" s="449">
        <v>351075.68</v>
      </c>
      <c r="H62" s="451"/>
      <c r="I62" s="448">
        <f t="shared" si="36"/>
        <v>5357370.32</v>
      </c>
      <c r="J62" s="448">
        <v>200000</v>
      </c>
      <c r="K62" s="448">
        <v>0.2</v>
      </c>
      <c r="L62" s="448">
        <f t="shared" si="1"/>
        <v>1071474.064</v>
      </c>
      <c r="M62" s="448">
        <f t="shared" si="2"/>
        <v>1271474.064</v>
      </c>
      <c r="N62" s="448">
        <f t="shared" si="37"/>
        <v>1622549.7439999999</v>
      </c>
      <c r="O62" s="448">
        <f t="shared" si="38"/>
        <v>4085896.2560000001</v>
      </c>
      <c r="P62" s="448">
        <f t="shared" si="5"/>
        <v>21000</v>
      </c>
      <c r="Q62" s="448">
        <f t="shared" si="6"/>
        <v>33000</v>
      </c>
      <c r="R62" s="448">
        <f t="shared" si="7"/>
        <v>75000</v>
      </c>
      <c r="S62" s="448">
        <f t="shared" si="8"/>
        <v>95000</v>
      </c>
      <c r="T62" s="448">
        <f t="shared" si="9"/>
        <v>336000</v>
      </c>
      <c r="U62" s="448">
        <f t="shared" si="10"/>
        <v>212615.10143999901</v>
      </c>
      <c r="V62" s="448">
        <f t="shared" si="11"/>
        <v>772615.10143999895</v>
      </c>
      <c r="W62" s="455">
        <v>12</v>
      </c>
      <c r="X62" s="448">
        <f t="shared" si="12"/>
        <v>64384.591786666599</v>
      </c>
      <c r="Y62" s="451"/>
      <c r="Z62" s="459">
        <f t="shared" si="13"/>
        <v>64384.591786666599</v>
      </c>
      <c r="AA62" s="460">
        <v>41338.951098666701</v>
      </c>
      <c r="AB62" s="460">
        <f t="shared" si="40"/>
        <v>23045.640687999901</v>
      </c>
      <c r="AC62" s="460"/>
      <c r="AD62" s="460"/>
      <c r="AE62" s="460"/>
    </row>
    <row r="63" spans="1:31" ht="18.75">
      <c r="A63" s="445">
        <v>56</v>
      </c>
      <c r="B63" s="10" t="s">
        <v>441</v>
      </c>
      <c r="C63" s="448">
        <v>475703.83333333302</v>
      </c>
      <c r="D63" s="447">
        <v>12</v>
      </c>
      <c r="E63" s="448">
        <f t="shared" si="39"/>
        <v>5708446</v>
      </c>
      <c r="F63" s="448"/>
      <c r="G63" s="449">
        <v>351075.68</v>
      </c>
      <c r="H63" s="451"/>
      <c r="I63" s="448">
        <f t="shared" si="36"/>
        <v>5357370.32</v>
      </c>
      <c r="J63" s="448">
        <v>200000</v>
      </c>
      <c r="K63" s="448">
        <v>0.2</v>
      </c>
      <c r="L63" s="448">
        <f t="shared" si="1"/>
        <v>1071474.064</v>
      </c>
      <c r="M63" s="448">
        <f t="shared" si="2"/>
        <v>1271474.064</v>
      </c>
      <c r="N63" s="448">
        <f t="shared" si="37"/>
        <v>1622549.7439999999</v>
      </c>
      <c r="O63" s="448">
        <f t="shared" si="38"/>
        <v>4085896.2560000001</v>
      </c>
      <c r="P63" s="448">
        <f t="shared" si="5"/>
        <v>21000</v>
      </c>
      <c r="Q63" s="448">
        <f t="shared" si="6"/>
        <v>33000</v>
      </c>
      <c r="R63" s="448">
        <f t="shared" si="7"/>
        <v>75000</v>
      </c>
      <c r="S63" s="448">
        <f t="shared" si="8"/>
        <v>95000</v>
      </c>
      <c r="T63" s="448">
        <f t="shared" si="9"/>
        <v>336000</v>
      </c>
      <c r="U63" s="448">
        <f t="shared" si="10"/>
        <v>212615.10143999901</v>
      </c>
      <c r="V63" s="448">
        <f t="shared" si="11"/>
        <v>772615.10143999895</v>
      </c>
      <c r="W63" s="455">
        <v>12</v>
      </c>
      <c r="X63" s="448">
        <f t="shared" si="12"/>
        <v>64384.591786666599</v>
      </c>
      <c r="Y63" s="451"/>
      <c r="Z63" s="459">
        <f t="shared" si="13"/>
        <v>64384.591786666599</v>
      </c>
      <c r="AA63" s="460">
        <v>41338.951098666701</v>
      </c>
      <c r="AB63" s="460">
        <f t="shared" si="40"/>
        <v>23045.640687999901</v>
      </c>
      <c r="AC63" s="460"/>
      <c r="AD63" s="460"/>
      <c r="AE63" s="460"/>
    </row>
    <row r="64" spans="1:31" ht="18.75">
      <c r="A64" s="445">
        <v>57</v>
      </c>
      <c r="B64" s="10" t="s">
        <v>442</v>
      </c>
      <c r="C64" s="448">
        <v>475703.83333333302</v>
      </c>
      <c r="D64" s="447">
        <v>12</v>
      </c>
      <c r="E64" s="448">
        <f t="shared" si="39"/>
        <v>5708446</v>
      </c>
      <c r="F64" s="448"/>
      <c r="G64" s="449">
        <v>351075.68</v>
      </c>
      <c r="H64" s="451"/>
      <c r="I64" s="448">
        <f t="shared" si="36"/>
        <v>5357370.32</v>
      </c>
      <c r="J64" s="448">
        <v>200000</v>
      </c>
      <c r="K64" s="448">
        <v>0.2</v>
      </c>
      <c r="L64" s="448">
        <f t="shared" si="1"/>
        <v>1071474.064</v>
      </c>
      <c r="M64" s="448">
        <f t="shared" si="2"/>
        <v>1271474.064</v>
      </c>
      <c r="N64" s="448">
        <f t="shared" si="37"/>
        <v>1622549.7439999999</v>
      </c>
      <c r="O64" s="448">
        <f t="shared" si="38"/>
        <v>4085896.2560000001</v>
      </c>
      <c r="P64" s="448">
        <f t="shared" si="5"/>
        <v>21000</v>
      </c>
      <c r="Q64" s="448">
        <f t="shared" si="6"/>
        <v>33000</v>
      </c>
      <c r="R64" s="448">
        <f t="shared" si="7"/>
        <v>75000</v>
      </c>
      <c r="S64" s="448">
        <f t="shared" si="8"/>
        <v>95000</v>
      </c>
      <c r="T64" s="448">
        <f t="shared" si="9"/>
        <v>336000</v>
      </c>
      <c r="U64" s="448">
        <f t="shared" si="10"/>
        <v>212615.10143999901</v>
      </c>
      <c r="V64" s="448">
        <f t="shared" si="11"/>
        <v>772615.10143999895</v>
      </c>
      <c r="W64" s="455">
        <v>12</v>
      </c>
      <c r="X64" s="448">
        <f t="shared" si="12"/>
        <v>64384.591786666599</v>
      </c>
      <c r="Y64" s="451"/>
      <c r="Z64" s="459">
        <f t="shared" si="13"/>
        <v>64384.591786666599</v>
      </c>
      <c r="AA64" s="460">
        <v>41338.951098666701</v>
      </c>
      <c r="AB64" s="460">
        <f t="shared" si="40"/>
        <v>23045.640687999901</v>
      </c>
      <c r="AC64" s="460"/>
      <c r="AD64" s="460"/>
      <c r="AE64" s="460"/>
    </row>
    <row r="65" spans="1:31" ht="18.75">
      <c r="A65" s="445">
        <v>58</v>
      </c>
      <c r="B65" s="10" t="s">
        <v>443</v>
      </c>
      <c r="C65" s="448">
        <v>487895.16666666698</v>
      </c>
      <c r="D65" s="447">
        <v>12</v>
      </c>
      <c r="E65" s="448">
        <f t="shared" si="39"/>
        <v>5854742</v>
      </c>
      <c r="F65" s="448"/>
      <c r="G65" s="449">
        <v>362779.36</v>
      </c>
      <c r="H65" s="451"/>
      <c r="I65" s="448">
        <f t="shared" si="36"/>
        <v>5491962.6399999997</v>
      </c>
      <c r="J65" s="448">
        <v>200000</v>
      </c>
      <c r="K65" s="448">
        <v>0.2</v>
      </c>
      <c r="L65" s="448">
        <f t="shared" si="1"/>
        <v>1098392.5279999999</v>
      </c>
      <c r="M65" s="448">
        <f t="shared" si="2"/>
        <v>1298392.5279999999</v>
      </c>
      <c r="N65" s="448">
        <f t="shared" si="37"/>
        <v>1661171.888</v>
      </c>
      <c r="O65" s="448">
        <f t="shared" si="38"/>
        <v>4193570.1120000002</v>
      </c>
      <c r="P65" s="448">
        <f t="shared" si="5"/>
        <v>21000</v>
      </c>
      <c r="Q65" s="448">
        <f t="shared" si="6"/>
        <v>33000</v>
      </c>
      <c r="R65" s="448">
        <f t="shared" si="7"/>
        <v>75000</v>
      </c>
      <c r="S65" s="448">
        <f t="shared" si="8"/>
        <v>95000</v>
      </c>
      <c r="T65" s="448">
        <f t="shared" si="9"/>
        <v>336000</v>
      </c>
      <c r="U65" s="448">
        <f t="shared" si="10"/>
        <v>238456.826880001</v>
      </c>
      <c r="V65" s="448">
        <f t="shared" si="11"/>
        <v>798456.826880001</v>
      </c>
      <c r="W65" s="455">
        <v>12</v>
      </c>
      <c r="X65" s="448">
        <f t="shared" si="12"/>
        <v>66538.068906666696</v>
      </c>
      <c r="Y65" s="451"/>
      <c r="Z65" s="459">
        <f t="shared" si="13"/>
        <v>66538.068906666696</v>
      </c>
      <c r="AA65" s="460">
        <v>43368.882414666703</v>
      </c>
      <c r="AB65" s="460">
        <f t="shared" si="40"/>
        <v>23169.186492000001</v>
      </c>
      <c r="AC65" s="460"/>
      <c r="AD65" s="460"/>
      <c r="AE65" s="460"/>
    </row>
    <row r="66" spans="1:31" ht="18.75">
      <c r="A66" s="445">
        <v>59</v>
      </c>
      <c r="B66" s="10" t="s">
        <v>445</v>
      </c>
      <c r="C66" s="448">
        <v>400965.58333333302</v>
      </c>
      <c r="D66" s="447">
        <v>12</v>
      </c>
      <c r="E66" s="448">
        <f t="shared" si="39"/>
        <v>4811587</v>
      </c>
      <c r="F66" s="448"/>
      <c r="G66" s="453">
        <v>288926.96000000002</v>
      </c>
      <c r="H66" s="451"/>
      <c r="I66" s="448">
        <f t="shared" si="36"/>
        <v>4522660.04</v>
      </c>
      <c r="J66" s="448">
        <v>200000</v>
      </c>
      <c r="K66" s="448">
        <v>0.2</v>
      </c>
      <c r="L66" s="448">
        <f t="shared" si="1"/>
        <v>904532.00799999898</v>
      </c>
      <c r="M66" s="448">
        <f t="shared" si="2"/>
        <v>1104532.0079999999</v>
      </c>
      <c r="N66" s="448">
        <f t="shared" si="37"/>
        <v>1393458.9680000001</v>
      </c>
      <c r="O66" s="448">
        <f t="shared" si="38"/>
        <v>3418128.0320000001</v>
      </c>
      <c r="P66" s="448">
        <f t="shared" si="5"/>
        <v>21000</v>
      </c>
      <c r="Q66" s="448">
        <f t="shared" si="6"/>
        <v>33000</v>
      </c>
      <c r="R66" s="448">
        <f t="shared" si="7"/>
        <v>75000</v>
      </c>
      <c r="S66" s="448">
        <f t="shared" si="8"/>
        <v>95000</v>
      </c>
      <c r="T66" s="448">
        <f t="shared" si="9"/>
        <v>336000</v>
      </c>
      <c r="U66" s="448">
        <f t="shared" si="10"/>
        <v>52350.727679999203</v>
      </c>
      <c r="V66" s="448">
        <f t="shared" si="11"/>
        <v>612350.72767999896</v>
      </c>
      <c r="W66" s="455">
        <v>12</v>
      </c>
      <c r="X66" s="448">
        <f t="shared" si="12"/>
        <v>51029.227306666602</v>
      </c>
      <c r="Y66" s="451"/>
      <c r="Z66" s="459">
        <f t="shared" si="13"/>
        <v>51029.227306666602</v>
      </c>
      <c r="AA66" s="460">
        <v>33825.986562666702</v>
      </c>
      <c r="AB66" s="460">
        <f t="shared" si="40"/>
        <v>17203.240743999901</v>
      </c>
      <c r="AC66" s="460"/>
      <c r="AD66" s="460"/>
      <c r="AE66" s="460"/>
    </row>
    <row r="67" spans="1:31" ht="18.75">
      <c r="A67" s="445">
        <v>60</v>
      </c>
      <c r="B67" s="19"/>
      <c r="C67" s="448"/>
      <c r="D67" s="447"/>
      <c r="E67" s="448"/>
      <c r="F67" s="448"/>
      <c r="G67" s="451"/>
      <c r="H67" s="451"/>
      <c r="I67" s="448"/>
      <c r="J67" s="448"/>
      <c r="K67" s="448"/>
      <c r="L67" s="448"/>
      <c r="M67" s="448"/>
      <c r="N67" s="448"/>
      <c r="O67" s="448"/>
      <c r="P67" s="448"/>
      <c r="Q67" s="448"/>
      <c r="R67" s="448"/>
      <c r="S67" s="448"/>
      <c r="T67" s="448"/>
      <c r="U67" s="448"/>
      <c r="V67" s="448"/>
      <c r="W67" s="455"/>
      <c r="X67" s="448"/>
      <c r="Y67" s="451"/>
      <c r="Z67" s="459"/>
      <c r="AA67" s="460"/>
      <c r="AB67" s="460"/>
      <c r="AC67" s="460"/>
      <c r="AD67" s="460"/>
      <c r="AE67" s="460"/>
    </row>
    <row r="68" spans="1:31" ht="18.75">
      <c r="A68" s="445">
        <v>61</v>
      </c>
      <c r="B68" s="21"/>
      <c r="C68" s="448"/>
      <c r="D68" s="447"/>
      <c r="E68" s="448"/>
      <c r="F68" s="448"/>
      <c r="G68" s="451"/>
      <c r="H68" s="451"/>
      <c r="I68" s="448"/>
      <c r="J68" s="448"/>
      <c r="K68" s="448"/>
      <c r="L68" s="448"/>
      <c r="M68" s="448"/>
      <c r="N68" s="448"/>
      <c r="O68" s="448"/>
      <c r="P68" s="448"/>
      <c r="Q68" s="448"/>
      <c r="R68" s="448"/>
      <c r="S68" s="448"/>
      <c r="T68" s="448"/>
      <c r="U68" s="448"/>
      <c r="V68" s="448"/>
      <c r="W68" s="455"/>
      <c r="X68" s="448"/>
      <c r="Y68" s="451"/>
      <c r="Z68" s="459"/>
      <c r="AA68" s="460"/>
      <c r="AB68" s="460"/>
      <c r="AC68" s="460"/>
      <c r="AD68" s="460"/>
      <c r="AE68" s="460"/>
    </row>
    <row r="69" spans="1:31" ht="18.75">
      <c r="A69" s="445"/>
      <c r="B69" s="19" t="s">
        <v>65</v>
      </c>
      <c r="C69" s="448"/>
      <c r="D69" s="447"/>
      <c r="E69" s="448"/>
      <c r="F69" s="448"/>
      <c r="G69" s="451"/>
      <c r="H69" s="451"/>
      <c r="I69" s="448"/>
      <c r="J69" s="448"/>
      <c r="K69" s="448"/>
      <c r="L69" s="448"/>
      <c r="M69" s="448"/>
      <c r="N69" s="448"/>
      <c r="O69" s="448"/>
      <c r="P69" s="448"/>
      <c r="Q69" s="448"/>
      <c r="R69" s="448"/>
      <c r="S69" s="448"/>
      <c r="T69" s="448"/>
      <c r="U69" s="448"/>
      <c r="V69" s="448"/>
      <c r="W69" s="455"/>
      <c r="X69" s="448"/>
      <c r="Y69" s="451"/>
      <c r="Z69" s="459"/>
      <c r="AA69" s="460"/>
      <c r="AB69" s="460"/>
      <c r="AC69" s="460"/>
      <c r="AD69" s="460"/>
      <c r="AE69" s="460"/>
    </row>
    <row r="70" spans="1:31" ht="18.75">
      <c r="A70" s="445"/>
      <c r="B70" s="10" t="s">
        <v>446</v>
      </c>
      <c r="C70" s="448">
        <v>1635720</v>
      </c>
      <c r="D70" s="447">
        <v>12</v>
      </c>
      <c r="E70" s="448">
        <f>C70*D70</f>
        <v>19628640</v>
      </c>
      <c r="F70" s="448"/>
      <c r="G70" s="449">
        <v>1378291.2</v>
      </c>
      <c r="H70" s="451"/>
      <c r="I70" s="448">
        <f t="shared" ref="I70:I76" si="41">E70-F70-G70-H70</f>
        <v>18250348.800000001</v>
      </c>
      <c r="J70" s="448">
        <v>200000</v>
      </c>
      <c r="K70" s="448">
        <v>0.2</v>
      </c>
      <c r="L70" s="448">
        <f t="shared" ref="L70" si="42">I70*K70</f>
        <v>3650069.76</v>
      </c>
      <c r="M70" s="448">
        <f t="shared" ref="M70" si="43">J70+L70</f>
        <v>3850069.76</v>
      </c>
      <c r="N70" s="448">
        <f t="shared" ref="N70:N76" si="44">F70+G70+H70+M70</f>
        <v>5228360.96</v>
      </c>
      <c r="O70" s="448">
        <f t="shared" ref="O70:O76" si="45">E70-N70</f>
        <v>14400279.039999999</v>
      </c>
      <c r="P70" s="448">
        <f t="shared" ref="P70" si="46">IF(O70&lt;300000,0.07*O70,21000)</f>
        <v>21000</v>
      </c>
      <c r="Q70" s="448">
        <f t="shared" ref="Q70" si="47">IF((O70-300000)&lt;0,0,IF((O70-300000)&lt;300000,0.11*(O70-300000),33000))</f>
        <v>33000</v>
      </c>
      <c r="R70" s="448">
        <f t="shared" ref="R70" si="48">IF((O70-600000)&lt;0,0,IF((O70-600000)&lt;500000,0.15*(O70-600000),75000))</f>
        <v>75000</v>
      </c>
      <c r="S70" s="448">
        <f t="shared" ref="S70" si="49">IF((O70-1100000)&lt;0,0,IF((O70-1100000)&lt;500000,0.19*(O70-1100000),95000))</f>
        <v>95000</v>
      </c>
      <c r="T70" s="448">
        <f t="shared" ref="T70" si="50">IF((O70-1600000)&lt;0,0,IF((O70-1600000)&lt;1600000,0.21*(O70-1600000),336000))</f>
        <v>336000</v>
      </c>
      <c r="U70" s="448">
        <f t="shared" ref="U70" si="51">24%*(O70-3200000)</f>
        <v>2688066.9696</v>
      </c>
      <c r="V70" s="448">
        <f t="shared" ref="V70" si="52">P70+Q70+R70+S70+T70+U70</f>
        <v>3248066.9696</v>
      </c>
      <c r="W70" s="455">
        <v>12</v>
      </c>
      <c r="X70" s="448">
        <f t="shared" ref="X70" si="53">V70/W70</f>
        <v>270672.24746666697</v>
      </c>
      <c r="Y70" s="451"/>
      <c r="Z70" s="459">
        <f t="shared" ref="Z70" si="54">X70</f>
        <v>270672.24746666697</v>
      </c>
      <c r="AA70" s="460">
        <v>180306.806858667</v>
      </c>
      <c r="AB70" s="460">
        <f>Z70-AA70</f>
        <v>90365.440607999597</v>
      </c>
      <c r="AC70" s="460"/>
      <c r="AD70" s="460"/>
      <c r="AE70" s="460"/>
    </row>
    <row r="71" spans="1:31" ht="18.75">
      <c r="A71" s="445">
        <v>62</v>
      </c>
      <c r="B71" s="13" t="s">
        <v>331</v>
      </c>
      <c r="C71" s="448">
        <v>761396.83333333302</v>
      </c>
      <c r="D71" s="447">
        <v>12</v>
      </c>
      <c r="E71" s="448">
        <f t="shared" ref="E71:E76" si="55">C71*D71</f>
        <v>9136762</v>
      </c>
      <c r="F71" s="448"/>
      <c r="G71" s="449">
        <v>0</v>
      </c>
      <c r="H71" s="451"/>
      <c r="I71" s="448">
        <f t="shared" si="41"/>
        <v>9136762</v>
      </c>
      <c r="J71" s="448">
        <v>200000</v>
      </c>
      <c r="K71" s="448">
        <v>0.2</v>
      </c>
      <c r="L71" s="448">
        <f t="shared" si="1"/>
        <v>1827352.4</v>
      </c>
      <c r="M71" s="448">
        <f t="shared" si="2"/>
        <v>2027352.4</v>
      </c>
      <c r="N71" s="448">
        <f t="shared" si="44"/>
        <v>2027352.4</v>
      </c>
      <c r="O71" s="448">
        <f t="shared" si="45"/>
        <v>7109409.5999999996</v>
      </c>
      <c r="P71" s="448">
        <f t="shared" si="5"/>
        <v>21000</v>
      </c>
      <c r="Q71" s="448">
        <f t="shared" si="6"/>
        <v>33000</v>
      </c>
      <c r="R71" s="448">
        <f t="shared" si="7"/>
        <v>75000</v>
      </c>
      <c r="S71" s="448">
        <f t="shared" si="8"/>
        <v>95000</v>
      </c>
      <c r="T71" s="448">
        <f t="shared" si="9"/>
        <v>336000</v>
      </c>
      <c r="U71" s="448">
        <f t="shared" si="10"/>
        <v>938258.30399999896</v>
      </c>
      <c r="V71" s="448">
        <f t="shared" si="11"/>
        <v>1498258.304</v>
      </c>
      <c r="W71" s="455">
        <v>12</v>
      </c>
      <c r="X71" s="448">
        <f t="shared" si="12"/>
        <v>124854.858666667</v>
      </c>
      <c r="Y71" s="451"/>
      <c r="Z71" s="459">
        <f t="shared" si="13"/>
        <v>124854.858666667</v>
      </c>
      <c r="AA71" s="460">
        <v>77764.980266666695</v>
      </c>
      <c r="AB71" s="460">
        <f t="shared" ref="AB71:AB76" si="56">Z71-AA71</f>
        <v>47089.8783999999</v>
      </c>
      <c r="AC71" s="460"/>
      <c r="AD71" s="460"/>
      <c r="AE71" s="460"/>
    </row>
    <row r="72" spans="1:31" ht="37.5">
      <c r="A72" s="445">
        <v>63</v>
      </c>
      <c r="B72" s="17" t="s">
        <v>333</v>
      </c>
      <c r="C72" s="448">
        <f>700675.583333333+80000</f>
        <v>780675.58333333302</v>
      </c>
      <c r="D72" s="447">
        <v>12</v>
      </c>
      <c r="E72" s="448">
        <f t="shared" si="55"/>
        <v>9368107</v>
      </c>
      <c r="F72" s="448"/>
      <c r="G72" s="449">
        <v>0</v>
      </c>
      <c r="H72" s="451"/>
      <c r="I72" s="448">
        <f t="shared" si="41"/>
        <v>9368107</v>
      </c>
      <c r="J72" s="448">
        <v>200000</v>
      </c>
      <c r="K72" s="448">
        <v>0.2</v>
      </c>
      <c r="L72" s="448">
        <f t="shared" si="1"/>
        <v>1873621.4</v>
      </c>
      <c r="M72" s="448">
        <f t="shared" si="2"/>
        <v>2073621.4</v>
      </c>
      <c r="N72" s="448">
        <f t="shared" si="44"/>
        <v>2073621.4</v>
      </c>
      <c r="O72" s="448">
        <f t="shared" si="45"/>
        <v>7294485.5999999996</v>
      </c>
      <c r="P72" s="448">
        <f t="shared" si="5"/>
        <v>21000</v>
      </c>
      <c r="Q72" s="448">
        <f t="shared" si="6"/>
        <v>33000</v>
      </c>
      <c r="R72" s="448">
        <f t="shared" si="7"/>
        <v>75000</v>
      </c>
      <c r="S72" s="448">
        <f t="shared" si="8"/>
        <v>95000</v>
      </c>
      <c r="T72" s="448">
        <f t="shared" si="9"/>
        <v>336000</v>
      </c>
      <c r="U72" s="448">
        <f t="shared" si="10"/>
        <v>982676.54399999895</v>
      </c>
      <c r="V72" s="448">
        <f t="shared" si="11"/>
        <v>1542676.544</v>
      </c>
      <c r="W72" s="455">
        <v>12</v>
      </c>
      <c r="X72" s="448">
        <f t="shared" si="12"/>
        <v>128556.37866666701</v>
      </c>
      <c r="Y72" s="451"/>
      <c r="Z72" s="459">
        <f t="shared" si="13"/>
        <v>128556.37866666701</v>
      </c>
      <c r="AA72" s="460">
        <v>64596.9391466667</v>
      </c>
      <c r="AB72" s="460">
        <f t="shared" si="56"/>
        <v>63959.439519999898</v>
      </c>
      <c r="AC72" s="460"/>
      <c r="AD72" s="460"/>
      <c r="AE72" s="460"/>
    </row>
    <row r="73" spans="1:31" ht="18.75">
      <c r="A73" s="445">
        <v>64</v>
      </c>
      <c r="B73" s="10" t="s">
        <v>448</v>
      </c>
      <c r="C73" s="448">
        <v>596622.25</v>
      </c>
      <c r="D73" s="447">
        <v>12</v>
      </c>
      <c r="E73" s="448">
        <f t="shared" si="55"/>
        <v>7159467</v>
      </c>
      <c r="F73" s="448">
        <f>'[8]JANUARY 2024'!$V$78*12</f>
        <v>8019.7950000000001</v>
      </c>
      <c r="G73" s="449">
        <v>438357.36</v>
      </c>
      <c r="H73" s="451"/>
      <c r="I73" s="448">
        <f t="shared" si="41"/>
        <v>6713089.8449999997</v>
      </c>
      <c r="J73" s="448">
        <v>200000</v>
      </c>
      <c r="K73" s="448">
        <v>0.2</v>
      </c>
      <c r="L73" s="448">
        <f t="shared" si="1"/>
        <v>1342617.969</v>
      </c>
      <c r="M73" s="448">
        <f t="shared" si="2"/>
        <v>1542617.969</v>
      </c>
      <c r="N73" s="448">
        <f t="shared" si="44"/>
        <v>1988995.1240000001</v>
      </c>
      <c r="O73" s="448">
        <f t="shared" si="45"/>
        <v>5170471.8760000002</v>
      </c>
      <c r="P73" s="448">
        <f t="shared" si="5"/>
        <v>21000</v>
      </c>
      <c r="Q73" s="448">
        <f t="shared" si="6"/>
        <v>33000</v>
      </c>
      <c r="R73" s="448">
        <f t="shared" si="7"/>
        <v>75000</v>
      </c>
      <c r="S73" s="448">
        <f t="shared" si="8"/>
        <v>95000</v>
      </c>
      <c r="T73" s="448">
        <f t="shared" si="9"/>
        <v>336000</v>
      </c>
      <c r="U73" s="448">
        <f t="shared" si="10"/>
        <v>472913.25024000002</v>
      </c>
      <c r="V73" s="448">
        <f t="shared" si="11"/>
        <v>1032913.25024</v>
      </c>
      <c r="W73" s="455">
        <v>12</v>
      </c>
      <c r="X73" s="448">
        <f t="shared" si="12"/>
        <v>86076.104186666693</v>
      </c>
      <c r="Y73" s="451"/>
      <c r="Z73" s="459">
        <f t="shared" si="13"/>
        <v>86076.104186666693</v>
      </c>
      <c r="AA73" s="460">
        <v>56350.586186666696</v>
      </c>
      <c r="AB73" s="460">
        <f t="shared" si="56"/>
        <v>29725.518</v>
      </c>
      <c r="AC73" s="460"/>
      <c r="AD73" s="460"/>
      <c r="AE73" s="460"/>
    </row>
    <row r="74" spans="1:31" ht="18.75">
      <c r="A74" s="445">
        <v>65</v>
      </c>
      <c r="B74" s="10" t="s">
        <v>451</v>
      </c>
      <c r="C74" s="448">
        <v>408901.5</v>
      </c>
      <c r="D74" s="447">
        <v>12</v>
      </c>
      <c r="E74" s="448">
        <f t="shared" si="55"/>
        <v>4906818</v>
      </c>
      <c r="F74" s="448"/>
      <c r="G74" s="449">
        <v>296545.44</v>
      </c>
      <c r="H74" s="451"/>
      <c r="I74" s="448">
        <f t="shared" si="41"/>
        <v>4610272.5599999996</v>
      </c>
      <c r="J74" s="448">
        <v>200000</v>
      </c>
      <c r="K74" s="448">
        <v>0.2</v>
      </c>
      <c r="L74" s="448">
        <f t="shared" si="1"/>
        <v>922054.51199999999</v>
      </c>
      <c r="M74" s="448">
        <f t="shared" si="2"/>
        <v>1122054.5120000001</v>
      </c>
      <c r="N74" s="448">
        <f t="shared" si="44"/>
        <v>1418599.952</v>
      </c>
      <c r="O74" s="448">
        <f t="shared" si="45"/>
        <v>3488218.048</v>
      </c>
      <c r="P74" s="448">
        <f t="shared" si="5"/>
        <v>21000</v>
      </c>
      <c r="Q74" s="448">
        <f t="shared" si="6"/>
        <v>33000</v>
      </c>
      <c r="R74" s="448">
        <f t="shared" si="7"/>
        <v>75000</v>
      </c>
      <c r="S74" s="448">
        <f t="shared" si="8"/>
        <v>95000</v>
      </c>
      <c r="T74" s="448">
        <f t="shared" si="9"/>
        <v>336000</v>
      </c>
      <c r="U74" s="448">
        <f>0.24*(O74-3200000)</f>
        <v>69172.331520000007</v>
      </c>
      <c r="V74" s="448">
        <f t="shared" si="11"/>
        <v>629172.33152000001</v>
      </c>
      <c r="W74" s="455">
        <v>12</v>
      </c>
      <c r="X74" s="448">
        <f t="shared" si="12"/>
        <v>52431.027626666699</v>
      </c>
      <c r="Y74" s="451"/>
      <c r="Z74" s="459">
        <f t="shared" si="13"/>
        <v>52431.027626666699</v>
      </c>
      <c r="AA74" s="460">
        <v>17507.548966666702</v>
      </c>
      <c r="AB74" s="460">
        <f t="shared" si="56"/>
        <v>34923.478660000001</v>
      </c>
      <c r="AC74" s="460"/>
      <c r="AD74" s="460"/>
      <c r="AE74" s="460"/>
    </row>
    <row r="75" spans="1:31" ht="24.75" customHeight="1">
      <c r="A75" s="445"/>
      <c r="B75" s="10" t="s">
        <v>454</v>
      </c>
      <c r="C75" s="448">
        <v>363165.33333333302</v>
      </c>
      <c r="D75" s="447">
        <v>12</v>
      </c>
      <c r="E75" s="448">
        <f t="shared" si="55"/>
        <v>4357984</v>
      </c>
      <c r="F75" s="448"/>
      <c r="G75" s="449">
        <v>252638.72</v>
      </c>
      <c r="H75" s="451"/>
      <c r="I75" s="448">
        <f t="shared" si="41"/>
        <v>4105345.28</v>
      </c>
      <c r="J75" s="448">
        <v>200000</v>
      </c>
      <c r="K75" s="448">
        <v>0.2</v>
      </c>
      <c r="L75" s="448">
        <f t="shared" si="1"/>
        <v>821069.05599999905</v>
      </c>
      <c r="M75" s="448">
        <f t="shared" si="2"/>
        <v>1021069.056</v>
      </c>
      <c r="N75" s="448">
        <f t="shared" si="44"/>
        <v>1273707.7760000001</v>
      </c>
      <c r="O75" s="448">
        <f t="shared" si="45"/>
        <v>3084276.2239999999</v>
      </c>
      <c r="P75" s="448">
        <f t="shared" si="5"/>
        <v>21000</v>
      </c>
      <c r="Q75" s="448">
        <f t="shared" si="6"/>
        <v>33000</v>
      </c>
      <c r="R75" s="448">
        <f t="shared" si="7"/>
        <v>75000</v>
      </c>
      <c r="S75" s="448">
        <f t="shared" si="8"/>
        <v>95000</v>
      </c>
      <c r="T75" s="448">
        <f t="shared" si="9"/>
        <v>311698.00703999901</v>
      </c>
      <c r="U75" s="448"/>
      <c r="V75" s="448">
        <f t="shared" si="11"/>
        <v>535698.00703999901</v>
      </c>
      <c r="W75" s="455">
        <v>12</v>
      </c>
      <c r="X75" s="448">
        <f t="shared" si="12"/>
        <v>44641.500586666603</v>
      </c>
      <c r="Y75" s="451"/>
      <c r="Z75" s="459">
        <f t="shared" si="13"/>
        <v>44641.500586666603</v>
      </c>
      <c r="AA75" s="460">
        <v>29058.4826046667</v>
      </c>
      <c r="AB75" s="460">
        <f t="shared" si="56"/>
        <v>15583.017981999899</v>
      </c>
      <c r="AC75" s="460"/>
      <c r="AD75" s="460"/>
      <c r="AE75" s="460"/>
    </row>
    <row r="76" spans="1:31" ht="18.75">
      <c r="A76" s="445"/>
      <c r="B76" s="10" t="s">
        <v>455</v>
      </c>
      <c r="C76" s="448">
        <v>324459.75</v>
      </c>
      <c r="D76" s="447">
        <v>12</v>
      </c>
      <c r="E76" s="448">
        <f t="shared" si="55"/>
        <v>3893517</v>
      </c>
      <c r="F76" s="448"/>
      <c r="G76" s="449">
        <v>215481.36</v>
      </c>
      <c r="H76" s="451"/>
      <c r="I76" s="448">
        <f t="shared" si="41"/>
        <v>3678035.64</v>
      </c>
      <c r="J76" s="448">
        <v>200000</v>
      </c>
      <c r="K76" s="448">
        <v>0.2</v>
      </c>
      <c r="L76" s="448">
        <f t="shared" ref="L76" si="57">I76*K76</f>
        <v>735607.12800000003</v>
      </c>
      <c r="M76" s="448">
        <f t="shared" ref="M76" si="58">J76+L76</f>
        <v>935607.12800000003</v>
      </c>
      <c r="N76" s="448">
        <f t="shared" si="44"/>
        <v>1151088.4879999999</v>
      </c>
      <c r="O76" s="448">
        <f t="shared" si="45"/>
        <v>2742428.5120000001</v>
      </c>
      <c r="P76" s="448">
        <f t="shared" ref="P76" si="59">IF(O76&lt;300000,0.07*O76,21000)</f>
        <v>21000</v>
      </c>
      <c r="Q76" s="448">
        <f t="shared" ref="Q76" si="60">IF((O76-300000)&lt;0,0,IF((O76-300000)&lt;300000,0.11*(O76-300000),33000))</f>
        <v>33000</v>
      </c>
      <c r="R76" s="448">
        <f t="shared" ref="R76" si="61">IF((O76-600000)&lt;0,0,IF((O76-600000)&lt;500000,0.15*(O76-600000),75000))</f>
        <v>75000</v>
      </c>
      <c r="S76" s="448">
        <f t="shared" ref="S76" si="62">IF((O76-1100000)&lt;0,0,IF((O76-1100000)&lt;500000,0.19*(O76-1100000),95000))</f>
        <v>95000</v>
      </c>
      <c r="T76" s="448">
        <f t="shared" ref="T76" si="63">IF((O76-1600000)&lt;0,0,IF((O76-1600000)&lt;1600000,0.21*(O76-1600000),336000))</f>
        <v>239909.98752</v>
      </c>
      <c r="U76" s="448"/>
      <c r="V76" s="448">
        <f t="shared" ref="V76" si="64">P76+Q76+R76+S76+T76+U76</f>
        <v>463909.98752000002</v>
      </c>
      <c r="W76" s="455">
        <v>12</v>
      </c>
      <c r="X76" s="448">
        <f t="shared" ref="X76" si="65">V76/W76</f>
        <v>38659.165626666698</v>
      </c>
      <c r="Y76" s="451"/>
      <c r="Z76" s="459">
        <f t="shared" ref="Z76" si="66">X76</f>
        <v>38659.165626666698</v>
      </c>
      <c r="AA76" s="460">
        <v>24751.170462666701</v>
      </c>
      <c r="AB76" s="460">
        <f t="shared" si="56"/>
        <v>13907.995164</v>
      </c>
      <c r="AC76" s="460"/>
      <c r="AD76" s="460"/>
      <c r="AE76" s="460"/>
    </row>
    <row r="77" spans="1:31" ht="18.75">
      <c r="A77" s="445"/>
      <c r="B77" s="19" t="s">
        <v>42</v>
      </c>
      <c r="C77" s="448"/>
      <c r="D77" s="447"/>
      <c r="E77" s="448"/>
      <c r="F77" s="448"/>
      <c r="G77" s="451"/>
      <c r="H77" s="451"/>
      <c r="I77" s="448"/>
      <c r="J77" s="448"/>
      <c r="K77" s="448"/>
      <c r="L77" s="448"/>
      <c r="M77" s="448"/>
      <c r="N77" s="448"/>
      <c r="O77" s="448"/>
      <c r="P77" s="448"/>
      <c r="Q77" s="448"/>
      <c r="R77" s="448"/>
      <c r="S77" s="448"/>
      <c r="T77" s="448"/>
      <c r="U77" s="448"/>
      <c r="V77" s="448"/>
      <c r="W77" s="455"/>
      <c r="X77" s="448"/>
      <c r="Y77" s="451"/>
      <c r="Z77" s="459"/>
      <c r="AA77" s="460"/>
      <c r="AB77" s="460"/>
      <c r="AC77" s="460"/>
      <c r="AD77" s="460"/>
      <c r="AE77" s="460"/>
    </row>
    <row r="78" spans="1:31" ht="18.75">
      <c r="A78" s="445">
        <v>66</v>
      </c>
      <c r="B78" s="19"/>
      <c r="C78" s="448"/>
      <c r="D78" s="447"/>
      <c r="E78" s="448"/>
      <c r="F78" s="448"/>
      <c r="G78" s="451"/>
      <c r="H78" s="451"/>
      <c r="I78" s="448"/>
      <c r="J78" s="448"/>
      <c r="K78" s="448"/>
      <c r="L78" s="448"/>
      <c r="M78" s="448"/>
      <c r="N78" s="448"/>
      <c r="O78" s="448"/>
      <c r="P78" s="448"/>
      <c r="Q78" s="448"/>
      <c r="R78" s="448"/>
      <c r="S78" s="448"/>
      <c r="T78" s="448"/>
      <c r="U78" s="448"/>
      <c r="V78" s="448"/>
      <c r="W78" s="455"/>
      <c r="X78" s="448"/>
      <c r="Y78" s="451"/>
      <c r="Z78" s="459"/>
      <c r="AA78" s="460"/>
      <c r="AB78" s="460"/>
      <c r="AC78" s="460"/>
      <c r="AD78" s="460"/>
      <c r="AE78" s="460"/>
    </row>
    <row r="79" spans="1:31" ht="37.5">
      <c r="A79" s="445">
        <v>67</v>
      </c>
      <c r="B79" s="19" t="s">
        <v>74</v>
      </c>
      <c r="C79" s="448"/>
      <c r="Z79" s="462"/>
      <c r="AB79" s="276" t="s">
        <v>627</v>
      </c>
      <c r="AC79" s="460"/>
      <c r="AD79" s="460"/>
      <c r="AE79" s="460"/>
    </row>
    <row r="80" spans="1:31" ht="18.75">
      <c r="A80" s="445">
        <v>68</v>
      </c>
      <c r="B80" s="10" t="s">
        <v>457</v>
      </c>
      <c r="C80" s="448">
        <v>880675.58333333302</v>
      </c>
      <c r="D80" s="447">
        <v>12</v>
      </c>
      <c r="E80" s="448">
        <f>C80*D80</f>
        <v>10568107</v>
      </c>
      <c r="F80" s="448"/>
      <c r="G80" s="449">
        <v>595848.56000000006</v>
      </c>
      <c r="H80" s="451"/>
      <c r="I80" s="448">
        <f t="shared" ref="I80:I89" si="67">E80-F80-G80-H80</f>
        <v>9972258.4399999995</v>
      </c>
      <c r="J80" s="448">
        <v>200000</v>
      </c>
      <c r="K80" s="448">
        <v>0.2</v>
      </c>
      <c r="L80" s="448">
        <f t="shared" ref="L80:L89" si="68">I80*K80</f>
        <v>1994451.6880000001</v>
      </c>
      <c r="M80" s="448">
        <f t="shared" ref="M80:M89" si="69">J80+L80</f>
        <v>2194451.6880000001</v>
      </c>
      <c r="N80" s="448">
        <f t="shared" ref="N80:N89" si="70">F80+G80+H80+M80</f>
        <v>2790300.2480000001</v>
      </c>
      <c r="O80" s="448">
        <f t="shared" ref="O80:O89" si="71">E80-N80</f>
        <v>7777806.7520000003</v>
      </c>
      <c r="P80" s="448">
        <f t="shared" ref="P80:P89" si="72">IF(O80&lt;300000,0.07*O80,21000)</f>
        <v>21000</v>
      </c>
      <c r="Q80" s="448">
        <f t="shared" ref="Q80:Q89" si="73">IF((O80-300000)&lt;0,0,IF((O80-300000)&lt;300000,0.11*(O80-300000),33000))</f>
        <v>33000</v>
      </c>
      <c r="R80" s="448">
        <f t="shared" ref="R80:R89" si="74">IF((O80-600000)&lt;0,0,IF((O80-600000)&lt;500000,0.15*(O80-600000),75000))</f>
        <v>75000</v>
      </c>
      <c r="S80" s="448">
        <f t="shared" ref="S80:S89" si="75">IF((O80-1100000)&lt;0,0,IF((O80-1100000)&lt;500000,0.19*(O80-1100000),95000))</f>
        <v>95000</v>
      </c>
      <c r="T80" s="448">
        <f t="shared" ref="T80:T89" si="76">IF((O80-1600000)&lt;0,0,IF((O80-1600000)&lt;1600000,0.21*(O80-1600000),336000))</f>
        <v>336000</v>
      </c>
      <c r="U80" s="448">
        <f t="shared" ref="U80:U88" si="77">24%*(O80-3200000)</f>
        <v>1098673.62048</v>
      </c>
      <c r="V80" s="448">
        <f t="shared" ref="V80:V89" si="78">P80+Q80+R80+S80+T80+U80</f>
        <v>1658673.62048</v>
      </c>
      <c r="W80" s="455">
        <v>12</v>
      </c>
      <c r="X80" s="448">
        <f t="shared" ref="X80:X89" si="79">V80/W80</f>
        <v>138222.801706667</v>
      </c>
      <c r="Y80" s="451"/>
      <c r="Z80" s="459">
        <f t="shared" ref="Z80:Z89" si="80">X80</f>
        <v>138222.801706667</v>
      </c>
      <c r="AA80" s="448">
        <v>99156.9391466667</v>
      </c>
      <c r="AB80" s="460">
        <f>Z80-AA80</f>
        <v>39065.8625599999</v>
      </c>
      <c r="AC80" s="460" t="s">
        <v>457</v>
      </c>
      <c r="AD80" s="460"/>
      <c r="AE80" s="460"/>
    </row>
    <row r="81" spans="1:31" ht="18.75">
      <c r="A81" s="445">
        <v>69</v>
      </c>
      <c r="B81" s="10" t="s">
        <v>458</v>
      </c>
      <c r="C81" s="448">
        <v>780675.58333333302</v>
      </c>
      <c r="D81" s="447">
        <v>12</v>
      </c>
      <c r="E81" s="448">
        <f t="shared" ref="E81:E87" si="81">C81*D81</f>
        <v>9368107</v>
      </c>
      <c r="F81" s="448">
        <f>'[8]JANUARY 2024'!$V$86*12</f>
        <v>10052.25</v>
      </c>
      <c r="G81" s="449">
        <v>595848.56000000006</v>
      </c>
      <c r="H81" s="451"/>
      <c r="I81" s="448">
        <f t="shared" si="67"/>
        <v>8762206.1899999995</v>
      </c>
      <c r="J81" s="448">
        <v>200000</v>
      </c>
      <c r="K81" s="448">
        <v>0.2</v>
      </c>
      <c r="L81" s="448">
        <f t="shared" si="68"/>
        <v>1752441.2379999999</v>
      </c>
      <c r="M81" s="448">
        <f t="shared" si="69"/>
        <v>1952441.2379999999</v>
      </c>
      <c r="N81" s="448">
        <f t="shared" si="70"/>
        <v>2558342.048</v>
      </c>
      <c r="O81" s="448">
        <f t="shared" si="71"/>
        <v>6809764.9519999996</v>
      </c>
      <c r="P81" s="448">
        <f t="shared" si="72"/>
        <v>21000</v>
      </c>
      <c r="Q81" s="448">
        <f t="shared" si="73"/>
        <v>33000</v>
      </c>
      <c r="R81" s="448">
        <f t="shared" si="74"/>
        <v>75000</v>
      </c>
      <c r="S81" s="448">
        <f t="shared" si="75"/>
        <v>95000</v>
      </c>
      <c r="T81" s="448">
        <f t="shared" si="76"/>
        <v>336000</v>
      </c>
      <c r="U81" s="448">
        <f t="shared" si="77"/>
        <v>866343.58847999899</v>
      </c>
      <c r="V81" s="448">
        <f t="shared" si="78"/>
        <v>1426343.5884799999</v>
      </c>
      <c r="W81" s="455">
        <v>12</v>
      </c>
      <c r="X81" s="448">
        <f t="shared" si="79"/>
        <v>118861.965706667</v>
      </c>
      <c r="Y81" s="451"/>
      <c r="Z81" s="459">
        <f t="shared" si="80"/>
        <v>118861.965706667</v>
      </c>
      <c r="AA81" s="448">
        <v>98996.103146666705</v>
      </c>
      <c r="AB81" s="460">
        <f t="shared" ref="AB81:AB87" si="82">Z81-AA81</f>
        <v>19865.8625599999</v>
      </c>
      <c r="AC81" s="460" t="s">
        <v>458</v>
      </c>
      <c r="AD81" s="460"/>
      <c r="AE81" s="460"/>
    </row>
    <row r="82" spans="1:31" ht="37.5">
      <c r="A82" s="445">
        <v>70</v>
      </c>
      <c r="B82" s="10" t="s">
        <v>459</v>
      </c>
      <c r="C82" s="448">
        <v>742118.08333333302</v>
      </c>
      <c r="D82" s="447">
        <v>12</v>
      </c>
      <c r="E82" s="448">
        <f t="shared" si="81"/>
        <v>8905417</v>
      </c>
      <c r="F82" s="448"/>
      <c r="G82" s="449">
        <v>558833.36</v>
      </c>
      <c r="H82" s="451"/>
      <c r="I82" s="448">
        <f t="shared" si="67"/>
        <v>8346583.6399999997</v>
      </c>
      <c r="J82" s="448">
        <v>200000</v>
      </c>
      <c r="K82" s="448">
        <v>0.2</v>
      </c>
      <c r="L82" s="448">
        <f t="shared" si="68"/>
        <v>1669316.7279999999</v>
      </c>
      <c r="M82" s="448">
        <f t="shared" si="69"/>
        <v>1869316.7279999999</v>
      </c>
      <c r="N82" s="448">
        <f t="shared" si="70"/>
        <v>2428150.088</v>
      </c>
      <c r="O82" s="448">
        <f t="shared" si="71"/>
        <v>6477266.9119999995</v>
      </c>
      <c r="P82" s="448">
        <f t="shared" si="72"/>
        <v>21000</v>
      </c>
      <c r="Q82" s="448">
        <f t="shared" si="73"/>
        <v>33000</v>
      </c>
      <c r="R82" s="448">
        <f t="shared" si="74"/>
        <v>75000</v>
      </c>
      <c r="S82" s="448">
        <f t="shared" si="75"/>
        <v>95000</v>
      </c>
      <c r="T82" s="448">
        <f t="shared" si="76"/>
        <v>336000</v>
      </c>
      <c r="U82" s="448">
        <f t="shared" si="77"/>
        <v>786544.05887999898</v>
      </c>
      <c r="V82" s="448">
        <f t="shared" si="78"/>
        <v>1346544.0588799999</v>
      </c>
      <c r="W82" s="455">
        <v>12</v>
      </c>
      <c r="X82" s="448">
        <f t="shared" si="79"/>
        <v>112212.004906667</v>
      </c>
      <c r="Y82" s="451"/>
      <c r="Z82" s="459">
        <f t="shared" si="80"/>
        <v>112212.004906667</v>
      </c>
      <c r="AA82" s="448">
        <v>79956.9391466667</v>
      </c>
      <c r="AB82" s="460">
        <f t="shared" si="82"/>
        <v>32255.065759999899</v>
      </c>
      <c r="AC82" s="460" t="s">
        <v>459</v>
      </c>
      <c r="AD82" s="460"/>
      <c r="AE82" s="460"/>
    </row>
    <row r="83" spans="1:31" ht="18.75">
      <c r="A83" s="445">
        <v>71</v>
      </c>
      <c r="B83" s="10" t="s">
        <v>460</v>
      </c>
      <c r="C83" s="448">
        <v>561804.91666666698</v>
      </c>
      <c r="D83" s="447">
        <v>12</v>
      </c>
      <c r="E83" s="448">
        <f t="shared" si="81"/>
        <v>6741659</v>
      </c>
      <c r="F83" s="448"/>
      <c r="G83" s="449">
        <v>424132.72</v>
      </c>
      <c r="H83" s="451"/>
      <c r="I83" s="448">
        <f t="shared" si="67"/>
        <v>6317526.2800000003</v>
      </c>
      <c r="J83" s="448">
        <v>200000</v>
      </c>
      <c r="K83" s="448">
        <v>0.2</v>
      </c>
      <c r="L83" s="448">
        <f t="shared" si="68"/>
        <v>1263505.2560000001</v>
      </c>
      <c r="M83" s="448">
        <f t="shared" si="69"/>
        <v>1463505.2560000001</v>
      </c>
      <c r="N83" s="448">
        <f t="shared" si="70"/>
        <v>1887637.976</v>
      </c>
      <c r="O83" s="448">
        <f t="shared" si="71"/>
        <v>4854021.0240000002</v>
      </c>
      <c r="P83" s="448">
        <f t="shared" si="72"/>
        <v>21000</v>
      </c>
      <c r="Q83" s="448">
        <f t="shared" si="73"/>
        <v>33000</v>
      </c>
      <c r="R83" s="448">
        <f t="shared" si="74"/>
        <v>75000</v>
      </c>
      <c r="S83" s="448">
        <f t="shared" si="75"/>
        <v>95000</v>
      </c>
      <c r="T83" s="448">
        <f t="shared" si="76"/>
        <v>336000</v>
      </c>
      <c r="U83" s="448">
        <f t="shared" si="77"/>
        <v>396965.045760001</v>
      </c>
      <c r="V83" s="448">
        <f t="shared" si="78"/>
        <v>956965.04576000106</v>
      </c>
      <c r="W83" s="455">
        <v>12</v>
      </c>
      <c r="X83" s="448">
        <f t="shared" si="79"/>
        <v>79747.087146666701</v>
      </c>
      <c r="Y83" s="451"/>
      <c r="Z83" s="459">
        <f t="shared" si="80"/>
        <v>79747.087146666701</v>
      </c>
      <c r="AA83" s="448">
        <v>75574.677290666703</v>
      </c>
      <c r="AB83" s="460">
        <f t="shared" si="82"/>
        <v>4172.4098560000302</v>
      </c>
      <c r="AC83" s="460" t="s">
        <v>460</v>
      </c>
      <c r="AD83" s="460"/>
      <c r="AE83" s="460"/>
    </row>
    <row r="84" spans="1:31" ht="18.75">
      <c r="A84" s="445">
        <v>72</v>
      </c>
      <c r="B84" s="10" t="s">
        <v>462</v>
      </c>
      <c r="C84" s="448">
        <v>548915.91666666698</v>
      </c>
      <c r="D84" s="447">
        <v>12</v>
      </c>
      <c r="E84" s="448">
        <f t="shared" si="81"/>
        <v>6586991</v>
      </c>
      <c r="F84" s="448"/>
      <c r="G84" s="449">
        <v>411759.28</v>
      </c>
      <c r="H84" s="451"/>
      <c r="I84" s="448">
        <f t="shared" si="67"/>
        <v>6175231.7199999997</v>
      </c>
      <c r="J84" s="448">
        <v>200000</v>
      </c>
      <c r="K84" s="448">
        <v>0.2</v>
      </c>
      <c r="L84" s="448">
        <f t="shared" si="68"/>
        <v>1235046.344</v>
      </c>
      <c r="M84" s="448">
        <f t="shared" si="69"/>
        <v>1435046.344</v>
      </c>
      <c r="N84" s="448">
        <f t="shared" si="70"/>
        <v>1846805.6240000001</v>
      </c>
      <c r="O84" s="448">
        <f t="shared" si="71"/>
        <v>4740185.3760000002</v>
      </c>
      <c r="P84" s="448">
        <f t="shared" si="72"/>
        <v>21000</v>
      </c>
      <c r="Q84" s="448">
        <f t="shared" si="73"/>
        <v>33000</v>
      </c>
      <c r="R84" s="448">
        <f t="shared" si="74"/>
        <v>75000</v>
      </c>
      <c r="S84" s="448">
        <f t="shared" si="75"/>
        <v>95000</v>
      </c>
      <c r="T84" s="448">
        <f t="shared" si="76"/>
        <v>336000</v>
      </c>
      <c r="U84" s="448">
        <f t="shared" si="77"/>
        <v>369644.490240001</v>
      </c>
      <c r="V84" s="448">
        <f t="shared" si="78"/>
        <v>929644.490240001</v>
      </c>
      <c r="W84" s="455">
        <v>12</v>
      </c>
      <c r="X84" s="448">
        <f t="shared" si="79"/>
        <v>77470.374186666697</v>
      </c>
      <c r="Y84" s="451"/>
      <c r="Z84" s="459">
        <f t="shared" si="80"/>
        <v>77470.374186666697</v>
      </c>
      <c r="AA84" s="448">
        <v>50985.977546666698</v>
      </c>
      <c r="AB84" s="460">
        <f t="shared" si="82"/>
        <v>26484.396639999999</v>
      </c>
      <c r="AC84" s="460" t="s">
        <v>462</v>
      </c>
      <c r="AD84" s="460"/>
      <c r="AE84" s="460"/>
    </row>
    <row r="85" spans="1:31" ht="37.5">
      <c r="A85" s="445">
        <v>73</v>
      </c>
      <c r="B85" s="10" t="s">
        <v>463</v>
      </c>
      <c r="C85" s="448">
        <v>568870.75</v>
      </c>
      <c r="D85" s="447">
        <v>12</v>
      </c>
      <c r="E85" s="448">
        <f t="shared" si="81"/>
        <v>6826449</v>
      </c>
      <c r="F85" s="448"/>
      <c r="G85" s="449">
        <v>411715.92</v>
      </c>
      <c r="H85" s="451"/>
      <c r="I85" s="448">
        <f t="shared" si="67"/>
        <v>6414733.0800000001</v>
      </c>
      <c r="J85" s="448">
        <v>200000</v>
      </c>
      <c r="K85" s="448">
        <v>0.2</v>
      </c>
      <c r="L85" s="448">
        <f t="shared" si="68"/>
        <v>1282946.6159999999</v>
      </c>
      <c r="M85" s="448">
        <f t="shared" si="69"/>
        <v>1482946.6159999999</v>
      </c>
      <c r="N85" s="448">
        <f t="shared" si="70"/>
        <v>1894662.5360000001</v>
      </c>
      <c r="O85" s="448">
        <f t="shared" si="71"/>
        <v>4931786.4639999997</v>
      </c>
      <c r="P85" s="448">
        <f t="shared" si="72"/>
        <v>21000</v>
      </c>
      <c r="Q85" s="448">
        <f t="shared" si="73"/>
        <v>33000</v>
      </c>
      <c r="R85" s="448">
        <f t="shared" si="74"/>
        <v>75000</v>
      </c>
      <c r="S85" s="448">
        <f t="shared" si="75"/>
        <v>95000</v>
      </c>
      <c r="T85" s="448">
        <f t="shared" si="76"/>
        <v>336000</v>
      </c>
      <c r="U85" s="448">
        <f t="shared" si="77"/>
        <v>415628.75135999999</v>
      </c>
      <c r="V85" s="448">
        <f t="shared" si="78"/>
        <v>975628.75135999999</v>
      </c>
      <c r="W85" s="455">
        <v>12</v>
      </c>
      <c r="X85" s="448">
        <f t="shared" si="79"/>
        <v>81302.3959466667</v>
      </c>
      <c r="Y85" s="451"/>
      <c r="Z85" s="448">
        <f t="shared" si="80"/>
        <v>81302.3959466667</v>
      </c>
      <c r="AA85" s="459">
        <v>49548.776186666699</v>
      </c>
      <c r="AB85" s="460">
        <f t="shared" si="82"/>
        <v>31753.619760000001</v>
      </c>
      <c r="AC85" s="460" t="s">
        <v>463</v>
      </c>
      <c r="AD85" s="460"/>
      <c r="AE85" s="460"/>
    </row>
    <row r="86" spans="1:31" ht="18.75">
      <c r="A86" s="445">
        <v>74</v>
      </c>
      <c r="B86" s="10" t="s">
        <v>464</v>
      </c>
      <c r="C86" s="448">
        <v>475703.83333333302</v>
      </c>
      <c r="D86" s="447">
        <v>12</v>
      </c>
      <c r="E86" s="448">
        <f t="shared" si="81"/>
        <v>5708446</v>
      </c>
      <c r="F86" s="448"/>
      <c r="G86" s="454">
        <f>29256.3066666667*12</f>
        <v>351075.68</v>
      </c>
      <c r="H86" s="451"/>
      <c r="I86" s="448">
        <f t="shared" si="67"/>
        <v>5357370.32</v>
      </c>
      <c r="J86" s="448">
        <v>200000</v>
      </c>
      <c r="K86" s="448">
        <v>0.2</v>
      </c>
      <c r="L86" s="448">
        <f t="shared" si="68"/>
        <v>1071474.064</v>
      </c>
      <c r="M86" s="448">
        <f t="shared" si="69"/>
        <v>1271474.064</v>
      </c>
      <c r="N86" s="448">
        <f t="shared" si="70"/>
        <v>1622549.7439999999</v>
      </c>
      <c r="O86" s="448">
        <f t="shared" si="71"/>
        <v>4085896.2560000001</v>
      </c>
      <c r="P86" s="448">
        <f t="shared" si="72"/>
        <v>21000</v>
      </c>
      <c r="Q86" s="448">
        <f t="shared" si="73"/>
        <v>33000</v>
      </c>
      <c r="R86" s="448">
        <f t="shared" si="74"/>
        <v>75000</v>
      </c>
      <c r="S86" s="448">
        <f t="shared" si="75"/>
        <v>95000</v>
      </c>
      <c r="T86" s="448">
        <f t="shared" si="76"/>
        <v>336000</v>
      </c>
      <c r="U86" s="448">
        <f t="shared" si="77"/>
        <v>212615.10143999901</v>
      </c>
      <c r="V86" s="448">
        <f t="shared" si="78"/>
        <v>772615.10143999895</v>
      </c>
      <c r="W86" s="455">
        <v>12</v>
      </c>
      <c r="X86" s="448">
        <f t="shared" si="79"/>
        <v>64384.591786666599</v>
      </c>
      <c r="Y86" s="451"/>
      <c r="Z86" s="459">
        <f t="shared" si="80"/>
        <v>64384.591786666599</v>
      </c>
      <c r="AA86" s="448">
        <v>53384.053562666697</v>
      </c>
      <c r="AB86" s="460">
        <f t="shared" si="82"/>
        <v>11000.5382239999</v>
      </c>
      <c r="AC86" s="460" t="s">
        <v>464</v>
      </c>
      <c r="AD86" s="460"/>
      <c r="AE86" s="460"/>
    </row>
    <row r="87" spans="1:31" ht="24" customHeight="1">
      <c r="A87" s="445">
        <v>75</v>
      </c>
      <c r="B87" s="10" t="s">
        <v>465</v>
      </c>
      <c r="C87" s="448">
        <v>510248.91666666698</v>
      </c>
      <c r="D87" s="447">
        <v>12</v>
      </c>
      <c r="E87" s="448">
        <f t="shared" si="81"/>
        <v>6122987</v>
      </c>
      <c r="F87" s="448">
        <f>'[8]JANUARY 2024'!$V$92*12</f>
        <v>6922.4970000000003</v>
      </c>
      <c r="G87" s="449">
        <v>374638.96</v>
      </c>
      <c r="H87" s="451"/>
      <c r="I87" s="448">
        <f t="shared" si="67"/>
        <v>5741425.5429999996</v>
      </c>
      <c r="J87" s="448">
        <v>200000</v>
      </c>
      <c r="K87" s="448">
        <v>0.2</v>
      </c>
      <c r="L87" s="448">
        <f t="shared" si="68"/>
        <v>1148285.1085999999</v>
      </c>
      <c r="M87" s="448">
        <f t="shared" si="69"/>
        <v>1348285.1085999999</v>
      </c>
      <c r="N87" s="448">
        <f t="shared" si="70"/>
        <v>1729846.5656000001</v>
      </c>
      <c r="O87" s="448">
        <f t="shared" si="71"/>
        <v>4393140.4343999997</v>
      </c>
      <c r="P87" s="448">
        <f t="shared" si="72"/>
        <v>21000</v>
      </c>
      <c r="Q87" s="448">
        <f t="shared" si="73"/>
        <v>33000</v>
      </c>
      <c r="R87" s="448">
        <f t="shared" si="74"/>
        <v>75000</v>
      </c>
      <c r="S87" s="448">
        <f t="shared" si="75"/>
        <v>95000</v>
      </c>
      <c r="T87" s="448">
        <f t="shared" si="76"/>
        <v>336000</v>
      </c>
      <c r="U87" s="448">
        <f t="shared" si="77"/>
        <v>286353.70425600099</v>
      </c>
      <c r="V87" s="448">
        <f t="shared" si="78"/>
        <v>846353.70425600104</v>
      </c>
      <c r="W87" s="455">
        <v>12</v>
      </c>
      <c r="X87" s="448">
        <f t="shared" si="79"/>
        <v>70529.475354666705</v>
      </c>
      <c r="Y87" s="451"/>
      <c r="Z87" s="448">
        <f t="shared" si="80"/>
        <v>70529.475354666705</v>
      </c>
      <c r="AA87" s="463">
        <v>41242.0361406667</v>
      </c>
      <c r="AB87" s="460">
        <f t="shared" si="82"/>
        <v>29287.439214000002</v>
      </c>
      <c r="AC87" s="460" t="s">
        <v>465</v>
      </c>
      <c r="AD87" s="460"/>
      <c r="AE87" s="460"/>
    </row>
    <row r="88" spans="1:31" ht="18.75">
      <c r="A88" s="445">
        <v>76</v>
      </c>
      <c r="B88" s="10" t="s">
        <v>466</v>
      </c>
      <c r="C88" s="448">
        <v>400965.58333333302</v>
      </c>
      <c r="D88" s="447">
        <v>12</v>
      </c>
      <c r="E88" s="448">
        <f t="shared" ref="E88:E89" si="83">C88*D88</f>
        <v>4811587</v>
      </c>
      <c r="F88" s="448"/>
      <c r="G88" s="449">
        <v>288926.96000000002</v>
      </c>
      <c r="H88" s="451"/>
      <c r="I88" s="448">
        <f t="shared" si="67"/>
        <v>4522660.04</v>
      </c>
      <c r="J88" s="448">
        <v>200000</v>
      </c>
      <c r="K88" s="448">
        <v>0.2</v>
      </c>
      <c r="L88" s="448">
        <f t="shared" si="68"/>
        <v>904532.00799999898</v>
      </c>
      <c r="M88" s="448">
        <f t="shared" si="69"/>
        <v>1104532.0079999999</v>
      </c>
      <c r="N88" s="448">
        <f t="shared" si="70"/>
        <v>1393458.9680000001</v>
      </c>
      <c r="O88" s="448">
        <f t="shared" si="71"/>
        <v>3418128.0320000001</v>
      </c>
      <c r="P88" s="448">
        <f t="shared" si="72"/>
        <v>21000</v>
      </c>
      <c r="Q88" s="448">
        <f t="shared" si="73"/>
        <v>33000</v>
      </c>
      <c r="R88" s="448">
        <f t="shared" si="74"/>
        <v>75000</v>
      </c>
      <c r="S88" s="448">
        <f t="shared" si="75"/>
        <v>95000</v>
      </c>
      <c r="T88" s="448">
        <f t="shared" si="76"/>
        <v>336000</v>
      </c>
      <c r="U88" s="448">
        <f t="shared" si="77"/>
        <v>52350.727679999203</v>
      </c>
      <c r="V88" s="448">
        <f t="shared" si="78"/>
        <v>612350.72767999896</v>
      </c>
      <c r="W88" s="455">
        <v>12</v>
      </c>
      <c r="X88" s="448">
        <f t="shared" si="79"/>
        <v>51029.227306666602</v>
      </c>
      <c r="Y88" s="451"/>
      <c r="Z88" s="459">
        <f t="shared" si="80"/>
        <v>51029.227306666602</v>
      </c>
      <c r="AA88" s="448">
        <v>45414.4562526667</v>
      </c>
      <c r="AB88" s="460">
        <f t="shared" ref="AB88:AB89" si="84">Z88-AA88</f>
        <v>5614.7710539998998</v>
      </c>
      <c r="AC88" s="460" t="s">
        <v>466</v>
      </c>
      <c r="AD88" s="460"/>
      <c r="AE88" s="460"/>
    </row>
    <row r="89" spans="1:31" ht="18.75">
      <c r="A89" s="445"/>
      <c r="B89" s="10" t="s">
        <v>468</v>
      </c>
      <c r="C89" s="448">
        <v>330631.91666666698</v>
      </c>
      <c r="D89" s="447">
        <v>12</v>
      </c>
      <c r="E89" s="448">
        <f t="shared" si="83"/>
        <v>3967583</v>
      </c>
      <c r="F89" s="448"/>
      <c r="G89" s="449">
        <v>221406.64</v>
      </c>
      <c r="H89" s="451"/>
      <c r="I89" s="448">
        <f t="shared" si="67"/>
        <v>3746176.36</v>
      </c>
      <c r="J89" s="448">
        <v>200000</v>
      </c>
      <c r="K89" s="448">
        <v>0.2</v>
      </c>
      <c r="L89" s="448">
        <f t="shared" si="68"/>
        <v>749235.27200000104</v>
      </c>
      <c r="M89" s="448">
        <f t="shared" si="69"/>
        <v>949235.27200000104</v>
      </c>
      <c r="N89" s="448">
        <f t="shared" si="70"/>
        <v>1170641.912</v>
      </c>
      <c r="O89" s="448">
        <f t="shared" si="71"/>
        <v>2796941.088</v>
      </c>
      <c r="P89" s="448">
        <f t="shared" si="72"/>
        <v>21000</v>
      </c>
      <c r="Q89" s="448">
        <f t="shared" si="73"/>
        <v>33000</v>
      </c>
      <c r="R89" s="448">
        <f t="shared" si="74"/>
        <v>75000</v>
      </c>
      <c r="S89" s="448">
        <f t="shared" si="75"/>
        <v>95000</v>
      </c>
      <c r="T89" s="448">
        <f t="shared" si="76"/>
        <v>251357.628480001</v>
      </c>
      <c r="U89" s="448"/>
      <c r="V89" s="448">
        <f t="shared" si="78"/>
        <v>475357.628480001</v>
      </c>
      <c r="W89" s="455">
        <v>12</v>
      </c>
      <c r="X89" s="448">
        <f t="shared" si="79"/>
        <v>39613.135706666697</v>
      </c>
      <c r="Y89" s="451"/>
      <c r="Z89" s="459">
        <f t="shared" si="80"/>
        <v>39613.135706666697</v>
      </c>
      <c r="AA89" s="448">
        <v>33825.986562666702</v>
      </c>
      <c r="AB89" s="460">
        <f t="shared" si="84"/>
        <v>5787.14914400001</v>
      </c>
      <c r="AC89" s="460" t="s">
        <v>468</v>
      </c>
      <c r="AD89" s="460"/>
      <c r="AE89" s="460"/>
    </row>
    <row r="90" spans="1:31" ht="18.75">
      <c r="A90" s="445"/>
      <c r="B90" s="19"/>
      <c r="C90" s="448"/>
      <c r="D90" s="447"/>
      <c r="E90" s="448"/>
      <c r="F90" s="448"/>
      <c r="G90" s="451"/>
      <c r="H90" s="451"/>
      <c r="I90" s="448"/>
      <c r="J90" s="448"/>
      <c r="K90" s="448"/>
      <c r="L90" s="448"/>
      <c r="M90" s="448"/>
      <c r="N90" s="448"/>
      <c r="O90" s="448"/>
      <c r="P90" s="448"/>
      <c r="Q90" s="448"/>
      <c r="R90" s="448"/>
      <c r="S90" s="448"/>
      <c r="T90" s="448"/>
      <c r="U90" s="448"/>
      <c r="V90" s="448"/>
      <c r="W90" s="455"/>
      <c r="X90" s="448"/>
      <c r="Y90" s="451"/>
      <c r="Z90" s="459"/>
      <c r="AA90" s="460"/>
      <c r="AB90" s="460"/>
      <c r="AC90" s="460"/>
      <c r="AD90" s="460"/>
      <c r="AE90" s="460"/>
    </row>
    <row r="91" spans="1:31" ht="18.75">
      <c r="A91" s="445"/>
      <c r="B91" s="21"/>
      <c r="C91" s="448"/>
      <c r="D91" s="447"/>
      <c r="E91" s="448"/>
      <c r="F91" s="448"/>
      <c r="G91" s="451"/>
      <c r="H91" s="451"/>
      <c r="I91" s="448"/>
      <c r="J91" s="448"/>
      <c r="K91" s="448"/>
      <c r="L91" s="448"/>
      <c r="M91" s="448"/>
      <c r="N91" s="448"/>
      <c r="O91" s="448"/>
      <c r="P91" s="448"/>
      <c r="Q91" s="448"/>
      <c r="R91" s="448"/>
      <c r="S91" s="448"/>
      <c r="T91" s="448"/>
      <c r="U91" s="448"/>
      <c r="V91" s="448"/>
      <c r="W91" s="455"/>
      <c r="X91" s="448"/>
      <c r="Y91" s="451"/>
      <c r="Z91" s="459"/>
      <c r="AA91" s="460"/>
      <c r="AB91" s="460"/>
      <c r="AC91" s="460"/>
      <c r="AD91" s="460"/>
      <c r="AE91" s="460"/>
    </row>
    <row r="92" spans="1:31" ht="18.75">
      <c r="A92" s="445">
        <v>78</v>
      </c>
      <c r="B92" s="19" t="s">
        <v>84</v>
      </c>
      <c r="C92" s="448"/>
      <c r="Z92" s="462"/>
      <c r="AC92" s="460"/>
      <c r="AD92" s="460"/>
      <c r="AE92" s="460"/>
    </row>
    <row r="93" spans="1:31" ht="37.5">
      <c r="A93" s="445">
        <v>79</v>
      </c>
      <c r="B93" s="13" t="s">
        <v>470</v>
      </c>
      <c r="C93" s="448">
        <v>852373.16666666698</v>
      </c>
      <c r="D93" s="447">
        <v>12</v>
      </c>
      <c r="E93" s="448">
        <f>C93*D93</f>
        <v>10228478</v>
      </c>
      <c r="F93" s="448">
        <f>'[8]JANUARY 2024'!$V$98*12</f>
        <v>12795.950999999999</v>
      </c>
      <c r="G93" s="449">
        <v>731878.24</v>
      </c>
      <c r="H93" s="451"/>
      <c r="I93" s="448">
        <f>E93-F93-G93-H93</f>
        <v>9483803.8090000004</v>
      </c>
      <c r="J93" s="448">
        <v>200000</v>
      </c>
      <c r="K93" s="448">
        <v>0.2</v>
      </c>
      <c r="L93" s="448">
        <f>I93*K93</f>
        <v>1896760.7618</v>
      </c>
      <c r="M93" s="448">
        <f>J93+L93</f>
        <v>2096760.7618</v>
      </c>
      <c r="N93" s="448">
        <f>F93+G93+H93+M93</f>
        <v>2841434.9528000001</v>
      </c>
      <c r="O93" s="448">
        <f>E93-N93</f>
        <v>7387043.0471999999</v>
      </c>
      <c r="P93" s="448">
        <f>IF(O93&lt;300000,0.07*O93,21000)</f>
        <v>21000</v>
      </c>
      <c r="Q93" s="448">
        <f>IF((O93-300000)&lt;0,0,IF((O93-300000)&lt;300000,0.11*(O93-300000),33000))</f>
        <v>33000</v>
      </c>
      <c r="R93" s="448">
        <f>IF((O93-600000)&lt;0,0,IF((O93-600000)&lt;500000,0.15*(O93-600000),75000))</f>
        <v>75000</v>
      </c>
      <c r="S93" s="448">
        <f>IF((O93-1100000)&lt;0,0,IF((O93-1100000)&lt;500000,0.19*(O93-1100000),95000))</f>
        <v>95000</v>
      </c>
      <c r="T93" s="448">
        <f>IF((O93-1600000)&lt;0,0,IF((O93-1600000)&lt;1600000,0.21*(O93-1600000),336000))</f>
        <v>336000</v>
      </c>
      <c r="U93" s="448">
        <f>24%*(O93-3200000)</f>
        <v>1004890.3313279999</v>
      </c>
      <c r="V93" s="448">
        <f>P93+Q93+R93+S93+T93+U93</f>
        <v>1564890.3313279999</v>
      </c>
      <c r="W93" s="455">
        <v>12</v>
      </c>
      <c r="X93" s="448">
        <f>V93/W93</f>
        <v>130407.52761066701</v>
      </c>
      <c r="Y93" s="451"/>
      <c r="Z93" s="459">
        <f>X93</f>
        <v>130407.52761066701</v>
      </c>
      <c r="AA93" s="460">
        <v>82423.216202666707</v>
      </c>
      <c r="AB93" s="460">
        <f>Z93-AA93</f>
        <v>47984.311408000001</v>
      </c>
      <c r="AC93" s="460" t="s">
        <v>470</v>
      </c>
      <c r="AD93" s="460"/>
      <c r="AE93" s="460"/>
    </row>
    <row r="94" spans="1:31" ht="18.75">
      <c r="A94" s="445">
        <v>80</v>
      </c>
      <c r="B94" s="10" t="s">
        <v>473</v>
      </c>
      <c r="C94" s="448">
        <v>526622.25</v>
      </c>
      <c r="D94" s="447">
        <v>12</v>
      </c>
      <c r="E94" s="448">
        <f t="shared" ref="E94:E96" si="85">C94*D94</f>
        <v>6319467</v>
      </c>
      <c r="F94" s="448"/>
      <c r="G94" s="449">
        <v>438357.36</v>
      </c>
      <c r="H94" s="451"/>
      <c r="I94" s="448">
        <f>E94-F94-G94-H94</f>
        <v>5881109.6399999997</v>
      </c>
      <c r="J94" s="448">
        <v>200000</v>
      </c>
      <c r="K94" s="448">
        <v>0.2</v>
      </c>
      <c r="L94" s="448">
        <f>I94*K94</f>
        <v>1176221.9280000001</v>
      </c>
      <c r="M94" s="448">
        <f>J94+L94</f>
        <v>1376221.9280000001</v>
      </c>
      <c r="N94" s="448">
        <f>F94+G94+H94+M94</f>
        <v>1814579.2879999999</v>
      </c>
      <c r="O94" s="448">
        <f>E94-N94</f>
        <v>4504887.7120000003</v>
      </c>
      <c r="P94" s="448">
        <f>IF(O94&lt;300000,0.07*O94,21000)</f>
        <v>21000</v>
      </c>
      <c r="Q94" s="448">
        <f>IF((O94-300000)&lt;0,0,IF((O94-300000)&lt;300000,0.11*(O94-300000),33000))</f>
        <v>33000</v>
      </c>
      <c r="R94" s="448">
        <f>IF((O94-600000)&lt;0,0,IF((O94-600000)&lt;500000,0.15*(O94-600000),75000))</f>
        <v>75000</v>
      </c>
      <c r="S94" s="448">
        <f>IF((O94-1100000)&lt;0,0,IF((O94-1100000)&lt;500000,0.19*(O94-1100000),95000))</f>
        <v>95000</v>
      </c>
      <c r="T94" s="448">
        <f>IF((O94-1600000)&lt;0,0,IF((O94-1600000)&lt;1600000,0.21*(O94-1600000),336000))</f>
        <v>336000</v>
      </c>
      <c r="U94" s="448">
        <f t="shared" ref="U94:U95" si="86">24%*(O94-3200000)</f>
        <v>313173.05088</v>
      </c>
      <c r="V94" s="448">
        <f>P94+Q94+R94+S94+T94+U94</f>
        <v>873173.05088</v>
      </c>
      <c r="W94" s="455">
        <v>12</v>
      </c>
      <c r="X94" s="448">
        <f>V94/W94</f>
        <v>72764.420906666695</v>
      </c>
      <c r="Y94" s="451"/>
      <c r="Z94" s="459">
        <f>X94</f>
        <v>72764.420906666695</v>
      </c>
      <c r="AA94" s="460">
        <v>82627.951418666693</v>
      </c>
      <c r="AB94" s="460">
        <f t="shared" ref="AB94:AB96" si="87">Z94-AA94</f>
        <v>-9863.5305120000394</v>
      </c>
      <c r="AC94" s="460" t="s">
        <v>473</v>
      </c>
      <c r="AD94" s="460"/>
      <c r="AE94" s="460"/>
    </row>
    <row r="95" spans="1:31" ht="37.5">
      <c r="A95" s="445">
        <v>81</v>
      </c>
      <c r="B95" s="10" t="s">
        <v>475</v>
      </c>
      <c r="C95" s="448">
        <v>437895.16666666698</v>
      </c>
      <c r="D95" s="447">
        <v>12</v>
      </c>
      <c r="E95" s="448">
        <f t="shared" si="85"/>
        <v>5254742</v>
      </c>
      <c r="F95" s="448"/>
      <c r="G95" s="449">
        <v>362779.36</v>
      </c>
      <c r="H95" s="451"/>
      <c r="I95" s="448">
        <f>E95-F95-G95-H95</f>
        <v>4891962.6399999997</v>
      </c>
      <c r="J95" s="448">
        <v>200000</v>
      </c>
      <c r="K95" s="448">
        <v>0.2</v>
      </c>
      <c r="L95" s="448">
        <f>I95*K95</f>
        <v>978392.52800000098</v>
      </c>
      <c r="M95" s="448">
        <f>J95+L95</f>
        <v>1178392.5279999999</v>
      </c>
      <c r="N95" s="448">
        <f>F95+G95+H95+M95</f>
        <v>1541171.888</v>
      </c>
      <c r="O95" s="448">
        <f>E95-N95</f>
        <v>3713570.1120000002</v>
      </c>
      <c r="P95" s="448">
        <f>IF(O95&lt;300000,0.07*O95,21000)</f>
        <v>21000</v>
      </c>
      <c r="Q95" s="448">
        <f>IF((O95-300000)&lt;0,0,IF((O95-300000)&lt;300000,0.11*(O95-300000),33000))</f>
        <v>33000</v>
      </c>
      <c r="R95" s="448">
        <f>IF((O95-600000)&lt;0,0,IF((O95-600000)&lt;500000,0.15*(O95-600000),75000))</f>
        <v>75000</v>
      </c>
      <c r="S95" s="448">
        <f>IF((O95-1100000)&lt;0,0,IF((O95-1100000)&lt;500000,0.19*(O95-1100000),95000))</f>
        <v>95000</v>
      </c>
      <c r="T95" s="448">
        <f>IF((O95-1600000)&lt;0,0,IF((O95-1600000)&lt;1600000,0.21*(O95-1600000),336000))</f>
        <v>336000</v>
      </c>
      <c r="U95" s="448">
        <f t="shared" si="86"/>
        <v>123256.826880001</v>
      </c>
      <c r="V95" s="448">
        <f>P95+Q95+R95+S95+T95+U95</f>
        <v>683256.826880001</v>
      </c>
      <c r="W95" s="455">
        <v>12</v>
      </c>
      <c r="X95" s="448">
        <f>V95/W95</f>
        <v>56938.068906666696</v>
      </c>
      <c r="Y95" s="451"/>
      <c r="Z95" s="459">
        <f>X95</f>
        <v>56938.068906666696</v>
      </c>
      <c r="AA95" s="460">
        <v>43492.373376666699</v>
      </c>
      <c r="AB95" s="460">
        <f t="shared" si="87"/>
        <v>13445.695530000001</v>
      </c>
      <c r="AC95" s="460" t="s">
        <v>475</v>
      </c>
      <c r="AD95" s="460"/>
      <c r="AE95" s="460"/>
    </row>
    <row r="96" spans="1:31" ht="18.75">
      <c r="A96" s="445"/>
      <c r="B96" s="10" t="s">
        <v>477</v>
      </c>
      <c r="C96" s="448">
        <v>360965.58333333302</v>
      </c>
      <c r="D96" s="447">
        <v>12</v>
      </c>
      <c r="E96" s="448">
        <f t="shared" si="85"/>
        <v>4331587</v>
      </c>
      <c r="F96" s="448"/>
      <c r="G96" s="449">
        <v>288926.96000000002</v>
      </c>
      <c r="H96" s="451"/>
      <c r="I96" s="448">
        <f>E96-F96-G96-H96</f>
        <v>4042660.04</v>
      </c>
      <c r="J96" s="448">
        <v>200000</v>
      </c>
      <c r="K96" s="448">
        <v>0.2</v>
      </c>
      <c r="L96" s="448">
        <f>I96*K96</f>
        <v>808532.00799999898</v>
      </c>
      <c r="M96" s="448">
        <f>J96+L96</f>
        <v>1008532.008</v>
      </c>
      <c r="N96" s="448">
        <f>F96+G96+H96+M96</f>
        <v>1297458.9680000001</v>
      </c>
      <c r="O96" s="448">
        <f>E96-N96</f>
        <v>3034128.0320000001</v>
      </c>
      <c r="P96" s="448">
        <f>IF(O96&lt;300000,0.07*O96,21000)</f>
        <v>21000</v>
      </c>
      <c r="Q96" s="448">
        <f>IF((O96-300000)&lt;0,0,IF((O96-300000)&lt;300000,0.11*(O96-300000),33000))</f>
        <v>33000</v>
      </c>
      <c r="R96" s="448">
        <f>IF((O96-600000)&lt;0,0,IF((O96-600000)&lt;500000,0.15*(O96-600000),75000))</f>
        <v>75000</v>
      </c>
      <c r="S96" s="448">
        <f>IF((O96-1100000)&lt;0,0,IF((O96-1100000)&lt;500000,0.19*(O96-1100000),95000))</f>
        <v>95000</v>
      </c>
      <c r="T96" s="448">
        <f>IF((O96-1600000)&lt;0,0,IF((O96-1600000)&lt;1600000,0.21*(O96-1600000),336000))</f>
        <v>301166.88671999902</v>
      </c>
      <c r="U96" s="448"/>
      <c r="V96" s="448">
        <f>P96+Q96+R96+S96+T96+U96</f>
        <v>525166.88671999902</v>
      </c>
      <c r="W96" s="455">
        <v>12</v>
      </c>
      <c r="X96" s="448">
        <f>V96/W96</f>
        <v>43763.907226666597</v>
      </c>
      <c r="Y96" s="451"/>
      <c r="Z96" s="459">
        <f>X96</f>
        <v>43763.907226666597</v>
      </c>
      <c r="AA96" s="460">
        <v>34968.882414666703</v>
      </c>
      <c r="AB96" s="460">
        <f t="shared" si="87"/>
        <v>8795.0248119999105</v>
      </c>
      <c r="AC96" s="460" t="s">
        <v>477</v>
      </c>
      <c r="AD96" s="460"/>
      <c r="AE96" s="460"/>
    </row>
    <row r="97" spans="1:31" ht="18.75">
      <c r="A97" s="445"/>
      <c r="B97" s="19" t="s">
        <v>42</v>
      </c>
      <c r="C97" s="448"/>
      <c r="D97" s="447"/>
      <c r="E97" s="448"/>
      <c r="F97" s="448"/>
      <c r="G97" s="451">
        <v>0</v>
      </c>
      <c r="H97" s="451"/>
      <c r="I97" s="448"/>
      <c r="J97" s="448"/>
      <c r="K97" s="448"/>
      <c r="L97" s="448"/>
      <c r="M97" s="448"/>
      <c r="N97" s="448"/>
      <c r="O97" s="448"/>
      <c r="P97" s="448"/>
      <c r="Q97" s="448"/>
      <c r="R97" s="448"/>
      <c r="S97" s="448"/>
      <c r="T97" s="448"/>
      <c r="U97" s="448"/>
      <c r="V97" s="448"/>
      <c r="W97" s="455"/>
      <c r="X97" s="448"/>
      <c r="Y97" s="451"/>
      <c r="Z97" s="459"/>
      <c r="AA97" s="460"/>
      <c r="AB97" s="460"/>
      <c r="AC97" s="460"/>
      <c r="AD97" s="460"/>
      <c r="AE97" s="460"/>
    </row>
    <row r="98" spans="1:31" ht="18.75">
      <c r="A98" s="445">
        <v>83</v>
      </c>
      <c r="B98" s="21"/>
      <c r="C98" s="448"/>
      <c r="G98" s="276">
        <v>0</v>
      </c>
      <c r="Z98" s="462"/>
      <c r="AC98" s="460"/>
      <c r="AD98" s="460"/>
      <c r="AE98" s="460"/>
    </row>
    <row r="99" spans="1:31" ht="37.5">
      <c r="A99" s="445">
        <v>84</v>
      </c>
      <c r="B99" s="19" t="s">
        <v>479</v>
      </c>
      <c r="C99" s="448"/>
      <c r="G99" s="276">
        <v>0</v>
      </c>
      <c r="Z99" s="462"/>
      <c r="AB99" s="276" t="s">
        <v>625</v>
      </c>
      <c r="AC99" s="460"/>
      <c r="AD99" s="460"/>
      <c r="AE99" s="460"/>
    </row>
    <row r="100" spans="1:31" ht="18.75">
      <c r="A100" s="445">
        <v>85</v>
      </c>
      <c r="B100" s="10" t="s">
        <v>480</v>
      </c>
      <c r="C100" s="448">
        <v>1635720</v>
      </c>
      <c r="D100" s="447">
        <v>12</v>
      </c>
      <c r="E100" s="448">
        <f>C100*D100</f>
        <v>19628640</v>
      </c>
      <c r="F100" s="448"/>
      <c r="G100" s="449">
        <v>1378291.2</v>
      </c>
      <c r="H100" s="451"/>
      <c r="I100" s="448">
        <f t="shared" ref="I100:I105" si="88">E100-F100-G100-H100</f>
        <v>18250348.800000001</v>
      </c>
      <c r="J100" s="448">
        <v>200000</v>
      </c>
      <c r="K100" s="448">
        <v>0.2</v>
      </c>
      <c r="L100" s="448">
        <f t="shared" ref="L100:L106" si="89">I100*K100</f>
        <v>3650069.76</v>
      </c>
      <c r="M100" s="448">
        <f t="shared" ref="M100:M106" si="90">J100+L100</f>
        <v>3850069.76</v>
      </c>
      <c r="N100" s="448">
        <f t="shared" ref="N100:N105" si="91">F100+G100+H100+M100</f>
        <v>5228360.96</v>
      </c>
      <c r="O100" s="448">
        <f t="shared" ref="O100:O106" si="92">E100-N100</f>
        <v>14400279.039999999</v>
      </c>
      <c r="P100" s="448">
        <f t="shared" ref="P100:P106" si="93">IF(O100&lt;300000,0.07*O100,21000)</f>
        <v>21000</v>
      </c>
      <c r="Q100" s="448">
        <f t="shared" ref="Q100:Q106" si="94">IF((O100-300000)&lt;0,0,IF((O100-300000)&lt;300000,0.11*(O100-300000),33000))</f>
        <v>33000</v>
      </c>
      <c r="R100" s="448">
        <f t="shared" ref="R100:R106" si="95">IF((O100-600000)&lt;0,0,IF((O100-600000)&lt;500000,0.15*(O100-600000),75000))</f>
        <v>75000</v>
      </c>
      <c r="S100" s="448">
        <f t="shared" ref="S100:S106" si="96">IF((O100-1100000)&lt;0,0,IF((O100-1100000)&lt;500000,0.19*(O100-1100000),95000))</f>
        <v>95000</v>
      </c>
      <c r="T100" s="448">
        <f t="shared" ref="T100:T106" si="97">IF((O100-1600000)&lt;0,0,IF((O100-1600000)&lt;1600000,0.21*(O100-1600000),336000))</f>
        <v>336000</v>
      </c>
      <c r="U100" s="448">
        <f>24%*(O100-3200000)</f>
        <v>2688066.9696</v>
      </c>
      <c r="V100" s="448">
        <f t="shared" ref="V100:V106" si="98">P100+Q100+R100+S100+T100+U100</f>
        <v>3248066.9696</v>
      </c>
      <c r="W100" s="455">
        <v>12</v>
      </c>
      <c r="X100" s="448">
        <f t="shared" ref="X100:X106" si="99">V100/W100</f>
        <v>270672.24746666697</v>
      </c>
      <c r="Y100" s="451"/>
      <c r="Z100" s="459">
        <f t="shared" ref="Z100:Z106" si="100">X100</f>
        <v>270672.24746666697</v>
      </c>
      <c r="AA100" s="460">
        <v>180306.806858667</v>
      </c>
      <c r="AB100" s="460">
        <f>Z100-AA100</f>
        <v>90365.440607999597</v>
      </c>
      <c r="AC100" s="460" t="s">
        <v>480</v>
      </c>
      <c r="AD100" s="460"/>
      <c r="AE100" s="460"/>
    </row>
    <row r="101" spans="1:31" ht="18.75">
      <c r="A101" s="445">
        <v>86</v>
      </c>
      <c r="B101" s="10" t="s">
        <v>482</v>
      </c>
      <c r="C101" s="448">
        <v>942373.16666666698</v>
      </c>
      <c r="D101" s="447">
        <v>12</v>
      </c>
      <c r="E101" s="448">
        <f t="shared" ref="E101:E106" si="101">C101*D101</f>
        <v>11308478</v>
      </c>
      <c r="F101" s="448">
        <f>'[8]JANUARY 2024'!$V$106*12</f>
        <v>12795.950999999999</v>
      </c>
      <c r="G101" s="449">
        <v>731878.24</v>
      </c>
      <c r="H101" s="451"/>
      <c r="I101" s="448">
        <f t="shared" si="88"/>
        <v>10563803.809</v>
      </c>
      <c r="J101" s="448">
        <v>200000</v>
      </c>
      <c r="K101" s="448">
        <v>0.2</v>
      </c>
      <c r="L101" s="448">
        <f t="shared" si="89"/>
        <v>2112760.7618</v>
      </c>
      <c r="M101" s="448">
        <f t="shared" si="90"/>
        <v>2312760.7618</v>
      </c>
      <c r="N101" s="448">
        <f t="shared" si="91"/>
        <v>3057434.9528000001</v>
      </c>
      <c r="O101" s="448">
        <f t="shared" si="92"/>
        <v>8251043.0471999999</v>
      </c>
      <c r="P101" s="448">
        <f t="shared" si="93"/>
        <v>21000</v>
      </c>
      <c r="Q101" s="448">
        <f t="shared" si="94"/>
        <v>33000</v>
      </c>
      <c r="R101" s="448">
        <f t="shared" si="95"/>
        <v>75000</v>
      </c>
      <c r="S101" s="448">
        <f t="shared" si="96"/>
        <v>95000</v>
      </c>
      <c r="T101" s="448">
        <f t="shared" si="97"/>
        <v>336000</v>
      </c>
      <c r="U101" s="448">
        <f>24%*(O101-3200000)</f>
        <v>1212250.3313279999</v>
      </c>
      <c r="V101" s="448">
        <f t="shared" si="98"/>
        <v>1772250.3313279999</v>
      </c>
      <c r="W101" s="455">
        <v>12</v>
      </c>
      <c r="X101" s="448">
        <f t="shared" si="99"/>
        <v>147687.52761066699</v>
      </c>
      <c r="Y101" s="451"/>
      <c r="Z101" s="459">
        <f t="shared" si="100"/>
        <v>147687.52761066699</v>
      </c>
      <c r="AA101" s="460">
        <v>99703.216202666707</v>
      </c>
      <c r="AB101" s="460">
        <f t="shared" ref="AB101:AB106" si="102">Z101-AA101</f>
        <v>47984.311408000001</v>
      </c>
      <c r="AC101" s="460" t="s">
        <v>482</v>
      </c>
      <c r="AD101" s="460"/>
      <c r="AE101" s="460"/>
    </row>
    <row r="102" spans="1:31" ht="18.75">
      <c r="A102" s="445">
        <v>87</v>
      </c>
      <c r="B102" s="10" t="s">
        <v>484</v>
      </c>
      <c r="C102" s="448">
        <v>603237.85519166698</v>
      </c>
      <c r="D102" s="447">
        <v>12</v>
      </c>
      <c r="E102" s="448">
        <f t="shared" si="101"/>
        <v>7238854.2622999996</v>
      </c>
      <c r="F102" s="448">
        <f>'[8]JANUARY 2024'!$V$107*12</f>
        <v>7901.79</v>
      </c>
      <c r="G102" s="449">
        <v>424132.72</v>
      </c>
      <c r="H102" s="451"/>
      <c r="I102" s="448">
        <f t="shared" si="88"/>
        <v>6806819.7522999998</v>
      </c>
      <c r="J102" s="448">
        <v>200000</v>
      </c>
      <c r="K102" s="448">
        <v>0.2</v>
      </c>
      <c r="L102" s="448">
        <f t="shared" si="89"/>
        <v>1361363.95046</v>
      </c>
      <c r="M102" s="448">
        <f t="shared" si="90"/>
        <v>1561363.95046</v>
      </c>
      <c r="N102" s="448">
        <f t="shared" si="91"/>
        <v>1993398.46046</v>
      </c>
      <c r="O102" s="448">
        <f t="shared" si="92"/>
        <v>5245455.8018399999</v>
      </c>
      <c r="P102" s="448">
        <f t="shared" si="93"/>
        <v>21000</v>
      </c>
      <c r="Q102" s="448">
        <f t="shared" si="94"/>
        <v>33000</v>
      </c>
      <c r="R102" s="448">
        <f t="shared" si="95"/>
        <v>75000</v>
      </c>
      <c r="S102" s="448">
        <f t="shared" si="96"/>
        <v>95000</v>
      </c>
      <c r="T102" s="448">
        <f t="shared" si="97"/>
        <v>336000</v>
      </c>
      <c r="U102" s="448">
        <f>24%*(O102-3200000)</f>
        <v>490909.39244160103</v>
      </c>
      <c r="V102" s="448">
        <f t="shared" si="98"/>
        <v>1050909.3924416001</v>
      </c>
      <c r="W102" s="455">
        <v>12</v>
      </c>
      <c r="X102" s="448">
        <f t="shared" si="99"/>
        <v>87575.782703466699</v>
      </c>
      <c r="Y102" s="451"/>
      <c r="Z102" s="459">
        <f t="shared" si="100"/>
        <v>87575.782703466699</v>
      </c>
      <c r="AA102" s="460">
        <v>180180.378218667</v>
      </c>
      <c r="AB102" s="460">
        <f t="shared" si="102"/>
        <v>-92604.595515200301</v>
      </c>
      <c r="AC102" s="460" t="s">
        <v>484</v>
      </c>
      <c r="AD102" s="460"/>
      <c r="AE102" s="460"/>
    </row>
    <row r="103" spans="1:31" ht="18.75">
      <c r="A103" s="445">
        <v>88</v>
      </c>
      <c r="B103" s="10" t="s">
        <v>486</v>
      </c>
      <c r="C103" s="448">
        <v>601625.033321667</v>
      </c>
      <c r="D103" s="447">
        <v>12</v>
      </c>
      <c r="E103" s="448">
        <f t="shared" si="101"/>
        <v>7219500.3998600002</v>
      </c>
      <c r="F103" s="448"/>
      <c r="G103" s="449">
        <v>424132.72</v>
      </c>
      <c r="H103" s="451"/>
      <c r="I103" s="448">
        <f t="shared" si="88"/>
        <v>6795367.6798599996</v>
      </c>
      <c r="J103" s="448">
        <v>200000</v>
      </c>
      <c r="K103" s="448">
        <v>0.2</v>
      </c>
      <c r="L103" s="448">
        <f t="shared" si="89"/>
        <v>1359073.5359720001</v>
      </c>
      <c r="M103" s="448">
        <f t="shared" si="90"/>
        <v>1559073.5359720001</v>
      </c>
      <c r="N103" s="448">
        <f t="shared" si="91"/>
        <v>1983206.2559720001</v>
      </c>
      <c r="O103" s="448">
        <f t="shared" si="92"/>
        <v>5236294.1438880004</v>
      </c>
      <c r="P103" s="448">
        <f t="shared" si="93"/>
        <v>21000</v>
      </c>
      <c r="Q103" s="448">
        <f t="shared" si="94"/>
        <v>33000</v>
      </c>
      <c r="R103" s="448">
        <f t="shared" si="95"/>
        <v>75000</v>
      </c>
      <c r="S103" s="448">
        <f t="shared" si="96"/>
        <v>95000</v>
      </c>
      <c r="T103" s="448">
        <f t="shared" si="97"/>
        <v>336000</v>
      </c>
      <c r="U103" s="448">
        <f>0.24*(O103-3200000)</f>
        <v>488710.59453312098</v>
      </c>
      <c r="V103" s="448">
        <f t="shared" si="98"/>
        <v>1048710.59453312</v>
      </c>
      <c r="W103" s="455">
        <v>12</v>
      </c>
      <c r="X103" s="448">
        <f t="shared" si="99"/>
        <v>87392.5495444267</v>
      </c>
      <c r="Y103" s="451"/>
      <c r="Z103" s="459">
        <f t="shared" si="100"/>
        <v>87392.5495444267</v>
      </c>
      <c r="AA103" s="460">
        <v>99907.951418666693</v>
      </c>
      <c r="AB103" s="460">
        <f t="shared" si="102"/>
        <v>-12515.40187424</v>
      </c>
      <c r="AC103" s="460" t="s">
        <v>486</v>
      </c>
      <c r="AD103" s="460"/>
      <c r="AE103" s="460"/>
    </row>
    <row r="104" spans="1:31" ht="18.75">
      <c r="A104" s="445">
        <v>89</v>
      </c>
      <c r="B104" s="10" t="s">
        <v>487</v>
      </c>
      <c r="C104" s="448">
        <v>374481.86414666701</v>
      </c>
      <c r="D104" s="447">
        <v>12</v>
      </c>
      <c r="E104" s="448">
        <f t="shared" si="101"/>
        <v>4493782.3697600001</v>
      </c>
      <c r="F104" s="448"/>
      <c r="G104" s="449">
        <v>239182.48</v>
      </c>
      <c r="H104" s="451"/>
      <c r="I104" s="448">
        <f t="shared" si="88"/>
        <v>4254599.8897599997</v>
      </c>
      <c r="J104" s="448">
        <v>200000</v>
      </c>
      <c r="K104" s="448">
        <v>0.2</v>
      </c>
      <c r="L104" s="448">
        <f t="shared" si="89"/>
        <v>850919.97795200103</v>
      </c>
      <c r="M104" s="448">
        <f t="shared" si="90"/>
        <v>1050919.977952</v>
      </c>
      <c r="N104" s="448">
        <f t="shared" si="91"/>
        <v>1290102.457952</v>
      </c>
      <c r="O104" s="448">
        <f t="shared" si="92"/>
        <v>3203679.9118079999</v>
      </c>
      <c r="P104" s="448">
        <f t="shared" si="93"/>
        <v>21000</v>
      </c>
      <c r="Q104" s="448">
        <f t="shared" si="94"/>
        <v>33000</v>
      </c>
      <c r="R104" s="448">
        <f t="shared" si="95"/>
        <v>75000</v>
      </c>
      <c r="S104" s="448">
        <f t="shared" si="96"/>
        <v>95000</v>
      </c>
      <c r="T104" s="448">
        <f t="shared" si="97"/>
        <v>336000</v>
      </c>
      <c r="U104" s="448">
        <f>0.24*(O104-3200000)</f>
        <v>883.17883392076897</v>
      </c>
      <c r="V104" s="448">
        <f t="shared" si="98"/>
        <v>560883.17883392097</v>
      </c>
      <c r="W104" s="455">
        <v>12</v>
      </c>
      <c r="X104" s="448">
        <f t="shared" si="99"/>
        <v>46740.264902826697</v>
      </c>
      <c r="Y104" s="451"/>
      <c r="Z104" s="459">
        <f t="shared" si="100"/>
        <v>46740.264902826697</v>
      </c>
      <c r="AA104" s="460">
        <v>58941.101743466701</v>
      </c>
      <c r="AB104" s="460">
        <f t="shared" si="102"/>
        <v>-12200.83684064</v>
      </c>
      <c r="AC104" s="460" t="s">
        <v>487</v>
      </c>
      <c r="AD104" s="460"/>
      <c r="AE104" s="460"/>
    </row>
    <row r="105" spans="1:31" ht="37.5">
      <c r="A105" s="445"/>
      <c r="B105" s="17" t="s">
        <v>490</v>
      </c>
      <c r="C105" s="448">
        <v>367926.02100000001</v>
      </c>
      <c r="D105" s="447">
        <v>12</v>
      </c>
      <c r="E105" s="448">
        <f t="shared" si="101"/>
        <v>4415112.2520000003</v>
      </c>
      <c r="F105" s="448"/>
      <c r="G105" s="449">
        <v>233257.2</v>
      </c>
      <c r="H105" s="451"/>
      <c r="I105" s="448">
        <f t="shared" si="88"/>
        <v>4181855.0520000001</v>
      </c>
      <c r="J105" s="448">
        <v>200000</v>
      </c>
      <c r="K105" s="448">
        <v>0.2</v>
      </c>
      <c r="L105" s="448">
        <f t="shared" si="89"/>
        <v>836371.01040000003</v>
      </c>
      <c r="M105" s="448">
        <f t="shared" si="90"/>
        <v>1036371.0104</v>
      </c>
      <c r="N105" s="448">
        <f t="shared" si="91"/>
        <v>1269628.2104</v>
      </c>
      <c r="O105" s="448">
        <f t="shared" si="92"/>
        <v>3145484.0416000001</v>
      </c>
      <c r="P105" s="448">
        <f t="shared" si="93"/>
        <v>21000</v>
      </c>
      <c r="Q105" s="448">
        <f t="shared" si="94"/>
        <v>33000</v>
      </c>
      <c r="R105" s="448">
        <f t="shared" si="95"/>
        <v>75000</v>
      </c>
      <c r="S105" s="448">
        <f t="shared" si="96"/>
        <v>95000</v>
      </c>
      <c r="T105" s="448">
        <f t="shared" si="97"/>
        <v>324551.648736</v>
      </c>
      <c r="U105" s="448"/>
      <c r="V105" s="448">
        <f t="shared" si="98"/>
        <v>548551.64873599994</v>
      </c>
      <c r="W105" s="455">
        <v>12</v>
      </c>
      <c r="X105" s="448">
        <f t="shared" si="99"/>
        <v>45712.637394666701</v>
      </c>
      <c r="Y105" s="451"/>
      <c r="Z105" s="459">
        <f t="shared" si="100"/>
        <v>45712.637394666701</v>
      </c>
      <c r="AA105" s="460">
        <v>58631.439944426696</v>
      </c>
      <c r="AB105" s="460">
        <f t="shared" si="102"/>
        <v>-12918.802549759999</v>
      </c>
      <c r="AC105" s="460" t="s">
        <v>490</v>
      </c>
      <c r="AD105" s="460"/>
      <c r="AE105" s="460"/>
    </row>
    <row r="106" spans="1:31" ht="18.75">
      <c r="A106" s="445"/>
      <c r="B106" s="17" t="s">
        <v>492</v>
      </c>
      <c r="C106" s="448">
        <v>355198.112111667</v>
      </c>
      <c r="D106" s="447">
        <v>12</v>
      </c>
      <c r="E106" s="448">
        <f t="shared" si="101"/>
        <v>4262377.3453400005</v>
      </c>
      <c r="G106" s="449">
        <v>221406.64</v>
      </c>
      <c r="H106" s="451"/>
      <c r="I106" s="448">
        <f>E106-F107-G106-H106</f>
        <v>4040970.7053399999</v>
      </c>
      <c r="J106" s="448">
        <v>200000</v>
      </c>
      <c r="K106" s="448">
        <v>0.2</v>
      </c>
      <c r="L106" s="448">
        <f t="shared" si="89"/>
        <v>808194.14106800104</v>
      </c>
      <c r="M106" s="448">
        <f t="shared" si="90"/>
        <v>1008194.141068</v>
      </c>
      <c r="N106" s="448">
        <f>F107+G106+H106+M106</f>
        <v>1229600.781068</v>
      </c>
      <c r="O106" s="448">
        <f t="shared" si="92"/>
        <v>3032776.564272</v>
      </c>
      <c r="P106" s="448">
        <f t="shared" si="93"/>
        <v>21000</v>
      </c>
      <c r="Q106" s="448">
        <f t="shared" si="94"/>
        <v>33000</v>
      </c>
      <c r="R106" s="448">
        <f t="shared" si="95"/>
        <v>75000</v>
      </c>
      <c r="S106" s="448">
        <f t="shared" si="96"/>
        <v>95000</v>
      </c>
      <c r="T106" s="448">
        <f t="shared" si="97"/>
        <v>300883.07849712099</v>
      </c>
      <c r="U106" s="448"/>
      <c r="V106" s="448">
        <f t="shared" si="98"/>
        <v>524883.07849712099</v>
      </c>
      <c r="W106" s="455">
        <v>12</v>
      </c>
      <c r="X106" s="448">
        <f t="shared" si="99"/>
        <v>43740.256541426701</v>
      </c>
      <c r="Y106" s="451"/>
      <c r="Z106" s="459">
        <f t="shared" si="100"/>
        <v>43740.256541426701</v>
      </c>
      <c r="AA106" s="460">
        <v>31871.335203306699</v>
      </c>
      <c r="AB106" s="460">
        <f t="shared" si="102"/>
        <v>11868.921338120001</v>
      </c>
      <c r="AC106" s="460" t="s">
        <v>492</v>
      </c>
      <c r="AD106" s="460"/>
      <c r="AE106" s="460"/>
    </row>
    <row r="107" spans="1:31" ht="18.75">
      <c r="A107" s="445"/>
      <c r="B107" s="19" t="s">
        <v>42</v>
      </c>
      <c r="C107" s="448"/>
      <c r="D107" s="447"/>
      <c r="E107" s="448"/>
      <c r="F107" s="448"/>
      <c r="G107" s="449"/>
      <c r="H107" s="451"/>
      <c r="I107" s="448"/>
      <c r="J107" s="448"/>
      <c r="K107" s="448"/>
      <c r="L107" s="448"/>
      <c r="M107" s="448"/>
      <c r="N107" s="448"/>
      <c r="O107" s="448"/>
      <c r="P107" s="448"/>
      <c r="Q107" s="448"/>
      <c r="R107" s="448"/>
      <c r="S107" s="448"/>
      <c r="T107" s="448"/>
      <c r="U107" s="448"/>
      <c r="V107" s="448"/>
      <c r="W107" s="455"/>
      <c r="X107" s="448"/>
      <c r="Y107" s="451"/>
      <c r="Z107" s="459"/>
      <c r="AA107" s="460"/>
      <c r="AB107" s="460"/>
      <c r="AC107" s="460"/>
      <c r="AD107" s="460"/>
      <c r="AE107" s="460"/>
    </row>
    <row r="108" spans="1:31" ht="18.75">
      <c r="A108" s="445">
        <v>90</v>
      </c>
      <c r="B108" s="19"/>
      <c r="C108" s="448"/>
      <c r="G108" s="449"/>
      <c r="U108" s="448"/>
      <c r="Z108" s="462"/>
      <c r="AC108" s="460"/>
      <c r="AD108" s="460"/>
      <c r="AE108" s="460"/>
    </row>
    <row r="109" spans="1:31" ht="37.5">
      <c r="A109" s="445">
        <v>91</v>
      </c>
      <c r="B109" s="19" t="s">
        <v>242</v>
      </c>
      <c r="C109" s="448"/>
      <c r="G109" s="449"/>
      <c r="U109" s="448"/>
      <c r="Z109" s="462"/>
      <c r="AC109" s="460"/>
      <c r="AD109" s="460"/>
      <c r="AE109" s="460"/>
    </row>
    <row r="110" spans="1:31" ht="37.5">
      <c r="A110" s="445">
        <v>92</v>
      </c>
      <c r="B110" s="13" t="s">
        <v>493</v>
      </c>
      <c r="C110" s="448">
        <v>761396.83333333302</v>
      </c>
      <c r="D110" s="447">
        <v>12</v>
      </c>
      <c r="E110" s="448">
        <f>C110*D110</f>
        <v>9136762</v>
      </c>
      <c r="F110" s="448">
        <f>'[8]JANUARY 2024'!$V$115*12</f>
        <v>9678.9599999999991</v>
      </c>
      <c r="G110" s="449">
        <v>577340.96</v>
      </c>
      <c r="H110" s="451"/>
      <c r="I110" s="448">
        <f>E110-F110-G110-H110</f>
        <v>8549742.0799999908</v>
      </c>
      <c r="J110" s="448">
        <v>200000</v>
      </c>
      <c r="K110" s="448">
        <v>0.2</v>
      </c>
      <c r="L110" s="448">
        <f>I110*K110</f>
        <v>1709948.416</v>
      </c>
      <c r="M110" s="448">
        <f>J110+L110</f>
        <v>1909948.416</v>
      </c>
      <c r="N110" s="448">
        <f>F110+G110+H110+M110</f>
        <v>2496968.3360000001</v>
      </c>
      <c r="O110" s="448">
        <f>E110-N110</f>
        <v>6639793.6639999999</v>
      </c>
      <c r="P110" s="448">
        <f>IF(O110&lt;300000,0.07*O110,21000)</f>
        <v>21000</v>
      </c>
      <c r="Q110" s="448">
        <f>IF((O110-300000)&lt;0,0,IF((O110-300000)&lt;300000,0.11*(O110-300000),33000))</f>
        <v>33000</v>
      </c>
      <c r="R110" s="448">
        <f>IF((O110-600000)&lt;0,0,IF((O110-600000)&lt;500000,0.15*(O110-600000),75000))</f>
        <v>75000</v>
      </c>
      <c r="S110" s="448">
        <f>IF((O110-1100000)&lt;0,0,IF((O110-1100000)&lt;500000,0.19*(O110-1100000),95000))</f>
        <v>95000</v>
      </c>
      <c r="T110" s="448">
        <f>IF((O110-1600000)&lt;0,0,IF((O110-1600000)&lt;1600000,0.21*(O110-1600000),336000))</f>
        <v>336000</v>
      </c>
      <c r="U110" s="448">
        <f t="shared" ref="U110:U141" si="103">0.24*(O110-3200000)</f>
        <v>825550.47935999895</v>
      </c>
      <c r="V110" s="448">
        <f>P110+Q110+R110+S110+T110+U110</f>
        <v>1385550.47936</v>
      </c>
      <c r="W110" s="455">
        <v>12</v>
      </c>
      <c r="X110" s="448">
        <f>V110/W110</f>
        <v>115462.53994666701</v>
      </c>
      <c r="Y110" s="451"/>
      <c r="Z110" s="459">
        <f>X110</f>
        <v>115462.53994666701</v>
      </c>
      <c r="AA110" s="460">
        <v>77610.116906666706</v>
      </c>
      <c r="AB110" s="460">
        <f>Z110-AA110</f>
        <v>37852.4230399999</v>
      </c>
      <c r="AC110" s="460"/>
      <c r="AD110" s="460"/>
      <c r="AE110" s="460"/>
    </row>
    <row r="111" spans="1:31" ht="18.75">
      <c r="A111" s="445">
        <v>93</v>
      </c>
      <c r="B111" s="10" t="s">
        <v>494</v>
      </c>
      <c r="C111" s="448">
        <v>487895.16666666698</v>
      </c>
      <c r="D111" s="447">
        <v>12</v>
      </c>
      <c r="E111" s="448">
        <f t="shared" ref="E111:E112" si="104">C111*D111</f>
        <v>5854742</v>
      </c>
      <c r="F111" s="448"/>
      <c r="G111" s="449">
        <v>362779.36</v>
      </c>
      <c r="H111" s="451"/>
      <c r="I111" s="448">
        <f>E111-F111-G111-H111</f>
        <v>5491962.6399999997</v>
      </c>
      <c r="J111" s="448">
        <v>200000</v>
      </c>
      <c r="K111" s="448">
        <v>0.2</v>
      </c>
      <c r="L111" s="448">
        <f>I111*K111</f>
        <v>1098392.5279999999</v>
      </c>
      <c r="M111" s="448">
        <f>J111+L111</f>
        <v>1298392.5279999999</v>
      </c>
      <c r="N111" s="448">
        <f>F111+G111+H111+M111</f>
        <v>1661171.888</v>
      </c>
      <c r="O111" s="448">
        <f>E111-N111</f>
        <v>4193570.1120000002</v>
      </c>
      <c r="P111" s="448">
        <f>IF(O111&lt;300000,0.07*O111,21000)</f>
        <v>21000</v>
      </c>
      <c r="Q111" s="448">
        <f>IF((O111-300000)&lt;0,0,IF((O111-300000)&lt;300000,0.11*(O111-300000),33000))</f>
        <v>33000</v>
      </c>
      <c r="R111" s="448">
        <f>IF((O111-600000)&lt;0,0,IF((O111-600000)&lt;500000,0.15*(O111-600000),75000))</f>
        <v>75000</v>
      </c>
      <c r="S111" s="448">
        <f>IF((O111-1100000)&lt;0,0,IF((O111-1100000)&lt;500000,0.19*(O111-1100000),95000))</f>
        <v>95000</v>
      </c>
      <c r="T111" s="448">
        <f>IF((O111-1600000)&lt;0,0,IF((O111-1600000)&lt;1600000,0.21*(O111-1600000),336000))</f>
        <v>336000</v>
      </c>
      <c r="U111" s="448">
        <f t="shared" si="103"/>
        <v>238456.826880001</v>
      </c>
      <c r="V111" s="448">
        <f>P111+Q111+R111+S111+T111+U111</f>
        <v>798456.826880001</v>
      </c>
      <c r="W111" s="455">
        <v>12</v>
      </c>
      <c r="X111" s="448">
        <f>V111/W111</f>
        <v>66538.068906666696</v>
      </c>
      <c r="Y111" s="451"/>
      <c r="Z111" s="459">
        <f>X111</f>
        <v>66538.068906666696</v>
      </c>
      <c r="AA111" s="460">
        <v>43368.882414666703</v>
      </c>
      <c r="AB111" s="460">
        <f t="shared" ref="AB111:AB112" si="105">Z111-AA111</f>
        <v>23169.186492000001</v>
      </c>
      <c r="AC111" s="460"/>
      <c r="AD111" s="460"/>
      <c r="AE111" s="460"/>
    </row>
    <row r="112" spans="1:31" ht="37.5">
      <c r="A112" s="445">
        <v>94</v>
      </c>
      <c r="B112" s="10" t="s">
        <v>496</v>
      </c>
      <c r="C112" s="454">
        <v>450086.5</v>
      </c>
      <c r="D112" s="447">
        <v>12</v>
      </c>
      <c r="E112" s="448">
        <f t="shared" si="104"/>
        <v>5401038</v>
      </c>
      <c r="F112" s="448">
        <f>'[8]JANUARY 2024'!$V$117*12</f>
        <v>6919.4549999999999</v>
      </c>
      <c r="G112" s="449">
        <v>374483.04</v>
      </c>
      <c r="H112" s="451"/>
      <c r="I112" s="448">
        <f>E112-F112-G112-H112</f>
        <v>5019635.5049999999</v>
      </c>
      <c r="J112" s="448">
        <v>200000</v>
      </c>
      <c r="K112" s="448">
        <v>0.2</v>
      </c>
      <c r="L112" s="448">
        <f>I112*K112</f>
        <v>1003927.101</v>
      </c>
      <c r="M112" s="448">
        <f>J112+L112</f>
        <v>1203927.101</v>
      </c>
      <c r="N112" s="448">
        <f>F112+G112+H112+M112</f>
        <v>1585329.5959999999</v>
      </c>
      <c r="O112" s="448">
        <f>E112-N112</f>
        <v>3815708.4040000001</v>
      </c>
      <c r="P112" s="448">
        <f>IF(O112&lt;300000,0.07*O112,21000)</f>
        <v>21000</v>
      </c>
      <c r="Q112" s="448">
        <f>IF((O112-300000)&lt;0,0,IF((O112-300000)&lt;300000,0.11*(O112-300000),33000))</f>
        <v>33000</v>
      </c>
      <c r="R112" s="448">
        <f>IF((O112-600000)&lt;0,0,IF((O112-600000)&lt;500000,0.15*(O112-600000),75000))</f>
        <v>75000</v>
      </c>
      <c r="S112" s="448">
        <f>IF((O112-1100000)&lt;0,0,IF((O112-1100000)&lt;500000,0.19*(O112-1100000),95000))</f>
        <v>95000</v>
      </c>
      <c r="T112" s="448">
        <f>IF((O112-1600000)&lt;0,0,IF((O112-1600000)&lt;1600000,0.21*(O112-1600000),336000))</f>
        <v>336000</v>
      </c>
      <c r="U112" s="448">
        <f t="shared" si="103"/>
        <v>147770.01696000001</v>
      </c>
      <c r="V112" s="448">
        <f>P112+Q112+R112+S112+T112+U112</f>
        <v>707770.01696000004</v>
      </c>
      <c r="W112" s="455">
        <v>12</v>
      </c>
      <c r="X112" s="448">
        <f>V112/W112</f>
        <v>58980.834746666696</v>
      </c>
      <c r="Y112" s="451"/>
      <c r="Z112" s="459">
        <f>X112</f>
        <v>58980.834746666696</v>
      </c>
      <c r="AA112" s="460">
        <v>35221.954086666701</v>
      </c>
      <c r="AB112" s="460">
        <f t="shared" si="105"/>
        <v>23758.880659999999</v>
      </c>
      <c r="AC112" s="460"/>
      <c r="AD112" s="460"/>
      <c r="AE112" s="460"/>
    </row>
    <row r="113" spans="1:31" ht="18.75">
      <c r="A113" s="445">
        <v>95</v>
      </c>
      <c r="B113" s="19"/>
      <c r="C113" s="448"/>
      <c r="D113" s="447"/>
      <c r="E113" s="448"/>
      <c r="F113" s="448"/>
      <c r="G113" s="451"/>
      <c r="H113" s="451"/>
      <c r="I113" s="448"/>
      <c r="J113" s="448"/>
      <c r="K113" s="448"/>
      <c r="L113" s="448"/>
      <c r="M113" s="448"/>
      <c r="N113" s="448"/>
      <c r="O113" s="448"/>
      <c r="P113" s="448"/>
      <c r="Q113" s="448"/>
      <c r="R113" s="448"/>
      <c r="S113" s="448"/>
      <c r="T113" s="448"/>
      <c r="U113" s="448"/>
      <c r="V113" s="448"/>
      <c r="W113" s="455"/>
      <c r="X113" s="448"/>
      <c r="Y113" s="451"/>
      <c r="Z113" s="459"/>
      <c r="AA113" s="460"/>
      <c r="AB113" s="460"/>
      <c r="AC113" s="460"/>
      <c r="AD113" s="460"/>
      <c r="AE113" s="460"/>
    </row>
    <row r="114" spans="1:31" ht="18.75">
      <c r="A114" s="445">
        <v>96</v>
      </c>
      <c r="B114" s="21"/>
      <c r="C114" s="448"/>
      <c r="U114" s="461"/>
      <c r="Z114" s="462"/>
      <c r="AC114" s="460"/>
      <c r="AD114" s="460"/>
      <c r="AE114" s="460"/>
    </row>
    <row r="115" spans="1:31" ht="18.75">
      <c r="A115" s="445">
        <v>97</v>
      </c>
      <c r="B115" s="19" t="s">
        <v>97</v>
      </c>
      <c r="C115" s="448"/>
      <c r="U115" s="461"/>
      <c r="Z115" s="462"/>
      <c r="AC115" s="460"/>
      <c r="AD115" s="460"/>
      <c r="AE115" s="460"/>
    </row>
    <row r="116" spans="1:31" ht="18.75">
      <c r="A116" s="445">
        <v>98</v>
      </c>
      <c r="B116" s="10" t="s">
        <v>499</v>
      </c>
      <c r="C116" s="448">
        <v>1635720</v>
      </c>
      <c r="D116" s="447">
        <v>12</v>
      </c>
      <c r="E116" s="448">
        <f>C116*D116</f>
        <v>19628640</v>
      </c>
      <c r="F116" s="448">
        <f>2043.5005*12</f>
        <v>24522.006000000001</v>
      </c>
      <c r="G116" s="449">
        <v>1378291.2</v>
      </c>
      <c r="H116" s="451"/>
      <c r="I116" s="448">
        <f t="shared" ref="I116:I125" si="106">E116-F116-G116-H116</f>
        <v>18225826.794</v>
      </c>
      <c r="J116" s="448">
        <v>200000</v>
      </c>
      <c r="K116" s="448">
        <v>0.2</v>
      </c>
      <c r="L116" s="448">
        <f>I116*K116</f>
        <v>3645165.3588</v>
      </c>
      <c r="M116" s="448">
        <f>J116+L116</f>
        <v>3845165.3588</v>
      </c>
      <c r="N116" s="448">
        <f t="shared" ref="N116:N125" si="107">F116+G116+H116+M116</f>
        <v>5247978.5647999998</v>
      </c>
      <c r="O116" s="448">
        <f t="shared" ref="O116:O125" si="108">E116-N116</f>
        <v>14380661.4352</v>
      </c>
      <c r="P116" s="448">
        <f>IF(O116&lt;300000,0.07*O116,21000)</f>
        <v>21000</v>
      </c>
      <c r="Q116" s="448">
        <f>IF((O116-300000)&lt;0,0,IF((O116-300000)&lt;300000,0.11*(O116-300000),33000))</f>
        <v>33000</v>
      </c>
      <c r="R116" s="448">
        <f>IF((O116-600000)&lt;0,0,IF((O116-600000)&lt;500000,0.15*(O116-600000),75000))</f>
        <v>75000</v>
      </c>
      <c r="S116" s="448">
        <f>IF((O116-1100000)&lt;0,0,IF((O116-1100000)&lt;500000,0.19*(O116-1100000),95000))</f>
        <v>95000</v>
      </c>
      <c r="T116" s="448">
        <f>IF((O116-1600000)&lt;0,0,IF((O116-1600000)&lt;1600000,0.21*(O116-1600000),336000))</f>
        <v>336000</v>
      </c>
      <c r="U116" s="448">
        <f t="shared" si="103"/>
        <v>2683358.7444480001</v>
      </c>
      <c r="V116" s="448">
        <f>P116+Q116+R116+S116+T116+U116</f>
        <v>3243358.7444480001</v>
      </c>
      <c r="W116" s="455">
        <v>12</v>
      </c>
      <c r="X116" s="448">
        <f>V116/W116</f>
        <v>270279.89537066699</v>
      </c>
      <c r="Y116" s="451"/>
      <c r="Z116" s="459">
        <f>X116</f>
        <v>270279.89537066699</v>
      </c>
      <c r="AA116" s="460">
        <v>179914.45476266701</v>
      </c>
      <c r="AB116" s="460">
        <f>Z116-AA116</f>
        <v>90365.440607999699</v>
      </c>
      <c r="AC116" s="460"/>
      <c r="AD116" s="460"/>
      <c r="AE116" s="460"/>
    </row>
    <row r="117" spans="1:31" ht="18.75">
      <c r="A117" s="445">
        <v>99</v>
      </c>
      <c r="B117" s="10" t="s">
        <v>178</v>
      </c>
      <c r="C117" s="448">
        <v>929203.58333333302</v>
      </c>
      <c r="D117" s="447">
        <v>12</v>
      </c>
      <c r="E117" s="448">
        <f t="shared" ref="E117:E125" si="109">C117*D117</f>
        <v>11150443</v>
      </c>
      <c r="F117" s="448">
        <f>1028.94225*12</f>
        <v>12347.307000000001</v>
      </c>
      <c r="G117" s="449">
        <v>709635.44</v>
      </c>
      <c r="H117" s="451"/>
      <c r="I117" s="448">
        <f t="shared" si="106"/>
        <v>10428460.253</v>
      </c>
      <c r="J117" s="448">
        <v>200000</v>
      </c>
      <c r="K117" s="448">
        <v>0.2</v>
      </c>
      <c r="L117" s="448">
        <f>I117*K117</f>
        <v>2085692.0506</v>
      </c>
      <c r="M117" s="448">
        <f>J117+L117</f>
        <v>2285692.0506000002</v>
      </c>
      <c r="N117" s="448">
        <f t="shared" si="107"/>
        <v>3007674.7976000002</v>
      </c>
      <c r="O117" s="448">
        <f t="shared" si="108"/>
        <v>8142768.2023999998</v>
      </c>
      <c r="P117" s="448">
        <f>IF(O117&lt;300000,0.07*O117,21000)</f>
        <v>21000</v>
      </c>
      <c r="Q117" s="448">
        <f>IF((O117-300000)&lt;0,0,IF((O117-300000)&lt;300000,0.11*(O117-300000),33000))</f>
        <v>33000</v>
      </c>
      <c r="R117" s="448">
        <f>IF((O117-600000)&lt;0,0,IF((O117-600000)&lt;500000,0.15*(O117-600000),75000))</f>
        <v>75000</v>
      </c>
      <c r="S117" s="448">
        <f>IF((O117-1100000)&lt;0,0,IF((O117-1100000)&lt;500000,0.19*(O117-1100000),95000))</f>
        <v>95000</v>
      </c>
      <c r="T117" s="448">
        <f>IF((O117-1600000)&lt;0,0,IF((O117-1600000)&lt;1600000,0.21*(O117-1600000),336000))</f>
        <v>336000</v>
      </c>
      <c r="U117" s="448">
        <f t="shared" si="103"/>
        <v>1186264.368576</v>
      </c>
      <c r="V117" s="448">
        <f>P117+Q117+R117+S117+T117+U117</f>
        <v>1746264.368576</v>
      </c>
      <c r="W117" s="455">
        <v>12</v>
      </c>
      <c r="X117" s="448">
        <f>V117/W117</f>
        <v>145522.03071466699</v>
      </c>
      <c r="Y117" s="451"/>
      <c r="Z117" s="459">
        <f>X117</f>
        <v>145522.03071466699</v>
      </c>
      <c r="AA117" s="460">
        <v>98995.956938666699</v>
      </c>
      <c r="AB117" s="460">
        <f t="shared" ref="AB117:AB125" si="110">Z117-AA117</f>
        <v>46526.073775999903</v>
      </c>
      <c r="AC117" s="460"/>
      <c r="AD117" s="460"/>
      <c r="AE117" s="460"/>
    </row>
    <row r="118" spans="1:31" ht="18.75">
      <c r="A118" s="445"/>
      <c r="B118" s="13" t="s">
        <v>502</v>
      </c>
      <c r="C118" s="448">
        <v>830675.58333333302</v>
      </c>
      <c r="D118" s="447">
        <v>12</v>
      </c>
      <c r="E118" s="448">
        <f t="shared" si="109"/>
        <v>9968107</v>
      </c>
      <c r="F118" s="448">
        <f>837.6875*12</f>
        <v>10052.25</v>
      </c>
      <c r="G118" s="449">
        <v>595848.56000000006</v>
      </c>
      <c r="H118" s="451"/>
      <c r="I118" s="448">
        <f t="shared" si="106"/>
        <v>9362206.1899999995</v>
      </c>
      <c r="J118" s="448">
        <v>200000</v>
      </c>
      <c r="K118" s="448">
        <v>0.2</v>
      </c>
      <c r="L118" s="448">
        <f>I118*K118</f>
        <v>1872441.2379999999</v>
      </c>
      <c r="M118" s="448">
        <f>J118+L118</f>
        <v>2072441.2379999999</v>
      </c>
      <c r="N118" s="448">
        <f t="shared" si="107"/>
        <v>2678342.048</v>
      </c>
      <c r="O118" s="448">
        <f t="shared" si="108"/>
        <v>7289764.9519999996</v>
      </c>
      <c r="P118" s="448">
        <f>IF(O118&lt;300000,0.07*O118,21000)</f>
        <v>21000</v>
      </c>
      <c r="Q118" s="448">
        <f>IF((O118-300000)&lt;0,0,IF((O118-300000)&lt;300000,0.11*(O118-300000),33000))</f>
        <v>33000</v>
      </c>
      <c r="R118" s="448">
        <f>IF((O118-600000)&lt;0,0,IF((O118-600000)&lt;500000,0.15*(O118-600000),75000))</f>
        <v>75000</v>
      </c>
      <c r="S118" s="448">
        <f>IF((O118-1100000)&lt;0,0,IF((O118-1100000)&lt;500000,0.19*(O118-1100000),95000))</f>
        <v>95000</v>
      </c>
      <c r="T118" s="448">
        <f>IF((O118-1600000)&lt;0,0,IF((O118-1600000)&lt;1600000,0.21*(O118-1600000),336000))</f>
        <v>336000</v>
      </c>
      <c r="U118" s="448">
        <f t="shared" si="103"/>
        <v>981543.58847999899</v>
      </c>
      <c r="V118" s="448">
        <f>P118+Q118+R118+S118+T118+U118</f>
        <v>1541543.5884799999</v>
      </c>
      <c r="W118" s="455">
        <v>12</v>
      </c>
      <c r="X118" s="448">
        <f>V118/W118</f>
        <v>128461.965706667</v>
      </c>
      <c r="Y118" s="451"/>
      <c r="Z118" s="459">
        <f>X118</f>
        <v>128461.965706667</v>
      </c>
      <c r="AA118" s="460">
        <v>89396.103146666603</v>
      </c>
      <c r="AB118" s="460">
        <f t="shared" si="110"/>
        <v>39065.862560000001</v>
      </c>
      <c r="AC118" s="460"/>
      <c r="AD118" s="460"/>
      <c r="AE118" s="460"/>
    </row>
    <row r="119" spans="1:31" ht="18.75">
      <c r="A119" s="445"/>
      <c r="B119" s="13" t="s">
        <v>336</v>
      </c>
      <c r="C119" s="448">
        <v>662118.08333333302</v>
      </c>
      <c r="D119" s="447">
        <v>12</v>
      </c>
      <c r="E119" s="448">
        <f t="shared" si="109"/>
        <v>7945417</v>
      </c>
      <c r="F119" s="448"/>
      <c r="G119" s="449">
        <v>0</v>
      </c>
      <c r="H119" s="451"/>
      <c r="I119" s="448">
        <f t="shared" si="106"/>
        <v>7945417</v>
      </c>
      <c r="J119" s="448">
        <v>200000</v>
      </c>
      <c r="K119" s="448">
        <v>0.2</v>
      </c>
      <c r="L119" s="448">
        <f>I119*K119</f>
        <v>1589083.4</v>
      </c>
      <c r="M119" s="448">
        <f>J119+L119</f>
        <v>1789083.4</v>
      </c>
      <c r="N119" s="448">
        <f t="shared" si="107"/>
        <v>1789083.4</v>
      </c>
      <c r="O119" s="448">
        <f t="shared" si="108"/>
        <v>6156333.5999999996</v>
      </c>
      <c r="P119" s="448">
        <f>IF(O119&lt;300000,0.07*O119,21000)</f>
        <v>21000</v>
      </c>
      <c r="Q119" s="448">
        <f>IF((O119-300000)&lt;0,0,IF((O119-300000)&lt;300000,0.11*(O119-300000),33000))</f>
        <v>33000</v>
      </c>
      <c r="R119" s="448">
        <f>IF((O119-600000)&lt;0,0,IF((O119-600000)&lt;500000,0.15*(O119-600000),75000))</f>
        <v>75000</v>
      </c>
      <c r="S119" s="448">
        <f>IF((O119-1100000)&lt;0,0,IF((O119-1100000)&lt;500000,0.19*(O119-1100000),95000))</f>
        <v>95000</v>
      </c>
      <c r="T119" s="448">
        <f>IF((O119-1600000)&lt;0,0,IF((O119-1600000)&lt;1600000,0.21*(O119-1600000),336000))</f>
        <v>336000</v>
      </c>
      <c r="U119" s="448">
        <f t="shared" si="103"/>
        <v>709520.06399999897</v>
      </c>
      <c r="V119" s="448">
        <f>P119+Q119+R119+S119+T119+U119</f>
        <v>1269520.064</v>
      </c>
      <c r="W119" s="455">
        <v>12</v>
      </c>
      <c r="X119" s="448">
        <f>V119/W119</f>
        <v>105793.338666667</v>
      </c>
      <c r="Y119" s="451"/>
      <c r="Z119" s="459">
        <f>X119</f>
        <v>105793.338666667</v>
      </c>
      <c r="AA119" s="460">
        <v>60214.677290666703</v>
      </c>
      <c r="AB119" s="460">
        <f t="shared" si="110"/>
        <v>45578.661375999902</v>
      </c>
      <c r="AC119" s="460"/>
      <c r="AD119" s="460"/>
      <c r="AE119" s="460"/>
    </row>
    <row r="120" spans="1:31" ht="18.75">
      <c r="A120" s="445">
        <v>101</v>
      </c>
      <c r="B120" s="10" t="s">
        <v>503</v>
      </c>
      <c r="C120" s="448">
        <v>540498</v>
      </c>
      <c r="D120" s="447">
        <v>12</v>
      </c>
      <c r="E120" s="448">
        <f t="shared" si="109"/>
        <v>6485976</v>
      </c>
      <c r="F120" s="448"/>
      <c r="G120" s="449">
        <v>451678.08</v>
      </c>
      <c r="H120" s="451"/>
      <c r="I120" s="448">
        <f t="shared" si="106"/>
        <v>6034297.9199999999</v>
      </c>
      <c r="J120" s="448">
        <v>200000</v>
      </c>
      <c r="K120" s="448">
        <v>0.2</v>
      </c>
      <c r="L120" s="448">
        <f t="shared" ref="L120:L125" si="111">I120*K120</f>
        <v>1206859.584</v>
      </c>
      <c r="M120" s="448">
        <f t="shared" ref="M120:M125" si="112">J120+L120</f>
        <v>1406859.584</v>
      </c>
      <c r="N120" s="448">
        <f t="shared" si="107"/>
        <v>1858537.6640000001</v>
      </c>
      <c r="O120" s="448">
        <f t="shared" si="108"/>
        <v>4627438.3360000001</v>
      </c>
      <c r="P120" s="448">
        <f t="shared" ref="P120:P125" si="113">IF(O120&lt;300000,0.07*O120,21000)</f>
        <v>21000</v>
      </c>
      <c r="Q120" s="448">
        <f t="shared" ref="Q120:Q125" si="114">IF((O120-300000)&lt;0,0,IF((O120-300000)&lt;300000,0.11*(O120-300000),33000))</f>
        <v>33000</v>
      </c>
      <c r="R120" s="448">
        <f t="shared" ref="R120:R125" si="115">IF((O120-600000)&lt;0,0,IF((O120-600000)&lt;500000,0.15*(O120-600000),75000))</f>
        <v>75000</v>
      </c>
      <c r="S120" s="448">
        <f t="shared" ref="S120:S125" si="116">IF((O120-1100000)&lt;0,0,IF((O120-1100000)&lt;500000,0.19*(O120-1100000),95000))</f>
        <v>95000</v>
      </c>
      <c r="T120" s="448">
        <f t="shared" ref="T120:T125" si="117">IF((O120-1600000)&lt;0,0,IF((O120-1600000)&lt;1600000,0.21*(O120-1600000),336000))</f>
        <v>336000</v>
      </c>
      <c r="U120" s="448">
        <f t="shared" si="103"/>
        <v>342585.20064</v>
      </c>
      <c r="V120" s="448">
        <f t="shared" ref="V120:V125" si="118">P120+Q120+R120+S120+T120+U120</f>
        <v>902585.20064000005</v>
      </c>
      <c r="W120" s="455">
        <v>12</v>
      </c>
      <c r="X120" s="448">
        <f t="shared" ref="X120:X125" si="119">V120/W120</f>
        <v>75215.4333866667</v>
      </c>
      <c r="Y120" s="451"/>
      <c r="Z120" s="459">
        <f t="shared" ref="Z120:Z125" si="120">X120</f>
        <v>75215.4333866667</v>
      </c>
      <c r="AA120" s="460">
        <v>44846.6165886667</v>
      </c>
      <c r="AB120" s="460">
        <f t="shared" si="110"/>
        <v>30368.816798</v>
      </c>
      <c r="AC120" s="460"/>
      <c r="AD120" s="460"/>
      <c r="AE120" s="460"/>
    </row>
    <row r="121" spans="1:31" ht="18.75">
      <c r="A121" s="445">
        <v>103</v>
      </c>
      <c r="B121" s="10" t="s">
        <v>505</v>
      </c>
      <c r="C121" s="448">
        <v>512746.5</v>
      </c>
      <c r="D121" s="447">
        <v>12</v>
      </c>
      <c r="E121" s="448">
        <f t="shared" si="109"/>
        <v>6152958</v>
      </c>
      <c r="F121" s="454">
        <f>646.3525*12</f>
        <v>7756.23</v>
      </c>
      <c r="G121" s="449">
        <v>425036.64</v>
      </c>
      <c r="H121" s="451"/>
      <c r="I121" s="448">
        <f t="shared" si="106"/>
        <v>5720165.1299999999</v>
      </c>
      <c r="J121" s="448">
        <v>200000</v>
      </c>
      <c r="K121" s="448">
        <v>0.2</v>
      </c>
      <c r="L121" s="448">
        <f t="shared" si="111"/>
        <v>1144033.0260000001</v>
      </c>
      <c r="M121" s="448">
        <f t="shared" si="112"/>
        <v>1344033.0260000001</v>
      </c>
      <c r="N121" s="448">
        <f t="shared" si="107"/>
        <v>1776825.8959999999</v>
      </c>
      <c r="O121" s="448">
        <f t="shared" si="108"/>
        <v>4376132.1040000003</v>
      </c>
      <c r="P121" s="448">
        <f t="shared" si="113"/>
        <v>21000</v>
      </c>
      <c r="Q121" s="448">
        <f t="shared" si="114"/>
        <v>33000</v>
      </c>
      <c r="R121" s="448">
        <f t="shared" si="115"/>
        <v>75000</v>
      </c>
      <c r="S121" s="448">
        <f t="shared" si="116"/>
        <v>95000</v>
      </c>
      <c r="T121" s="448">
        <f t="shared" si="117"/>
        <v>336000</v>
      </c>
      <c r="U121" s="448">
        <f t="shared" si="103"/>
        <v>282271.70496</v>
      </c>
      <c r="V121" s="448">
        <f t="shared" si="118"/>
        <v>842271.70496</v>
      </c>
      <c r="W121" s="455">
        <v>12</v>
      </c>
      <c r="X121" s="448">
        <f t="shared" si="119"/>
        <v>70189.308746666706</v>
      </c>
      <c r="Y121" s="451"/>
      <c r="Z121" s="459">
        <f t="shared" si="120"/>
        <v>70189.308746666706</v>
      </c>
      <c r="AA121" s="460">
        <v>42029.589186666701</v>
      </c>
      <c r="AB121" s="460">
        <f t="shared" si="110"/>
        <v>28159.719560000001</v>
      </c>
      <c r="AC121" s="460"/>
      <c r="AD121" s="460"/>
      <c r="AE121" s="460"/>
    </row>
    <row r="122" spans="1:31" ht="18.75">
      <c r="A122" s="445">
        <v>105</v>
      </c>
      <c r="B122" s="10" t="s">
        <v>507</v>
      </c>
      <c r="C122" s="448">
        <v>526622.25</v>
      </c>
      <c r="D122" s="447">
        <v>12</v>
      </c>
      <c r="E122" s="448">
        <f t="shared" si="109"/>
        <v>6319467</v>
      </c>
      <c r="F122" s="454">
        <f>668.31625*12</f>
        <v>8019.7950000000001</v>
      </c>
      <c r="G122" s="449">
        <v>438357.36</v>
      </c>
      <c r="H122" s="451"/>
      <c r="I122" s="448">
        <f t="shared" si="106"/>
        <v>5873089.8449999997</v>
      </c>
      <c r="J122" s="448">
        <v>200000</v>
      </c>
      <c r="K122" s="448">
        <v>0.2</v>
      </c>
      <c r="L122" s="448">
        <f t="shared" si="111"/>
        <v>1174617.969</v>
      </c>
      <c r="M122" s="448">
        <f t="shared" si="112"/>
        <v>1374617.969</v>
      </c>
      <c r="N122" s="448">
        <f t="shared" si="107"/>
        <v>1820995.1240000001</v>
      </c>
      <c r="O122" s="448">
        <f t="shared" si="108"/>
        <v>4498471.8760000002</v>
      </c>
      <c r="P122" s="448">
        <f t="shared" si="113"/>
        <v>21000</v>
      </c>
      <c r="Q122" s="448">
        <f t="shared" si="114"/>
        <v>33000</v>
      </c>
      <c r="R122" s="448">
        <f t="shared" si="115"/>
        <v>75000</v>
      </c>
      <c r="S122" s="448">
        <f t="shared" si="116"/>
        <v>95000</v>
      </c>
      <c r="T122" s="448">
        <f t="shared" si="117"/>
        <v>336000</v>
      </c>
      <c r="U122" s="448">
        <f t="shared" si="103"/>
        <v>311633.25024000002</v>
      </c>
      <c r="V122" s="448">
        <f t="shared" si="118"/>
        <v>871633.25023999996</v>
      </c>
      <c r="W122" s="455">
        <v>12</v>
      </c>
      <c r="X122" s="448">
        <f t="shared" si="119"/>
        <v>72636.104186666693</v>
      </c>
      <c r="Y122" s="451"/>
      <c r="Z122" s="459">
        <f t="shared" si="120"/>
        <v>72636.104186666693</v>
      </c>
      <c r="AA122" s="460">
        <v>43380.096246666697</v>
      </c>
      <c r="AB122" s="460">
        <f t="shared" si="110"/>
        <v>29256.00794</v>
      </c>
      <c r="AC122" s="460"/>
      <c r="AD122" s="460"/>
      <c r="AE122" s="460"/>
    </row>
    <row r="123" spans="1:31" ht="18.75">
      <c r="A123" s="445">
        <v>106</v>
      </c>
      <c r="B123" s="10" t="s">
        <v>508</v>
      </c>
      <c r="C123" s="448">
        <v>330481.66666666698</v>
      </c>
      <c r="D123" s="447">
        <v>12</v>
      </c>
      <c r="E123" s="448">
        <f t="shared" si="109"/>
        <v>3965780</v>
      </c>
      <c r="F123" s="448"/>
      <c r="G123" s="449">
        <v>259662.4</v>
      </c>
      <c r="H123" s="451"/>
      <c r="I123" s="448">
        <f t="shared" si="106"/>
        <v>3706117.6</v>
      </c>
      <c r="J123" s="448">
        <v>200000</v>
      </c>
      <c r="K123" s="448">
        <v>0.2</v>
      </c>
      <c r="L123" s="448">
        <f t="shared" si="111"/>
        <v>741223.52000000095</v>
      </c>
      <c r="M123" s="448">
        <f t="shared" si="112"/>
        <v>941223.52000000095</v>
      </c>
      <c r="N123" s="448">
        <f t="shared" si="107"/>
        <v>1200885.92</v>
      </c>
      <c r="O123" s="448">
        <f t="shared" si="108"/>
        <v>2764894.08</v>
      </c>
      <c r="P123" s="448">
        <f t="shared" si="113"/>
        <v>21000</v>
      </c>
      <c r="Q123" s="448">
        <f t="shared" si="114"/>
        <v>33000</v>
      </c>
      <c r="R123" s="448">
        <f t="shared" si="115"/>
        <v>75000</v>
      </c>
      <c r="S123" s="448">
        <f t="shared" si="116"/>
        <v>95000</v>
      </c>
      <c r="T123" s="448">
        <f t="shared" si="117"/>
        <v>244627.75680000099</v>
      </c>
      <c r="U123" s="448"/>
      <c r="V123" s="448">
        <f t="shared" si="118"/>
        <v>468627.75680000102</v>
      </c>
      <c r="W123" s="455">
        <v>12</v>
      </c>
      <c r="X123" s="448">
        <f t="shared" si="119"/>
        <v>39052.313066666698</v>
      </c>
      <c r="Y123" s="451"/>
      <c r="Z123" s="459">
        <f t="shared" si="120"/>
        <v>39052.313066666698</v>
      </c>
      <c r="AA123" s="460">
        <v>23036.012346666699</v>
      </c>
      <c r="AB123" s="460">
        <f t="shared" si="110"/>
        <v>16016.300719999999</v>
      </c>
      <c r="AC123" s="460"/>
      <c r="AD123" s="460"/>
      <c r="AE123" s="460"/>
    </row>
    <row r="124" spans="1:31" ht="18.75">
      <c r="A124" s="445">
        <v>107</v>
      </c>
      <c r="B124" s="17" t="s">
        <v>510</v>
      </c>
      <c r="C124" s="448">
        <v>274459.75</v>
      </c>
      <c r="D124" s="447">
        <v>12</v>
      </c>
      <c r="E124" s="448">
        <f t="shared" si="109"/>
        <v>3293517</v>
      </c>
      <c r="F124" s="448"/>
      <c r="G124" s="449">
        <v>215481.36</v>
      </c>
      <c r="H124" s="451"/>
      <c r="I124" s="448">
        <f t="shared" si="106"/>
        <v>3078035.64</v>
      </c>
      <c r="J124" s="448">
        <v>200000</v>
      </c>
      <c r="K124" s="448">
        <v>0.2</v>
      </c>
      <c r="L124" s="448">
        <f t="shared" si="111"/>
        <v>615607.12800000003</v>
      </c>
      <c r="M124" s="448">
        <f t="shared" si="112"/>
        <v>815607.12800000003</v>
      </c>
      <c r="N124" s="448">
        <f t="shared" si="107"/>
        <v>1031088.488</v>
      </c>
      <c r="O124" s="448">
        <f t="shared" si="108"/>
        <v>2262428.5120000001</v>
      </c>
      <c r="P124" s="448">
        <f t="shared" si="113"/>
        <v>21000</v>
      </c>
      <c r="Q124" s="448">
        <f t="shared" si="114"/>
        <v>33000</v>
      </c>
      <c r="R124" s="448">
        <f t="shared" si="115"/>
        <v>75000</v>
      </c>
      <c r="S124" s="448">
        <f t="shared" si="116"/>
        <v>95000</v>
      </c>
      <c r="T124" s="448">
        <f t="shared" si="117"/>
        <v>139109.98752</v>
      </c>
      <c r="U124" s="448"/>
      <c r="V124" s="448">
        <f t="shared" si="118"/>
        <v>363109.98752000002</v>
      </c>
      <c r="W124" s="455">
        <v>12</v>
      </c>
      <c r="X124" s="448">
        <f t="shared" si="119"/>
        <v>30259.165626666701</v>
      </c>
      <c r="Y124" s="451"/>
      <c r="Z124" s="459">
        <f t="shared" si="120"/>
        <v>30259.165626666701</v>
      </c>
      <c r="AA124" s="460">
        <v>17042.713866666702</v>
      </c>
      <c r="AB124" s="460">
        <f t="shared" si="110"/>
        <v>13216.45176</v>
      </c>
      <c r="AC124" s="460"/>
      <c r="AD124" s="460"/>
      <c r="AE124" s="460"/>
    </row>
    <row r="125" spans="1:31" ht="18.75">
      <c r="A125" s="445">
        <v>108</v>
      </c>
      <c r="B125" s="17" t="s">
        <v>512</v>
      </c>
      <c r="C125" s="448">
        <v>274459.75</v>
      </c>
      <c r="D125" s="447">
        <v>12</v>
      </c>
      <c r="E125" s="448">
        <f t="shared" si="109"/>
        <v>3293517</v>
      </c>
      <c r="F125" s="448"/>
      <c r="G125" s="449">
        <v>215481.36</v>
      </c>
      <c r="H125" s="451"/>
      <c r="I125" s="448">
        <f t="shared" si="106"/>
        <v>3078035.64</v>
      </c>
      <c r="J125" s="448">
        <v>200000</v>
      </c>
      <c r="K125" s="448">
        <v>0.2</v>
      </c>
      <c r="L125" s="448">
        <f t="shared" si="111"/>
        <v>615607.12800000003</v>
      </c>
      <c r="M125" s="448">
        <f t="shared" si="112"/>
        <v>815607.12800000003</v>
      </c>
      <c r="N125" s="448">
        <f t="shared" si="107"/>
        <v>1031088.488</v>
      </c>
      <c r="O125" s="448">
        <f t="shared" si="108"/>
        <v>2262428.5120000001</v>
      </c>
      <c r="P125" s="448">
        <f t="shared" si="113"/>
        <v>21000</v>
      </c>
      <c r="Q125" s="448">
        <f t="shared" si="114"/>
        <v>33000</v>
      </c>
      <c r="R125" s="448">
        <f t="shared" si="115"/>
        <v>75000</v>
      </c>
      <c r="S125" s="448">
        <f t="shared" si="116"/>
        <v>95000</v>
      </c>
      <c r="T125" s="448">
        <f t="shared" si="117"/>
        <v>139109.98752</v>
      </c>
      <c r="U125" s="448"/>
      <c r="V125" s="448">
        <f t="shared" si="118"/>
        <v>363109.98752000002</v>
      </c>
      <c r="W125" s="455">
        <v>12</v>
      </c>
      <c r="X125" s="448">
        <f t="shared" si="119"/>
        <v>30259.165626666701</v>
      </c>
      <c r="Y125" s="451"/>
      <c r="Z125" s="459">
        <f t="shared" si="120"/>
        <v>30259.165626666701</v>
      </c>
      <c r="AA125" s="460">
        <v>17042.713866666702</v>
      </c>
      <c r="AB125" s="460">
        <f t="shared" si="110"/>
        <v>13216.45176</v>
      </c>
      <c r="AC125" s="460"/>
      <c r="AD125" s="460"/>
      <c r="AE125" s="460"/>
    </row>
    <row r="126" spans="1:31" ht="18.75">
      <c r="A126" s="445">
        <v>109</v>
      </c>
      <c r="B126" s="19" t="s">
        <v>42</v>
      </c>
      <c r="C126" s="448"/>
      <c r="D126" s="447"/>
      <c r="E126" s="448"/>
      <c r="F126" s="448"/>
      <c r="G126" s="451"/>
      <c r="H126" s="451"/>
      <c r="I126" s="448"/>
      <c r="J126" s="448"/>
      <c r="K126" s="448"/>
      <c r="L126" s="448"/>
      <c r="M126" s="448"/>
      <c r="N126" s="448"/>
      <c r="O126" s="448"/>
      <c r="P126" s="448"/>
      <c r="Q126" s="448"/>
      <c r="R126" s="448"/>
      <c r="S126" s="448"/>
      <c r="T126" s="448"/>
      <c r="U126" s="448"/>
      <c r="V126" s="448"/>
      <c r="W126" s="455"/>
      <c r="X126" s="448"/>
      <c r="Y126" s="451"/>
      <c r="Z126" s="459"/>
      <c r="AA126" s="460"/>
      <c r="AB126" s="460"/>
      <c r="AC126" s="460"/>
      <c r="AD126" s="460"/>
      <c r="AE126" s="460"/>
    </row>
    <row r="127" spans="1:31" ht="18.75">
      <c r="A127" s="445">
        <v>110</v>
      </c>
      <c r="B127" s="21"/>
      <c r="C127" s="448"/>
      <c r="U127" s="461"/>
      <c r="Z127" s="462"/>
      <c r="AC127" s="460"/>
      <c r="AD127" s="460"/>
      <c r="AE127" s="460"/>
    </row>
    <row r="128" spans="1:31" ht="37.5">
      <c r="A128" s="445">
        <v>111</v>
      </c>
      <c r="B128" s="19" t="s">
        <v>103</v>
      </c>
      <c r="C128" s="448"/>
      <c r="U128" s="461"/>
      <c r="Z128" s="462"/>
      <c r="AC128" s="460"/>
      <c r="AD128" s="460"/>
      <c r="AE128" s="460"/>
    </row>
    <row r="129" spans="1:31" ht="18.75">
      <c r="A129" s="445">
        <v>112</v>
      </c>
      <c r="B129" s="10" t="s">
        <v>514</v>
      </c>
      <c r="C129" s="448">
        <v>1535720</v>
      </c>
      <c r="D129" s="447">
        <v>12</v>
      </c>
      <c r="E129" s="448">
        <f>C129*D129</f>
        <v>18428640</v>
      </c>
      <c r="F129" s="448"/>
      <c r="G129" s="449">
        <v>1378291.2</v>
      </c>
      <c r="H129" s="451"/>
      <c r="I129" s="448">
        <f t="shared" ref="I129:I187" si="121">E129-F129-G129-H129</f>
        <v>17050348.800000001</v>
      </c>
      <c r="J129" s="448">
        <v>200000</v>
      </c>
      <c r="K129" s="448">
        <v>0.2</v>
      </c>
      <c r="L129" s="448">
        <f t="shared" ref="L129:L187" si="122">I129*K129</f>
        <v>3410069.76</v>
      </c>
      <c r="M129" s="448">
        <f t="shared" ref="M129:M187" si="123">J129+L129</f>
        <v>3610069.76</v>
      </c>
      <c r="N129" s="448">
        <f t="shared" ref="N129:N187" si="124">F129+G129+H129+M129</f>
        <v>4988360.96</v>
      </c>
      <c r="O129" s="448">
        <f t="shared" ref="O129:O187" si="125">E129-N129</f>
        <v>13440279.039999999</v>
      </c>
      <c r="P129" s="448">
        <f t="shared" ref="P129:P187" si="126">IF(O129&lt;300000,0.07*O129,21000)</f>
        <v>21000</v>
      </c>
      <c r="Q129" s="448">
        <f t="shared" ref="Q129:Q187" si="127">IF((O129-300000)&lt;0,0,IF((O129-300000)&lt;300000,0.11*(O129-300000),33000))</f>
        <v>33000</v>
      </c>
      <c r="R129" s="448">
        <f t="shared" ref="R129:R187" si="128">IF((O129-600000)&lt;0,0,IF((O129-600000)&lt;500000,0.15*(O129-600000),75000))</f>
        <v>75000</v>
      </c>
      <c r="S129" s="448">
        <f t="shared" ref="S129:S187" si="129">IF((O129-1100000)&lt;0,0,IF((O129-1100000)&lt;500000,0.19*(O129-1100000),95000))</f>
        <v>95000</v>
      </c>
      <c r="T129" s="448">
        <f t="shared" ref="T129:T187" si="130">IF((O129-1600000)&lt;0,0,IF((O129-1600000)&lt;1600000,0.21*(O129-1600000),336000))</f>
        <v>336000</v>
      </c>
      <c r="U129" s="448">
        <f t="shared" si="103"/>
        <v>2457666.9696</v>
      </c>
      <c r="V129" s="448">
        <f>P129+Q129+R129+S129+T129+U129</f>
        <v>3017666.9696</v>
      </c>
      <c r="W129" s="455">
        <v>12</v>
      </c>
      <c r="X129" s="448">
        <f t="shared" ref="X129:X187" si="131">V129/W129</f>
        <v>251472.247466667</v>
      </c>
      <c r="Y129" s="451"/>
      <c r="Z129" s="459">
        <f t="shared" ref="Z129:Z187" si="132">X129</f>
        <v>251472.247466667</v>
      </c>
      <c r="AA129" s="460">
        <v>161106.806858667</v>
      </c>
      <c r="AB129" s="460">
        <f>Z129-AA129</f>
        <v>90365.440607999597</v>
      </c>
      <c r="AC129" s="460"/>
      <c r="AD129" s="460"/>
      <c r="AE129" s="460"/>
    </row>
    <row r="130" spans="1:31" ht="18.75">
      <c r="A130" s="445">
        <v>113</v>
      </c>
      <c r="B130" s="10" t="s">
        <v>338</v>
      </c>
      <c r="C130" s="448">
        <v>852373.16666666698</v>
      </c>
      <c r="D130" s="447">
        <v>12</v>
      </c>
      <c r="E130" s="448">
        <f t="shared" ref="E130:E187" si="133">C130*D130</f>
        <v>10228478</v>
      </c>
      <c r="F130" s="448"/>
      <c r="G130" s="449">
        <v>0</v>
      </c>
      <c r="H130" s="451"/>
      <c r="I130" s="448">
        <f t="shared" si="121"/>
        <v>10228478</v>
      </c>
      <c r="J130" s="448">
        <v>200000</v>
      </c>
      <c r="K130" s="448">
        <v>0.2</v>
      </c>
      <c r="L130" s="448">
        <f t="shared" si="122"/>
        <v>2045695.6</v>
      </c>
      <c r="M130" s="448">
        <f t="shared" si="123"/>
        <v>2245695.6</v>
      </c>
      <c r="N130" s="448">
        <f t="shared" si="124"/>
        <v>2245695.6</v>
      </c>
      <c r="O130" s="448">
        <f t="shared" si="125"/>
        <v>7982782.4000000004</v>
      </c>
      <c r="P130" s="448">
        <f t="shared" si="126"/>
        <v>21000</v>
      </c>
      <c r="Q130" s="448">
        <f t="shared" si="127"/>
        <v>33000</v>
      </c>
      <c r="R130" s="448">
        <f t="shared" si="128"/>
        <v>75000</v>
      </c>
      <c r="S130" s="448">
        <f t="shared" si="129"/>
        <v>95000</v>
      </c>
      <c r="T130" s="448">
        <f t="shared" si="130"/>
        <v>336000</v>
      </c>
      <c r="U130" s="448">
        <f t="shared" si="103"/>
        <v>1147867.7760000001</v>
      </c>
      <c r="V130" s="448">
        <f>P130+Q130+R130+S130+T130+U130</f>
        <v>1707867.7760000001</v>
      </c>
      <c r="W130" s="455">
        <v>12</v>
      </c>
      <c r="X130" s="448">
        <f t="shared" si="131"/>
        <v>142322.31466666699</v>
      </c>
      <c r="Y130" s="451"/>
      <c r="Z130" s="459">
        <f t="shared" si="132"/>
        <v>142322.31466666699</v>
      </c>
      <c r="AA130" s="460">
        <v>82627.951418666693</v>
      </c>
      <c r="AB130" s="460">
        <f t="shared" ref="AB130:AB187" si="134">Z130-AA130</f>
        <v>59694.363248000001</v>
      </c>
      <c r="AC130" s="460"/>
      <c r="AD130" s="460"/>
      <c r="AE130" s="460"/>
    </row>
    <row r="131" spans="1:31" ht="18.75">
      <c r="A131" s="445">
        <v>114</v>
      </c>
      <c r="B131" s="13" t="s">
        <v>516</v>
      </c>
      <c r="C131" s="448">
        <v>902373.16666666698</v>
      </c>
      <c r="D131" s="447">
        <v>12</v>
      </c>
      <c r="E131" s="448">
        <f t="shared" si="133"/>
        <v>10828478</v>
      </c>
      <c r="F131" s="448">
        <f>1066.32925*12</f>
        <v>12795.950999999999</v>
      </c>
      <c r="G131" s="449">
        <v>731878.24</v>
      </c>
      <c r="H131" s="451"/>
      <c r="I131" s="448">
        <f t="shared" si="121"/>
        <v>10083803.809</v>
      </c>
      <c r="J131" s="448">
        <v>200000</v>
      </c>
      <c r="K131" s="448">
        <v>0.2</v>
      </c>
      <c r="L131" s="448">
        <f t="shared" si="122"/>
        <v>2016760.7618</v>
      </c>
      <c r="M131" s="448">
        <f t="shared" si="123"/>
        <v>2216760.7618</v>
      </c>
      <c r="N131" s="448">
        <f t="shared" si="124"/>
        <v>2961434.9528000001</v>
      </c>
      <c r="O131" s="448">
        <f t="shared" si="125"/>
        <v>7867043.0471999999</v>
      </c>
      <c r="P131" s="448">
        <f t="shared" si="126"/>
        <v>21000</v>
      </c>
      <c r="Q131" s="448">
        <f t="shared" si="127"/>
        <v>33000</v>
      </c>
      <c r="R131" s="448">
        <f t="shared" si="128"/>
        <v>75000</v>
      </c>
      <c r="S131" s="448">
        <f t="shared" si="129"/>
        <v>95000</v>
      </c>
      <c r="T131" s="448">
        <f t="shared" si="130"/>
        <v>336000</v>
      </c>
      <c r="U131" s="448">
        <f t="shared" si="103"/>
        <v>1120090.3313279999</v>
      </c>
      <c r="V131" s="448">
        <f>P131+Q131+R131+S131+T131+U131</f>
        <v>1680090.3313279999</v>
      </c>
      <c r="W131" s="455">
        <v>12</v>
      </c>
      <c r="X131" s="448">
        <f t="shared" si="131"/>
        <v>140007.52761066699</v>
      </c>
      <c r="Y131" s="451"/>
      <c r="Z131" s="459">
        <f t="shared" si="132"/>
        <v>140007.52761066699</v>
      </c>
      <c r="AA131" s="460">
        <v>92023.216202666707</v>
      </c>
      <c r="AB131" s="460">
        <f t="shared" si="134"/>
        <v>47984.311408000001</v>
      </c>
      <c r="AC131" s="460"/>
      <c r="AD131" s="460"/>
      <c r="AE131" s="460"/>
    </row>
    <row r="132" spans="1:31" ht="18.75">
      <c r="A132" s="445">
        <v>115</v>
      </c>
      <c r="B132" s="10" t="s">
        <v>518</v>
      </c>
      <c r="C132" s="448">
        <v>554373.75</v>
      </c>
      <c r="D132" s="447">
        <v>12</v>
      </c>
      <c r="E132" s="448">
        <f t="shared" si="133"/>
        <v>6652485</v>
      </c>
      <c r="F132" s="448">
        <f>712.24525*12</f>
        <v>8546.9429999999993</v>
      </c>
      <c r="G132" s="449">
        <v>464998.8</v>
      </c>
      <c r="H132" s="451"/>
      <c r="I132" s="448">
        <f t="shared" si="121"/>
        <v>6178939.2570000002</v>
      </c>
      <c r="J132" s="448">
        <v>200000</v>
      </c>
      <c r="K132" s="448">
        <v>0.2</v>
      </c>
      <c r="L132" s="448">
        <f t="shared" si="122"/>
        <v>1235787.8514</v>
      </c>
      <c r="M132" s="448">
        <f t="shared" si="123"/>
        <v>1435787.8514</v>
      </c>
      <c r="N132" s="448">
        <f t="shared" si="124"/>
        <v>1909333.5944000001</v>
      </c>
      <c r="O132" s="448">
        <f t="shared" si="125"/>
        <v>4743151.4056000002</v>
      </c>
      <c r="P132" s="448">
        <f t="shared" si="126"/>
        <v>21000</v>
      </c>
      <c r="Q132" s="448">
        <f t="shared" si="127"/>
        <v>33000</v>
      </c>
      <c r="R132" s="448">
        <f t="shared" si="128"/>
        <v>75000</v>
      </c>
      <c r="S132" s="448">
        <f t="shared" si="129"/>
        <v>95000</v>
      </c>
      <c r="T132" s="448">
        <f t="shared" si="130"/>
        <v>336000</v>
      </c>
      <c r="U132" s="448">
        <f t="shared" si="103"/>
        <v>370356.337344</v>
      </c>
      <c r="V132" s="448">
        <f t="shared" ref="V132:V187" si="135">P132+Q132+R132+S132+T132+U132</f>
        <v>930356.337344</v>
      </c>
      <c r="W132" s="455">
        <v>12</v>
      </c>
      <c r="X132" s="448">
        <f t="shared" si="131"/>
        <v>77529.694778666701</v>
      </c>
      <c r="Y132" s="451"/>
      <c r="Z132" s="459">
        <f t="shared" si="132"/>
        <v>77529.694778666701</v>
      </c>
      <c r="AA132" s="460">
        <v>46081.202598666699</v>
      </c>
      <c r="AB132" s="460">
        <f t="shared" si="134"/>
        <v>31448.492180000001</v>
      </c>
      <c r="AC132" s="460"/>
      <c r="AD132" s="460"/>
      <c r="AE132" s="460"/>
    </row>
    <row r="133" spans="1:31" ht="18.75">
      <c r="A133" s="445">
        <v>116</v>
      </c>
      <c r="B133" s="10" t="s">
        <v>520</v>
      </c>
      <c r="C133" s="448">
        <v>554373.75</v>
      </c>
      <c r="D133" s="447">
        <v>12</v>
      </c>
      <c r="E133" s="448">
        <f t="shared" si="133"/>
        <v>6652485</v>
      </c>
      <c r="F133" s="448">
        <f>712.24525*12</f>
        <v>8546.9429999999993</v>
      </c>
      <c r="G133" s="449">
        <v>464998.8</v>
      </c>
      <c r="H133" s="451"/>
      <c r="I133" s="448">
        <f t="shared" si="121"/>
        <v>6178939.2570000002</v>
      </c>
      <c r="J133" s="448">
        <v>200000</v>
      </c>
      <c r="K133" s="448">
        <v>0.2</v>
      </c>
      <c r="L133" s="448">
        <f t="shared" si="122"/>
        <v>1235787.8514</v>
      </c>
      <c r="M133" s="448">
        <f t="shared" si="123"/>
        <v>1435787.8514</v>
      </c>
      <c r="N133" s="448">
        <f t="shared" si="124"/>
        <v>1909333.5944000001</v>
      </c>
      <c r="O133" s="448">
        <f t="shared" si="125"/>
        <v>4743151.4056000002</v>
      </c>
      <c r="P133" s="448">
        <f t="shared" si="126"/>
        <v>21000</v>
      </c>
      <c r="Q133" s="448">
        <f t="shared" si="127"/>
        <v>33000</v>
      </c>
      <c r="R133" s="448">
        <f t="shared" si="128"/>
        <v>75000</v>
      </c>
      <c r="S133" s="448">
        <f t="shared" si="129"/>
        <v>95000</v>
      </c>
      <c r="T133" s="448">
        <f t="shared" si="130"/>
        <v>336000</v>
      </c>
      <c r="U133" s="448">
        <f t="shared" si="103"/>
        <v>370356.337344</v>
      </c>
      <c r="V133" s="448">
        <f t="shared" si="135"/>
        <v>930356.337344</v>
      </c>
      <c r="W133" s="455">
        <v>12</v>
      </c>
      <c r="X133" s="448">
        <f t="shared" si="131"/>
        <v>77529.694778666701</v>
      </c>
      <c r="Y133" s="451"/>
      <c r="Z133" s="459">
        <f t="shared" si="132"/>
        <v>77529.694778666701</v>
      </c>
      <c r="AA133" s="460">
        <v>46081.202598666699</v>
      </c>
      <c r="AB133" s="460">
        <f t="shared" si="134"/>
        <v>31448.492180000001</v>
      </c>
      <c r="AC133" s="460"/>
      <c r="AD133" s="460"/>
      <c r="AE133" s="460"/>
    </row>
    <row r="134" spans="1:31" ht="18.75">
      <c r="A134" s="445">
        <v>117</v>
      </c>
      <c r="B134" s="10" t="s">
        <v>522</v>
      </c>
      <c r="C134" s="448">
        <v>554373.75</v>
      </c>
      <c r="D134" s="447">
        <v>12</v>
      </c>
      <c r="E134" s="448">
        <f t="shared" si="133"/>
        <v>6652485</v>
      </c>
      <c r="F134" s="448">
        <f>712.24525*12</f>
        <v>8546.9429999999993</v>
      </c>
      <c r="G134" s="449">
        <v>464998.8</v>
      </c>
      <c r="H134" s="451"/>
      <c r="I134" s="448">
        <f t="shared" si="121"/>
        <v>6178939.2570000002</v>
      </c>
      <c r="J134" s="448">
        <v>200000</v>
      </c>
      <c r="K134" s="448">
        <v>0.2</v>
      </c>
      <c r="L134" s="448">
        <f t="shared" si="122"/>
        <v>1235787.8514</v>
      </c>
      <c r="M134" s="448">
        <f t="shared" si="123"/>
        <v>1435787.8514</v>
      </c>
      <c r="N134" s="448">
        <f t="shared" si="124"/>
        <v>1909333.5944000001</v>
      </c>
      <c r="O134" s="448">
        <f t="shared" si="125"/>
        <v>4743151.4056000002</v>
      </c>
      <c r="P134" s="448">
        <f t="shared" si="126"/>
        <v>21000</v>
      </c>
      <c r="Q134" s="448">
        <f t="shared" si="127"/>
        <v>33000</v>
      </c>
      <c r="R134" s="448">
        <f t="shared" si="128"/>
        <v>75000</v>
      </c>
      <c r="S134" s="448">
        <f t="shared" si="129"/>
        <v>95000</v>
      </c>
      <c r="T134" s="448">
        <f t="shared" si="130"/>
        <v>336000</v>
      </c>
      <c r="U134" s="448">
        <f t="shared" si="103"/>
        <v>370356.337344</v>
      </c>
      <c r="V134" s="448">
        <f t="shared" si="135"/>
        <v>930356.337344</v>
      </c>
      <c r="W134" s="455">
        <v>12</v>
      </c>
      <c r="X134" s="448">
        <f t="shared" si="131"/>
        <v>77529.694778666701</v>
      </c>
      <c r="Y134" s="451"/>
      <c r="Z134" s="459">
        <f t="shared" si="132"/>
        <v>77529.694778666701</v>
      </c>
      <c r="AA134" s="460">
        <v>46081.202598666699</v>
      </c>
      <c r="AB134" s="460">
        <f t="shared" si="134"/>
        <v>31448.492180000001</v>
      </c>
      <c r="AC134" s="460"/>
      <c r="AD134" s="460"/>
      <c r="AE134" s="460"/>
    </row>
    <row r="135" spans="1:31" ht="18.75">
      <c r="A135" s="445">
        <v>118</v>
      </c>
      <c r="B135" s="10" t="s">
        <v>523</v>
      </c>
      <c r="C135" s="448">
        <v>450086.5</v>
      </c>
      <c r="D135" s="447">
        <v>12</v>
      </c>
      <c r="E135" s="448">
        <f t="shared" si="133"/>
        <v>5401038</v>
      </c>
      <c r="F135" s="448">
        <f>576.62125*12</f>
        <v>6919.4549999999999</v>
      </c>
      <c r="G135" s="449">
        <v>374483.04</v>
      </c>
      <c r="H135" s="451"/>
      <c r="I135" s="448">
        <f t="shared" si="121"/>
        <v>5019635.5049999999</v>
      </c>
      <c r="J135" s="448">
        <v>200000</v>
      </c>
      <c r="K135" s="448">
        <v>0.2</v>
      </c>
      <c r="L135" s="448">
        <f t="shared" si="122"/>
        <v>1003927.101</v>
      </c>
      <c r="M135" s="448">
        <f t="shared" si="123"/>
        <v>1203927.101</v>
      </c>
      <c r="N135" s="448">
        <f t="shared" si="124"/>
        <v>1585329.5959999999</v>
      </c>
      <c r="O135" s="448">
        <f t="shared" si="125"/>
        <v>3815708.4040000001</v>
      </c>
      <c r="P135" s="448">
        <f t="shared" si="126"/>
        <v>21000</v>
      </c>
      <c r="Q135" s="448">
        <f t="shared" si="127"/>
        <v>33000</v>
      </c>
      <c r="R135" s="448">
        <f t="shared" si="128"/>
        <v>75000</v>
      </c>
      <c r="S135" s="448">
        <f t="shared" si="129"/>
        <v>95000</v>
      </c>
      <c r="T135" s="448">
        <f t="shared" si="130"/>
        <v>336000</v>
      </c>
      <c r="U135" s="448">
        <f t="shared" si="103"/>
        <v>147770.01696000001</v>
      </c>
      <c r="V135" s="448">
        <f t="shared" si="135"/>
        <v>707770.01696000004</v>
      </c>
      <c r="W135" s="455">
        <v>12</v>
      </c>
      <c r="X135" s="448">
        <f t="shared" si="131"/>
        <v>58980.834746666696</v>
      </c>
      <c r="Y135" s="451"/>
      <c r="Z135" s="459">
        <f t="shared" si="132"/>
        <v>58980.834746666696</v>
      </c>
      <c r="AA135" s="460">
        <v>35221.954086666701</v>
      </c>
      <c r="AB135" s="460">
        <f t="shared" si="134"/>
        <v>23758.880659999999</v>
      </c>
      <c r="AC135" s="460"/>
      <c r="AD135" s="460"/>
      <c r="AE135" s="460"/>
    </row>
    <row r="136" spans="1:31" ht="18.75">
      <c r="A136" s="445">
        <v>119</v>
      </c>
      <c r="B136" s="10" t="s">
        <v>525</v>
      </c>
      <c r="C136" s="448">
        <v>450086.5</v>
      </c>
      <c r="D136" s="447">
        <v>12</v>
      </c>
      <c r="E136" s="448">
        <f t="shared" si="133"/>
        <v>5401038</v>
      </c>
      <c r="F136" s="448"/>
      <c r="G136" s="449">
        <v>374483.04</v>
      </c>
      <c r="H136" s="451"/>
      <c r="I136" s="448">
        <f t="shared" si="121"/>
        <v>5026554.96</v>
      </c>
      <c r="J136" s="448">
        <v>200000</v>
      </c>
      <c r="K136" s="448">
        <v>0.2</v>
      </c>
      <c r="L136" s="448">
        <f t="shared" si="122"/>
        <v>1005310.992</v>
      </c>
      <c r="M136" s="448">
        <f t="shared" si="123"/>
        <v>1205310.9920000001</v>
      </c>
      <c r="N136" s="448">
        <f t="shared" si="124"/>
        <v>1579794.0319999999</v>
      </c>
      <c r="O136" s="448">
        <f t="shared" si="125"/>
        <v>3821243.9679999999</v>
      </c>
      <c r="P136" s="448">
        <f t="shared" si="126"/>
        <v>21000</v>
      </c>
      <c r="Q136" s="448">
        <f t="shared" si="127"/>
        <v>33000</v>
      </c>
      <c r="R136" s="448">
        <f t="shared" si="128"/>
        <v>75000</v>
      </c>
      <c r="S136" s="448">
        <f t="shared" si="129"/>
        <v>95000</v>
      </c>
      <c r="T136" s="448">
        <f t="shared" si="130"/>
        <v>336000</v>
      </c>
      <c r="U136" s="448">
        <f t="shared" si="103"/>
        <v>149098.55231999999</v>
      </c>
      <c r="V136" s="448">
        <f t="shared" si="135"/>
        <v>709098.55232000002</v>
      </c>
      <c r="W136" s="455">
        <v>12</v>
      </c>
      <c r="X136" s="448">
        <f t="shared" si="131"/>
        <v>59091.5460266667</v>
      </c>
      <c r="Y136" s="451"/>
      <c r="Z136" s="459">
        <f t="shared" si="132"/>
        <v>59091.5460266667</v>
      </c>
      <c r="AA136" s="460">
        <v>35318.826456666699</v>
      </c>
      <c r="AB136" s="460">
        <f t="shared" si="134"/>
        <v>23772.719570000001</v>
      </c>
      <c r="AC136" s="460"/>
      <c r="AD136" s="460"/>
      <c r="AE136" s="460"/>
    </row>
    <row r="137" spans="1:31" ht="18.75">
      <c r="A137" s="445">
        <v>120</v>
      </c>
      <c r="B137" s="10" t="s">
        <v>526</v>
      </c>
      <c r="C137" s="448">
        <v>450086.5</v>
      </c>
      <c r="D137" s="447">
        <v>12</v>
      </c>
      <c r="E137" s="448">
        <f t="shared" si="133"/>
        <v>5401038</v>
      </c>
      <c r="F137" s="448"/>
      <c r="G137" s="449">
        <v>374483.04</v>
      </c>
      <c r="H137" s="451"/>
      <c r="I137" s="448">
        <f t="shared" si="121"/>
        <v>5026554.96</v>
      </c>
      <c r="J137" s="448">
        <v>200000</v>
      </c>
      <c r="K137" s="448">
        <v>0.2</v>
      </c>
      <c r="L137" s="448">
        <f t="shared" si="122"/>
        <v>1005310.992</v>
      </c>
      <c r="M137" s="448">
        <f t="shared" si="123"/>
        <v>1205310.9920000001</v>
      </c>
      <c r="N137" s="448">
        <f t="shared" si="124"/>
        <v>1579794.0319999999</v>
      </c>
      <c r="O137" s="448">
        <f t="shared" si="125"/>
        <v>3821243.9679999999</v>
      </c>
      <c r="P137" s="448">
        <f t="shared" si="126"/>
        <v>21000</v>
      </c>
      <c r="Q137" s="448">
        <f t="shared" si="127"/>
        <v>33000</v>
      </c>
      <c r="R137" s="448">
        <f t="shared" si="128"/>
        <v>75000</v>
      </c>
      <c r="S137" s="448">
        <f t="shared" si="129"/>
        <v>95000</v>
      </c>
      <c r="T137" s="448">
        <f t="shared" si="130"/>
        <v>336000</v>
      </c>
      <c r="U137" s="448">
        <f t="shared" si="103"/>
        <v>149098.55231999999</v>
      </c>
      <c r="V137" s="448">
        <f t="shared" si="135"/>
        <v>709098.55232000002</v>
      </c>
      <c r="W137" s="455">
        <v>12</v>
      </c>
      <c r="X137" s="448">
        <f t="shared" si="131"/>
        <v>59091.5460266667</v>
      </c>
      <c r="Y137" s="451"/>
      <c r="Z137" s="459">
        <f t="shared" si="132"/>
        <v>59091.5460266667</v>
      </c>
      <c r="AA137" s="460">
        <v>35318.826456666699</v>
      </c>
      <c r="AB137" s="460">
        <f t="shared" si="134"/>
        <v>23772.719570000001</v>
      </c>
      <c r="AC137" s="460"/>
      <c r="AD137" s="460"/>
      <c r="AE137" s="460"/>
    </row>
    <row r="138" spans="1:31" ht="37.5">
      <c r="A138" s="445">
        <v>121</v>
      </c>
      <c r="B138" s="10" t="s">
        <v>528</v>
      </c>
      <c r="C138" s="448">
        <v>437895.16666666698</v>
      </c>
      <c r="D138" s="447">
        <v>12</v>
      </c>
      <c r="E138" s="448">
        <f t="shared" si="133"/>
        <v>5254742</v>
      </c>
      <c r="F138" s="448"/>
      <c r="G138" s="449">
        <v>362779.36</v>
      </c>
      <c r="H138" s="451"/>
      <c r="I138" s="448">
        <f t="shared" si="121"/>
        <v>4891962.6399999997</v>
      </c>
      <c r="J138" s="448">
        <v>200000</v>
      </c>
      <c r="K138" s="448">
        <v>0.2</v>
      </c>
      <c r="L138" s="448">
        <f t="shared" si="122"/>
        <v>978392.52800000098</v>
      </c>
      <c r="M138" s="448">
        <f t="shared" si="123"/>
        <v>1178392.5279999999</v>
      </c>
      <c r="N138" s="448">
        <f t="shared" si="124"/>
        <v>1541171.888</v>
      </c>
      <c r="O138" s="448">
        <f t="shared" si="125"/>
        <v>3713570.1120000002</v>
      </c>
      <c r="P138" s="448">
        <f t="shared" si="126"/>
        <v>21000</v>
      </c>
      <c r="Q138" s="448">
        <f t="shared" si="127"/>
        <v>33000</v>
      </c>
      <c r="R138" s="448">
        <f t="shared" si="128"/>
        <v>75000</v>
      </c>
      <c r="S138" s="448">
        <f t="shared" si="129"/>
        <v>95000</v>
      </c>
      <c r="T138" s="448">
        <f t="shared" si="130"/>
        <v>336000</v>
      </c>
      <c r="U138" s="448">
        <f t="shared" si="103"/>
        <v>123256.826880001</v>
      </c>
      <c r="V138" s="448">
        <f t="shared" si="135"/>
        <v>683256.826880001</v>
      </c>
      <c r="W138" s="455">
        <v>12</v>
      </c>
      <c r="X138" s="448">
        <f t="shared" si="131"/>
        <v>56938.068906666696</v>
      </c>
      <c r="Y138" s="451"/>
      <c r="Z138" s="459">
        <f t="shared" si="132"/>
        <v>56938.068906666696</v>
      </c>
      <c r="AA138" s="460">
        <v>34968.882414666703</v>
      </c>
      <c r="AB138" s="460">
        <f t="shared" si="134"/>
        <v>21969.186492000001</v>
      </c>
      <c r="AC138" s="460"/>
      <c r="AD138" s="460"/>
      <c r="AE138" s="460"/>
    </row>
    <row r="139" spans="1:31" ht="18.75">
      <c r="A139" s="445">
        <v>122</v>
      </c>
      <c r="B139" s="10" t="s">
        <v>530</v>
      </c>
      <c r="C139" s="448">
        <v>425703.83333333302</v>
      </c>
      <c r="D139" s="447">
        <v>12</v>
      </c>
      <c r="E139" s="448">
        <f t="shared" si="133"/>
        <v>5108446</v>
      </c>
      <c r="F139" s="448">
        <f>538.022*12</f>
        <v>6456.2640000000001</v>
      </c>
      <c r="G139" s="449">
        <v>351075.68</v>
      </c>
      <c r="H139" s="451"/>
      <c r="I139" s="448">
        <f t="shared" si="121"/>
        <v>4750914.0559999999</v>
      </c>
      <c r="J139" s="448">
        <v>200000</v>
      </c>
      <c r="K139" s="448">
        <v>0.2</v>
      </c>
      <c r="L139" s="448">
        <f t="shared" si="122"/>
        <v>950182.81119999895</v>
      </c>
      <c r="M139" s="448">
        <f t="shared" si="123"/>
        <v>1150182.8112000001</v>
      </c>
      <c r="N139" s="448">
        <f t="shared" si="124"/>
        <v>1507714.7552</v>
      </c>
      <c r="O139" s="448">
        <f t="shared" si="125"/>
        <v>3600731.2448</v>
      </c>
      <c r="P139" s="448">
        <f t="shared" si="126"/>
        <v>21000</v>
      </c>
      <c r="Q139" s="448">
        <f t="shared" si="127"/>
        <v>33000</v>
      </c>
      <c r="R139" s="448">
        <f t="shared" si="128"/>
        <v>75000</v>
      </c>
      <c r="S139" s="448">
        <f t="shared" si="129"/>
        <v>95000</v>
      </c>
      <c r="T139" s="448">
        <f t="shared" si="130"/>
        <v>336000</v>
      </c>
      <c r="U139" s="448">
        <f t="shared" si="103"/>
        <v>96175.498751999199</v>
      </c>
      <c r="V139" s="448">
        <f t="shared" si="135"/>
        <v>656175.498751999</v>
      </c>
      <c r="W139" s="455">
        <v>12</v>
      </c>
      <c r="X139" s="448">
        <f t="shared" si="131"/>
        <v>54681.2915626666</v>
      </c>
      <c r="Y139" s="451"/>
      <c r="Z139" s="459">
        <f t="shared" si="132"/>
        <v>54681.2915626666</v>
      </c>
      <c r="AA139" s="460">
        <v>32848.563402666703</v>
      </c>
      <c r="AB139" s="460">
        <f t="shared" si="134"/>
        <v>21832.728159999901</v>
      </c>
      <c r="AC139" s="460"/>
      <c r="AD139" s="460"/>
      <c r="AE139" s="460"/>
    </row>
    <row r="140" spans="1:31" ht="37.5">
      <c r="A140" s="445">
        <v>123</v>
      </c>
      <c r="B140" s="10" t="s">
        <v>532</v>
      </c>
      <c r="C140" s="448">
        <v>450086.5</v>
      </c>
      <c r="D140" s="447">
        <v>12</v>
      </c>
      <c r="E140" s="448">
        <f t="shared" si="133"/>
        <v>5401038</v>
      </c>
      <c r="F140" s="448">
        <f>576.62125*12</f>
        <v>6919.4549999999999</v>
      </c>
      <c r="G140" s="449">
        <v>374483.04</v>
      </c>
      <c r="H140" s="451"/>
      <c r="I140" s="448">
        <f t="shared" si="121"/>
        <v>5019635.5049999999</v>
      </c>
      <c r="J140" s="448">
        <v>200000</v>
      </c>
      <c r="K140" s="448">
        <v>0.2</v>
      </c>
      <c r="L140" s="448">
        <f t="shared" si="122"/>
        <v>1003927.101</v>
      </c>
      <c r="M140" s="448">
        <f t="shared" si="123"/>
        <v>1203927.101</v>
      </c>
      <c r="N140" s="448">
        <f t="shared" si="124"/>
        <v>1585329.5959999999</v>
      </c>
      <c r="O140" s="448">
        <f t="shared" si="125"/>
        <v>3815708.4040000001</v>
      </c>
      <c r="P140" s="448">
        <f t="shared" si="126"/>
        <v>21000</v>
      </c>
      <c r="Q140" s="448">
        <f t="shared" si="127"/>
        <v>33000</v>
      </c>
      <c r="R140" s="448">
        <f t="shared" si="128"/>
        <v>75000</v>
      </c>
      <c r="S140" s="448">
        <f t="shared" si="129"/>
        <v>95000</v>
      </c>
      <c r="T140" s="448">
        <f t="shared" si="130"/>
        <v>336000</v>
      </c>
      <c r="U140" s="448">
        <f t="shared" si="103"/>
        <v>147770.01696000001</v>
      </c>
      <c r="V140" s="448">
        <f t="shared" si="135"/>
        <v>707770.01696000004</v>
      </c>
      <c r="W140" s="455">
        <v>12</v>
      </c>
      <c r="X140" s="448">
        <f t="shared" si="131"/>
        <v>58980.834746666696</v>
      </c>
      <c r="Y140" s="451"/>
      <c r="Z140" s="459">
        <f t="shared" si="132"/>
        <v>58980.834746666696</v>
      </c>
      <c r="AA140" s="460">
        <v>35221.954086666701</v>
      </c>
      <c r="AB140" s="460">
        <f t="shared" si="134"/>
        <v>23758.880659999999</v>
      </c>
      <c r="AC140" s="460"/>
      <c r="AD140" s="460"/>
      <c r="AE140" s="460"/>
    </row>
    <row r="141" spans="1:31" ht="18.75">
      <c r="A141" s="445">
        <v>124</v>
      </c>
      <c r="B141" s="17" t="s">
        <v>534</v>
      </c>
      <c r="C141" s="448">
        <v>413512.5</v>
      </c>
      <c r="D141" s="447">
        <v>12</v>
      </c>
      <c r="E141" s="448">
        <f t="shared" si="133"/>
        <v>4962150</v>
      </c>
      <c r="F141" s="448">
        <v>0</v>
      </c>
      <c r="G141" s="449">
        <v>339372</v>
      </c>
      <c r="H141" s="451"/>
      <c r="I141" s="448">
        <f t="shared" si="121"/>
        <v>4622778</v>
      </c>
      <c r="J141" s="448">
        <v>200000</v>
      </c>
      <c r="K141" s="448">
        <v>0.2</v>
      </c>
      <c r="L141" s="448">
        <f t="shared" si="122"/>
        <v>924555.6</v>
      </c>
      <c r="M141" s="448">
        <f t="shared" si="123"/>
        <v>1124555.6000000001</v>
      </c>
      <c r="N141" s="448">
        <f t="shared" si="124"/>
        <v>1463927.6</v>
      </c>
      <c r="O141" s="448">
        <f t="shared" si="125"/>
        <v>3498222.4</v>
      </c>
      <c r="P141" s="448">
        <f t="shared" si="126"/>
        <v>21000</v>
      </c>
      <c r="Q141" s="448">
        <f t="shared" si="127"/>
        <v>33000</v>
      </c>
      <c r="R141" s="448">
        <f t="shared" si="128"/>
        <v>75000</v>
      </c>
      <c r="S141" s="448">
        <f t="shared" si="129"/>
        <v>95000</v>
      </c>
      <c r="T141" s="448">
        <f t="shared" si="130"/>
        <v>336000</v>
      </c>
      <c r="U141" s="448">
        <f t="shared" si="103"/>
        <v>71573.376000000004</v>
      </c>
      <c r="V141" s="448">
        <f t="shared" si="135"/>
        <v>631573.37600000005</v>
      </c>
      <c r="W141" s="455">
        <v>12</v>
      </c>
      <c r="X141" s="448">
        <f t="shared" si="131"/>
        <v>52631.114666666697</v>
      </c>
      <c r="Y141" s="451"/>
      <c r="Z141" s="459">
        <f t="shared" si="132"/>
        <v>52631.114666666697</v>
      </c>
      <c r="AA141" s="460">
        <v>31749.175266666702</v>
      </c>
      <c r="AB141" s="460">
        <f t="shared" si="134"/>
        <v>20881.939399999999</v>
      </c>
      <c r="AC141" s="460"/>
      <c r="AD141" s="460"/>
      <c r="AE141" s="460"/>
    </row>
    <row r="142" spans="1:31" ht="18.75">
      <c r="A142" s="445">
        <v>125</v>
      </c>
      <c r="B142" s="10" t="s">
        <v>536</v>
      </c>
      <c r="C142" s="448">
        <v>368901.5</v>
      </c>
      <c r="D142" s="447">
        <v>12</v>
      </c>
      <c r="E142" s="448">
        <f t="shared" si="133"/>
        <v>4426818</v>
      </c>
      <c r="F142" s="448"/>
      <c r="G142" s="449">
        <v>296545.44</v>
      </c>
      <c r="H142" s="451"/>
      <c r="I142" s="448">
        <f t="shared" si="121"/>
        <v>4130272.56</v>
      </c>
      <c r="J142" s="448">
        <v>200000</v>
      </c>
      <c r="K142" s="448">
        <v>0.2</v>
      </c>
      <c r="L142" s="448">
        <f t="shared" si="122"/>
        <v>826054.51199999999</v>
      </c>
      <c r="M142" s="448">
        <f t="shared" si="123"/>
        <v>1026054.512</v>
      </c>
      <c r="N142" s="448">
        <f t="shared" si="124"/>
        <v>1322599.952</v>
      </c>
      <c r="O142" s="448">
        <f t="shared" si="125"/>
        <v>3104218.048</v>
      </c>
      <c r="P142" s="448">
        <f t="shared" si="126"/>
        <v>21000</v>
      </c>
      <c r="Q142" s="448">
        <f t="shared" si="127"/>
        <v>33000</v>
      </c>
      <c r="R142" s="448">
        <f t="shared" si="128"/>
        <v>75000</v>
      </c>
      <c r="S142" s="448">
        <f t="shared" si="129"/>
        <v>95000</v>
      </c>
      <c r="T142" s="448">
        <f t="shared" si="130"/>
        <v>315885.79008000001</v>
      </c>
      <c r="U142" s="448"/>
      <c r="V142" s="448">
        <f t="shared" si="135"/>
        <v>539885.79007999995</v>
      </c>
      <c r="W142" s="455">
        <v>12</v>
      </c>
      <c r="X142" s="448">
        <f t="shared" si="131"/>
        <v>44990.482506666704</v>
      </c>
      <c r="Y142" s="451"/>
      <c r="Z142" s="459">
        <f t="shared" si="132"/>
        <v>44990.482506666704</v>
      </c>
      <c r="AA142" s="460">
        <v>27105.986562666702</v>
      </c>
      <c r="AB142" s="460">
        <f t="shared" si="134"/>
        <v>17884.495943999998</v>
      </c>
      <c r="AC142" s="460"/>
      <c r="AD142" s="460"/>
      <c r="AE142" s="460"/>
    </row>
    <row r="143" spans="1:31" ht="18.75">
      <c r="A143" s="445">
        <v>126</v>
      </c>
      <c r="B143" s="10" t="s">
        <v>538</v>
      </c>
      <c r="C143" s="448">
        <v>376837.41666666698</v>
      </c>
      <c r="D143" s="447">
        <v>12</v>
      </c>
      <c r="E143" s="448">
        <f t="shared" si="133"/>
        <v>4522049</v>
      </c>
      <c r="F143" s="448">
        <f>469.4825*12</f>
        <v>5633.79</v>
      </c>
      <c r="G143" s="449">
        <v>304163.92</v>
      </c>
      <c r="H143" s="451"/>
      <c r="I143" s="448">
        <f t="shared" si="121"/>
        <v>4212251.29</v>
      </c>
      <c r="J143" s="448">
        <v>200000</v>
      </c>
      <c r="K143" s="448">
        <v>0.2</v>
      </c>
      <c r="L143" s="448">
        <f t="shared" si="122"/>
        <v>842450.25800000096</v>
      </c>
      <c r="M143" s="448">
        <f t="shared" si="123"/>
        <v>1042450.258</v>
      </c>
      <c r="N143" s="448">
        <f t="shared" si="124"/>
        <v>1352247.9680000001</v>
      </c>
      <c r="O143" s="448">
        <f t="shared" si="125"/>
        <v>3169801.0320000001</v>
      </c>
      <c r="P143" s="448">
        <f t="shared" si="126"/>
        <v>21000</v>
      </c>
      <c r="Q143" s="448">
        <f t="shared" si="127"/>
        <v>33000</v>
      </c>
      <c r="R143" s="448">
        <f t="shared" si="128"/>
        <v>75000</v>
      </c>
      <c r="S143" s="448">
        <f t="shared" si="129"/>
        <v>95000</v>
      </c>
      <c r="T143" s="448">
        <f t="shared" si="130"/>
        <v>329658.21672000102</v>
      </c>
      <c r="U143" s="448"/>
      <c r="V143" s="448">
        <f t="shared" si="135"/>
        <v>553658.21672000096</v>
      </c>
      <c r="W143" s="455">
        <v>12</v>
      </c>
      <c r="X143" s="448">
        <f t="shared" si="131"/>
        <v>46138.184726666703</v>
      </c>
      <c r="Y143" s="451"/>
      <c r="Z143" s="459">
        <f t="shared" si="132"/>
        <v>46138.184726666703</v>
      </c>
      <c r="AA143" s="460">
        <v>27794.206626666699</v>
      </c>
      <c r="AB143" s="460">
        <f t="shared" si="134"/>
        <v>18343.9781</v>
      </c>
      <c r="AC143" s="460"/>
      <c r="AD143" s="460"/>
      <c r="AE143" s="460"/>
    </row>
    <row r="144" spans="1:31" ht="18.75">
      <c r="A144" s="445">
        <v>127</v>
      </c>
      <c r="B144" s="10" t="s">
        <v>540</v>
      </c>
      <c r="C144" s="448">
        <v>376837.41666666698</v>
      </c>
      <c r="D144" s="447">
        <v>12</v>
      </c>
      <c r="E144" s="448">
        <f t="shared" si="133"/>
        <v>4522049</v>
      </c>
      <c r="F144" s="448"/>
      <c r="G144" s="449">
        <v>304163.92</v>
      </c>
      <c r="H144" s="451"/>
      <c r="I144" s="448">
        <f t="shared" si="121"/>
        <v>4217885.08</v>
      </c>
      <c r="J144" s="448">
        <v>200000</v>
      </c>
      <c r="K144" s="448">
        <v>0.2</v>
      </c>
      <c r="L144" s="448">
        <f t="shared" si="122"/>
        <v>843577.01600000099</v>
      </c>
      <c r="M144" s="448">
        <f t="shared" si="123"/>
        <v>1043577.0159999999</v>
      </c>
      <c r="N144" s="448">
        <f t="shared" si="124"/>
        <v>1347740.936</v>
      </c>
      <c r="O144" s="448">
        <f t="shared" si="125"/>
        <v>3174308.0639999998</v>
      </c>
      <c r="P144" s="448">
        <f t="shared" si="126"/>
        <v>21000</v>
      </c>
      <c r="Q144" s="448">
        <f t="shared" si="127"/>
        <v>33000</v>
      </c>
      <c r="R144" s="448">
        <f t="shared" si="128"/>
        <v>75000</v>
      </c>
      <c r="S144" s="448">
        <f t="shared" si="129"/>
        <v>95000</v>
      </c>
      <c r="T144" s="448">
        <f t="shared" si="130"/>
        <v>330604.69344000099</v>
      </c>
      <c r="U144" s="448"/>
      <c r="V144" s="448">
        <f t="shared" si="135"/>
        <v>554604.69344000099</v>
      </c>
      <c r="W144" s="455">
        <v>12</v>
      </c>
      <c r="X144" s="448">
        <f t="shared" si="131"/>
        <v>46217.057786666701</v>
      </c>
      <c r="Y144" s="451"/>
      <c r="Z144" s="459">
        <f t="shared" si="132"/>
        <v>46217.057786666701</v>
      </c>
      <c r="AA144" s="460">
        <v>27873.079686666701</v>
      </c>
      <c r="AB144" s="460">
        <f t="shared" si="134"/>
        <v>18343.9781</v>
      </c>
      <c r="AC144" s="460"/>
      <c r="AD144" s="460"/>
      <c r="AE144" s="460"/>
    </row>
    <row r="145" spans="1:31" ht="18.75">
      <c r="A145" s="445">
        <v>128</v>
      </c>
      <c r="B145" s="10" t="s">
        <v>541</v>
      </c>
      <c r="C145" s="448">
        <v>360965.58333333302</v>
      </c>
      <c r="D145" s="447">
        <v>12</v>
      </c>
      <c r="E145" s="448">
        <f t="shared" si="133"/>
        <v>4331587</v>
      </c>
      <c r="F145" s="448"/>
      <c r="G145" s="449">
        <v>288926.96000000002</v>
      </c>
      <c r="H145" s="451"/>
      <c r="I145" s="448">
        <f t="shared" si="121"/>
        <v>4042660.04</v>
      </c>
      <c r="J145" s="448">
        <v>200000</v>
      </c>
      <c r="K145" s="448">
        <v>0.2</v>
      </c>
      <c r="L145" s="448">
        <f t="shared" si="122"/>
        <v>808532.00799999898</v>
      </c>
      <c r="M145" s="448">
        <f t="shared" si="123"/>
        <v>1008532.008</v>
      </c>
      <c r="N145" s="448">
        <f t="shared" si="124"/>
        <v>1297458.9680000001</v>
      </c>
      <c r="O145" s="448">
        <f t="shared" si="125"/>
        <v>3034128.0320000001</v>
      </c>
      <c r="P145" s="448">
        <f t="shared" si="126"/>
        <v>21000</v>
      </c>
      <c r="Q145" s="448">
        <f t="shared" si="127"/>
        <v>33000</v>
      </c>
      <c r="R145" s="448">
        <f t="shared" si="128"/>
        <v>75000</v>
      </c>
      <c r="S145" s="448">
        <f t="shared" si="129"/>
        <v>95000</v>
      </c>
      <c r="T145" s="448">
        <f t="shared" si="130"/>
        <v>301166.88671999902</v>
      </c>
      <c r="U145" s="448"/>
      <c r="V145" s="448">
        <f t="shared" si="135"/>
        <v>525166.88671999902</v>
      </c>
      <c r="W145" s="455">
        <v>12</v>
      </c>
      <c r="X145" s="448">
        <f t="shared" si="131"/>
        <v>43763.907226666597</v>
      </c>
      <c r="Y145" s="451"/>
      <c r="Z145" s="459">
        <f t="shared" si="132"/>
        <v>43763.907226666597</v>
      </c>
      <c r="AA145" s="460">
        <v>27105.986562666702</v>
      </c>
      <c r="AB145" s="460">
        <f t="shared" si="134"/>
        <v>16657.920663999899</v>
      </c>
      <c r="AC145" s="460"/>
      <c r="AD145" s="460"/>
      <c r="AE145" s="460"/>
    </row>
    <row r="146" spans="1:31" ht="37.5">
      <c r="A146" s="445">
        <v>129</v>
      </c>
      <c r="B146" s="10" t="s">
        <v>543</v>
      </c>
      <c r="C146" s="448">
        <v>323165.33333333302</v>
      </c>
      <c r="D146" s="447">
        <v>12</v>
      </c>
      <c r="E146" s="448">
        <f t="shared" si="133"/>
        <v>3877984</v>
      </c>
      <c r="F146" s="448"/>
      <c r="G146" s="449">
        <v>252638.72</v>
      </c>
      <c r="H146" s="451"/>
      <c r="I146" s="448">
        <f t="shared" si="121"/>
        <v>3625345.28</v>
      </c>
      <c r="J146" s="448">
        <v>200000</v>
      </c>
      <c r="K146" s="448">
        <v>0.2</v>
      </c>
      <c r="L146" s="448">
        <f t="shared" si="122"/>
        <v>725069.05599999905</v>
      </c>
      <c r="M146" s="448">
        <f t="shared" si="123"/>
        <v>925069.05599999905</v>
      </c>
      <c r="N146" s="448">
        <f t="shared" si="124"/>
        <v>1177707.7760000001</v>
      </c>
      <c r="O146" s="448">
        <f t="shared" si="125"/>
        <v>2700276.2239999999</v>
      </c>
      <c r="P146" s="448">
        <f t="shared" si="126"/>
        <v>21000</v>
      </c>
      <c r="Q146" s="448">
        <f t="shared" si="127"/>
        <v>33000</v>
      </c>
      <c r="R146" s="448">
        <f t="shared" si="128"/>
        <v>75000</v>
      </c>
      <c r="S146" s="448">
        <f t="shared" si="129"/>
        <v>95000</v>
      </c>
      <c r="T146" s="448">
        <f t="shared" si="130"/>
        <v>231058.00703999901</v>
      </c>
      <c r="U146" s="448"/>
      <c r="V146" s="448">
        <f t="shared" si="135"/>
        <v>455058.00703999901</v>
      </c>
      <c r="W146" s="455">
        <v>12</v>
      </c>
      <c r="X146" s="448">
        <f t="shared" si="131"/>
        <v>37921.500586666603</v>
      </c>
      <c r="Y146" s="451"/>
      <c r="Z146" s="459">
        <f t="shared" si="132"/>
        <v>37921.500586666603</v>
      </c>
      <c r="AA146" s="460">
        <v>22338.4826046667</v>
      </c>
      <c r="AB146" s="460">
        <f t="shared" si="134"/>
        <v>15583.017981999899</v>
      </c>
      <c r="AC146" s="460"/>
      <c r="AD146" s="460"/>
      <c r="AE146" s="460"/>
    </row>
    <row r="147" spans="1:31" ht="18.75">
      <c r="A147" s="445">
        <v>130</v>
      </c>
      <c r="B147" s="10" t="s">
        <v>545</v>
      </c>
      <c r="C147" s="448">
        <v>368901.5</v>
      </c>
      <c r="D147" s="447">
        <v>12</v>
      </c>
      <c r="E147" s="448">
        <f t="shared" si="133"/>
        <v>4426818</v>
      </c>
      <c r="F147" s="448"/>
      <c r="G147" s="449">
        <v>296545.44</v>
      </c>
      <c r="H147" s="451"/>
      <c r="I147" s="448">
        <f t="shared" si="121"/>
        <v>4130272.56</v>
      </c>
      <c r="J147" s="448">
        <v>200000</v>
      </c>
      <c r="K147" s="448">
        <v>0.2</v>
      </c>
      <c r="L147" s="448">
        <f t="shared" si="122"/>
        <v>826054.51199999999</v>
      </c>
      <c r="M147" s="448">
        <f t="shared" si="123"/>
        <v>1026054.512</v>
      </c>
      <c r="N147" s="448">
        <f t="shared" si="124"/>
        <v>1322599.952</v>
      </c>
      <c r="O147" s="448">
        <f t="shared" si="125"/>
        <v>3104218.048</v>
      </c>
      <c r="P147" s="448">
        <f t="shared" si="126"/>
        <v>21000</v>
      </c>
      <c r="Q147" s="448">
        <f t="shared" si="127"/>
        <v>33000</v>
      </c>
      <c r="R147" s="448">
        <f t="shared" si="128"/>
        <v>75000</v>
      </c>
      <c r="S147" s="448">
        <f t="shared" si="129"/>
        <v>95000</v>
      </c>
      <c r="T147" s="448">
        <f t="shared" si="130"/>
        <v>315885.79008000001</v>
      </c>
      <c r="U147" s="448"/>
      <c r="V147" s="448">
        <f t="shared" si="135"/>
        <v>539885.79007999995</v>
      </c>
      <c r="W147" s="455">
        <v>12</v>
      </c>
      <c r="X147" s="448">
        <f t="shared" si="131"/>
        <v>44990.482506666704</v>
      </c>
      <c r="Y147" s="451"/>
      <c r="Z147" s="459">
        <f t="shared" si="132"/>
        <v>44990.482506666704</v>
      </c>
      <c r="AA147" s="460">
        <v>27105.986562666702</v>
      </c>
      <c r="AB147" s="460">
        <f t="shared" si="134"/>
        <v>17884.495943999998</v>
      </c>
      <c r="AC147" s="460"/>
      <c r="AD147" s="460"/>
      <c r="AE147" s="460"/>
    </row>
    <row r="148" spans="1:31" ht="18.75">
      <c r="A148" s="445">
        <v>131</v>
      </c>
      <c r="B148" s="10" t="s">
        <v>547</v>
      </c>
      <c r="C148" s="448">
        <v>330481.66666666698</v>
      </c>
      <c r="D148" s="447">
        <v>12</v>
      </c>
      <c r="E148" s="448">
        <f t="shared" si="133"/>
        <v>3965780</v>
      </c>
      <c r="F148" s="448"/>
      <c r="G148" s="449">
        <v>259662.4</v>
      </c>
      <c r="H148" s="451"/>
      <c r="I148" s="448">
        <f t="shared" si="121"/>
        <v>3706117.6</v>
      </c>
      <c r="J148" s="448">
        <v>200000</v>
      </c>
      <c r="K148" s="448">
        <v>0.2</v>
      </c>
      <c r="L148" s="448">
        <f t="shared" si="122"/>
        <v>741223.52000000095</v>
      </c>
      <c r="M148" s="448">
        <f t="shared" si="123"/>
        <v>941223.52000000095</v>
      </c>
      <c r="N148" s="448">
        <f t="shared" si="124"/>
        <v>1200885.92</v>
      </c>
      <c r="O148" s="448">
        <f t="shared" si="125"/>
        <v>2764894.08</v>
      </c>
      <c r="P148" s="448">
        <f t="shared" si="126"/>
        <v>21000</v>
      </c>
      <c r="Q148" s="448">
        <f t="shared" si="127"/>
        <v>33000</v>
      </c>
      <c r="R148" s="448">
        <f t="shared" si="128"/>
        <v>75000</v>
      </c>
      <c r="S148" s="448">
        <f t="shared" si="129"/>
        <v>95000</v>
      </c>
      <c r="T148" s="448">
        <f t="shared" si="130"/>
        <v>244627.75680000099</v>
      </c>
      <c r="U148" s="448"/>
      <c r="V148" s="448">
        <f t="shared" si="135"/>
        <v>468627.75680000102</v>
      </c>
      <c r="W148" s="455">
        <v>12</v>
      </c>
      <c r="X148" s="448">
        <f t="shared" si="131"/>
        <v>39052.313066666698</v>
      </c>
      <c r="Y148" s="451"/>
      <c r="Z148" s="459">
        <f t="shared" si="132"/>
        <v>39052.313066666698</v>
      </c>
      <c r="AA148" s="460">
        <v>23036.012346666699</v>
      </c>
      <c r="AB148" s="460">
        <f t="shared" si="134"/>
        <v>16016.300719999999</v>
      </c>
      <c r="AC148" s="460"/>
      <c r="AD148" s="460"/>
      <c r="AE148" s="460"/>
    </row>
    <row r="149" spans="1:31" ht="18.75">
      <c r="A149" s="445">
        <v>132</v>
      </c>
      <c r="B149" s="10" t="s">
        <v>549</v>
      </c>
      <c r="C149" s="448">
        <v>368901.5</v>
      </c>
      <c r="D149" s="447">
        <v>12</v>
      </c>
      <c r="E149" s="448">
        <f t="shared" si="133"/>
        <v>4426818</v>
      </c>
      <c r="F149" s="448">
        <f>457.041*12</f>
        <v>5484.4920000000002</v>
      </c>
      <c r="G149" s="449">
        <v>296545.44</v>
      </c>
      <c r="H149" s="451"/>
      <c r="I149" s="448">
        <f t="shared" si="121"/>
        <v>4124788.068</v>
      </c>
      <c r="J149" s="448">
        <v>200000</v>
      </c>
      <c r="K149" s="448">
        <v>0.2</v>
      </c>
      <c r="L149" s="448">
        <f t="shared" si="122"/>
        <v>824957.61360000004</v>
      </c>
      <c r="M149" s="448">
        <f t="shared" si="123"/>
        <v>1024957.6136</v>
      </c>
      <c r="N149" s="448">
        <f t="shared" si="124"/>
        <v>1326987.5456000001</v>
      </c>
      <c r="O149" s="448">
        <f t="shared" si="125"/>
        <v>3099830.4544000002</v>
      </c>
      <c r="P149" s="448">
        <f t="shared" si="126"/>
        <v>21000</v>
      </c>
      <c r="Q149" s="448">
        <f t="shared" si="127"/>
        <v>33000</v>
      </c>
      <c r="R149" s="448">
        <f t="shared" si="128"/>
        <v>75000</v>
      </c>
      <c r="S149" s="448">
        <f t="shared" si="129"/>
        <v>95000</v>
      </c>
      <c r="T149" s="448">
        <f t="shared" si="130"/>
        <v>314964.39542399999</v>
      </c>
      <c r="U149" s="448"/>
      <c r="V149" s="448">
        <f t="shared" si="135"/>
        <v>538964.39542399999</v>
      </c>
      <c r="W149" s="455">
        <v>12</v>
      </c>
      <c r="X149" s="448">
        <f t="shared" si="131"/>
        <v>44913.699618666702</v>
      </c>
      <c r="Y149" s="451"/>
      <c r="Z149" s="459">
        <f t="shared" si="132"/>
        <v>44913.699618666702</v>
      </c>
      <c r="AA149" s="460">
        <v>27029.2036746667</v>
      </c>
      <c r="AB149" s="460">
        <f t="shared" si="134"/>
        <v>17884.495943999998</v>
      </c>
      <c r="AC149" s="460"/>
      <c r="AD149" s="460"/>
      <c r="AE149" s="460"/>
    </row>
    <row r="150" spans="1:31" ht="18.75">
      <c r="A150" s="445">
        <v>133</v>
      </c>
      <c r="B150" s="10" t="s">
        <v>551</v>
      </c>
      <c r="C150" s="448">
        <v>330481.66666666698</v>
      </c>
      <c r="D150" s="447">
        <v>12</v>
      </c>
      <c r="E150" s="448">
        <f t="shared" si="133"/>
        <v>3965780</v>
      </c>
      <c r="F150" s="448"/>
      <c r="G150" s="449">
        <v>259662.4</v>
      </c>
      <c r="H150" s="451"/>
      <c r="I150" s="448">
        <f t="shared" si="121"/>
        <v>3706117.6</v>
      </c>
      <c r="J150" s="448">
        <v>200000</v>
      </c>
      <c r="K150" s="448">
        <v>0.2</v>
      </c>
      <c r="L150" s="448">
        <f t="shared" si="122"/>
        <v>741223.52000000095</v>
      </c>
      <c r="M150" s="448">
        <f t="shared" si="123"/>
        <v>941223.52000000095</v>
      </c>
      <c r="N150" s="448">
        <f t="shared" si="124"/>
        <v>1200885.92</v>
      </c>
      <c r="O150" s="448">
        <f t="shared" si="125"/>
        <v>2764894.08</v>
      </c>
      <c r="P150" s="448">
        <f t="shared" si="126"/>
        <v>21000</v>
      </c>
      <c r="Q150" s="448">
        <f t="shared" si="127"/>
        <v>33000</v>
      </c>
      <c r="R150" s="448">
        <f t="shared" si="128"/>
        <v>75000</v>
      </c>
      <c r="S150" s="448">
        <f t="shared" si="129"/>
        <v>95000</v>
      </c>
      <c r="T150" s="448">
        <f t="shared" si="130"/>
        <v>244627.75680000099</v>
      </c>
      <c r="U150" s="448"/>
      <c r="V150" s="448">
        <f t="shared" si="135"/>
        <v>468627.75680000102</v>
      </c>
      <c r="W150" s="455">
        <v>12</v>
      </c>
      <c r="X150" s="448">
        <f t="shared" si="131"/>
        <v>39052.313066666698</v>
      </c>
      <c r="Y150" s="451"/>
      <c r="Z150" s="459">
        <f t="shared" si="132"/>
        <v>39052.313066666698</v>
      </c>
      <c r="AA150" s="460">
        <v>22338.4826046667</v>
      </c>
      <c r="AB150" s="460">
        <f t="shared" si="134"/>
        <v>16713.830462000002</v>
      </c>
      <c r="AC150" s="460"/>
      <c r="AD150" s="460"/>
      <c r="AE150" s="460"/>
    </row>
    <row r="151" spans="1:31" ht="18.75">
      <c r="A151" s="445">
        <v>134</v>
      </c>
      <c r="B151" s="17" t="s">
        <v>553</v>
      </c>
      <c r="C151" s="448">
        <v>315849</v>
      </c>
      <c r="D151" s="447">
        <v>12</v>
      </c>
      <c r="E151" s="448">
        <f t="shared" si="133"/>
        <v>3790188</v>
      </c>
      <c r="F151" s="448"/>
      <c r="G151" s="449">
        <v>245615.04</v>
      </c>
      <c r="H151" s="451"/>
      <c r="I151" s="448">
        <f t="shared" si="121"/>
        <v>3544572.96</v>
      </c>
      <c r="J151" s="448">
        <v>200000</v>
      </c>
      <c r="K151" s="448">
        <v>0.2</v>
      </c>
      <c r="L151" s="448">
        <f t="shared" si="122"/>
        <v>708914.59199999995</v>
      </c>
      <c r="M151" s="448">
        <f t="shared" si="123"/>
        <v>908914.59199999995</v>
      </c>
      <c r="N151" s="448">
        <f t="shared" si="124"/>
        <v>1154529.632</v>
      </c>
      <c r="O151" s="448">
        <f t="shared" si="125"/>
        <v>2635658.3679999998</v>
      </c>
      <c r="P151" s="448">
        <f t="shared" si="126"/>
        <v>21000</v>
      </c>
      <c r="Q151" s="448">
        <f t="shared" si="127"/>
        <v>33000</v>
      </c>
      <c r="R151" s="448">
        <f t="shared" si="128"/>
        <v>75000</v>
      </c>
      <c r="S151" s="448">
        <f t="shared" si="129"/>
        <v>95000</v>
      </c>
      <c r="T151" s="448">
        <f t="shared" si="130"/>
        <v>217488.25727999999</v>
      </c>
      <c r="U151" s="448"/>
      <c r="V151" s="448">
        <f t="shared" si="135"/>
        <v>441488.25728000002</v>
      </c>
      <c r="W151" s="455">
        <v>12</v>
      </c>
      <c r="X151" s="448">
        <f t="shared" si="131"/>
        <v>36790.688106666697</v>
      </c>
      <c r="Y151" s="451"/>
      <c r="Z151" s="459">
        <f t="shared" si="132"/>
        <v>36790.688106666697</v>
      </c>
      <c r="AA151" s="460">
        <v>21640.952862666702</v>
      </c>
      <c r="AB151" s="460">
        <f t="shared" si="134"/>
        <v>15149.735244</v>
      </c>
      <c r="AC151" s="460"/>
      <c r="AD151" s="460"/>
      <c r="AE151" s="460"/>
    </row>
    <row r="152" spans="1:31" ht="18.75">
      <c r="A152" s="445">
        <v>135</v>
      </c>
      <c r="B152" s="17" t="s">
        <v>555</v>
      </c>
      <c r="C152" s="448">
        <v>274459.75</v>
      </c>
      <c r="D152" s="447">
        <v>12</v>
      </c>
      <c r="E152" s="448">
        <f t="shared" si="133"/>
        <v>3293517</v>
      </c>
      <c r="F152" s="448">
        <v>0</v>
      </c>
      <c r="G152" s="449">
        <v>215481.36</v>
      </c>
      <c r="H152" s="451"/>
      <c r="I152" s="448">
        <f t="shared" si="121"/>
        <v>3078035.64</v>
      </c>
      <c r="J152" s="448">
        <v>200000</v>
      </c>
      <c r="K152" s="448">
        <v>0.2</v>
      </c>
      <c r="L152" s="448">
        <f t="shared" si="122"/>
        <v>615607.12800000003</v>
      </c>
      <c r="M152" s="448">
        <f t="shared" si="123"/>
        <v>815607.12800000003</v>
      </c>
      <c r="N152" s="448">
        <f t="shared" si="124"/>
        <v>1031088.488</v>
      </c>
      <c r="O152" s="448">
        <f t="shared" si="125"/>
        <v>2262428.5120000001</v>
      </c>
      <c r="P152" s="448">
        <f t="shared" si="126"/>
        <v>21000</v>
      </c>
      <c r="Q152" s="448">
        <f t="shared" si="127"/>
        <v>33000</v>
      </c>
      <c r="R152" s="448">
        <f t="shared" si="128"/>
        <v>75000</v>
      </c>
      <c r="S152" s="448">
        <f t="shared" si="129"/>
        <v>95000</v>
      </c>
      <c r="T152" s="448">
        <f t="shared" si="130"/>
        <v>139109.98752</v>
      </c>
      <c r="U152" s="448"/>
      <c r="V152" s="448">
        <f t="shared" si="135"/>
        <v>363109.98752000002</v>
      </c>
      <c r="W152" s="455">
        <v>12</v>
      </c>
      <c r="X152" s="448">
        <f t="shared" si="131"/>
        <v>30259.165626666701</v>
      </c>
      <c r="Y152" s="451"/>
      <c r="Z152" s="459">
        <f t="shared" si="132"/>
        <v>30259.165626666701</v>
      </c>
      <c r="AA152" s="460">
        <v>17042.713866666702</v>
      </c>
      <c r="AB152" s="460">
        <f t="shared" si="134"/>
        <v>13216.45176</v>
      </c>
      <c r="AC152" s="460"/>
      <c r="AD152" s="460"/>
      <c r="AE152" s="460"/>
    </row>
    <row r="153" spans="1:31" ht="18.75">
      <c r="A153" s="445">
        <v>136</v>
      </c>
      <c r="B153" s="17" t="s">
        <v>557</v>
      </c>
      <c r="C153" s="448">
        <v>274459.75</v>
      </c>
      <c r="D153" s="447">
        <v>12</v>
      </c>
      <c r="E153" s="448">
        <f t="shared" si="133"/>
        <v>3293517</v>
      </c>
      <c r="F153" s="448">
        <v>0</v>
      </c>
      <c r="G153" s="449">
        <v>215481.36</v>
      </c>
      <c r="H153" s="451"/>
      <c r="I153" s="448">
        <f t="shared" si="121"/>
        <v>3078035.64</v>
      </c>
      <c r="J153" s="448">
        <v>200000</v>
      </c>
      <c r="K153" s="448">
        <v>0.2</v>
      </c>
      <c r="L153" s="448">
        <f t="shared" si="122"/>
        <v>615607.12800000003</v>
      </c>
      <c r="M153" s="448">
        <f t="shared" si="123"/>
        <v>815607.12800000003</v>
      </c>
      <c r="N153" s="448">
        <f t="shared" si="124"/>
        <v>1031088.488</v>
      </c>
      <c r="O153" s="448">
        <f t="shared" si="125"/>
        <v>2262428.5120000001</v>
      </c>
      <c r="P153" s="448">
        <f t="shared" si="126"/>
        <v>21000</v>
      </c>
      <c r="Q153" s="448">
        <f t="shared" si="127"/>
        <v>33000</v>
      </c>
      <c r="R153" s="448">
        <f t="shared" si="128"/>
        <v>75000</v>
      </c>
      <c r="S153" s="448">
        <f t="shared" si="129"/>
        <v>95000</v>
      </c>
      <c r="T153" s="448">
        <f t="shared" si="130"/>
        <v>139109.98752</v>
      </c>
      <c r="U153" s="448"/>
      <c r="V153" s="448">
        <f t="shared" si="135"/>
        <v>363109.98752000002</v>
      </c>
      <c r="W153" s="455">
        <v>12</v>
      </c>
      <c r="X153" s="448">
        <f t="shared" si="131"/>
        <v>30259.165626666701</v>
      </c>
      <c r="Y153" s="451"/>
      <c r="Z153" s="459">
        <f t="shared" si="132"/>
        <v>30259.165626666701</v>
      </c>
      <c r="AA153" s="460">
        <v>17042.713866666702</v>
      </c>
      <c r="AB153" s="460">
        <f t="shared" si="134"/>
        <v>13216.45176</v>
      </c>
      <c r="AC153" s="460"/>
      <c r="AD153" s="460"/>
      <c r="AE153" s="460"/>
    </row>
    <row r="154" spans="1:31" ht="37.5">
      <c r="A154" s="445">
        <v>137</v>
      </c>
      <c r="B154" s="17" t="s">
        <v>559</v>
      </c>
      <c r="C154" s="448">
        <v>274459.75</v>
      </c>
      <c r="D154" s="447">
        <v>12</v>
      </c>
      <c r="E154" s="448">
        <f t="shared" si="133"/>
        <v>3293517</v>
      </c>
      <c r="F154" s="448">
        <v>0</v>
      </c>
      <c r="G154" s="449">
        <v>215481.36</v>
      </c>
      <c r="H154" s="451"/>
      <c r="I154" s="448">
        <f t="shared" si="121"/>
        <v>3078035.64</v>
      </c>
      <c r="J154" s="448">
        <v>200000</v>
      </c>
      <c r="K154" s="448">
        <v>0.2</v>
      </c>
      <c r="L154" s="448">
        <f t="shared" si="122"/>
        <v>615607.12800000003</v>
      </c>
      <c r="M154" s="448">
        <f t="shared" si="123"/>
        <v>815607.12800000003</v>
      </c>
      <c r="N154" s="448">
        <f t="shared" si="124"/>
        <v>1031088.488</v>
      </c>
      <c r="O154" s="448">
        <f t="shared" si="125"/>
        <v>2262428.5120000001</v>
      </c>
      <c r="P154" s="448">
        <f t="shared" si="126"/>
        <v>21000</v>
      </c>
      <c r="Q154" s="448">
        <f t="shared" si="127"/>
        <v>33000</v>
      </c>
      <c r="R154" s="448">
        <f t="shared" si="128"/>
        <v>75000</v>
      </c>
      <c r="S154" s="448">
        <f t="shared" si="129"/>
        <v>95000</v>
      </c>
      <c r="T154" s="448">
        <f t="shared" si="130"/>
        <v>139109.98752</v>
      </c>
      <c r="U154" s="448"/>
      <c r="V154" s="448">
        <f t="shared" si="135"/>
        <v>363109.98752000002</v>
      </c>
      <c r="W154" s="455">
        <v>12</v>
      </c>
      <c r="X154" s="448">
        <f t="shared" si="131"/>
        <v>30259.165626666701</v>
      </c>
      <c r="Y154" s="451"/>
      <c r="Z154" s="459">
        <f t="shared" si="132"/>
        <v>30259.165626666701</v>
      </c>
      <c r="AA154" s="460">
        <v>17042.713866666702</v>
      </c>
      <c r="AB154" s="460">
        <f t="shared" si="134"/>
        <v>13216.45176</v>
      </c>
      <c r="AC154" s="460"/>
      <c r="AD154" s="460"/>
      <c r="AE154" s="460"/>
    </row>
    <row r="155" spans="1:31" ht="18.75">
      <c r="A155" s="445">
        <v>138</v>
      </c>
      <c r="B155" s="17" t="s">
        <v>561</v>
      </c>
      <c r="C155" s="448">
        <v>280631.91666666698</v>
      </c>
      <c r="D155" s="447">
        <v>12</v>
      </c>
      <c r="E155" s="448">
        <f t="shared" si="133"/>
        <v>3367583</v>
      </c>
      <c r="F155" s="448">
        <v>0</v>
      </c>
      <c r="G155" s="449">
        <v>221406.64</v>
      </c>
      <c r="H155" s="451"/>
      <c r="I155" s="448">
        <f t="shared" si="121"/>
        <v>3146176.36</v>
      </c>
      <c r="J155" s="448">
        <v>200000</v>
      </c>
      <c r="K155" s="448">
        <v>0.2</v>
      </c>
      <c r="L155" s="448">
        <f t="shared" si="122"/>
        <v>629235.27200000104</v>
      </c>
      <c r="M155" s="448">
        <f t="shared" si="123"/>
        <v>829235.27200000104</v>
      </c>
      <c r="N155" s="448">
        <f t="shared" si="124"/>
        <v>1050641.912</v>
      </c>
      <c r="O155" s="448">
        <f t="shared" si="125"/>
        <v>2316941.088</v>
      </c>
      <c r="P155" s="448">
        <f t="shared" si="126"/>
        <v>21000</v>
      </c>
      <c r="Q155" s="448">
        <f t="shared" si="127"/>
        <v>33000</v>
      </c>
      <c r="R155" s="448">
        <f t="shared" si="128"/>
        <v>75000</v>
      </c>
      <c r="S155" s="448">
        <f t="shared" si="129"/>
        <v>95000</v>
      </c>
      <c r="T155" s="448">
        <f t="shared" si="130"/>
        <v>150557.628480001</v>
      </c>
      <c r="U155" s="448"/>
      <c r="V155" s="448">
        <f t="shared" si="135"/>
        <v>374557.628480001</v>
      </c>
      <c r="W155" s="455">
        <v>12</v>
      </c>
      <c r="X155" s="448">
        <f t="shared" si="131"/>
        <v>31213.135706666701</v>
      </c>
      <c r="Y155" s="451"/>
      <c r="Z155" s="459">
        <f t="shared" si="132"/>
        <v>31213.135706666701</v>
      </c>
      <c r="AA155" s="460">
        <v>17572.885002666699</v>
      </c>
      <c r="AB155" s="460">
        <f t="shared" si="134"/>
        <v>13640.250704</v>
      </c>
      <c r="AC155" s="460"/>
      <c r="AD155" s="460"/>
      <c r="AE155" s="460"/>
    </row>
    <row r="156" spans="1:31" ht="18.75">
      <c r="A156" s="445">
        <v>139</v>
      </c>
      <c r="B156" s="17" t="s">
        <v>563</v>
      </c>
      <c r="C156" s="448">
        <v>274459.75</v>
      </c>
      <c r="D156" s="447">
        <v>12</v>
      </c>
      <c r="E156" s="448">
        <f t="shared" si="133"/>
        <v>3293517</v>
      </c>
      <c r="F156" s="448">
        <v>0</v>
      </c>
      <c r="G156" s="449">
        <v>215481.36</v>
      </c>
      <c r="H156" s="451"/>
      <c r="I156" s="448">
        <f t="shared" si="121"/>
        <v>3078035.64</v>
      </c>
      <c r="J156" s="448">
        <v>200000</v>
      </c>
      <c r="K156" s="448">
        <v>0.2</v>
      </c>
      <c r="L156" s="448">
        <f t="shared" si="122"/>
        <v>615607.12800000003</v>
      </c>
      <c r="M156" s="448">
        <f t="shared" si="123"/>
        <v>815607.12800000003</v>
      </c>
      <c r="N156" s="448">
        <f t="shared" si="124"/>
        <v>1031088.488</v>
      </c>
      <c r="O156" s="448">
        <f t="shared" si="125"/>
        <v>2262428.5120000001</v>
      </c>
      <c r="P156" s="448">
        <f t="shared" si="126"/>
        <v>21000</v>
      </c>
      <c r="Q156" s="448">
        <f t="shared" si="127"/>
        <v>33000</v>
      </c>
      <c r="R156" s="448">
        <f t="shared" si="128"/>
        <v>75000</v>
      </c>
      <c r="S156" s="448">
        <f t="shared" si="129"/>
        <v>95000</v>
      </c>
      <c r="T156" s="448">
        <f t="shared" si="130"/>
        <v>139109.98752</v>
      </c>
      <c r="U156" s="448"/>
      <c r="V156" s="448">
        <f t="shared" si="135"/>
        <v>363109.98752000002</v>
      </c>
      <c r="W156" s="455">
        <v>12</v>
      </c>
      <c r="X156" s="448">
        <f t="shared" si="131"/>
        <v>30259.165626666701</v>
      </c>
      <c r="Y156" s="451"/>
      <c r="Z156" s="459">
        <f t="shared" si="132"/>
        <v>30259.165626666701</v>
      </c>
      <c r="AA156" s="460">
        <v>17042.713866666702</v>
      </c>
      <c r="AB156" s="460">
        <f t="shared" si="134"/>
        <v>13216.45176</v>
      </c>
      <c r="AC156" s="460"/>
      <c r="AD156" s="460"/>
      <c r="AE156" s="460"/>
    </row>
    <row r="157" spans="1:31" ht="18.75">
      <c r="A157" s="445">
        <v>140</v>
      </c>
      <c r="B157" s="10" t="s">
        <v>564</v>
      </c>
      <c r="C157" s="448">
        <v>202598.16666666701</v>
      </c>
      <c r="D157" s="447">
        <v>12</v>
      </c>
      <c r="E157" s="448">
        <f t="shared" si="133"/>
        <v>2431178</v>
      </c>
      <c r="F157" s="448">
        <f>263.19*12</f>
        <v>3158.28</v>
      </c>
      <c r="G157" s="449">
        <v>161854.24</v>
      </c>
      <c r="H157" s="451"/>
      <c r="I157" s="448">
        <f t="shared" si="121"/>
        <v>2266165.48</v>
      </c>
      <c r="J157" s="448">
        <v>200000</v>
      </c>
      <c r="K157" s="448">
        <v>0.2</v>
      </c>
      <c r="L157" s="448">
        <f t="shared" si="122"/>
        <v>453233.09600000101</v>
      </c>
      <c r="M157" s="448">
        <f t="shared" si="123"/>
        <v>653233.09600000095</v>
      </c>
      <c r="N157" s="448">
        <f t="shared" si="124"/>
        <v>818245.61600000097</v>
      </c>
      <c r="O157" s="448">
        <f t="shared" si="125"/>
        <v>1612932.3840000001</v>
      </c>
      <c r="P157" s="448">
        <f t="shared" si="126"/>
        <v>21000</v>
      </c>
      <c r="Q157" s="448">
        <f t="shared" si="127"/>
        <v>33000</v>
      </c>
      <c r="R157" s="448">
        <f t="shared" si="128"/>
        <v>75000</v>
      </c>
      <c r="S157" s="448">
        <f t="shared" si="129"/>
        <v>95000</v>
      </c>
      <c r="T157" s="448">
        <f t="shared" si="130"/>
        <v>2715.8006400006998</v>
      </c>
      <c r="U157" s="448"/>
      <c r="V157" s="448">
        <f t="shared" si="135"/>
        <v>226715.80064000099</v>
      </c>
      <c r="W157" s="455">
        <v>12</v>
      </c>
      <c r="X157" s="448">
        <f t="shared" si="131"/>
        <v>18892.9833866667</v>
      </c>
      <c r="Y157" s="451"/>
      <c r="Z157" s="459">
        <f t="shared" si="132"/>
        <v>18892.9833866667</v>
      </c>
      <c r="AA157" s="460">
        <v>10739.3048</v>
      </c>
      <c r="AB157" s="460">
        <f t="shared" si="134"/>
        <v>8153.6785866667296</v>
      </c>
      <c r="AC157" s="460"/>
      <c r="AD157" s="460"/>
      <c r="AE157" s="460"/>
    </row>
    <row r="158" spans="1:31" ht="18.75">
      <c r="A158" s="445">
        <v>141</v>
      </c>
      <c r="B158" s="10" t="s">
        <v>567</v>
      </c>
      <c r="C158" s="448">
        <v>205598.16666666701</v>
      </c>
      <c r="D158" s="447">
        <v>12</v>
      </c>
      <c r="E158" s="448">
        <f t="shared" si="133"/>
        <v>2467178</v>
      </c>
      <c r="F158" s="448"/>
      <c r="G158" s="449">
        <v>161854.24</v>
      </c>
      <c r="H158" s="451"/>
      <c r="I158" s="448">
        <f t="shared" si="121"/>
        <v>2305323.7599999998</v>
      </c>
      <c r="J158" s="448">
        <v>200000</v>
      </c>
      <c r="K158" s="448">
        <v>0.2</v>
      </c>
      <c r="L158" s="448">
        <f t="shared" si="122"/>
        <v>461064.75200000103</v>
      </c>
      <c r="M158" s="448">
        <f t="shared" si="123"/>
        <v>661064.75200000103</v>
      </c>
      <c r="N158" s="448">
        <f t="shared" si="124"/>
        <v>822918.99200000102</v>
      </c>
      <c r="O158" s="448">
        <f t="shared" si="125"/>
        <v>1644259.0079999999</v>
      </c>
      <c r="P158" s="448">
        <f t="shared" si="126"/>
        <v>21000</v>
      </c>
      <c r="Q158" s="448">
        <f t="shared" si="127"/>
        <v>33000</v>
      </c>
      <c r="R158" s="448">
        <f t="shared" si="128"/>
        <v>75000</v>
      </c>
      <c r="S158" s="448">
        <f t="shared" si="129"/>
        <v>95000</v>
      </c>
      <c r="T158" s="448">
        <f t="shared" si="130"/>
        <v>9294.39168000067</v>
      </c>
      <c r="U158" s="448"/>
      <c r="V158" s="448">
        <f t="shared" si="135"/>
        <v>233294.39168000099</v>
      </c>
      <c r="W158" s="455">
        <v>12</v>
      </c>
      <c r="X158" s="448">
        <f t="shared" si="131"/>
        <v>19441.199306666698</v>
      </c>
      <c r="Y158" s="451"/>
      <c r="Z158" s="459">
        <f t="shared" si="132"/>
        <v>19441.199306666698</v>
      </c>
      <c r="AA158" s="460">
        <v>11232.457626666701</v>
      </c>
      <c r="AB158" s="460">
        <f t="shared" si="134"/>
        <v>8208.7416800000192</v>
      </c>
      <c r="AC158" s="460"/>
      <c r="AD158" s="460"/>
      <c r="AE158" s="460"/>
    </row>
    <row r="159" spans="1:31" ht="15.75" customHeight="1">
      <c r="A159" s="445">
        <v>142</v>
      </c>
      <c r="B159" s="10" t="s">
        <v>568</v>
      </c>
      <c r="C159" s="448">
        <v>202598.16666666701</v>
      </c>
      <c r="D159" s="447">
        <v>12</v>
      </c>
      <c r="E159" s="448">
        <f t="shared" si="133"/>
        <v>2431178</v>
      </c>
      <c r="F159" s="448"/>
      <c r="G159" s="449">
        <v>161854.24</v>
      </c>
      <c r="H159" s="451"/>
      <c r="I159" s="448">
        <f t="shared" si="121"/>
        <v>2269323.7599999998</v>
      </c>
      <c r="J159" s="448">
        <v>200000</v>
      </c>
      <c r="K159" s="448">
        <v>0.2</v>
      </c>
      <c r="L159" s="448">
        <f t="shared" si="122"/>
        <v>453864.75200000103</v>
      </c>
      <c r="M159" s="448">
        <f t="shared" si="123"/>
        <v>653864.75200000103</v>
      </c>
      <c r="N159" s="448">
        <f t="shared" si="124"/>
        <v>815718.99200000102</v>
      </c>
      <c r="O159" s="448">
        <f t="shared" si="125"/>
        <v>1615459.0079999999</v>
      </c>
      <c r="P159" s="448">
        <f t="shared" si="126"/>
        <v>21000</v>
      </c>
      <c r="Q159" s="448">
        <f t="shared" si="127"/>
        <v>33000</v>
      </c>
      <c r="R159" s="448">
        <f t="shared" si="128"/>
        <v>75000</v>
      </c>
      <c r="S159" s="448">
        <f t="shared" si="129"/>
        <v>95000</v>
      </c>
      <c r="T159" s="448">
        <f t="shared" si="130"/>
        <v>3246.39168000067</v>
      </c>
      <c r="U159" s="448"/>
      <c r="V159" s="448">
        <f t="shared" si="135"/>
        <v>227246.39168000099</v>
      </c>
      <c r="W159" s="455">
        <v>12</v>
      </c>
      <c r="X159" s="448">
        <f t="shared" si="131"/>
        <v>18937.199306666698</v>
      </c>
      <c r="Y159" s="451"/>
      <c r="Z159" s="459">
        <f t="shared" si="132"/>
        <v>18937.199306666698</v>
      </c>
      <c r="AA159" s="460">
        <v>10776.457626666701</v>
      </c>
      <c r="AB159" s="460">
        <f t="shared" si="134"/>
        <v>8160.7416800000201</v>
      </c>
      <c r="AC159" s="460"/>
      <c r="AD159" s="460"/>
      <c r="AE159" s="460"/>
    </row>
    <row r="160" spans="1:31" ht="18.75">
      <c r="A160" s="445">
        <v>143</v>
      </c>
      <c r="B160" s="10" t="s">
        <v>569</v>
      </c>
      <c r="C160" s="448">
        <v>202598.16666666701</v>
      </c>
      <c r="D160" s="447">
        <v>12</v>
      </c>
      <c r="E160" s="448">
        <f t="shared" si="133"/>
        <v>2431178</v>
      </c>
      <c r="F160" s="448">
        <f>263.19*12</f>
        <v>3158.28</v>
      </c>
      <c r="G160" s="449">
        <v>161854.24</v>
      </c>
      <c r="H160" s="451"/>
      <c r="I160" s="448">
        <f t="shared" si="121"/>
        <v>2266165.48</v>
      </c>
      <c r="J160" s="448">
        <v>200000</v>
      </c>
      <c r="K160" s="448">
        <v>0.2</v>
      </c>
      <c r="L160" s="448">
        <f t="shared" si="122"/>
        <v>453233.09600000101</v>
      </c>
      <c r="M160" s="448">
        <f t="shared" si="123"/>
        <v>653233.09600000095</v>
      </c>
      <c r="N160" s="448">
        <f t="shared" si="124"/>
        <v>818245.61600000097</v>
      </c>
      <c r="O160" s="448">
        <f t="shared" si="125"/>
        <v>1612932.3840000001</v>
      </c>
      <c r="P160" s="448">
        <f t="shared" si="126"/>
        <v>21000</v>
      </c>
      <c r="Q160" s="448">
        <f t="shared" si="127"/>
        <v>33000</v>
      </c>
      <c r="R160" s="448">
        <f t="shared" si="128"/>
        <v>75000</v>
      </c>
      <c r="S160" s="448">
        <f t="shared" si="129"/>
        <v>95000</v>
      </c>
      <c r="T160" s="448">
        <f t="shared" si="130"/>
        <v>2715.8006400006998</v>
      </c>
      <c r="U160" s="448"/>
      <c r="V160" s="448">
        <f t="shared" si="135"/>
        <v>226715.80064000099</v>
      </c>
      <c r="W160" s="455">
        <v>12</v>
      </c>
      <c r="X160" s="448">
        <f t="shared" si="131"/>
        <v>18892.9833866667</v>
      </c>
      <c r="Y160" s="451"/>
      <c r="Z160" s="459">
        <f t="shared" si="132"/>
        <v>18892.9833866667</v>
      </c>
      <c r="AA160" s="460">
        <v>10739.3048</v>
      </c>
      <c r="AB160" s="460">
        <f t="shared" si="134"/>
        <v>8153.6785866667296</v>
      </c>
      <c r="AC160" s="460"/>
      <c r="AD160" s="460"/>
      <c r="AE160" s="460"/>
    </row>
    <row r="161" spans="1:31" ht="18.75">
      <c r="A161" s="445">
        <v>144</v>
      </c>
      <c r="B161" s="10" t="s">
        <v>570</v>
      </c>
      <c r="C161" s="448">
        <v>202598.16666666701</v>
      </c>
      <c r="D161" s="447">
        <v>12</v>
      </c>
      <c r="E161" s="448">
        <f t="shared" si="133"/>
        <v>2431178</v>
      </c>
      <c r="F161" s="448"/>
      <c r="G161" s="449">
        <v>161854.24</v>
      </c>
      <c r="H161" s="451"/>
      <c r="I161" s="448">
        <f t="shared" si="121"/>
        <v>2269323.7599999998</v>
      </c>
      <c r="J161" s="448">
        <v>200000</v>
      </c>
      <c r="K161" s="448">
        <v>0.2</v>
      </c>
      <c r="L161" s="448">
        <f t="shared" si="122"/>
        <v>453864.75200000103</v>
      </c>
      <c r="M161" s="448">
        <f t="shared" si="123"/>
        <v>653864.75200000103</v>
      </c>
      <c r="N161" s="448">
        <f t="shared" si="124"/>
        <v>815718.99200000102</v>
      </c>
      <c r="O161" s="448">
        <f t="shared" si="125"/>
        <v>1615459.0079999999</v>
      </c>
      <c r="P161" s="448">
        <f t="shared" si="126"/>
        <v>21000</v>
      </c>
      <c r="Q161" s="448">
        <f t="shared" si="127"/>
        <v>33000</v>
      </c>
      <c r="R161" s="448">
        <f t="shared" si="128"/>
        <v>75000</v>
      </c>
      <c r="S161" s="448">
        <f t="shared" si="129"/>
        <v>95000</v>
      </c>
      <c r="T161" s="448">
        <f t="shared" si="130"/>
        <v>3246.39168000067</v>
      </c>
      <c r="U161" s="448"/>
      <c r="V161" s="448">
        <f t="shared" si="135"/>
        <v>227246.39168000099</v>
      </c>
      <c r="W161" s="455">
        <v>12</v>
      </c>
      <c r="X161" s="448">
        <f t="shared" si="131"/>
        <v>18937.199306666698</v>
      </c>
      <c r="Y161" s="451"/>
      <c r="Z161" s="459">
        <f t="shared" si="132"/>
        <v>18937.199306666698</v>
      </c>
      <c r="AA161" s="460">
        <v>10776.457626666701</v>
      </c>
      <c r="AB161" s="460">
        <f t="shared" si="134"/>
        <v>8160.7416800000201</v>
      </c>
      <c r="AC161" s="460"/>
      <c r="AD161" s="460"/>
      <c r="AE161" s="460"/>
    </row>
    <row r="162" spans="1:31" ht="18.75">
      <c r="A162" s="445">
        <v>145</v>
      </c>
      <c r="B162" s="10" t="s">
        <v>571</v>
      </c>
      <c r="C162" s="448">
        <v>200336.83333333299</v>
      </c>
      <c r="D162" s="447">
        <v>12</v>
      </c>
      <c r="E162" s="448">
        <f t="shared" si="133"/>
        <v>2404042</v>
      </c>
      <c r="F162" s="448"/>
      <c r="G162" s="449">
        <v>156803.35999999999</v>
      </c>
      <c r="H162" s="451"/>
      <c r="I162" s="448">
        <f t="shared" si="121"/>
        <v>2247238.64</v>
      </c>
      <c r="J162" s="448">
        <v>200000</v>
      </c>
      <c r="K162" s="448">
        <v>0.2</v>
      </c>
      <c r="L162" s="448">
        <f t="shared" si="122"/>
        <v>449447.72799999901</v>
      </c>
      <c r="M162" s="448">
        <f t="shared" si="123"/>
        <v>649447.72799999896</v>
      </c>
      <c r="N162" s="448">
        <f t="shared" si="124"/>
        <v>806251.08799999906</v>
      </c>
      <c r="O162" s="448">
        <f t="shared" si="125"/>
        <v>1597790.912</v>
      </c>
      <c r="P162" s="448">
        <f t="shared" si="126"/>
        <v>21000</v>
      </c>
      <c r="Q162" s="448">
        <f t="shared" si="127"/>
        <v>33000</v>
      </c>
      <c r="R162" s="448">
        <f t="shared" si="128"/>
        <v>75000</v>
      </c>
      <c r="S162" s="448">
        <f t="shared" si="129"/>
        <v>94580.273279999397</v>
      </c>
      <c r="T162" s="448">
        <f t="shared" si="130"/>
        <v>0</v>
      </c>
      <c r="U162" s="448"/>
      <c r="V162" s="448">
        <f t="shared" si="135"/>
        <v>223580.273279999</v>
      </c>
      <c r="W162" s="455">
        <v>12</v>
      </c>
      <c r="X162" s="448">
        <f t="shared" si="131"/>
        <v>18631.6894399999</v>
      </c>
      <c r="Y162" s="451"/>
      <c r="Z162" s="459">
        <f t="shared" si="132"/>
        <v>18631.6894399999</v>
      </c>
      <c r="AA162" s="460">
        <v>11232.457626666701</v>
      </c>
      <c r="AB162" s="460">
        <f t="shared" si="134"/>
        <v>7399.2318133332501</v>
      </c>
      <c r="AC162" s="460"/>
      <c r="AD162" s="460"/>
      <c r="AE162" s="460"/>
    </row>
    <row r="163" spans="1:31" ht="18.75">
      <c r="A163" s="445">
        <v>146</v>
      </c>
      <c r="B163" s="10" t="s">
        <v>573</v>
      </c>
      <c r="C163" s="448">
        <v>197336.83333333299</v>
      </c>
      <c r="D163" s="447">
        <v>12</v>
      </c>
      <c r="E163" s="448">
        <f t="shared" si="133"/>
        <v>2368042</v>
      </c>
      <c r="F163" s="448"/>
      <c r="G163" s="449">
        <v>156803.35999999999</v>
      </c>
      <c r="H163" s="451"/>
      <c r="I163" s="448">
        <f t="shared" si="121"/>
        <v>2211238.64</v>
      </c>
      <c r="J163" s="448">
        <v>200000</v>
      </c>
      <c r="K163" s="448">
        <v>0.2</v>
      </c>
      <c r="L163" s="448">
        <f t="shared" si="122"/>
        <v>442247.72799999901</v>
      </c>
      <c r="M163" s="448">
        <f t="shared" si="123"/>
        <v>642247.72799999896</v>
      </c>
      <c r="N163" s="448">
        <f t="shared" si="124"/>
        <v>799051.08799999906</v>
      </c>
      <c r="O163" s="448">
        <f t="shared" si="125"/>
        <v>1568990.912</v>
      </c>
      <c r="P163" s="448">
        <f t="shared" si="126"/>
        <v>21000</v>
      </c>
      <c r="Q163" s="448">
        <f t="shared" si="127"/>
        <v>33000</v>
      </c>
      <c r="R163" s="448">
        <f t="shared" si="128"/>
        <v>75000</v>
      </c>
      <c r="S163" s="448">
        <f t="shared" si="129"/>
        <v>89108.273279999397</v>
      </c>
      <c r="T163" s="448">
        <f t="shared" si="130"/>
        <v>0</v>
      </c>
      <c r="U163" s="448"/>
      <c r="V163" s="448">
        <f t="shared" si="135"/>
        <v>218108.273279999</v>
      </c>
      <c r="W163" s="455">
        <v>12</v>
      </c>
      <c r="X163" s="448">
        <f t="shared" si="131"/>
        <v>18175.6894399999</v>
      </c>
      <c r="Y163" s="451"/>
      <c r="Z163" s="459">
        <f t="shared" si="132"/>
        <v>18175.6894399999</v>
      </c>
      <c r="AA163" s="460">
        <v>10776.457626666701</v>
      </c>
      <c r="AB163" s="460">
        <f t="shared" si="134"/>
        <v>7399.2318133332501</v>
      </c>
      <c r="AC163" s="460"/>
      <c r="AD163" s="460"/>
      <c r="AE163" s="460"/>
    </row>
    <row r="164" spans="1:31" ht="18.75">
      <c r="A164" s="445">
        <v>147</v>
      </c>
      <c r="B164" s="13" t="s">
        <v>574</v>
      </c>
      <c r="C164" s="448">
        <v>200336.83333333299</v>
      </c>
      <c r="D164" s="447">
        <v>12</v>
      </c>
      <c r="E164" s="448">
        <f t="shared" si="133"/>
        <v>2404042</v>
      </c>
      <c r="F164" s="448"/>
      <c r="G164" s="449">
        <v>156803.35999999999</v>
      </c>
      <c r="H164" s="451"/>
      <c r="I164" s="448">
        <f t="shared" si="121"/>
        <v>2247238.64</v>
      </c>
      <c r="J164" s="448">
        <v>200000</v>
      </c>
      <c r="K164" s="448">
        <v>0.2</v>
      </c>
      <c r="L164" s="448">
        <f t="shared" si="122"/>
        <v>449447.72799999901</v>
      </c>
      <c r="M164" s="448">
        <f t="shared" si="123"/>
        <v>649447.72799999896</v>
      </c>
      <c r="N164" s="448">
        <f t="shared" si="124"/>
        <v>806251.08799999906</v>
      </c>
      <c r="O164" s="448">
        <f t="shared" si="125"/>
        <v>1597790.912</v>
      </c>
      <c r="P164" s="448">
        <f t="shared" si="126"/>
        <v>21000</v>
      </c>
      <c r="Q164" s="448">
        <f t="shared" si="127"/>
        <v>33000</v>
      </c>
      <c r="R164" s="448">
        <f t="shared" si="128"/>
        <v>75000</v>
      </c>
      <c r="S164" s="448">
        <f t="shared" si="129"/>
        <v>94580.273279999397</v>
      </c>
      <c r="T164" s="448">
        <f t="shared" si="130"/>
        <v>0</v>
      </c>
      <c r="U164" s="448"/>
      <c r="V164" s="448">
        <f t="shared" si="135"/>
        <v>223580.273279999</v>
      </c>
      <c r="W164" s="455">
        <v>12</v>
      </c>
      <c r="X164" s="448">
        <f t="shared" si="131"/>
        <v>18631.6894399999</v>
      </c>
      <c r="Y164" s="451"/>
      <c r="Z164" s="459">
        <f t="shared" si="132"/>
        <v>18631.6894399999</v>
      </c>
      <c r="AA164" s="460">
        <v>11232.457626666701</v>
      </c>
      <c r="AB164" s="460">
        <f t="shared" si="134"/>
        <v>7399.2318133332501</v>
      </c>
      <c r="AC164" s="460"/>
      <c r="AD164" s="460"/>
      <c r="AE164" s="460"/>
    </row>
    <row r="165" spans="1:31" ht="18.75">
      <c r="A165" s="445">
        <v>148</v>
      </c>
      <c r="B165" s="10" t="s">
        <v>575</v>
      </c>
      <c r="C165" s="448">
        <v>197336.83333333299</v>
      </c>
      <c r="D165" s="447">
        <v>12</v>
      </c>
      <c r="E165" s="448">
        <f t="shared" si="133"/>
        <v>2368042</v>
      </c>
      <c r="F165" s="448"/>
      <c r="G165" s="449">
        <v>156803.35999999999</v>
      </c>
      <c r="H165" s="451"/>
      <c r="I165" s="448">
        <f t="shared" si="121"/>
        <v>2211238.64</v>
      </c>
      <c r="J165" s="448">
        <v>200000</v>
      </c>
      <c r="K165" s="448">
        <v>0.2</v>
      </c>
      <c r="L165" s="448">
        <f t="shared" si="122"/>
        <v>442247.72799999901</v>
      </c>
      <c r="M165" s="448">
        <f t="shared" si="123"/>
        <v>642247.72799999896</v>
      </c>
      <c r="N165" s="448">
        <f t="shared" si="124"/>
        <v>799051.08799999906</v>
      </c>
      <c r="O165" s="448">
        <f t="shared" si="125"/>
        <v>1568990.912</v>
      </c>
      <c r="P165" s="448">
        <f t="shared" si="126"/>
        <v>21000</v>
      </c>
      <c r="Q165" s="448">
        <f t="shared" si="127"/>
        <v>33000</v>
      </c>
      <c r="R165" s="448">
        <f t="shared" si="128"/>
        <v>75000</v>
      </c>
      <c r="S165" s="448">
        <f t="shared" si="129"/>
        <v>89108.273279999397</v>
      </c>
      <c r="T165" s="448">
        <f t="shared" si="130"/>
        <v>0</v>
      </c>
      <c r="U165" s="448"/>
      <c r="V165" s="448">
        <f t="shared" si="135"/>
        <v>218108.273279999</v>
      </c>
      <c r="W165" s="455">
        <v>12</v>
      </c>
      <c r="X165" s="448">
        <f t="shared" si="131"/>
        <v>18175.6894399999</v>
      </c>
      <c r="Y165" s="451"/>
      <c r="Z165" s="459">
        <f t="shared" si="132"/>
        <v>18175.6894399999</v>
      </c>
      <c r="AA165" s="460">
        <v>10776.457626666701</v>
      </c>
      <c r="AB165" s="460">
        <f t="shared" si="134"/>
        <v>7399.2318133332501</v>
      </c>
      <c r="AC165" s="460"/>
      <c r="AD165" s="460"/>
      <c r="AE165" s="460"/>
    </row>
    <row r="166" spans="1:31" ht="18.75">
      <c r="A166" s="445">
        <v>149</v>
      </c>
      <c r="B166" s="17" t="s">
        <v>576</v>
      </c>
      <c r="C166" s="448">
        <v>197336.83333333299</v>
      </c>
      <c r="D166" s="447">
        <v>12</v>
      </c>
      <c r="E166" s="448">
        <f t="shared" si="133"/>
        <v>2368042</v>
      </c>
      <c r="F166" s="448"/>
      <c r="G166" s="449">
        <v>156803.35999999999</v>
      </c>
      <c r="H166" s="451"/>
      <c r="I166" s="448">
        <f t="shared" si="121"/>
        <v>2211238.64</v>
      </c>
      <c r="J166" s="448">
        <v>200000</v>
      </c>
      <c r="K166" s="448">
        <v>0.2</v>
      </c>
      <c r="L166" s="448">
        <f t="shared" si="122"/>
        <v>442247.72799999901</v>
      </c>
      <c r="M166" s="448">
        <f t="shared" si="123"/>
        <v>642247.72799999896</v>
      </c>
      <c r="N166" s="448">
        <f t="shared" si="124"/>
        <v>799051.08799999906</v>
      </c>
      <c r="O166" s="448">
        <f t="shared" si="125"/>
        <v>1568990.912</v>
      </c>
      <c r="P166" s="448">
        <f t="shared" si="126"/>
        <v>21000</v>
      </c>
      <c r="Q166" s="448">
        <f t="shared" si="127"/>
        <v>33000</v>
      </c>
      <c r="R166" s="448">
        <f t="shared" si="128"/>
        <v>75000</v>
      </c>
      <c r="S166" s="448">
        <f t="shared" si="129"/>
        <v>89108.273279999397</v>
      </c>
      <c r="T166" s="448">
        <f t="shared" si="130"/>
        <v>0</v>
      </c>
      <c r="U166" s="448"/>
      <c r="V166" s="448">
        <f t="shared" si="135"/>
        <v>218108.273279999</v>
      </c>
      <c r="W166" s="455">
        <v>12</v>
      </c>
      <c r="X166" s="448">
        <f t="shared" si="131"/>
        <v>18175.6894399999</v>
      </c>
      <c r="Y166" s="451"/>
      <c r="Z166" s="459">
        <f t="shared" si="132"/>
        <v>18175.6894399999</v>
      </c>
      <c r="AA166" s="460">
        <v>10776.457626666701</v>
      </c>
      <c r="AB166" s="460">
        <f t="shared" si="134"/>
        <v>7399.2318133332501</v>
      </c>
      <c r="AC166" s="460"/>
      <c r="AD166" s="460"/>
      <c r="AE166" s="460"/>
    </row>
    <row r="167" spans="1:31" ht="18.75">
      <c r="A167" s="445">
        <v>150</v>
      </c>
      <c r="B167" s="17" t="s">
        <v>577</v>
      </c>
      <c r="C167" s="448">
        <v>200336.83333333299</v>
      </c>
      <c r="D167" s="447">
        <v>12</v>
      </c>
      <c r="E167" s="448">
        <f t="shared" si="133"/>
        <v>2404042</v>
      </c>
      <c r="F167" s="448"/>
      <c r="G167" s="449">
        <v>156803.35999999999</v>
      </c>
      <c r="H167" s="451"/>
      <c r="I167" s="448">
        <f t="shared" si="121"/>
        <v>2247238.64</v>
      </c>
      <c r="J167" s="448">
        <v>200000</v>
      </c>
      <c r="K167" s="448">
        <v>0.2</v>
      </c>
      <c r="L167" s="448">
        <f t="shared" si="122"/>
        <v>449447.72799999901</v>
      </c>
      <c r="M167" s="448">
        <f t="shared" si="123"/>
        <v>649447.72799999896</v>
      </c>
      <c r="N167" s="448">
        <f t="shared" si="124"/>
        <v>806251.08799999906</v>
      </c>
      <c r="O167" s="448">
        <f t="shared" si="125"/>
        <v>1597790.912</v>
      </c>
      <c r="P167" s="448">
        <f t="shared" si="126"/>
        <v>21000</v>
      </c>
      <c r="Q167" s="448">
        <f t="shared" si="127"/>
        <v>33000</v>
      </c>
      <c r="R167" s="448">
        <f t="shared" si="128"/>
        <v>75000</v>
      </c>
      <c r="S167" s="448">
        <f t="shared" si="129"/>
        <v>94580.273279999397</v>
      </c>
      <c r="T167" s="448">
        <f t="shared" si="130"/>
        <v>0</v>
      </c>
      <c r="U167" s="448"/>
      <c r="V167" s="448">
        <f t="shared" si="135"/>
        <v>223580.273279999</v>
      </c>
      <c r="W167" s="455">
        <v>12</v>
      </c>
      <c r="X167" s="448">
        <f t="shared" si="131"/>
        <v>18631.6894399999</v>
      </c>
      <c r="Y167" s="451"/>
      <c r="Z167" s="459">
        <f t="shared" si="132"/>
        <v>18631.6894399999</v>
      </c>
      <c r="AA167" s="460">
        <v>11232.457626666701</v>
      </c>
      <c r="AB167" s="460">
        <f t="shared" si="134"/>
        <v>7399.2318133332501</v>
      </c>
      <c r="AC167" s="460"/>
      <c r="AD167" s="460"/>
      <c r="AE167" s="460"/>
    </row>
    <row r="168" spans="1:31" ht="37.5">
      <c r="A168" s="445">
        <v>151</v>
      </c>
      <c r="B168" s="10" t="s">
        <v>578</v>
      </c>
      <c r="C168" s="448">
        <v>189814.16666666701</v>
      </c>
      <c r="D168" s="447">
        <v>12</v>
      </c>
      <c r="E168" s="448">
        <f t="shared" si="133"/>
        <v>2277770</v>
      </c>
      <c r="F168" s="448"/>
      <c r="G168" s="449">
        <v>146701.6</v>
      </c>
      <c r="H168" s="451"/>
      <c r="I168" s="448">
        <f t="shared" si="121"/>
        <v>2131068.4</v>
      </c>
      <c r="J168" s="448">
        <v>200000</v>
      </c>
      <c r="K168" s="448">
        <v>0.2</v>
      </c>
      <c r="L168" s="448">
        <f t="shared" si="122"/>
        <v>426213.68000000098</v>
      </c>
      <c r="M168" s="448">
        <f t="shared" si="123"/>
        <v>626213.68000000098</v>
      </c>
      <c r="N168" s="448">
        <f t="shared" si="124"/>
        <v>772915.28000000096</v>
      </c>
      <c r="O168" s="448">
        <f t="shared" si="125"/>
        <v>1504854.72</v>
      </c>
      <c r="P168" s="448">
        <f t="shared" si="126"/>
        <v>21000</v>
      </c>
      <c r="Q168" s="448">
        <f t="shared" si="127"/>
        <v>33000</v>
      </c>
      <c r="R168" s="448">
        <f t="shared" si="128"/>
        <v>75000</v>
      </c>
      <c r="S168" s="448">
        <f t="shared" si="129"/>
        <v>76922.396800000701</v>
      </c>
      <c r="T168" s="448">
        <f t="shared" si="130"/>
        <v>0</v>
      </c>
      <c r="U168" s="448"/>
      <c r="V168" s="448">
        <f t="shared" si="135"/>
        <v>205922.39680000101</v>
      </c>
      <c r="W168" s="455">
        <v>12</v>
      </c>
      <c r="X168" s="448">
        <f t="shared" si="131"/>
        <v>17160.1997333334</v>
      </c>
      <c r="Y168" s="451"/>
      <c r="Z168" s="459">
        <f t="shared" si="132"/>
        <v>17160.1997333334</v>
      </c>
      <c r="AA168" s="460">
        <v>9152.5997900000002</v>
      </c>
      <c r="AB168" s="460">
        <f t="shared" si="134"/>
        <v>8007.59994333339</v>
      </c>
      <c r="AC168" s="460"/>
      <c r="AD168" s="460"/>
      <c r="AE168" s="460"/>
    </row>
    <row r="169" spans="1:31" ht="18.75">
      <c r="A169" s="445">
        <v>152</v>
      </c>
      <c r="B169" s="10" t="s">
        <v>581</v>
      </c>
      <c r="C169" s="448">
        <v>189814.16666666701</v>
      </c>
      <c r="D169" s="447">
        <v>12</v>
      </c>
      <c r="E169" s="448">
        <f t="shared" si="133"/>
        <v>2277770</v>
      </c>
      <c r="F169" s="448"/>
      <c r="G169" s="449">
        <v>146701.6</v>
      </c>
      <c r="H169" s="451"/>
      <c r="I169" s="448">
        <f t="shared" si="121"/>
        <v>2131068.4</v>
      </c>
      <c r="J169" s="448">
        <v>200000</v>
      </c>
      <c r="K169" s="448">
        <v>0.2</v>
      </c>
      <c r="L169" s="448">
        <f t="shared" si="122"/>
        <v>426213.68000000098</v>
      </c>
      <c r="M169" s="448">
        <f t="shared" si="123"/>
        <v>626213.68000000098</v>
      </c>
      <c r="N169" s="448">
        <f t="shared" si="124"/>
        <v>772915.28000000096</v>
      </c>
      <c r="O169" s="448">
        <f t="shared" si="125"/>
        <v>1504854.72</v>
      </c>
      <c r="P169" s="448">
        <f t="shared" si="126"/>
        <v>21000</v>
      </c>
      <c r="Q169" s="448">
        <f t="shared" si="127"/>
        <v>33000</v>
      </c>
      <c r="R169" s="448">
        <f t="shared" si="128"/>
        <v>75000</v>
      </c>
      <c r="S169" s="448">
        <f t="shared" si="129"/>
        <v>76922.396800000701</v>
      </c>
      <c r="T169" s="448">
        <f t="shared" si="130"/>
        <v>0</v>
      </c>
      <c r="U169" s="448"/>
      <c r="V169" s="448">
        <f t="shared" si="135"/>
        <v>205922.39680000101</v>
      </c>
      <c r="W169" s="455">
        <v>12</v>
      </c>
      <c r="X169" s="448">
        <f t="shared" si="131"/>
        <v>17160.1997333334</v>
      </c>
      <c r="Y169" s="451"/>
      <c r="Z169" s="459">
        <f t="shared" si="132"/>
        <v>17160.1997333334</v>
      </c>
      <c r="AA169" s="460">
        <v>9152.5997900000002</v>
      </c>
      <c r="AB169" s="460">
        <f t="shared" si="134"/>
        <v>8007.59994333339</v>
      </c>
      <c r="AC169" s="460"/>
      <c r="AD169" s="460"/>
      <c r="AE169" s="460"/>
    </row>
    <row r="170" spans="1:31" ht="18.75">
      <c r="A170" s="445">
        <v>153</v>
      </c>
      <c r="B170" s="17" t="s">
        <v>582</v>
      </c>
      <c r="C170" s="448">
        <v>195075.5</v>
      </c>
      <c r="D170" s="447">
        <v>12</v>
      </c>
      <c r="E170" s="448">
        <f t="shared" si="133"/>
        <v>2340906</v>
      </c>
      <c r="F170" s="448"/>
      <c r="G170" s="449">
        <v>151752.48000000001</v>
      </c>
      <c r="H170" s="451"/>
      <c r="I170" s="448">
        <f t="shared" si="121"/>
        <v>2189153.52</v>
      </c>
      <c r="J170" s="448">
        <v>200000</v>
      </c>
      <c r="K170" s="448">
        <v>0.2</v>
      </c>
      <c r="L170" s="448">
        <f t="shared" si="122"/>
        <v>437830.70400000003</v>
      </c>
      <c r="M170" s="448">
        <f t="shared" si="123"/>
        <v>637830.70400000003</v>
      </c>
      <c r="N170" s="448">
        <f t="shared" si="124"/>
        <v>789583.18400000001</v>
      </c>
      <c r="O170" s="448">
        <f t="shared" si="125"/>
        <v>1551322.8160000001</v>
      </c>
      <c r="P170" s="448">
        <f t="shared" si="126"/>
        <v>21000</v>
      </c>
      <c r="Q170" s="448">
        <f t="shared" si="127"/>
        <v>33000</v>
      </c>
      <c r="R170" s="448">
        <f t="shared" si="128"/>
        <v>75000</v>
      </c>
      <c r="S170" s="448">
        <f t="shared" si="129"/>
        <v>85751.335040000005</v>
      </c>
      <c r="T170" s="448">
        <f t="shared" si="130"/>
        <v>0</v>
      </c>
      <c r="U170" s="448"/>
      <c r="V170" s="448">
        <f t="shared" si="135"/>
        <v>214751.33504000001</v>
      </c>
      <c r="W170" s="455">
        <v>12</v>
      </c>
      <c r="X170" s="448">
        <f t="shared" si="131"/>
        <v>17895.944586666701</v>
      </c>
      <c r="Y170" s="451"/>
      <c r="Z170" s="459">
        <f t="shared" si="132"/>
        <v>17895.944586666701</v>
      </c>
      <c r="AA170" s="460">
        <v>9504.2041399999998</v>
      </c>
      <c r="AB170" s="460">
        <f t="shared" si="134"/>
        <v>8391.7404466666703</v>
      </c>
      <c r="AC170" s="460"/>
      <c r="AD170" s="460"/>
      <c r="AE170" s="460"/>
    </row>
    <row r="171" spans="1:31" ht="29.25" customHeight="1">
      <c r="A171" s="445">
        <v>154</v>
      </c>
      <c r="B171" s="10" t="s">
        <v>584</v>
      </c>
      <c r="C171" s="448">
        <v>121145.75</v>
      </c>
      <c r="D171" s="447">
        <v>12</v>
      </c>
      <c r="E171" s="448">
        <f t="shared" si="133"/>
        <v>1453749</v>
      </c>
      <c r="F171" s="448"/>
      <c r="G171" s="449">
        <v>90379.92</v>
      </c>
      <c r="H171" s="451"/>
      <c r="I171" s="448">
        <f t="shared" si="121"/>
        <v>1363369.08</v>
      </c>
      <c r="J171" s="448">
        <v>200000</v>
      </c>
      <c r="K171" s="448">
        <v>0.2</v>
      </c>
      <c r="L171" s="448">
        <f t="shared" si="122"/>
        <v>272673.81599999999</v>
      </c>
      <c r="M171" s="448">
        <f t="shared" si="123"/>
        <v>472673.81599999999</v>
      </c>
      <c r="N171" s="448">
        <f t="shared" si="124"/>
        <v>563053.73600000003</v>
      </c>
      <c r="O171" s="448">
        <f t="shared" si="125"/>
        <v>890695.26399999997</v>
      </c>
      <c r="P171" s="448">
        <f t="shared" si="126"/>
        <v>21000</v>
      </c>
      <c r="Q171" s="448">
        <f t="shared" si="127"/>
        <v>33000</v>
      </c>
      <c r="R171" s="448">
        <f t="shared" si="128"/>
        <v>43604.289599999996</v>
      </c>
      <c r="S171" s="448">
        <f t="shared" si="129"/>
        <v>0</v>
      </c>
      <c r="T171" s="448">
        <f t="shared" si="130"/>
        <v>0</v>
      </c>
      <c r="U171" s="448"/>
      <c r="V171" s="448">
        <f t="shared" si="135"/>
        <v>97604.289600000004</v>
      </c>
      <c r="W171" s="455">
        <v>12</v>
      </c>
      <c r="X171" s="448">
        <f t="shared" si="131"/>
        <v>8133.6908000000003</v>
      </c>
      <c r="Y171" s="451"/>
      <c r="Z171" s="459">
        <f t="shared" si="132"/>
        <v>8133.6908000000003</v>
      </c>
      <c r="AA171" s="460">
        <v>4365.3307546666701</v>
      </c>
      <c r="AB171" s="460">
        <f t="shared" si="134"/>
        <v>3768.3600453333302</v>
      </c>
      <c r="AC171" s="460"/>
      <c r="AD171" s="460"/>
      <c r="AE171" s="460"/>
    </row>
    <row r="172" spans="1:31" ht="18.75">
      <c r="A172" s="445">
        <v>155</v>
      </c>
      <c r="B172" s="10" t="s">
        <v>587</v>
      </c>
      <c r="C172" s="448">
        <v>118598</v>
      </c>
      <c r="D172" s="447">
        <v>12</v>
      </c>
      <c r="E172" s="448">
        <f t="shared" si="133"/>
        <v>1423176</v>
      </c>
      <c r="F172" s="448"/>
      <c r="G172" s="449">
        <v>87934.080000000002</v>
      </c>
      <c r="H172" s="451"/>
      <c r="I172" s="448">
        <f t="shared" si="121"/>
        <v>1335241.92</v>
      </c>
      <c r="J172" s="448">
        <v>200000</v>
      </c>
      <c r="K172" s="448">
        <v>0.2</v>
      </c>
      <c r="L172" s="448">
        <f t="shared" si="122"/>
        <v>267048.38400000002</v>
      </c>
      <c r="M172" s="448">
        <f t="shared" si="123"/>
        <v>467048.38400000002</v>
      </c>
      <c r="N172" s="448">
        <f t="shared" si="124"/>
        <v>554982.46400000004</v>
      </c>
      <c r="O172" s="448">
        <f t="shared" si="125"/>
        <v>868193.53599999996</v>
      </c>
      <c r="P172" s="448">
        <f t="shared" si="126"/>
        <v>21000</v>
      </c>
      <c r="Q172" s="448">
        <f t="shared" si="127"/>
        <v>33000</v>
      </c>
      <c r="R172" s="448">
        <f t="shared" si="128"/>
        <v>40229.030400000003</v>
      </c>
      <c r="S172" s="448">
        <f t="shared" si="129"/>
        <v>0</v>
      </c>
      <c r="T172" s="448">
        <f t="shared" si="130"/>
        <v>0</v>
      </c>
      <c r="U172" s="448"/>
      <c r="V172" s="448">
        <f t="shared" si="135"/>
        <v>94229.030400000003</v>
      </c>
      <c r="W172" s="455">
        <v>12</v>
      </c>
      <c r="X172" s="448">
        <f t="shared" si="131"/>
        <v>7852.4192000000003</v>
      </c>
      <c r="Y172" s="451"/>
      <c r="Z172" s="459">
        <f t="shared" si="132"/>
        <v>7852.4192000000003</v>
      </c>
      <c r="AA172" s="460">
        <v>4227.5237226666704</v>
      </c>
      <c r="AB172" s="460">
        <f t="shared" si="134"/>
        <v>3624.8954773333298</v>
      </c>
      <c r="AC172" s="460"/>
      <c r="AD172" s="460"/>
      <c r="AE172" s="460"/>
    </row>
    <row r="173" spans="1:31" ht="18.75">
      <c r="A173" s="445">
        <v>156</v>
      </c>
      <c r="B173" s="10" t="s">
        <v>590</v>
      </c>
      <c r="C173" s="448">
        <v>115598</v>
      </c>
      <c r="D173" s="447">
        <v>12</v>
      </c>
      <c r="E173" s="448">
        <f t="shared" si="133"/>
        <v>1387176</v>
      </c>
      <c r="F173" s="448"/>
      <c r="G173" s="449">
        <v>87934.080000000002</v>
      </c>
      <c r="H173" s="451"/>
      <c r="I173" s="448">
        <f t="shared" si="121"/>
        <v>1299241.92</v>
      </c>
      <c r="J173" s="448">
        <v>200000</v>
      </c>
      <c r="K173" s="448">
        <v>0.2</v>
      </c>
      <c r="L173" s="448">
        <f t="shared" si="122"/>
        <v>259848.38399999999</v>
      </c>
      <c r="M173" s="448">
        <f t="shared" si="123"/>
        <v>459848.38400000002</v>
      </c>
      <c r="N173" s="448">
        <f t="shared" si="124"/>
        <v>547782.46400000004</v>
      </c>
      <c r="O173" s="448">
        <f t="shared" si="125"/>
        <v>839393.53599999996</v>
      </c>
      <c r="P173" s="448">
        <f t="shared" si="126"/>
        <v>21000</v>
      </c>
      <c r="Q173" s="448">
        <f t="shared" si="127"/>
        <v>33000</v>
      </c>
      <c r="R173" s="448">
        <f t="shared" si="128"/>
        <v>35909.030400000003</v>
      </c>
      <c r="S173" s="448">
        <f t="shared" si="129"/>
        <v>0</v>
      </c>
      <c r="T173" s="448">
        <f t="shared" si="130"/>
        <v>0</v>
      </c>
      <c r="U173" s="448"/>
      <c r="V173" s="448">
        <f t="shared" si="135"/>
        <v>89909.030400000003</v>
      </c>
      <c r="W173" s="455">
        <v>12</v>
      </c>
      <c r="X173" s="448">
        <f t="shared" si="131"/>
        <v>7492.4192000000003</v>
      </c>
      <c r="Y173" s="451"/>
      <c r="Z173" s="459">
        <f t="shared" si="132"/>
        <v>7492.4192000000003</v>
      </c>
      <c r="AA173" s="460">
        <v>3963.52372266667</v>
      </c>
      <c r="AB173" s="460">
        <f t="shared" si="134"/>
        <v>3528.8954773333298</v>
      </c>
      <c r="AC173" s="460"/>
      <c r="AD173" s="460"/>
      <c r="AE173" s="460"/>
    </row>
    <row r="174" spans="1:31" ht="18.75">
      <c r="A174" s="445">
        <v>157</v>
      </c>
      <c r="B174" s="10" t="s">
        <v>591</v>
      </c>
      <c r="C174" s="448">
        <v>118598</v>
      </c>
      <c r="D174" s="447">
        <v>12</v>
      </c>
      <c r="E174" s="448">
        <f t="shared" si="133"/>
        <v>1423176</v>
      </c>
      <c r="F174" s="448"/>
      <c r="G174" s="449">
        <v>87934.080000000002</v>
      </c>
      <c r="H174" s="451"/>
      <c r="I174" s="448">
        <f t="shared" si="121"/>
        <v>1335241.92</v>
      </c>
      <c r="J174" s="448">
        <v>200000</v>
      </c>
      <c r="K174" s="448">
        <v>0.2</v>
      </c>
      <c r="L174" s="448">
        <f t="shared" si="122"/>
        <v>267048.38400000002</v>
      </c>
      <c r="M174" s="448">
        <f t="shared" si="123"/>
        <v>467048.38400000002</v>
      </c>
      <c r="N174" s="448">
        <f t="shared" si="124"/>
        <v>554982.46400000004</v>
      </c>
      <c r="O174" s="448">
        <f t="shared" si="125"/>
        <v>868193.53599999996</v>
      </c>
      <c r="P174" s="448">
        <f t="shared" si="126"/>
        <v>21000</v>
      </c>
      <c r="Q174" s="448">
        <f t="shared" si="127"/>
        <v>33000</v>
      </c>
      <c r="R174" s="448">
        <f t="shared" si="128"/>
        <v>40229.030400000003</v>
      </c>
      <c r="S174" s="448">
        <f t="shared" si="129"/>
        <v>0</v>
      </c>
      <c r="T174" s="448">
        <f t="shared" si="130"/>
        <v>0</v>
      </c>
      <c r="U174" s="448"/>
      <c r="V174" s="448">
        <f t="shared" si="135"/>
        <v>94229.030400000003</v>
      </c>
      <c r="W174" s="455">
        <v>12</v>
      </c>
      <c r="X174" s="448">
        <f t="shared" si="131"/>
        <v>7852.4192000000003</v>
      </c>
      <c r="Y174" s="451"/>
      <c r="Z174" s="459">
        <f t="shared" si="132"/>
        <v>7852.4192000000003</v>
      </c>
      <c r="AA174" s="460">
        <v>4227.5237226666704</v>
      </c>
      <c r="AB174" s="460">
        <f t="shared" si="134"/>
        <v>3624.8954773333298</v>
      </c>
      <c r="AC174" s="460"/>
      <c r="AD174" s="460"/>
      <c r="AE174" s="460"/>
    </row>
    <row r="175" spans="1:31" ht="18.75">
      <c r="A175" s="456"/>
      <c r="B175" s="10" t="s">
        <v>592</v>
      </c>
      <c r="C175" s="464">
        <v>115598</v>
      </c>
      <c r="D175" s="447">
        <v>12</v>
      </c>
      <c r="E175" s="448">
        <f t="shared" si="133"/>
        <v>1387176</v>
      </c>
      <c r="F175" s="448"/>
      <c r="G175" s="449">
        <v>87934.080000000002</v>
      </c>
      <c r="H175" s="451"/>
      <c r="I175" s="448">
        <f t="shared" si="121"/>
        <v>1299241.92</v>
      </c>
      <c r="J175" s="448">
        <v>200000</v>
      </c>
      <c r="K175" s="448">
        <v>0.2</v>
      </c>
      <c r="L175" s="448">
        <f t="shared" si="122"/>
        <v>259848.38399999999</v>
      </c>
      <c r="M175" s="448">
        <f t="shared" si="123"/>
        <v>459848.38400000002</v>
      </c>
      <c r="N175" s="448">
        <f t="shared" si="124"/>
        <v>547782.46400000004</v>
      </c>
      <c r="O175" s="448">
        <f t="shared" si="125"/>
        <v>839393.53599999996</v>
      </c>
      <c r="P175" s="448">
        <f t="shared" si="126"/>
        <v>21000</v>
      </c>
      <c r="Q175" s="448">
        <f t="shared" si="127"/>
        <v>33000</v>
      </c>
      <c r="R175" s="448">
        <f t="shared" si="128"/>
        <v>35909.030400000003</v>
      </c>
      <c r="S175" s="448">
        <f t="shared" si="129"/>
        <v>0</v>
      </c>
      <c r="T175" s="448">
        <f t="shared" si="130"/>
        <v>0</v>
      </c>
      <c r="U175" s="448"/>
      <c r="V175" s="448">
        <f t="shared" si="135"/>
        <v>89909.030400000003</v>
      </c>
      <c r="W175" s="455">
        <v>12</v>
      </c>
      <c r="X175" s="448">
        <f t="shared" si="131"/>
        <v>7492.4192000000003</v>
      </c>
      <c r="Y175" s="451"/>
      <c r="Z175" s="459">
        <f t="shared" si="132"/>
        <v>7492.4192000000003</v>
      </c>
      <c r="AA175" s="460">
        <v>3963.52372266667</v>
      </c>
      <c r="AB175" s="460">
        <f t="shared" si="134"/>
        <v>3528.8954773333298</v>
      </c>
      <c r="AC175" s="460"/>
      <c r="AD175" s="460"/>
      <c r="AE175" s="460"/>
    </row>
    <row r="176" spans="1:31" ht="18.75">
      <c r="A176" s="456"/>
      <c r="B176" s="10" t="s">
        <v>593</v>
      </c>
      <c r="C176" s="464">
        <v>118598</v>
      </c>
      <c r="D176" s="447">
        <v>12</v>
      </c>
      <c r="E176" s="448">
        <f t="shared" si="133"/>
        <v>1423176</v>
      </c>
      <c r="F176" s="448"/>
      <c r="G176" s="449">
        <v>87934.080000000002</v>
      </c>
      <c r="H176" s="451"/>
      <c r="I176" s="448">
        <f t="shared" si="121"/>
        <v>1335241.92</v>
      </c>
      <c r="J176" s="448">
        <v>200000</v>
      </c>
      <c r="K176" s="448">
        <v>0.2</v>
      </c>
      <c r="L176" s="448">
        <f t="shared" si="122"/>
        <v>267048.38400000002</v>
      </c>
      <c r="M176" s="448">
        <f t="shared" si="123"/>
        <v>467048.38400000002</v>
      </c>
      <c r="N176" s="448">
        <f t="shared" si="124"/>
        <v>554982.46400000004</v>
      </c>
      <c r="O176" s="448">
        <f t="shared" si="125"/>
        <v>868193.53599999996</v>
      </c>
      <c r="P176" s="448">
        <f t="shared" si="126"/>
        <v>21000</v>
      </c>
      <c r="Q176" s="448">
        <f t="shared" si="127"/>
        <v>33000</v>
      </c>
      <c r="R176" s="448">
        <f t="shared" si="128"/>
        <v>40229.030400000003</v>
      </c>
      <c r="S176" s="448">
        <f t="shared" si="129"/>
        <v>0</v>
      </c>
      <c r="T176" s="448">
        <f t="shared" si="130"/>
        <v>0</v>
      </c>
      <c r="U176" s="448"/>
      <c r="V176" s="448">
        <f t="shared" si="135"/>
        <v>94229.030400000003</v>
      </c>
      <c r="W176" s="455">
        <v>12</v>
      </c>
      <c r="X176" s="448">
        <f t="shared" si="131"/>
        <v>7852.4192000000003</v>
      </c>
      <c r="Y176" s="451"/>
      <c r="Z176" s="459">
        <f t="shared" si="132"/>
        <v>7852.4192000000003</v>
      </c>
      <c r="AA176" s="460">
        <v>4227.5237226666704</v>
      </c>
      <c r="AB176" s="460">
        <f t="shared" si="134"/>
        <v>3624.8954773333298</v>
      </c>
    </row>
    <row r="177" spans="2:28" ht="18.75">
      <c r="B177" s="17" t="s">
        <v>594</v>
      </c>
      <c r="C177" s="460">
        <v>115598</v>
      </c>
      <c r="D177" s="447">
        <v>12</v>
      </c>
      <c r="E177" s="448">
        <f t="shared" si="133"/>
        <v>1387176</v>
      </c>
      <c r="G177" s="449">
        <v>87934.080000000002</v>
      </c>
      <c r="I177" s="448">
        <f t="shared" si="121"/>
        <v>1299241.92</v>
      </c>
      <c r="J177" s="448">
        <v>200000</v>
      </c>
      <c r="K177" s="448">
        <v>0.2</v>
      </c>
      <c r="L177" s="448">
        <f t="shared" si="122"/>
        <v>259848.38399999999</v>
      </c>
      <c r="M177" s="448">
        <f t="shared" si="123"/>
        <v>459848.38400000002</v>
      </c>
      <c r="N177" s="448">
        <f t="shared" si="124"/>
        <v>547782.46400000004</v>
      </c>
      <c r="O177" s="448">
        <f t="shared" si="125"/>
        <v>839393.53599999996</v>
      </c>
      <c r="P177" s="448">
        <f t="shared" si="126"/>
        <v>21000</v>
      </c>
      <c r="Q177" s="448">
        <f t="shared" si="127"/>
        <v>33000</v>
      </c>
      <c r="R177" s="448">
        <f t="shared" si="128"/>
        <v>35909.030400000003</v>
      </c>
      <c r="S177" s="448">
        <f t="shared" si="129"/>
        <v>0</v>
      </c>
      <c r="T177" s="448">
        <f t="shared" si="130"/>
        <v>0</v>
      </c>
      <c r="U177" s="448"/>
      <c r="V177" s="448">
        <f t="shared" si="135"/>
        <v>89909.030400000003</v>
      </c>
      <c r="W177" s="455">
        <v>12</v>
      </c>
      <c r="X177" s="448">
        <f t="shared" si="131"/>
        <v>7492.4192000000003</v>
      </c>
      <c r="Z177" s="459">
        <f t="shared" si="132"/>
        <v>7492.4192000000003</v>
      </c>
      <c r="AA177" s="460">
        <v>3963.52372266667</v>
      </c>
      <c r="AB177" s="460">
        <f t="shared" si="134"/>
        <v>3528.8954773333298</v>
      </c>
    </row>
    <row r="178" spans="2:28" ht="18.75">
      <c r="B178" s="17" t="s">
        <v>595</v>
      </c>
      <c r="C178" s="460">
        <v>118598</v>
      </c>
      <c r="D178" s="447">
        <v>12</v>
      </c>
      <c r="E178" s="448">
        <f t="shared" si="133"/>
        <v>1423176</v>
      </c>
      <c r="G178" s="449">
        <v>87934.080000000002</v>
      </c>
      <c r="I178" s="448">
        <f t="shared" si="121"/>
        <v>1335241.92</v>
      </c>
      <c r="J178" s="448">
        <v>200000</v>
      </c>
      <c r="K178" s="448">
        <v>0.2</v>
      </c>
      <c r="L178" s="448">
        <f t="shared" si="122"/>
        <v>267048.38400000002</v>
      </c>
      <c r="M178" s="448">
        <f t="shared" si="123"/>
        <v>467048.38400000002</v>
      </c>
      <c r="N178" s="448">
        <f t="shared" si="124"/>
        <v>554982.46400000004</v>
      </c>
      <c r="O178" s="448">
        <f t="shared" si="125"/>
        <v>868193.53599999996</v>
      </c>
      <c r="P178" s="448">
        <f t="shared" si="126"/>
        <v>21000</v>
      </c>
      <c r="Q178" s="448">
        <f t="shared" si="127"/>
        <v>33000</v>
      </c>
      <c r="R178" s="448">
        <f t="shared" si="128"/>
        <v>40229.030400000003</v>
      </c>
      <c r="S178" s="448">
        <f t="shared" si="129"/>
        <v>0</v>
      </c>
      <c r="T178" s="448">
        <f t="shared" si="130"/>
        <v>0</v>
      </c>
      <c r="U178" s="448"/>
      <c r="V178" s="448">
        <f t="shared" si="135"/>
        <v>94229.030400000003</v>
      </c>
      <c r="W178" s="455">
        <v>12</v>
      </c>
      <c r="X178" s="448">
        <f t="shared" si="131"/>
        <v>7852.4192000000003</v>
      </c>
      <c r="Z178" s="459">
        <f t="shared" si="132"/>
        <v>7852.4192000000003</v>
      </c>
      <c r="AA178" s="460">
        <v>4227.5237226666704</v>
      </c>
      <c r="AB178" s="460">
        <f t="shared" si="134"/>
        <v>3624.8954773333298</v>
      </c>
    </row>
    <row r="179" spans="2:28" ht="18.75">
      <c r="B179" s="10" t="s">
        <v>596</v>
      </c>
      <c r="C179" s="460">
        <v>118598</v>
      </c>
      <c r="D179" s="447">
        <v>12</v>
      </c>
      <c r="E179" s="448">
        <f t="shared" si="133"/>
        <v>1423176</v>
      </c>
      <c r="G179" s="449">
        <v>87934.080000000002</v>
      </c>
      <c r="I179" s="448">
        <f t="shared" si="121"/>
        <v>1335241.92</v>
      </c>
      <c r="J179" s="448">
        <v>200000</v>
      </c>
      <c r="K179" s="448">
        <v>0.2</v>
      </c>
      <c r="L179" s="448">
        <f t="shared" si="122"/>
        <v>267048.38400000002</v>
      </c>
      <c r="M179" s="448">
        <f t="shared" si="123"/>
        <v>467048.38400000002</v>
      </c>
      <c r="N179" s="448">
        <f t="shared" si="124"/>
        <v>554982.46400000004</v>
      </c>
      <c r="O179" s="448">
        <f t="shared" si="125"/>
        <v>868193.53599999996</v>
      </c>
      <c r="P179" s="448">
        <f t="shared" si="126"/>
        <v>21000</v>
      </c>
      <c r="Q179" s="448">
        <f t="shared" si="127"/>
        <v>33000</v>
      </c>
      <c r="R179" s="448">
        <f t="shared" si="128"/>
        <v>40229.030400000003</v>
      </c>
      <c r="S179" s="448">
        <f t="shared" si="129"/>
        <v>0</v>
      </c>
      <c r="T179" s="448">
        <f t="shared" si="130"/>
        <v>0</v>
      </c>
      <c r="V179" s="448">
        <f t="shared" si="135"/>
        <v>94229.030400000003</v>
      </c>
      <c r="W179" s="455">
        <v>12</v>
      </c>
      <c r="X179" s="448">
        <f t="shared" si="131"/>
        <v>7852.4192000000003</v>
      </c>
      <c r="Z179" s="459">
        <f t="shared" si="132"/>
        <v>7852.4192000000003</v>
      </c>
      <c r="AA179" s="460">
        <v>4089.7166906666698</v>
      </c>
      <c r="AB179" s="460">
        <f t="shared" si="134"/>
        <v>3762.70250933333</v>
      </c>
    </row>
    <row r="180" spans="2:28" ht="18.75">
      <c r="B180" s="10" t="s">
        <v>597</v>
      </c>
      <c r="C180" s="460">
        <v>118598</v>
      </c>
      <c r="D180" s="447">
        <v>12</v>
      </c>
      <c r="E180" s="448">
        <f t="shared" si="133"/>
        <v>1423176</v>
      </c>
      <c r="G180" s="449">
        <v>87934.080000000002</v>
      </c>
      <c r="I180" s="448">
        <f t="shared" si="121"/>
        <v>1335241.92</v>
      </c>
      <c r="J180" s="448">
        <v>200000</v>
      </c>
      <c r="K180" s="448">
        <v>0.2</v>
      </c>
      <c r="L180" s="448">
        <f t="shared" si="122"/>
        <v>267048.38400000002</v>
      </c>
      <c r="M180" s="448">
        <f t="shared" si="123"/>
        <v>467048.38400000002</v>
      </c>
      <c r="N180" s="448">
        <f t="shared" si="124"/>
        <v>554982.46400000004</v>
      </c>
      <c r="O180" s="448">
        <f t="shared" si="125"/>
        <v>868193.53599999996</v>
      </c>
      <c r="P180" s="448">
        <f t="shared" si="126"/>
        <v>21000</v>
      </c>
      <c r="Q180" s="448">
        <f t="shared" si="127"/>
        <v>33000</v>
      </c>
      <c r="R180" s="448">
        <f t="shared" si="128"/>
        <v>40229.030400000003</v>
      </c>
      <c r="S180" s="448">
        <f t="shared" si="129"/>
        <v>0</v>
      </c>
      <c r="T180" s="448">
        <f t="shared" si="130"/>
        <v>0</v>
      </c>
      <c r="V180" s="448">
        <f t="shared" si="135"/>
        <v>94229.030400000003</v>
      </c>
      <c r="W180" s="455">
        <v>12</v>
      </c>
      <c r="X180" s="448">
        <f t="shared" si="131"/>
        <v>7852.4192000000003</v>
      </c>
      <c r="Z180" s="459">
        <f t="shared" si="132"/>
        <v>7852.4192000000003</v>
      </c>
      <c r="AA180" s="460">
        <v>4227.5237226666704</v>
      </c>
      <c r="AB180" s="460">
        <f t="shared" si="134"/>
        <v>3624.8954773333298</v>
      </c>
    </row>
    <row r="181" spans="2:28" ht="18.75">
      <c r="B181" s="17" t="s">
        <v>598</v>
      </c>
      <c r="C181" s="460">
        <v>116050.25</v>
      </c>
      <c r="D181" s="447">
        <v>12</v>
      </c>
      <c r="E181" s="448">
        <f t="shared" si="133"/>
        <v>1392603</v>
      </c>
      <c r="G181" s="449">
        <v>85488.24</v>
      </c>
      <c r="I181" s="448">
        <f t="shared" si="121"/>
        <v>1307114.76</v>
      </c>
      <c r="J181" s="448">
        <v>200000</v>
      </c>
      <c r="K181" s="448">
        <v>0.2</v>
      </c>
      <c r="L181" s="448">
        <f t="shared" si="122"/>
        <v>261422.95199999999</v>
      </c>
      <c r="M181" s="448">
        <f t="shared" si="123"/>
        <v>461422.95199999999</v>
      </c>
      <c r="N181" s="448">
        <f t="shared" si="124"/>
        <v>546911.19200000004</v>
      </c>
      <c r="O181" s="448">
        <f t="shared" si="125"/>
        <v>845691.80799999996</v>
      </c>
      <c r="P181" s="448">
        <f t="shared" si="126"/>
        <v>21000</v>
      </c>
      <c r="Q181" s="448">
        <f t="shared" si="127"/>
        <v>33000</v>
      </c>
      <c r="R181" s="448">
        <f t="shared" si="128"/>
        <v>36853.771200000003</v>
      </c>
      <c r="S181" s="448">
        <f t="shared" si="129"/>
        <v>0</v>
      </c>
      <c r="T181" s="448">
        <f t="shared" si="130"/>
        <v>0</v>
      </c>
      <c r="V181" s="448">
        <f t="shared" si="135"/>
        <v>90853.771200000003</v>
      </c>
      <c r="W181" s="455">
        <v>12</v>
      </c>
      <c r="X181" s="448">
        <f t="shared" si="131"/>
        <v>7571.1476000000002</v>
      </c>
      <c r="Z181" s="459">
        <f t="shared" si="132"/>
        <v>7571.1476000000002</v>
      </c>
      <c r="AA181" s="460">
        <v>4089.7166906666698</v>
      </c>
      <c r="AB181" s="460">
        <f t="shared" si="134"/>
        <v>3481.43090933333</v>
      </c>
    </row>
    <row r="182" spans="2:28" ht="18.75">
      <c r="B182" s="17" t="s">
        <v>600</v>
      </c>
      <c r="C182" s="460">
        <v>102926.91666666701</v>
      </c>
      <c r="D182" s="447">
        <v>12</v>
      </c>
      <c r="E182" s="448">
        <f t="shared" si="133"/>
        <v>1235123</v>
      </c>
      <c r="G182" s="449">
        <v>77689.84</v>
      </c>
      <c r="I182" s="448">
        <f t="shared" si="121"/>
        <v>1157433.1599999999</v>
      </c>
      <c r="J182" s="448">
        <v>200000</v>
      </c>
      <c r="K182" s="448">
        <v>0.2</v>
      </c>
      <c r="L182" s="448">
        <f t="shared" si="122"/>
        <v>231486.632000001</v>
      </c>
      <c r="M182" s="448">
        <f t="shared" si="123"/>
        <v>431486.63200000097</v>
      </c>
      <c r="N182" s="448">
        <f t="shared" si="124"/>
        <v>509176.472000001</v>
      </c>
      <c r="O182" s="448">
        <f t="shared" si="125"/>
        <v>725946.52800000296</v>
      </c>
      <c r="P182" s="448">
        <f t="shared" si="126"/>
        <v>21000</v>
      </c>
      <c r="Q182" s="448">
        <f t="shared" si="127"/>
        <v>33000</v>
      </c>
      <c r="R182" s="448">
        <f t="shared" si="128"/>
        <v>18891.9792000005</v>
      </c>
      <c r="S182" s="448">
        <f t="shared" si="129"/>
        <v>0</v>
      </c>
      <c r="T182" s="448">
        <f t="shared" si="130"/>
        <v>0</v>
      </c>
      <c r="V182" s="448">
        <f t="shared" si="135"/>
        <v>72891.979200000496</v>
      </c>
      <c r="W182" s="455">
        <v>12</v>
      </c>
      <c r="X182" s="448">
        <f t="shared" si="131"/>
        <v>6074.3316000000405</v>
      </c>
      <c r="Z182" s="459">
        <f t="shared" si="132"/>
        <v>6074.3316000000405</v>
      </c>
      <c r="AA182" s="460">
        <v>3210.1544048666701</v>
      </c>
      <c r="AB182" s="460">
        <f t="shared" si="134"/>
        <v>2864.1771951333699</v>
      </c>
    </row>
    <row r="183" spans="2:28" ht="18.75">
      <c r="B183" s="17" t="s">
        <v>602</v>
      </c>
      <c r="C183" s="460">
        <v>95540.75</v>
      </c>
      <c r="D183" s="447">
        <v>12</v>
      </c>
      <c r="E183" s="448">
        <f t="shared" si="133"/>
        <v>1146489</v>
      </c>
      <c r="G183" s="449">
        <f>6123.26*12</f>
        <v>73479.12</v>
      </c>
      <c r="I183" s="448">
        <f t="shared" si="121"/>
        <v>1073009.8799999999</v>
      </c>
      <c r="J183" s="448">
        <v>200000</v>
      </c>
      <c r="K183" s="448">
        <v>0.2</v>
      </c>
      <c r="L183" s="448">
        <f t="shared" si="122"/>
        <v>214601.976</v>
      </c>
      <c r="M183" s="448">
        <f t="shared" si="123"/>
        <v>414601.97600000002</v>
      </c>
      <c r="N183" s="448">
        <f t="shared" si="124"/>
        <v>488081.09600000002</v>
      </c>
      <c r="O183" s="448">
        <f t="shared" si="125"/>
        <v>658407.90399999998</v>
      </c>
      <c r="P183" s="448">
        <f t="shared" si="126"/>
        <v>21000</v>
      </c>
      <c r="Q183" s="448">
        <f t="shared" si="127"/>
        <v>33000</v>
      </c>
      <c r="R183" s="448">
        <f t="shared" si="128"/>
        <v>8761.1856000000007</v>
      </c>
      <c r="S183" s="448">
        <f t="shared" si="129"/>
        <v>0</v>
      </c>
      <c r="T183" s="448">
        <f t="shared" si="130"/>
        <v>0</v>
      </c>
      <c r="V183" s="448">
        <f t="shared" si="135"/>
        <v>62761.185599999997</v>
      </c>
      <c r="W183" s="455">
        <v>12</v>
      </c>
      <c r="X183" s="448">
        <f t="shared" si="131"/>
        <v>5230.0987999999998</v>
      </c>
      <c r="Z183" s="459">
        <f t="shared" si="132"/>
        <v>5230.0987999999998</v>
      </c>
      <c r="AA183" s="460">
        <v>2708.9136406666698</v>
      </c>
      <c r="AB183" s="460">
        <f t="shared" si="134"/>
        <v>2521.1851593333299</v>
      </c>
    </row>
    <row r="184" spans="2:28" ht="18.75">
      <c r="B184" s="17" t="s">
        <v>605</v>
      </c>
      <c r="C184" s="460">
        <v>95540.75</v>
      </c>
      <c r="D184" s="447">
        <v>12</v>
      </c>
      <c r="E184" s="448">
        <f t="shared" si="133"/>
        <v>1146489</v>
      </c>
      <c r="G184" s="449">
        <f t="shared" ref="G184:G185" si="136">6123.26*12</f>
        <v>73479.12</v>
      </c>
      <c r="I184" s="448">
        <f t="shared" si="121"/>
        <v>1073009.8799999999</v>
      </c>
      <c r="J184" s="448">
        <v>200000</v>
      </c>
      <c r="K184" s="448">
        <v>0.2</v>
      </c>
      <c r="L184" s="448">
        <f t="shared" si="122"/>
        <v>214601.976</v>
      </c>
      <c r="M184" s="448">
        <f t="shared" si="123"/>
        <v>414601.97600000002</v>
      </c>
      <c r="N184" s="448">
        <f t="shared" si="124"/>
        <v>488081.09600000002</v>
      </c>
      <c r="O184" s="448">
        <f t="shared" si="125"/>
        <v>658407.90399999998</v>
      </c>
      <c r="P184" s="448">
        <f t="shared" si="126"/>
        <v>21000</v>
      </c>
      <c r="Q184" s="448">
        <f t="shared" si="127"/>
        <v>33000</v>
      </c>
      <c r="R184" s="448">
        <f t="shared" si="128"/>
        <v>8761.1856000000007</v>
      </c>
      <c r="S184" s="448">
        <f t="shared" si="129"/>
        <v>0</v>
      </c>
      <c r="T184" s="448">
        <f t="shared" si="130"/>
        <v>0</v>
      </c>
      <c r="V184" s="448">
        <f t="shared" si="135"/>
        <v>62761.185599999997</v>
      </c>
      <c r="W184" s="455">
        <v>12</v>
      </c>
      <c r="X184" s="448">
        <f t="shared" si="131"/>
        <v>5230.0987999999998</v>
      </c>
      <c r="Z184" s="459">
        <f t="shared" si="132"/>
        <v>5230.0987999999998</v>
      </c>
      <c r="AA184" s="460">
        <v>2708.9136406666698</v>
      </c>
      <c r="AB184" s="460">
        <f t="shared" si="134"/>
        <v>2521.1851593333299</v>
      </c>
    </row>
    <row r="185" spans="2:28" ht="18.75">
      <c r="B185" s="17" t="s">
        <v>606</v>
      </c>
      <c r="C185" s="460">
        <v>95540.75</v>
      </c>
      <c r="D185" s="447">
        <v>12</v>
      </c>
      <c r="E185" s="448">
        <f t="shared" si="133"/>
        <v>1146489</v>
      </c>
      <c r="G185" s="449">
        <f t="shared" si="136"/>
        <v>73479.12</v>
      </c>
      <c r="I185" s="448">
        <f t="shared" si="121"/>
        <v>1073009.8799999999</v>
      </c>
      <c r="J185" s="448">
        <v>200000</v>
      </c>
      <c r="K185" s="448">
        <v>0.2</v>
      </c>
      <c r="L185" s="448">
        <f t="shared" si="122"/>
        <v>214601.976</v>
      </c>
      <c r="M185" s="448">
        <f t="shared" si="123"/>
        <v>414601.97600000002</v>
      </c>
      <c r="N185" s="448">
        <f t="shared" si="124"/>
        <v>488081.09600000002</v>
      </c>
      <c r="O185" s="448">
        <f t="shared" si="125"/>
        <v>658407.90399999998</v>
      </c>
      <c r="P185" s="448">
        <f t="shared" si="126"/>
        <v>21000</v>
      </c>
      <c r="Q185" s="448">
        <f t="shared" si="127"/>
        <v>33000</v>
      </c>
      <c r="R185" s="448">
        <f t="shared" si="128"/>
        <v>8761.1856000000007</v>
      </c>
      <c r="S185" s="448">
        <f t="shared" si="129"/>
        <v>0</v>
      </c>
      <c r="T185" s="448">
        <f t="shared" si="130"/>
        <v>0</v>
      </c>
      <c r="V185" s="448">
        <f t="shared" si="135"/>
        <v>62761.185599999997</v>
      </c>
      <c r="W185" s="455">
        <v>12</v>
      </c>
      <c r="X185" s="448">
        <f t="shared" si="131"/>
        <v>5230.0987999999998</v>
      </c>
      <c r="Z185" s="459">
        <f t="shared" si="132"/>
        <v>5230.0987999999998</v>
      </c>
      <c r="AA185" s="460">
        <v>2708.9136406666698</v>
      </c>
      <c r="AB185" s="460">
        <f t="shared" si="134"/>
        <v>2521.1851593333299</v>
      </c>
    </row>
    <row r="186" spans="2:28" ht="18.75">
      <c r="B186" s="465" t="s">
        <v>607</v>
      </c>
      <c r="C186" s="460">
        <v>108502.5</v>
      </c>
      <c r="D186" s="466">
        <v>12</v>
      </c>
      <c r="E186" s="467">
        <f t="shared" si="133"/>
        <v>1302030</v>
      </c>
      <c r="G186" s="468">
        <f>6920.2*12</f>
        <v>83042.399999999994</v>
      </c>
      <c r="I186" s="467">
        <f t="shared" si="121"/>
        <v>1218987.6000000001</v>
      </c>
      <c r="J186" s="448">
        <v>200000</v>
      </c>
      <c r="K186" s="448">
        <v>0.2</v>
      </c>
      <c r="L186" s="448">
        <f t="shared" si="122"/>
        <v>243797.52</v>
      </c>
      <c r="M186" s="448">
        <f t="shared" si="123"/>
        <v>443797.52</v>
      </c>
      <c r="N186" s="448">
        <f t="shared" si="124"/>
        <v>526839.92000000004</v>
      </c>
      <c r="O186" s="448">
        <f t="shared" si="125"/>
        <v>775190.08</v>
      </c>
      <c r="P186" s="448">
        <f t="shared" si="126"/>
        <v>21000</v>
      </c>
      <c r="Q186" s="448">
        <f t="shared" si="127"/>
        <v>33000</v>
      </c>
      <c r="R186" s="448">
        <f t="shared" si="128"/>
        <v>26278.511999999999</v>
      </c>
      <c r="S186" s="448">
        <f t="shared" si="129"/>
        <v>0</v>
      </c>
      <c r="T186" s="448">
        <f t="shared" si="130"/>
        <v>0</v>
      </c>
      <c r="V186" s="448">
        <f t="shared" si="135"/>
        <v>80278.512000000002</v>
      </c>
      <c r="W186" s="455">
        <v>12</v>
      </c>
      <c r="X186" s="448">
        <f t="shared" si="131"/>
        <v>6689.8760000000002</v>
      </c>
      <c r="Z186" s="459">
        <f t="shared" si="132"/>
        <v>6689.8760000000002</v>
      </c>
      <c r="AA186" s="460">
        <v>3511.7966226666699</v>
      </c>
      <c r="AB186" s="460">
        <f t="shared" si="134"/>
        <v>3178.0793773333298</v>
      </c>
    </row>
    <row r="187" spans="2:28" ht="18.75">
      <c r="B187" s="465" t="s">
        <v>610</v>
      </c>
      <c r="C187" s="469">
        <v>108502.5</v>
      </c>
      <c r="D187" s="466">
        <v>12</v>
      </c>
      <c r="E187" s="467">
        <f t="shared" si="133"/>
        <v>1302030</v>
      </c>
      <c r="F187" s="470"/>
      <c r="G187" s="468">
        <f>6920.2*12</f>
        <v>83042.399999999994</v>
      </c>
      <c r="H187" s="470"/>
      <c r="I187" s="467">
        <f t="shared" si="121"/>
        <v>1218987.6000000001</v>
      </c>
      <c r="J187" s="467">
        <v>200000</v>
      </c>
      <c r="K187" s="467">
        <v>0.2</v>
      </c>
      <c r="L187" s="467">
        <f t="shared" si="122"/>
        <v>243797.52</v>
      </c>
      <c r="M187" s="467">
        <f t="shared" si="123"/>
        <v>443797.52</v>
      </c>
      <c r="N187" s="467">
        <f t="shared" si="124"/>
        <v>526839.92000000004</v>
      </c>
      <c r="O187" s="467">
        <f t="shared" si="125"/>
        <v>775190.08</v>
      </c>
      <c r="P187" s="467">
        <f t="shared" si="126"/>
        <v>21000</v>
      </c>
      <c r="Q187" s="467">
        <f t="shared" si="127"/>
        <v>33000</v>
      </c>
      <c r="R187" s="467">
        <f t="shared" si="128"/>
        <v>26278.511999999999</v>
      </c>
      <c r="S187" s="467">
        <f t="shared" si="129"/>
        <v>0</v>
      </c>
      <c r="T187" s="467">
        <f t="shared" si="130"/>
        <v>0</v>
      </c>
      <c r="V187" s="467">
        <f t="shared" si="135"/>
        <v>80278.512000000002</v>
      </c>
      <c r="W187" s="481">
        <v>12</v>
      </c>
      <c r="X187" s="467">
        <f t="shared" si="131"/>
        <v>6689.8760000000002</v>
      </c>
      <c r="Z187" s="482">
        <f t="shared" si="132"/>
        <v>6689.8760000000002</v>
      </c>
      <c r="AA187" s="460">
        <v>3511.7966226666699</v>
      </c>
      <c r="AB187" s="460">
        <f t="shared" si="134"/>
        <v>3178.0793773333298</v>
      </c>
    </row>
    <row r="188" spans="2:28" ht="35.25" customHeight="1">
      <c r="B188" s="471" t="s">
        <v>628</v>
      </c>
      <c r="C188" s="472">
        <f>SUM(C6:C187)</f>
        <v>79212127.886105001</v>
      </c>
      <c r="D188" s="473"/>
      <c r="E188" s="474"/>
      <c r="F188" s="475">
        <f>SUM(F6:F187)</f>
        <v>276375.74699999997</v>
      </c>
      <c r="G188" s="475">
        <f>SUM(G6:G187)</f>
        <v>54773768.880000003</v>
      </c>
      <c r="H188" s="476"/>
      <c r="I188" s="476"/>
      <c r="J188" s="476"/>
      <c r="K188" s="476"/>
      <c r="L188" s="476"/>
      <c r="M188" s="476"/>
      <c r="N188" s="476"/>
      <c r="O188" s="476"/>
      <c r="P188" s="476"/>
      <c r="Q188" s="476"/>
      <c r="R188" s="476"/>
      <c r="S188" s="476"/>
      <c r="T188" s="476"/>
      <c r="U188" s="476"/>
      <c r="V188" s="475">
        <f>SUM(V6:V187)</f>
        <v>135631933.582434</v>
      </c>
      <c r="W188" s="475"/>
      <c r="X188" s="475">
        <f t="shared" ref="X188" si="137">SUM(X6:X187)</f>
        <v>11302661.131869501</v>
      </c>
      <c r="Y188" s="475"/>
      <c r="Z188" s="475">
        <f t="shared" ref="Z188" si="138">SUM(Z6:Z187)</f>
        <v>11302661.131869501</v>
      </c>
      <c r="AA188" s="476"/>
      <c r="AB188" s="476"/>
    </row>
    <row r="189" spans="2:28" ht="26.25" customHeight="1">
      <c r="B189" s="477" t="s">
        <v>326</v>
      </c>
      <c r="C189" s="472"/>
      <c r="D189" s="473"/>
      <c r="E189" s="473"/>
      <c r="F189" s="478">
        <f>F188/12</f>
        <v>23031.312249999999</v>
      </c>
      <c r="G189" s="478">
        <f>G188/12</f>
        <v>4564480.74</v>
      </c>
      <c r="H189" s="476"/>
      <c r="I189" s="476"/>
      <c r="J189" s="476"/>
      <c r="K189" s="476"/>
      <c r="L189" s="476"/>
      <c r="M189" s="476"/>
      <c r="N189" s="476"/>
      <c r="O189" s="476"/>
      <c r="P189" s="476"/>
      <c r="Q189" s="476"/>
      <c r="R189" s="476"/>
      <c r="S189" s="476"/>
      <c r="T189" s="476"/>
      <c r="U189" s="476"/>
      <c r="V189" s="478">
        <f>V188/12</f>
        <v>11302661.131869501</v>
      </c>
      <c r="W189" s="473"/>
      <c r="X189" s="473"/>
      <c r="Y189" s="473"/>
      <c r="Z189" s="473"/>
      <c r="AA189" s="476"/>
      <c r="AB189" s="476"/>
    </row>
    <row r="190" spans="2:28" ht="18.75">
      <c r="B190" s="32"/>
      <c r="C190" s="460"/>
      <c r="F190" s="479"/>
    </row>
    <row r="191" spans="2:28">
      <c r="F191" s="480"/>
      <c r="Z191" s="475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9"/>
  <sheetViews>
    <sheetView topLeftCell="A23" workbookViewId="0">
      <selection activeCell="F93" sqref="F93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0.28515625" style="1" customWidth="1"/>
    <col min="6" max="6" width="18" style="1" customWidth="1"/>
    <col min="7" max="7" width="21.7109375" style="1" customWidth="1"/>
    <col min="8" max="16384" width="9.140625" style="1"/>
  </cols>
  <sheetData>
    <row r="1" spans="1:7" ht="27" customHeight="1">
      <c r="A1" s="856" t="s">
        <v>0</v>
      </c>
      <c r="B1" s="856"/>
      <c r="C1" s="856"/>
      <c r="D1" s="856"/>
      <c r="E1" s="856"/>
      <c r="F1" s="856"/>
    </row>
    <row r="2" spans="1:7" ht="20.25" customHeight="1">
      <c r="A2" s="856" t="s">
        <v>668</v>
      </c>
      <c r="B2" s="856"/>
      <c r="C2" s="856"/>
      <c r="D2" s="856"/>
      <c r="E2" s="856"/>
      <c r="F2" s="856"/>
    </row>
    <row r="3" spans="1:7" ht="9.75" customHeight="1">
      <c r="A3" s="856"/>
      <c r="B3" s="856"/>
      <c r="C3" s="856"/>
      <c r="D3" s="856"/>
      <c r="E3" s="856"/>
      <c r="F3" s="856"/>
    </row>
    <row r="4" spans="1:7" ht="13.5" customHeight="1">
      <c r="A4" s="2"/>
      <c r="B4" s="2"/>
      <c r="C4" s="2"/>
      <c r="D4" s="2"/>
      <c r="E4" s="199"/>
      <c r="F4" s="199"/>
    </row>
    <row r="5" spans="1:7" ht="52.5" customHeight="1">
      <c r="A5" s="3"/>
      <c r="B5" s="4" t="s">
        <v>2</v>
      </c>
      <c r="C5" s="5" t="s">
        <v>3</v>
      </c>
      <c r="D5" s="6" t="s">
        <v>4</v>
      </c>
      <c r="E5" s="200" t="s">
        <v>669</v>
      </c>
      <c r="F5" s="200" t="s">
        <v>16</v>
      </c>
    </row>
    <row r="6" spans="1:7" ht="17.25" customHeight="1">
      <c r="C6" s="7"/>
      <c r="D6" s="7"/>
      <c r="E6" s="69" t="s">
        <v>20</v>
      </c>
      <c r="F6" s="69" t="s">
        <v>20</v>
      </c>
    </row>
    <row r="7" spans="1:7" ht="20.100000000000001" customHeight="1">
      <c r="A7" s="8" t="s">
        <v>21</v>
      </c>
      <c r="B7" s="7" t="s">
        <v>22</v>
      </c>
      <c r="C7" s="7"/>
      <c r="D7" s="7"/>
      <c r="E7" s="69"/>
      <c r="F7" s="20"/>
    </row>
    <row r="8" spans="1:7" ht="20.100000000000001" customHeight="1">
      <c r="A8" s="9">
        <v>1</v>
      </c>
      <c r="B8" s="10" t="s">
        <v>345</v>
      </c>
      <c r="C8" s="11" t="s">
        <v>346</v>
      </c>
      <c r="D8" s="11" t="s">
        <v>347</v>
      </c>
      <c r="E8" s="72">
        <v>1659751.1669999999</v>
      </c>
      <c r="F8" s="72"/>
      <c r="G8" s="12"/>
    </row>
    <row r="9" spans="1:7" ht="20.100000000000001" customHeight="1">
      <c r="A9" s="9">
        <v>2</v>
      </c>
      <c r="B9" s="10" t="s">
        <v>348</v>
      </c>
      <c r="C9" s="11" t="s">
        <v>349</v>
      </c>
      <c r="D9" s="9" t="s">
        <v>343</v>
      </c>
      <c r="E9" s="72">
        <v>762373.16666666698</v>
      </c>
      <c r="F9" s="72">
        <f t="shared" ref="F9:F34" si="0">E9*0.08</f>
        <v>60989.853333333398</v>
      </c>
      <c r="G9" s="12"/>
    </row>
    <row r="10" spans="1:7" ht="20.100000000000001" customHeight="1">
      <c r="A10" s="9">
        <v>3</v>
      </c>
      <c r="B10" s="13" t="s">
        <v>350</v>
      </c>
      <c r="C10" s="3" t="s">
        <v>351</v>
      </c>
      <c r="D10" s="9" t="s">
        <v>343</v>
      </c>
      <c r="E10" s="72">
        <v>762373.16666666698</v>
      </c>
      <c r="F10" s="72"/>
      <c r="G10" s="12"/>
    </row>
    <row r="11" spans="1:7" ht="20.100000000000001" customHeight="1">
      <c r="A11" s="9">
        <v>4</v>
      </c>
      <c r="B11" s="10" t="s">
        <v>352</v>
      </c>
      <c r="C11" s="16" t="s">
        <v>353</v>
      </c>
      <c r="D11" s="9" t="s">
        <v>343</v>
      </c>
      <c r="E11" s="72">
        <v>762373.16666666698</v>
      </c>
      <c r="F11" s="72">
        <f t="shared" si="0"/>
        <v>60989.853333333398</v>
      </c>
      <c r="G11" s="12"/>
    </row>
    <row r="12" spans="1:7" ht="20.100000000000001" customHeight="1">
      <c r="A12" s="9">
        <v>5</v>
      </c>
      <c r="B12" s="13" t="s">
        <v>354</v>
      </c>
      <c r="C12" s="3" t="s">
        <v>635</v>
      </c>
      <c r="D12" s="9" t="s">
        <v>343</v>
      </c>
      <c r="E12" s="72">
        <v>762373.16666666698</v>
      </c>
      <c r="F12" s="72">
        <f t="shared" si="0"/>
        <v>60989.853333333398</v>
      </c>
      <c r="G12" s="12"/>
    </row>
    <row r="13" spans="1:7" ht="20.100000000000001" customHeight="1">
      <c r="A13" s="9">
        <v>6</v>
      </c>
      <c r="B13" s="17" t="s">
        <v>341</v>
      </c>
      <c r="C13" s="9" t="s">
        <v>342</v>
      </c>
      <c r="D13" s="9" t="s">
        <v>343</v>
      </c>
      <c r="E13" s="72">
        <v>762373.16666666698</v>
      </c>
      <c r="F13" s="72"/>
      <c r="G13" s="12"/>
    </row>
    <row r="14" spans="1:7" ht="20.100000000000001" customHeight="1">
      <c r="A14" s="9">
        <v>7</v>
      </c>
      <c r="B14" s="10" t="s">
        <v>356</v>
      </c>
      <c r="C14" s="11" t="s">
        <v>357</v>
      </c>
      <c r="D14" s="14" t="s">
        <v>358</v>
      </c>
      <c r="E14" s="72">
        <v>620675.58333333302</v>
      </c>
      <c r="F14" s="72">
        <f t="shared" si="0"/>
        <v>49654.046666666603</v>
      </c>
      <c r="G14" s="12"/>
    </row>
    <row r="15" spans="1:7" ht="20.100000000000001" customHeight="1">
      <c r="A15" s="9">
        <v>8</v>
      </c>
      <c r="B15" s="10" t="s">
        <v>359</v>
      </c>
      <c r="C15" s="3" t="s">
        <v>360</v>
      </c>
      <c r="D15" s="9" t="s">
        <v>99</v>
      </c>
      <c r="E15" s="72">
        <v>582118.08333333302</v>
      </c>
      <c r="F15" s="72">
        <f t="shared" si="0"/>
        <v>46569.446666666598</v>
      </c>
      <c r="G15" s="12"/>
    </row>
    <row r="16" spans="1:7" ht="20.100000000000001" customHeight="1">
      <c r="A16" s="9">
        <v>9</v>
      </c>
      <c r="B16" s="10" t="s">
        <v>361</v>
      </c>
      <c r="C16" s="3" t="s">
        <v>362</v>
      </c>
      <c r="D16" s="14" t="s">
        <v>363</v>
      </c>
      <c r="E16" s="72">
        <v>484373.75</v>
      </c>
      <c r="F16" s="72">
        <f t="shared" si="0"/>
        <v>38749.9</v>
      </c>
      <c r="G16" s="12"/>
    </row>
    <row r="17" spans="1:7" ht="20.100000000000001" customHeight="1">
      <c r="A17" s="9">
        <v>10</v>
      </c>
      <c r="B17" s="13" t="s">
        <v>364</v>
      </c>
      <c r="C17" s="16" t="s">
        <v>365</v>
      </c>
      <c r="D17" s="14" t="s">
        <v>366</v>
      </c>
      <c r="E17" s="72">
        <v>470498</v>
      </c>
      <c r="F17" s="72">
        <f t="shared" si="0"/>
        <v>37639.839999999997</v>
      </c>
      <c r="G17" s="12"/>
    </row>
    <row r="18" spans="1:7" ht="20.100000000000001" customHeight="1">
      <c r="A18" s="9">
        <v>11</v>
      </c>
      <c r="B18" s="10" t="s">
        <v>367</v>
      </c>
      <c r="C18" s="3" t="s">
        <v>368</v>
      </c>
      <c r="D18" s="9" t="s">
        <v>369</v>
      </c>
      <c r="E18" s="72">
        <v>442746.5</v>
      </c>
      <c r="F18" s="72">
        <f t="shared" si="0"/>
        <v>35419.72</v>
      </c>
      <c r="G18" s="12"/>
    </row>
    <row r="19" spans="1:7" ht="20.100000000000001" customHeight="1">
      <c r="A19" s="9">
        <v>12</v>
      </c>
      <c r="B19" s="10" t="s">
        <v>370</v>
      </c>
      <c r="C19" s="3" t="s">
        <v>371</v>
      </c>
      <c r="D19" s="9" t="s">
        <v>372</v>
      </c>
      <c r="E19" s="72">
        <v>441804.91666666698</v>
      </c>
      <c r="F19" s="72">
        <f t="shared" si="0"/>
        <v>35344.393333333399</v>
      </c>
    </row>
    <row r="20" spans="1:7" ht="20.100000000000001" customHeight="1">
      <c r="A20" s="9">
        <v>13</v>
      </c>
      <c r="B20" s="10" t="s">
        <v>373</v>
      </c>
      <c r="C20" s="11" t="s">
        <v>374</v>
      </c>
      <c r="D20" s="14" t="s">
        <v>375</v>
      </c>
      <c r="E20" s="72">
        <v>428915.91666666698</v>
      </c>
      <c r="F20" s="72">
        <f t="shared" si="0"/>
        <v>34313.273333333404</v>
      </c>
      <c r="G20" s="12"/>
    </row>
    <row r="21" spans="1:7" ht="20.100000000000001" customHeight="1">
      <c r="A21" s="9">
        <v>14</v>
      </c>
      <c r="B21" s="17" t="s">
        <v>376</v>
      </c>
      <c r="C21" s="3" t="s">
        <v>636</v>
      </c>
      <c r="D21" s="14" t="s">
        <v>378</v>
      </c>
      <c r="E21" s="72">
        <v>416026.91666666698</v>
      </c>
      <c r="F21" s="72">
        <f t="shared" si="0"/>
        <v>33282.153333333401</v>
      </c>
      <c r="G21" s="12"/>
    </row>
    <row r="22" spans="1:7" ht="18.75" customHeight="1">
      <c r="A22" s="9">
        <v>15</v>
      </c>
      <c r="B22" s="10" t="s">
        <v>379</v>
      </c>
      <c r="C22" s="11" t="s">
        <v>233</v>
      </c>
      <c r="D22" s="14" t="s">
        <v>380</v>
      </c>
      <c r="E22" s="72">
        <v>377895.16666666698</v>
      </c>
      <c r="F22" s="72">
        <f t="shared" si="0"/>
        <v>30231.6133333334</v>
      </c>
      <c r="G22" s="12"/>
    </row>
    <row r="23" spans="1:7" ht="20.100000000000001" customHeight="1">
      <c r="A23" s="9">
        <v>16</v>
      </c>
      <c r="B23" s="13" t="s">
        <v>381</v>
      </c>
      <c r="C23" s="16" t="s">
        <v>637</v>
      </c>
      <c r="D23" s="9" t="s">
        <v>32</v>
      </c>
      <c r="E23" s="72">
        <v>353512.5</v>
      </c>
      <c r="F23" s="72">
        <f t="shared" si="0"/>
        <v>28281</v>
      </c>
      <c r="G23" s="12"/>
    </row>
    <row r="24" spans="1:7" ht="21.6" customHeight="1">
      <c r="A24" s="9">
        <v>17</v>
      </c>
      <c r="B24" s="10" t="s">
        <v>383</v>
      </c>
      <c r="C24" s="16" t="s">
        <v>34</v>
      </c>
      <c r="D24" s="14" t="s">
        <v>32</v>
      </c>
      <c r="E24" s="72">
        <v>353512.5</v>
      </c>
      <c r="F24" s="72">
        <f t="shared" si="0"/>
        <v>28281</v>
      </c>
      <c r="G24" s="12"/>
    </row>
    <row r="25" spans="1:7" ht="20.100000000000001" customHeight="1">
      <c r="A25" s="9">
        <v>18</v>
      </c>
      <c r="B25" s="13" t="s">
        <v>384</v>
      </c>
      <c r="C25" s="16" t="s">
        <v>385</v>
      </c>
      <c r="D25" s="9" t="s">
        <v>37</v>
      </c>
      <c r="E25" s="72">
        <v>293029.66666666698</v>
      </c>
      <c r="F25" s="72">
        <f t="shared" si="0"/>
        <v>23442.373333333398</v>
      </c>
      <c r="G25" s="12"/>
    </row>
    <row r="26" spans="1:7" ht="18.75" customHeight="1">
      <c r="A26" s="9">
        <v>19</v>
      </c>
      <c r="B26" s="3" t="s">
        <v>386</v>
      </c>
      <c r="C26" s="3" t="s">
        <v>289</v>
      </c>
      <c r="D26" s="9" t="s">
        <v>387</v>
      </c>
      <c r="E26" s="72">
        <v>270481.66666666698</v>
      </c>
      <c r="F26" s="72">
        <f t="shared" si="0"/>
        <v>21638.533333333398</v>
      </c>
      <c r="G26" s="12"/>
    </row>
    <row r="27" spans="1:7" ht="18.75" customHeight="1">
      <c r="A27" s="9">
        <v>20</v>
      </c>
      <c r="B27" s="17" t="s">
        <v>388</v>
      </c>
      <c r="C27" s="11" t="s">
        <v>289</v>
      </c>
      <c r="D27" s="14" t="s">
        <v>387</v>
      </c>
      <c r="E27" s="72">
        <v>270481.66666666698</v>
      </c>
      <c r="F27" s="72">
        <f t="shared" si="0"/>
        <v>21638.533333333398</v>
      </c>
      <c r="G27" s="12"/>
    </row>
    <row r="28" spans="1:7" ht="20.100000000000001" customHeight="1">
      <c r="A28" s="9">
        <v>21</v>
      </c>
      <c r="B28" s="10" t="s">
        <v>389</v>
      </c>
      <c r="C28" s="16" t="s">
        <v>382</v>
      </c>
      <c r="D28" s="9" t="s">
        <v>387</v>
      </c>
      <c r="E28" s="72">
        <v>270481.66666666698</v>
      </c>
      <c r="F28" s="72">
        <f t="shared" si="0"/>
        <v>21638.533333333398</v>
      </c>
      <c r="G28" s="12"/>
    </row>
    <row r="29" spans="1:7" ht="18.75" customHeight="1">
      <c r="A29" s="9">
        <v>22</v>
      </c>
      <c r="B29" s="17" t="s">
        <v>390</v>
      </c>
      <c r="C29" s="11" t="s">
        <v>220</v>
      </c>
      <c r="D29" s="14" t="s">
        <v>391</v>
      </c>
      <c r="E29" s="72">
        <v>263165.33333333302</v>
      </c>
      <c r="F29" s="72">
        <f t="shared" si="0"/>
        <v>21053.2266666666</v>
      </c>
      <c r="G29" s="12"/>
    </row>
    <row r="30" spans="1:7" ht="18.75" customHeight="1">
      <c r="A30" s="9">
        <v>23</v>
      </c>
      <c r="B30" s="17" t="s">
        <v>392</v>
      </c>
      <c r="C30" s="3" t="s">
        <v>393</v>
      </c>
      <c r="D30" s="9" t="s">
        <v>55</v>
      </c>
      <c r="E30" s="72">
        <v>255849</v>
      </c>
      <c r="F30" s="72">
        <f t="shared" si="0"/>
        <v>20467.919999999998</v>
      </c>
      <c r="G30" s="12"/>
    </row>
    <row r="31" spans="1:7" ht="18.75" customHeight="1">
      <c r="A31" s="9">
        <v>24</v>
      </c>
      <c r="B31" s="17" t="s">
        <v>394</v>
      </c>
      <c r="C31" s="3" t="s">
        <v>393</v>
      </c>
      <c r="D31" s="9" t="s">
        <v>55</v>
      </c>
      <c r="E31" s="72">
        <v>255849</v>
      </c>
      <c r="F31" s="72">
        <f t="shared" si="0"/>
        <v>20467.919999999998</v>
      </c>
      <c r="G31" s="12"/>
    </row>
    <row r="32" spans="1:7" ht="18.75" customHeight="1">
      <c r="A32" s="9">
        <v>25</v>
      </c>
      <c r="B32" s="17" t="s">
        <v>395</v>
      </c>
      <c r="C32" s="16" t="s">
        <v>396</v>
      </c>
      <c r="D32" s="14" t="s">
        <v>387</v>
      </c>
      <c r="E32" s="72">
        <v>270481.66666666698</v>
      </c>
      <c r="F32" s="72">
        <f t="shared" si="0"/>
        <v>21638.533333333398</v>
      </c>
      <c r="G32" s="12"/>
    </row>
    <row r="33" spans="1:7" ht="18.75" customHeight="1">
      <c r="A33" s="9">
        <v>26</v>
      </c>
      <c r="B33" s="17" t="s">
        <v>397</v>
      </c>
      <c r="C33" s="3" t="s">
        <v>398</v>
      </c>
      <c r="D33" s="9" t="s">
        <v>399</v>
      </c>
      <c r="E33" s="72">
        <v>230631.91666666701</v>
      </c>
      <c r="F33" s="72">
        <f t="shared" si="0"/>
        <v>18450.553333333399</v>
      </c>
      <c r="G33" s="12"/>
    </row>
    <row r="34" spans="1:7" ht="18.75" customHeight="1">
      <c r="A34" s="9">
        <v>27</v>
      </c>
      <c r="B34" s="17" t="s">
        <v>400</v>
      </c>
      <c r="C34" s="11" t="s">
        <v>401</v>
      </c>
      <c r="D34" s="14" t="s">
        <v>402</v>
      </c>
      <c r="E34" s="72">
        <v>224459.75</v>
      </c>
      <c r="F34" s="72">
        <f t="shared" si="0"/>
        <v>17956.78</v>
      </c>
      <c r="G34" s="12"/>
    </row>
    <row r="35" spans="1:7" ht="26.25" customHeight="1">
      <c r="A35" s="9"/>
      <c r="B35" s="19" t="s">
        <v>42</v>
      </c>
      <c r="C35" s="20">
        <v>27</v>
      </c>
      <c r="D35" s="14"/>
      <c r="E35" s="203">
        <f>SUM(E8:E34)</f>
        <v>13048608.166999999</v>
      </c>
      <c r="F35" s="203">
        <f t="shared" ref="F35" si="1">SUM(F8:F34)</f>
        <v>789128.85333333397</v>
      </c>
      <c r="G35" s="12"/>
    </row>
    <row r="36" spans="1:7" ht="18.75" customHeight="1">
      <c r="A36" s="9"/>
      <c r="B36" s="21"/>
      <c r="C36" s="3"/>
      <c r="D36" s="14"/>
      <c r="E36" s="203"/>
      <c r="F36" s="203"/>
      <c r="G36" s="12"/>
    </row>
    <row r="37" spans="1:7" ht="18.75" customHeight="1">
      <c r="A37" s="9"/>
      <c r="B37" s="19" t="s">
        <v>225</v>
      </c>
      <c r="C37" s="3"/>
      <c r="D37" s="14"/>
      <c r="E37" s="72"/>
      <c r="F37" s="72"/>
      <c r="G37" s="12"/>
    </row>
    <row r="38" spans="1:7" ht="18.75" customHeight="1">
      <c r="A38" s="9">
        <v>1</v>
      </c>
      <c r="B38" s="17" t="s">
        <v>403</v>
      </c>
      <c r="C38" s="3" t="s">
        <v>404</v>
      </c>
      <c r="D38" s="9" t="s">
        <v>405</v>
      </c>
      <c r="E38" s="72">
        <v>1435720</v>
      </c>
      <c r="F38" s="72">
        <f>E38*0.08</f>
        <v>114857.60000000001</v>
      </c>
      <c r="G38" s="12"/>
    </row>
    <row r="39" spans="1:7" ht="18.75" customHeight="1">
      <c r="A39" s="9">
        <v>2</v>
      </c>
      <c r="B39" s="17" t="s">
        <v>406</v>
      </c>
      <c r="C39" s="3" t="s">
        <v>638</v>
      </c>
      <c r="D39" s="9" t="s">
        <v>37</v>
      </c>
      <c r="E39" s="72">
        <v>293029.66666666698</v>
      </c>
      <c r="F39" s="72">
        <f t="shared" ref="F39:F40" si="2">E39*0.08</f>
        <v>23442.373333333398</v>
      </c>
      <c r="G39" s="12"/>
    </row>
    <row r="40" spans="1:7" ht="18.75" customHeight="1">
      <c r="A40" s="9">
        <v>3</v>
      </c>
      <c r="B40" s="10" t="s">
        <v>408</v>
      </c>
      <c r="C40" s="11" t="s">
        <v>639</v>
      </c>
      <c r="D40" s="14" t="s">
        <v>409</v>
      </c>
      <c r="E40" s="72">
        <v>300965.58333333302</v>
      </c>
      <c r="F40" s="72">
        <f t="shared" si="2"/>
        <v>24077.246666666601</v>
      </c>
      <c r="G40" s="12"/>
    </row>
    <row r="41" spans="1:7" ht="19.5" customHeight="1">
      <c r="A41" s="9"/>
      <c r="B41" s="13"/>
      <c r="C41" s="20">
        <v>3</v>
      </c>
      <c r="D41" s="9"/>
      <c r="E41" s="203">
        <f>SUM(E38:E40)</f>
        <v>2029715.25</v>
      </c>
      <c r="F41" s="203">
        <f t="shared" ref="F41" si="3">SUM(F38:F40)</f>
        <v>162377.22</v>
      </c>
      <c r="G41" s="12"/>
    </row>
    <row r="42" spans="1:7" ht="20.100000000000001" customHeight="1">
      <c r="A42" s="9"/>
      <c r="B42" s="13"/>
      <c r="C42" s="3"/>
      <c r="D42" s="9"/>
      <c r="E42" s="203"/>
      <c r="F42" s="203"/>
      <c r="G42" s="12"/>
    </row>
    <row r="43" spans="1:7" ht="20.100000000000001" customHeight="1">
      <c r="A43" s="9"/>
      <c r="B43" s="22" t="s">
        <v>43</v>
      </c>
      <c r="C43" s="4"/>
      <c r="D43" s="23"/>
      <c r="E43" s="203"/>
      <c r="F43" s="203"/>
      <c r="G43" s="12"/>
    </row>
    <row r="44" spans="1:7" ht="20.100000000000001" customHeight="1">
      <c r="A44" s="9">
        <v>1</v>
      </c>
      <c r="B44" s="10" t="s">
        <v>410</v>
      </c>
      <c r="C44" s="3" t="s">
        <v>411</v>
      </c>
      <c r="D44" s="9" t="s">
        <v>405</v>
      </c>
      <c r="E44" s="72">
        <v>1435720</v>
      </c>
      <c r="F44" s="72">
        <f>E44*0.08</f>
        <v>114857.60000000001</v>
      </c>
      <c r="G44" s="12"/>
    </row>
    <row r="45" spans="1:7" ht="20.100000000000001" customHeight="1">
      <c r="A45" s="9">
        <v>2</v>
      </c>
      <c r="B45" s="10" t="s">
        <v>412</v>
      </c>
      <c r="C45" s="3" t="s">
        <v>413</v>
      </c>
      <c r="D45" s="9" t="s">
        <v>358</v>
      </c>
      <c r="E45" s="72">
        <v>620675.58333333302</v>
      </c>
      <c r="F45" s="72">
        <f t="shared" ref="F45:F54" si="4">E45*0.08</f>
        <v>49654.046666666603</v>
      </c>
      <c r="G45" s="12"/>
    </row>
    <row r="46" spans="1:7" ht="20.100000000000001" customHeight="1">
      <c r="A46" s="9">
        <v>3</v>
      </c>
      <c r="B46" s="10" t="s">
        <v>414</v>
      </c>
      <c r="C46" s="3" t="s">
        <v>415</v>
      </c>
      <c r="D46" s="9" t="s">
        <v>416</v>
      </c>
      <c r="E46" s="72">
        <v>739203.58333333302</v>
      </c>
      <c r="F46" s="72">
        <f t="shared" si="4"/>
        <v>59136.286666666601</v>
      </c>
      <c r="G46" s="12"/>
    </row>
    <row r="47" spans="1:7" ht="20.100000000000001" customHeight="1">
      <c r="A47" s="9">
        <v>4</v>
      </c>
      <c r="B47" s="10" t="s">
        <v>417</v>
      </c>
      <c r="C47" s="3" t="s">
        <v>418</v>
      </c>
      <c r="D47" s="9" t="s">
        <v>358</v>
      </c>
      <c r="E47" s="72">
        <v>620675.58333333302</v>
      </c>
      <c r="F47" s="72">
        <f t="shared" si="4"/>
        <v>49654.046666666603</v>
      </c>
      <c r="G47" s="12"/>
    </row>
    <row r="48" spans="1:7" ht="20.100000000000001" customHeight="1">
      <c r="A48" s="9">
        <v>5</v>
      </c>
      <c r="B48" s="10" t="s">
        <v>419</v>
      </c>
      <c r="C48" s="3" t="s">
        <v>418</v>
      </c>
      <c r="D48" s="9" t="s">
        <v>358</v>
      </c>
      <c r="E48" s="72">
        <v>620675.58333333302</v>
      </c>
      <c r="F48" s="72">
        <f t="shared" si="4"/>
        <v>49654.046666666603</v>
      </c>
      <c r="G48" s="12"/>
    </row>
    <row r="49" spans="1:7" ht="20.100000000000001" customHeight="1">
      <c r="A49" s="9">
        <v>6</v>
      </c>
      <c r="B49" s="10" t="s">
        <v>420</v>
      </c>
      <c r="C49" s="3" t="s">
        <v>418</v>
      </c>
      <c r="D49" s="9" t="s">
        <v>99</v>
      </c>
      <c r="E49" s="72">
        <v>582118.08333333302</v>
      </c>
      <c r="F49" s="72">
        <f t="shared" si="4"/>
        <v>46569.446666666598</v>
      </c>
      <c r="G49" s="12"/>
    </row>
    <row r="50" spans="1:7" ht="20.100000000000001" customHeight="1">
      <c r="A50" s="9">
        <v>7</v>
      </c>
      <c r="B50" s="13" t="s">
        <v>421</v>
      </c>
      <c r="C50" s="3" t="s">
        <v>365</v>
      </c>
      <c r="D50" s="15" t="s">
        <v>366</v>
      </c>
      <c r="E50" s="72">
        <v>470498</v>
      </c>
      <c r="F50" s="72">
        <f t="shared" si="4"/>
        <v>37639.839999999997</v>
      </c>
      <c r="G50" s="12"/>
    </row>
    <row r="51" spans="1:7" ht="20.100000000000001" customHeight="1">
      <c r="A51" s="9">
        <v>8</v>
      </c>
      <c r="B51" s="10" t="s">
        <v>422</v>
      </c>
      <c r="C51" s="3" t="s">
        <v>64</v>
      </c>
      <c r="D51" s="9" t="s">
        <v>409</v>
      </c>
      <c r="E51" s="72">
        <v>300965.58333333302</v>
      </c>
      <c r="F51" s="72">
        <f t="shared" si="4"/>
        <v>24077.246666666601</v>
      </c>
      <c r="G51" s="12"/>
    </row>
    <row r="52" spans="1:7" ht="20.100000000000001" customHeight="1">
      <c r="A52" s="9">
        <v>9</v>
      </c>
      <c r="B52" s="10" t="s">
        <v>423</v>
      </c>
      <c r="C52" s="3" t="s">
        <v>64</v>
      </c>
      <c r="D52" s="9" t="s">
        <v>391</v>
      </c>
      <c r="E52" s="72">
        <v>263165.33333333302</v>
      </c>
      <c r="F52" s="72">
        <f t="shared" si="4"/>
        <v>21053.2266666666</v>
      </c>
      <c r="G52" s="12"/>
    </row>
    <row r="53" spans="1:7" ht="20.100000000000001" customHeight="1">
      <c r="A53" s="9">
        <v>10</v>
      </c>
      <c r="B53" s="10" t="s">
        <v>424</v>
      </c>
      <c r="C53" s="3" t="s">
        <v>64</v>
      </c>
      <c r="D53" s="9" t="s">
        <v>391</v>
      </c>
      <c r="E53" s="72">
        <v>263165.33333333302</v>
      </c>
      <c r="F53" s="72">
        <f t="shared" si="4"/>
        <v>21053.2266666666</v>
      </c>
      <c r="G53" s="12"/>
    </row>
    <row r="54" spans="1:7" ht="20.100000000000001" customHeight="1">
      <c r="A54" s="9">
        <v>11</v>
      </c>
      <c r="B54" s="10" t="s">
        <v>425</v>
      </c>
      <c r="C54" s="3" t="s">
        <v>64</v>
      </c>
      <c r="D54" s="9" t="s">
        <v>391</v>
      </c>
      <c r="E54" s="72">
        <v>263165.33333333302</v>
      </c>
      <c r="F54" s="72">
        <f t="shared" si="4"/>
        <v>21053.2266666666</v>
      </c>
      <c r="G54" s="12"/>
    </row>
    <row r="55" spans="1:7" ht="25.5" customHeight="1">
      <c r="A55" s="9"/>
      <c r="B55" s="19" t="s">
        <v>42</v>
      </c>
      <c r="C55" s="20">
        <v>11</v>
      </c>
      <c r="D55" s="20"/>
      <c r="E55" s="80">
        <f>SUM(E44:E54)</f>
        <v>6180028</v>
      </c>
      <c r="F55" s="80">
        <f t="shared" ref="F55" si="5">SUM(F44:F54)</f>
        <v>494402.24</v>
      </c>
      <c r="G55" s="12"/>
    </row>
    <row r="56" spans="1:7" ht="20.100000000000001" customHeight="1">
      <c r="A56" s="9"/>
      <c r="B56" s="21"/>
      <c r="C56" s="20"/>
      <c r="D56" s="20"/>
      <c r="E56" s="134"/>
      <c r="F56" s="134"/>
      <c r="G56" s="12"/>
    </row>
    <row r="57" spans="1:7" ht="20.100000000000001" customHeight="1">
      <c r="A57" s="9"/>
      <c r="B57" s="19" t="s">
        <v>426</v>
      </c>
      <c r="C57" s="20"/>
      <c r="D57" s="20"/>
      <c r="E57" s="134"/>
      <c r="F57" s="134"/>
      <c r="G57" s="12"/>
    </row>
    <row r="58" spans="1:7" ht="20.100000000000001" customHeight="1">
      <c r="A58" s="9">
        <v>1</v>
      </c>
      <c r="B58" s="10" t="s">
        <v>427</v>
      </c>
      <c r="C58" s="11" t="s">
        <v>428</v>
      </c>
      <c r="D58" s="14" t="s">
        <v>405</v>
      </c>
      <c r="E58" s="72">
        <v>1435720</v>
      </c>
      <c r="F58" s="72">
        <f>E58*0.08</f>
        <v>114857.60000000001</v>
      </c>
      <c r="G58" s="12"/>
    </row>
    <row r="59" spans="1:7" ht="20.100000000000001" customHeight="1">
      <c r="A59" s="9">
        <v>2</v>
      </c>
      <c r="B59" s="10" t="s">
        <v>429</v>
      </c>
      <c r="C59" s="11" t="s">
        <v>430</v>
      </c>
      <c r="D59" s="14" t="s">
        <v>335</v>
      </c>
      <c r="E59" s="72">
        <v>620675.58333333302</v>
      </c>
      <c r="F59" s="72">
        <f>E59*0.08</f>
        <v>49654.046666666603</v>
      </c>
      <c r="G59" s="12"/>
    </row>
    <row r="60" spans="1:7" ht="20.100000000000001" customHeight="1">
      <c r="A60" s="9"/>
      <c r="B60" s="19" t="s">
        <v>42</v>
      </c>
      <c r="C60" s="20">
        <v>2</v>
      </c>
      <c r="D60" s="20"/>
      <c r="E60" s="80">
        <f>SUM(E58:E59)</f>
        <v>2056395.58333333</v>
      </c>
      <c r="F60" s="80">
        <f t="shared" ref="F60" si="6">SUM(F58:F59)</f>
        <v>164511.64666666699</v>
      </c>
      <c r="G60" s="12"/>
    </row>
    <row r="61" spans="1:7" ht="20.100000000000001" customHeight="1">
      <c r="A61" s="9"/>
      <c r="B61" s="19"/>
      <c r="C61" s="20"/>
      <c r="D61" s="20"/>
      <c r="E61" s="134"/>
      <c r="F61" s="134"/>
      <c r="G61" s="12"/>
    </row>
    <row r="62" spans="1:7" ht="20.100000000000001" customHeight="1">
      <c r="A62" s="9"/>
      <c r="B62" s="19" t="s">
        <v>60</v>
      </c>
      <c r="C62" s="20"/>
      <c r="D62" s="20"/>
      <c r="E62" s="134"/>
      <c r="F62" s="134"/>
      <c r="G62" s="12"/>
    </row>
    <row r="63" spans="1:7" ht="20.100000000000001" customHeight="1">
      <c r="A63" s="9">
        <v>1</v>
      </c>
      <c r="B63" s="10" t="s">
        <v>431</v>
      </c>
      <c r="C63" s="16" t="s">
        <v>432</v>
      </c>
      <c r="D63" s="9" t="s">
        <v>405</v>
      </c>
      <c r="E63" s="72">
        <v>1435720</v>
      </c>
      <c r="F63" s="72"/>
      <c r="G63" s="12"/>
    </row>
    <row r="64" spans="1:7" ht="20.100000000000001" customHeight="1">
      <c r="A64" s="9">
        <v>2</v>
      </c>
      <c r="B64" s="330" t="s">
        <v>433</v>
      </c>
      <c r="C64" s="16" t="s">
        <v>434</v>
      </c>
      <c r="D64" s="14" t="s">
        <v>435</v>
      </c>
      <c r="E64" s="72">
        <v>601396.83333333302</v>
      </c>
      <c r="F64" s="72">
        <f t="shared" ref="F64:F72" si="7">E64*0.08</f>
        <v>48111.746666666601</v>
      </c>
      <c r="G64" s="12"/>
    </row>
    <row r="65" spans="1:7" ht="20.100000000000001" customHeight="1">
      <c r="A65" s="9">
        <v>3</v>
      </c>
      <c r="B65" s="10" t="s">
        <v>436</v>
      </c>
      <c r="C65" s="3" t="s">
        <v>365</v>
      </c>
      <c r="D65" s="9" t="s">
        <v>369</v>
      </c>
      <c r="E65" s="72">
        <v>442746.5</v>
      </c>
      <c r="F65" s="72">
        <f t="shared" si="7"/>
        <v>35419.72</v>
      </c>
      <c r="G65" s="12"/>
    </row>
    <row r="66" spans="1:7" ht="20.100000000000001" customHeight="1">
      <c r="A66" s="9">
        <v>4</v>
      </c>
      <c r="B66" s="17" t="s">
        <v>437</v>
      </c>
      <c r="C66" s="16" t="s">
        <v>231</v>
      </c>
      <c r="D66" s="14" t="s">
        <v>375</v>
      </c>
      <c r="E66" s="72">
        <v>428915.91666666698</v>
      </c>
      <c r="F66" s="72">
        <f t="shared" si="7"/>
        <v>34313.273333333404</v>
      </c>
      <c r="G66" s="12"/>
    </row>
    <row r="67" spans="1:7" ht="20.100000000000001" customHeight="1">
      <c r="A67" s="9">
        <v>5</v>
      </c>
      <c r="B67" s="13" t="s">
        <v>438</v>
      </c>
      <c r="C67" s="16" t="s">
        <v>365</v>
      </c>
      <c r="D67" s="14" t="s">
        <v>363</v>
      </c>
      <c r="E67" s="72">
        <v>484373.75</v>
      </c>
      <c r="F67" s="72">
        <f t="shared" si="7"/>
        <v>38749.9</v>
      </c>
      <c r="G67" s="12"/>
    </row>
    <row r="68" spans="1:7" ht="20.100000000000001" customHeight="1">
      <c r="A68" s="9">
        <v>7</v>
      </c>
      <c r="B68" s="10" t="s">
        <v>439</v>
      </c>
      <c r="C68" s="3" t="s">
        <v>64</v>
      </c>
      <c r="D68" s="9" t="s">
        <v>440</v>
      </c>
      <c r="E68" s="72">
        <v>365703.83333333302</v>
      </c>
      <c r="F68" s="72">
        <f t="shared" si="7"/>
        <v>29256.306666666602</v>
      </c>
      <c r="G68" s="12"/>
    </row>
    <row r="69" spans="1:7" ht="20.100000000000001" customHeight="1">
      <c r="A69" s="9">
        <v>8</v>
      </c>
      <c r="B69" s="10" t="s">
        <v>441</v>
      </c>
      <c r="C69" s="16" t="s">
        <v>34</v>
      </c>
      <c r="D69" s="9" t="s">
        <v>440</v>
      </c>
      <c r="E69" s="72">
        <v>365703.83333333302</v>
      </c>
      <c r="F69" s="72">
        <f t="shared" si="7"/>
        <v>29256.306666666602</v>
      </c>
      <c r="G69" s="12"/>
    </row>
    <row r="70" spans="1:7" ht="20.100000000000001" customHeight="1">
      <c r="A70" s="9">
        <v>9</v>
      </c>
      <c r="B70" s="10" t="s">
        <v>442</v>
      </c>
      <c r="C70" s="16" t="s">
        <v>34</v>
      </c>
      <c r="D70" s="9" t="s">
        <v>440</v>
      </c>
      <c r="E70" s="72">
        <v>365703.83333333302</v>
      </c>
      <c r="F70" s="72">
        <f t="shared" si="7"/>
        <v>29256.306666666602</v>
      </c>
      <c r="G70" s="12"/>
    </row>
    <row r="71" spans="1:7" ht="20.100000000000001" customHeight="1">
      <c r="A71" s="9">
        <v>10</v>
      </c>
      <c r="B71" s="10" t="s">
        <v>443</v>
      </c>
      <c r="C71" s="3" t="s">
        <v>444</v>
      </c>
      <c r="D71" s="9" t="s">
        <v>380</v>
      </c>
      <c r="E71" s="441">
        <v>377895.16666666698</v>
      </c>
      <c r="F71" s="72">
        <f t="shared" si="7"/>
        <v>30231.6133333334</v>
      </c>
      <c r="G71" s="12"/>
    </row>
    <row r="72" spans="1:7" ht="21.6" customHeight="1">
      <c r="A72" s="9">
        <v>11</v>
      </c>
      <c r="B72" s="10" t="s">
        <v>445</v>
      </c>
      <c r="C72" s="3" t="s">
        <v>64</v>
      </c>
      <c r="D72" s="9" t="s">
        <v>409</v>
      </c>
      <c r="E72" s="202">
        <v>300965.58333333302</v>
      </c>
      <c r="F72" s="72">
        <f t="shared" si="7"/>
        <v>24077.246666666601</v>
      </c>
    </row>
    <row r="73" spans="1:7" ht="27" customHeight="1">
      <c r="A73" s="9"/>
      <c r="B73" s="19" t="s">
        <v>42</v>
      </c>
      <c r="C73" s="20">
        <v>12</v>
      </c>
      <c r="D73" s="20"/>
      <c r="E73" s="80">
        <f>SUM(E63:E72)</f>
        <v>5169125.25</v>
      </c>
      <c r="F73" s="80">
        <f t="shared" ref="F73" si="8">SUM(F63:F72)</f>
        <v>298672.42</v>
      </c>
      <c r="G73" s="12"/>
    </row>
    <row r="74" spans="1:7" ht="20.100000000000001" customHeight="1">
      <c r="A74" s="9"/>
      <c r="B74" s="21"/>
      <c r="C74" s="20"/>
      <c r="D74" s="20"/>
      <c r="E74" s="134"/>
      <c r="F74" s="134"/>
      <c r="G74" s="12"/>
    </row>
    <row r="75" spans="1:7" ht="20.100000000000001" customHeight="1">
      <c r="A75" s="9"/>
      <c r="B75" s="19" t="s">
        <v>65</v>
      </c>
      <c r="C75" s="20"/>
      <c r="D75" s="20"/>
      <c r="E75" s="134"/>
      <c r="F75" s="134"/>
      <c r="G75" s="12"/>
    </row>
    <row r="76" spans="1:7" ht="20.100000000000001" customHeight="1">
      <c r="A76" s="9">
        <v>1</v>
      </c>
      <c r="B76" s="10" t="s">
        <v>446</v>
      </c>
      <c r="C76" s="3" t="s">
        <v>447</v>
      </c>
      <c r="D76" s="9" t="s">
        <v>405</v>
      </c>
      <c r="E76" s="72">
        <v>1435720</v>
      </c>
      <c r="F76" s="72">
        <f>E76*0.08</f>
        <v>114857.60000000001</v>
      </c>
      <c r="G76" s="12"/>
    </row>
    <row r="77" spans="1:7" ht="20.100000000000001" customHeight="1">
      <c r="A77" s="9">
        <v>2</v>
      </c>
      <c r="B77" s="13" t="s">
        <v>331</v>
      </c>
      <c r="C77" s="3" t="s">
        <v>76</v>
      </c>
      <c r="D77" s="14" t="s">
        <v>332</v>
      </c>
      <c r="E77" s="72">
        <v>601396.83333333302</v>
      </c>
      <c r="F77" s="72"/>
      <c r="G77" s="12"/>
    </row>
    <row r="78" spans="1:7" ht="20.100000000000001" customHeight="1">
      <c r="A78" s="9">
        <v>3</v>
      </c>
      <c r="B78" s="17" t="s">
        <v>333</v>
      </c>
      <c r="C78" s="11" t="s">
        <v>334</v>
      </c>
      <c r="D78" s="9" t="s">
        <v>335</v>
      </c>
      <c r="E78" s="72">
        <v>620675.58333333302</v>
      </c>
      <c r="F78" s="72"/>
      <c r="G78" s="12"/>
    </row>
    <row r="79" spans="1:7" ht="20.100000000000001" customHeight="1">
      <c r="A79" s="9">
        <v>4</v>
      </c>
      <c r="B79" s="10" t="s">
        <v>448</v>
      </c>
      <c r="C79" s="3" t="s">
        <v>449</v>
      </c>
      <c r="D79" s="14" t="s">
        <v>450</v>
      </c>
      <c r="E79" s="72">
        <v>456622.25</v>
      </c>
      <c r="F79" s="72">
        <f t="shared" ref="F79:F82" si="9">E79*0.08</f>
        <v>36529.78</v>
      </c>
      <c r="G79" s="12"/>
    </row>
    <row r="80" spans="1:7" ht="20.100000000000001" customHeight="1">
      <c r="A80" s="9">
        <v>5</v>
      </c>
      <c r="B80" s="10" t="s">
        <v>451</v>
      </c>
      <c r="C80" s="3" t="s">
        <v>452</v>
      </c>
      <c r="D80" s="9" t="s">
        <v>453</v>
      </c>
      <c r="E80" s="72">
        <v>308901.5</v>
      </c>
      <c r="F80" s="72">
        <f t="shared" si="9"/>
        <v>24712.12</v>
      </c>
      <c r="G80" s="12"/>
    </row>
    <row r="81" spans="1:7" ht="20.100000000000001" customHeight="1">
      <c r="A81" s="9">
        <v>6</v>
      </c>
      <c r="B81" s="10" t="s">
        <v>454</v>
      </c>
      <c r="C81" s="3" t="s">
        <v>452</v>
      </c>
      <c r="D81" s="9" t="s">
        <v>391</v>
      </c>
      <c r="E81" s="72">
        <v>263165.33333333302</v>
      </c>
      <c r="F81" s="72">
        <f t="shared" si="9"/>
        <v>21053.2266666666</v>
      </c>
      <c r="G81" s="12"/>
    </row>
    <row r="82" spans="1:7" ht="20.100000000000001" customHeight="1">
      <c r="A82" s="9">
        <v>7</v>
      </c>
      <c r="B82" s="10" t="s">
        <v>455</v>
      </c>
      <c r="C82" s="3" t="s">
        <v>456</v>
      </c>
      <c r="D82" s="9" t="s">
        <v>402</v>
      </c>
      <c r="E82" s="72">
        <v>224459.75</v>
      </c>
      <c r="F82" s="72">
        <f t="shared" si="9"/>
        <v>17956.78</v>
      </c>
      <c r="G82" s="12"/>
    </row>
    <row r="83" spans="1:7" ht="20.100000000000001" customHeight="1">
      <c r="A83" s="9"/>
      <c r="B83" s="19" t="s">
        <v>42</v>
      </c>
      <c r="C83" s="20">
        <v>7</v>
      </c>
      <c r="D83" s="20"/>
      <c r="E83" s="80">
        <f>SUM(E76:E82)</f>
        <v>3910941.25</v>
      </c>
      <c r="F83" s="80">
        <f t="shared" ref="F83" si="10">SUM(F76:F82)</f>
        <v>215109.506666667</v>
      </c>
      <c r="G83" s="12"/>
    </row>
    <row r="84" spans="1:7" ht="20.100000000000001" customHeight="1">
      <c r="A84" s="9"/>
      <c r="B84" s="19"/>
      <c r="C84" s="20"/>
      <c r="D84" s="20"/>
      <c r="E84" s="134"/>
      <c r="F84" s="134"/>
      <c r="G84" s="12"/>
    </row>
    <row r="85" spans="1:7" ht="20.100000000000001" customHeight="1">
      <c r="A85" s="9"/>
      <c r="B85" s="19" t="s">
        <v>74</v>
      </c>
      <c r="C85" s="24"/>
      <c r="D85" s="20"/>
      <c r="E85" s="134"/>
      <c r="F85" s="134"/>
      <c r="G85" s="12"/>
    </row>
    <row r="86" spans="1:7" ht="20.100000000000001" customHeight="1">
      <c r="A86" s="9">
        <v>1</v>
      </c>
      <c r="B86" s="10" t="s">
        <v>457</v>
      </c>
      <c r="C86" s="3" t="s">
        <v>418</v>
      </c>
      <c r="D86" s="9" t="s">
        <v>358</v>
      </c>
      <c r="E86" s="72">
        <v>620675.58333333302</v>
      </c>
      <c r="F86" s="72">
        <f>E86*0.08</f>
        <v>49654.046666666603</v>
      </c>
      <c r="G86" s="12"/>
    </row>
    <row r="87" spans="1:7" ht="20.100000000000001" customHeight="1">
      <c r="A87" s="9">
        <v>2</v>
      </c>
      <c r="B87" s="10" t="s">
        <v>458</v>
      </c>
      <c r="C87" s="3" t="s">
        <v>418</v>
      </c>
      <c r="D87" s="9" t="s">
        <v>358</v>
      </c>
      <c r="E87" s="72">
        <v>620675.58333333302</v>
      </c>
      <c r="F87" s="72">
        <f t="shared" ref="F87:F95" si="11">E87*0.08</f>
        <v>49654.046666666603</v>
      </c>
      <c r="G87" s="12"/>
    </row>
    <row r="88" spans="1:7" ht="20.100000000000001" customHeight="1">
      <c r="A88" s="9">
        <v>3</v>
      </c>
      <c r="B88" s="10" t="s">
        <v>459</v>
      </c>
      <c r="C88" s="3" t="s">
        <v>418</v>
      </c>
      <c r="D88" s="9" t="s">
        <v>99</v>
      </c>
      <c r="E88" s="72">
        <v>582118.08333333302</v>
      </c>
      <c r="F88" s="72">
        <f t="shared" si="11"/>
        <v>46569.446666666598</v>
      </c>
      <c r="G88" s="12"/>
    </row>
    <row r="89" spans="1:7" ht="21.6" customHeight="1">
      <c r="A89" s="9">
        <v>4</v>
      </c>
      <c r="B89" s="10" t="s">
        <v>460</v>
      </c>
      <c r="C89" s="3" t="s">
        <v>461</v>
      </c>
      <c r="D89" s="14" t="s">
        <v>372</v>
      </c>
      <c r="E89" s="72">
        <v>441804.91666666698</v>
      </c>
      <c r="F89" s="72">
        <f t="shared" si="11"/>
        <v>35344.393333333399</v>
      </c>
      <c r="G89" s="12"/>
    </row>
    <row r="90" spans="1:7" ht="21.6" customHeight="1">
      <c r="A90" s="9">
        <v>5</v>
      </c>
      <c r="B90" s="10" t="s">
        <v>462</v>
      </c>
      <c r="C90" s="11" t="s">
        <v>231</v>
      </c>
      <c r="D90" s="14" t="s">
        <v>375</v>
      </c>
      <c r="E90" s="72">
        <v>428915.91666666698</v>
      </c>
      <c r="F90" s="72">
        <f t="shared" si="11"/>
        <v>34313.273333333404</v>
      </c>
      <c r="G90" s="12"/>
    </row>
    <row r="91" spans="1:7" ht="21.6" customHeight="1">
      <c r="A91" s="9">
        <v>6</v>
      </c>
      <c r="B91" s="10" t="s">
        <v>463</v>
      </c>
      <c r="C91" s="11" t="s">
        <v>365</v>
      </c>
      <c r="D91" s="14" t="s">
        <v>29</v>
      </c>
      <c r="E91" s="72">
        <v>428870.75</v>
      </c>
      <c r="F91" s="72">
        <f t="shared" si="11"/>
        <v>34309.660000000003</v>
      </c>
      <c r="G91" s="12"/>
    </row>
    <row r="92" spans="1:7" ht="21.6" customHeight="1">
      <c r="A92" s="9">
        <v>7</v>
      </c>
      <c r="B92" s="10" t="s">
        <v>464</v>
      </c>
      <c r="C92" s="16" t="s">
        <v>34</v>
      </c>
      <c r="D92" s="14" t="s">
        <v>440</v>
      </c>
      <c r="E92" s="72">
        <v>365703.83333333302</v>
      </c>
      <c r="F92" s="72">
        <f t="shared" si="11"/>
        <v>29256.306666666602</v>
      </c>
      <c r="G92" s="12"/>
    </row>
    <row r="93" spans="1:7" ht="21.6" customHeight="1">
      <c r="A93" s="9">
        <v>8</v>
      </c>
      <c r="B93" s="10" t="s">
        <v>465</v>
      </c>
      <c r="C93" s="16" t="s">
        <v>231</v>
      </c>
      <c r="D93" s="14" t="s">
        <v>81</v>
      </c>
      <c r="E93" s="72">
        <v>390248.91666666698</v>
      </c>
      <c r="F93" s="72">
        <f t="shared" si="11"/>
        <v>31219.913333333399</v>
      </c>
      <c r="G93" s="12"/>
    </row>
    <row r="94" spans="1:7" ht="21.6" customHeight="1">
      <c r="A94" s="9">
        <v>9</v>
      </c>
      <c r="B94" s="10" t="s">
        <v>466</v>
      </c>
      <c r="C94" s="3" t="s">
        <v>467</v>
      </c>
      <c r="D94" s="9" t="s">
        <v>409</v>
      </c>
      <c r="E94" s="202">
        <v>300965.58333333302</v>
      </c>
      <c r="F94" s="72">
        <f t="shared" si="11"/>
        <v>24077.246666666601</v>
      </c>
      <c r="G94" s="12"/>
    </row>
    <row r="95" spans="1:7" ht="21.6" customHeight="1">
      <c r="A95" s="9">
        <v>10</v>
      </c>
      <c r="B95" s="10" t="s">
        <v>468</v>
      </c>
      <c r="C95" s="16" t="s">
        <v>469</v>
      </c>
      <c r="D95" s="14" t="s">
        <v>399</v>
      </c>
      <c r="E95" s="202">
        <v>230631.91666666701</v>
      </c>
      <c r="F95" s="72">
        <f t="shared" si="11"/>
        <v>18450.553333333399</v>
      </c>
      <c r="G95" s="12"/>
    </row>
    <row r="96" spans="1:7" ht="20.100000000000001" customHeight="1">
      <c r="A96" s="9"/>
      <c r="B96" s="19" t="s">
        <v>42</v>
      </c>
      <c r="C96" s="20">
        <v>11</v>
      </c>
      <c r="D96" s="20"/>
      <c r="E96" s="80">
        <f>SUM(E86:E95)</f>
        <v>4410611.0833333302</v>
      </c>
      <c r="F96" s="80">
        <f t="shared" ref="F96" si="12">SUM(F86:F95)</f>
        <v>352848.88666666701</v>
      </c>
      <c r="G96" s="12"/>
    </row>
    <row r="97" spans="1:7" ht="20.100000000000001" customHeight="1">
      <c r="A97" s="9"/>
      <c r="B97" s="21"/>
      <c r="C97" s="20"/>
      <c r="D97" s="20"/>
      <c r="E97" s="134"/>
      <c r="F97" s="134"/>
      <c r="G97" s="12"/>
    </row>
    <row r="98" spans="1:7" ht="20.100000000000001" customHeight="1">
      <c r="A98" s="9"/>
      <c r="B98" s="19" t="s">
        <v>84</v>
      </c>
      <c r="C98" s="20"/>
      <c r="D98" s="20"/>
      <c r="E98" s="134"/>
      <c r="F98" s="134"/>
      <c r="G98" s="12"/>
    </row>
    <row r="99" spans="1:7" ht="20.100000000000001" customHeight="1">
      <c r="A99" s="9">
        <v>1</v>
      </c>
      <c r="B99" s="13" t="s">
        <v>470</v>
      </c>
      <c r="C99" s="3" t="s">
        <v>471</v>
      </c>
      <c r="D99" s="15" t="s">
        <v>340</v>
      </c>
      <c r="E99" s="72">
        <v>762373.16666666698</v>
      </c>
      <c r="F99" s="72">
        <f>E99*0.08</f>
        <v>60989.853333333398</v>
      </c>
      <c r="G99" s="12"/>
    </row>
    <row r="100" spans="1:7" ht="20.100000000000001" customHeight="1">
      <c r="A100" s="9">
        <v>2</v>
      </c>
      <c r="B100" s="10" t="s">
        <v>473</v>
      </c>
      <c r="C100" s="3" t="s">
        <v>474</v>
      </c>
      <c r="D100" s="14" t="s">
        <v>450</v>
      </c>
      <c r="E100" s="72">
        <v>456622.25</v>
      </c>
      <c r="F100" s="72">
        <f t="shared" ref="F100:F102" si="13">E100*0.08</f>
        <v>36529.78</v>
      </c>
      <c r="G100" s="12"/>
    </row>
    <row r="101" spans="1:7" ht="20.100000000000001" customHeight="1">
      <c r="A101" s="9">
        <v>3</v>
      </c>
      <c r="B101" s="10" t="s">
        <v>475</v>
      </c>
      <c r="C101" s="3" t="s">
        <v>476</v>
      </c>
      <c r="D101" s="14" t="s">
        <v>380</v>
      </c>
      <c r="E101" s="72">
        <v>377895.16666666698</v>
      </c>
      <c r="F101" s="72">
        <f t="shared" si="13"/>
        <v>30231.6133333334</v>
      </c>
      <c r="G101" s="12"/>
    </row>
    <row r="102" spans="1:7" ht="20.100000000000001" customHeight="1">
      <c r="A102" s="9">
        <v>4</v>
      </c>
      <c r="B102" s="10" t="s">
        <v>477</v>
      </c>
      <c r="C102" s="3" t="s">
        <v>478</v>
      </c>
      <c r="D102" s="14" t="s">
        <v>409</v>
      </c>
      <c r="E102" s="202">
        <v>300965.58333333302</v>
      </c>
      <c r="F102" s="72">
        <f t="shared" si="13"/>
        <v>24077.246666666601</v>
      </c>
      <c r="G102" s="12"/>
    </row>
    <row r="103" spans="1:7" ht="20.100000000000001" customHeight="1">
      <c r="A103" s="3"/>
      <c r="B103" s="19" t="s">
        <v>42</v>
      </c>
      <c r="C103" s="20">
        <v>4</v>
      </c>
      <c r="D103" s="25"/>
      <c r="E103" s="80">
        <f>SUM(E99:E102)</f>
        <v>1897856.16666667</v>
      </c>
      <c r="F103" s="80">
        <f t="shared" ref="F103" si="14">SUM(F99:F102)</f>
        <v>151828.493333333</v>
      </c>
      <c r="G103" s="12"/>
    </row>
    <row r="104" spans="1:7" ht="20.100000000000001" customHeight="1">
      <c r="A104" s="3"/>
      <c r="B104" s="21"/>
      <c r="C104" s="20"/>
      <c r="D104" s="25"/>
      <c r="E104" s="134"/>
      <c r="F104" s="134"/>
      <c r="G104" s="12"/>
    </row>
    <row r="105" spans="1:7" ht="20.100000000000001" customHeight="1">
      <c r="A105" s="3"/>
      <c r="B105" s="19" t="s">
        <v>479</v>
      </c>
      <c r="C105" s="3"/>
      <c r="D105" s="3"/>
      <c r="E105" s="3"/>
      <c r="F105" s="3"/>
      <c r="G105" s="12"/>
    </row>
    <row r="106" spans="1:7" ht="20.100000000000001" customHeight="1">
      <c r="A106" s="3">
        <v>1</v>
      </c>
      <c r="B106" s="10" t="s">
        <v>480</v>
      </c>
      <c r="C106" s="11" t="s">
        <v>481</v>
      </c>
      <c r="D106" s="14" t="s">
        <v>405</v>
      </c>
      <c r="E106" s="72">
        <v>1435720</v>
      </c>
      <c r="F106" s="72">
        <f>E106*0.08</f>
        <v>114857.60000000001</v>
      </c>
      <c r="G106" s="12"/>
    </row>
    <row r="107" spans="1:7" ht="20.100000000000001" customHeight="1">
      <c r="A107" s="3">
        <v>2</v>
      </c>
      <c r="B107" s="10" t="s">
        <v>482</v>
      </c>
      <c r="C107" s="3" t="s">
        <v>483</v>
      </c>
      <c r="D107" s="15" t="s">
        <v>340</v>
      </c>
      <c r="E107" s="72">
        <v>762373.16666666698</v>
      </c>
      <c r="F107" s="72">
        <f t="shared" ref="F107:F112" si="15">E107*0.08</f>
        <v>60989.853333333398</v>
      </c>
      <c r="G107" s="12"/>
    </row>
    <row r="108" spans="1:7" ht="20.100000000000001" customHeight="1">
      <c r="A108" s="3">
        <v>3</v>
      </c>
      <c r="B108" s="10" t="s">
        <v>484</v>
      </c>
      <c r="C108" s="3" t="s">
        <v>485</v>
      </c>
      <c r="D108" s="9" t="s">
        <v>372</v>
      </c>
      <c r="E108" s="72">
        <v>441804.91666666698</v>
      </c>
      <c r="F108" s="72">
        <f t="shared" si="15"/>
        <v>35344.393333333399</v>
      </c>
      <c r="G108" s="12"/>
    </row>
    <row r="109" spans="1:7" ht="20.100000000000001" customHeight="1">
      <c r="A109" s="3">
        <v>4</v>
      </c>
      <c r="B109" s="10" t="s">
        <v>486</v>
      </c>
      <c r="C109" s="3" t="s">
        <v>485</v>
      </c>
      <c r="D109" s="9" t="s">
        <v>372</v>
      </c>
      <c r="E109" s="72">
        <v>441804.91666666698</v>
      </c>
      <c r="F109" s="72">
        <f t="shared" si="15"/>
        <v>35344.393333333399</v>
      </c>
      <c r="G109" s="12"/>
    </row>
    <row r="110" spans="1:7" ht="20.100000000000001" customHeight="1">
      <c r="A110" s="3">
        <v>5</v>
      </c>
      <c r="B110" s="10" t="s">
        <v>487</v>
      </c>
      <c r="C110" s="3" t="s">
        <v>488</v>
      </c>
      <c r="D110" s="14" t="s">
        <v>489</v>
      </c>
      <c r="E110" s="202">
        <v>249148.41666666701</v>
      </c>
      <c r="F110" s="72">
        <f t="shared" si="15"/>
        <v>19931.873333333398</v>
      </c>
      <c r="G110" s="12"/>
    </row>
    <row r="111" spans="1:7" ht="20.100000000000001" customHeight="1">
      <c r="A111" s="3">
        <v>6</v>
      </c>
      <c r="B111" s="17" t="s">
        <v>490</v>
      </c>
      <c r="C111" s="3" t="s">
        <v>488</v>
      </c>
      <c r="D111" s="9" t="s">
        <v>491</v>
      </c>
      <c r="E111" s="202">
        <v>242976.25</v>
      </c>
      <c r="F111" s="72">
        <f t="shared" si="15"/>
        <v>19438.099999999999</v>
      </c>
      <c r="G111" s="12"/>
    </row>
    <row r="112" spans="1:7" ht="20.100000000000001" customHeight="1">
      <c r="A112" s="3">
        <v>7</v>
      </c>
      <c r="B112" s="17" t="s">
        <v>492</v>
      </c>
      <c r="C112" s="3" t="s">
        <v>488</v>
      </c>
      <c r="D112" s="14" t="s">
        <v>399</v>
      </c>
      <c r="E112" s="202">
        <v>230631.91666666701</v>
      </c>
      <c r="F112" s="72">
        <f t="shared" si="15"/>
        <v>18450.553333333399</v>
      </c>
      <c r="G112" s="12"/>
    </row>
    <row r="113" spans="1:7" ht="25.5" customHeight="1">
      <c r="A113" s="3"/>
      <c r="B113" s="19" t="s">
        <v>42</v>
      </c>
      <c r="C113" s="20">
        <v>7</v>
      </c>
      <c r="D113" s="3"/>
      <c r="E113" s="205">
        <f>SUM(E106:E112)</f>
        <v>3804459.5833333302</v>
      </c>
      <c r="F113" s="205">
        <f t="shared" ref="F113" si="16">SUM(F106:F112)</f>
        <v>304356.76666666701</v>
      </c>
      <c r="G113" s="12"/>
    </row>
    <row r="114" spans="1:7" ht="20.100000000000001" customHeight="1">
      <c r="A114" s="3"/>
      <c r="B114" s="19"/>
      <c r="C114" s="20"/>
      <c r="D114" s="3"/>
      <c r="E114" s="205"/>
      <c r="F114" s="205"/>
      <c r="G114" s="12"/>
    </row>
    <row r="115" spans="1:7" ht="20.100000000000001" customHeight="1">
      <c r="A115" s="9"/>
      <c r="B115" s="19" t="s">
        <v>242</v>
      </c>
      <c r="C115" s="20"/>
      <c r="D115" s="20"/>
      <c r="E115" s="134"/>
      <c r="F115" s="134"/>
      <c r="G115" s="12"/>
    </row>
    <row r="116" spans="1:7" ht="20.100000000000001" customHeight="1">
      <c r="A116" s="9">
        <v>1</v>
      </c>
      <c r="B116" s="13" t="s">
        <v>493</v>
      </c>
      <c r="C116" s="3" t="s">
        <v>418</v>
      </c>
      <c r="D116" s="9" t="s">
        <v>435</v>
      </c>
      <c r="E116" s="72">
        <v>601396.83333333302</v>
      </c>
      <c r="F116" s="72">
        <f>E116*0.08</f>
        <v>48111.746666666601</v>
      </c>
      <c r="G116" s="12"/>
    </row>
    <row r="117" spans="1:7" ht="18.75" customHeight="1">
      <c r="A117" s="9">
        <v>2</v>
      </c>
      <c r="B117" s="10" t="s">
        <v>494</v>
      </c>
      <c r="C117" s="3" t="s">
        <v>495</v>
      </c>
      <c r="D117" s="14" t="s">
        <v>380</v>
      </c>
      <c r="E117" s="72">
        <v>377895.16666666698</v>
      </c>
      <c r="F117" s="72">
        <f t="shared" ref="F117:F118" si="17">E117*0.08</f>
        <v>30231.6133333334</v>
      </c>
      <c r="G117" s="12"/>
    </row>
    <row r="118" spans="1:7" ht="20.100000000000001" customHeight="1">
      <c r="A118" s="9">
        <v>3</v>
      </c>
      <c r="B118" s="10" t="s">
        <v>496</v>
      </c>
      <c r="C118" s="11" t="s">
        <v>497</v>
      </c>
      <c r="D118" s="14" t="s">
        <v>498</v>
      </c>
      <c r="E118" s="72">
        <v>390086.5</v>
      </c>
      <c r="F118" s="72">
        <f t="shared" si="17"/>
        <v>31206.92</v>
      </c>
      <c r="G118" s="12"/>
    </row>
    <row r="119" spans="1:7" ht="24.75" customHeight="1">
      <c r="A119" s="3"/>
      <c r="B119" s="19" t="s">
        <v>42</v>
      </c>
      <c r="C119" s="20">
        <v>2</v>
      </c>
      <c r="D119" s="25"/>
      <c r="E119" s="80">
        <f>SUM(E116:E118)</f>
        <v>1369378.5</v>
      </c>
      <c r="F119" s="80">
        <f t="shared" ref="F119" si="18">SUM(F116:F118)</f>
        <v>109550.28</v>
      </c>
      <c r="G119" s="12"/>
    </row>
    <row r="120" spans="1:7" ht="20.100000000000001" customHeight="1">
      <c r="A120" s="3"/>
      <c r="B120" s="21"/>
      <c r="C120" s="9"/>
      <c r="D120" s="3"/>
      <c r="E120" s="206"/>
      <c r="F120" s="8"/>
      <c r="G120" s="12"/>
    </row>
    <row r="121" spans="1:7" ht="20.100000000000001" customHeight="1">
      <c r="A121" s="3"/>
      <c r="B121" s="19" t="s">
        <v>97</v>
      </c>
      <c r="C121" s="20"/>
      <c r="D121" s="20"/>
      <c r="E121" s="134"/>
      <c r="F121" s="134"/>
      <c r="G121" s="12"/>
    </row>
    <row r="122" spans="1:7" ht="20.100000000000001" customHeight="1">
      <c r="A122" s="3">
        <v>1</v>
      </c>
      <c r="B122" s="10" t="s">
        <v>499</v>
      </c>
      <c r="C122" s="11" t="s">
        <v>500</v>
      </c>
      <c r="D122" s="14" t="s">
        <v>405</v>
      </c>
      <c r="E122" s="72">
        <v>1435720</v>
      </c>
      <c r="F122" s="72">
        <f>E122*0.08</f>
        <v>114857.60000000001</v>
      </c>
      <c r="G122" s="12"/>
    </row>
    <row r="123" spans="1:7" ht="20.100000000000001" customHeight="1">
      <c r="A123" s="3">
        <v>2</v>
      </c>
      <c r="B123" s="10" t="s">
        <v>178</v>
      </c>
      <c r="C123" s="11" t="s">
        <v>501</v>
      </c>
      <c r="D123" s="14" t="s">
        <v>416</v>
      </c>
      <c r="E123" s="72">
        <v>739203.58333333302</v>
      </c>
      <c r="F123" s="72">
        <f t="shared" ref="F123:F131" si="19">E123*0.08</f>
        <v>59136.286666666601</v>
      </c>
      <c r="G123" s="12"/>
    </row>
    <row r="124" spans="1:7" ht="20.100000000000001" customHeight="1">
      <c r="A124" s="3">
        <v>3</v>
      </c>
      <c r="B124" s="13" t="s">
        <v>502</v>
      </c>
      <c r="C124" s="11" t="s">
        <v>337</v>
      </c>
      <c r="D124" s="14" t="s">
        <v>358</v>
      </c>
      <c r="E124" s="72">
        <v>620675.58333333302</v>
      </c>
      <c r="F124" s="72">
        <f t="shared" si="19"/>
        <v>49654.046666666603</v>
      </c>
      <c r="G124" s="12"/>
    </row>
    <row r="125" spans="1:7" ht="20.100000000000001" customHeight="1">
      <c r="A125" s="3">
        <v>4</v>
      </c>
      <c r="B125" s="13" t="s">
        <v>336</v>
      </c>
      <c r="C125" s="11" t="s">
        <v>337</v>
      </c>
      <c r="D125" s="14" t="s">
        <v>99</v>
      </c>
      <c r="E125" s="72">
        <v>582118.08333333302</v>
      </c>
      <c r="F125" s="72"/>
      <c r="G125" s="12"/>
    </row>
    <row r="126" spans="1:7" ht="20.100000000000001" customHeight="1">
      <c r="A126" s="3">
        <v>5</v>
      </c>
      <c r="B126" s="10" t="s">
        <v>503</v>
      </c>
      <c r="C126" s="11" t="s">
        <v>504</v>
      </c>
      <c r="D126" s="14" t="s">
        <v>366</v>
      </c>
      <c r="E126" s="72">
        <v>470498</v>
      </c>
      <c r="F126" s="72">
        <f t="shared" si="19"/>
        <v>37639.839999999997</v>
      </c>
      <c r="G126" s="12"/>
    </row>
    <row r="127" spans="1:7" ht="20.100000000000001" customHeight="1">
      <c r="A127" s="3">
        <v>6</v>
      </c>
      <c r="B127" s="10" t="s">
        <v>505</v>
      </c>
      <c r="C127" s="11" t="s">
        <v>506</v>
      </c>
      <c r="D127" s="14" t="s">
        <v>369</v>
      </c>
      <c r="E127" s="72">
        <v>442746.5</v>
      </c>
      <c r="F127" s="72">
        <f t="shared" si="19"/>
        <v>35419.72</v>
      </c>
      <c r="G127" s="12"/>
    </row>
    <row r="128" spans="1:7" ht="20.100000000000001" customHeight="1">
      <c r="A128" s="3">
        <v>7</v>
      </c>
      <c r="B128" s="10" t="s">
        <v>507</v>
      </c>
      <c r="C128" s="11" t="s">
        <v>504</v>
      </c>
      <c r="D128" s="14" t="s">
        <v>450</v>
      </c>
      <c r="E128" s="72">
        <v>456622.25</v>
      </c>
      <c r="F128" s="72">
        <f t="shared" si="19"/>
        <v>36529.78</v>
      </c>
      <c r="G128" s="12"/>
    </row>
    <row r="129" spans="1:7" ht="20.100000000000001" customHeight="1">
      <c r="A129" s="3">
        <v>8</v>
      </c>
      <c r="B129" s="10" t="s">
        <v>508</v>
      </c>
      <c r="C129" s="11" t="s">
        <v>509</v>
      </c>
      <c r="D129" s="9" t="s">
        <v>387</v>
      </c>
      <c r="E129" s="72">
        <v>270481.66666666698</v>
      </c>
      <c r="F129" s="72">
        <f t="shared" si="19"/>
        <v>21638.533333333398</v>
      </c>
      <c r="G129" s="12"/>
    </row>
    <row r="130" spans="1:7" ht="20.100000000000001" customHeight="1">
      <c r="A130" s="3">
        <v>9</v>
      </c>
      <c r="B130" s="17" t="s">
        <v>510</v>
      </c>
      <c r="C130" s="11" t="s">
        <v>511</v>
      </c>
      <c r="D130" s="14" t="s">
        <v>402</v>
      </c>
      <c r="E130" s="72">
        <v>224459.75</v>
      </c>
      <c r="F130" s="72">
        <f t="shared" si="19"/>
        <v>17956.78</v>
      </c>
      <c r="G130" s="12"/>
    </row>
    <row r="131" spans="1:7" ht="20.100000000000001" customHeight="1">
      <c r="A131" s="3">
        <v>10</v>
      </c>
      <c r="B131" s="17" t="s">
        <v>512</v>
      </c>
      <c r="C131" s="11" t="s">
        <v>248</v>
      </c>
      <c r="D131" s="14" t="s">
        <v>402</v>
      </c>
      <c r="E131" s="72">
        <v>224459.75</v>
      </c>
      <c r="F131" s="72">
        <f t="shared" si="19"/>
        <v>17956.78</v>
      </c>
      <c r="G131" s="12"/>
    </row>
    <row r="132" spans="1:7" ht="28.5" customHeight="1">
      <c r="A132" s="3"/>
      <c r="B132" s="19" t="s">
        <v>42</v>
      </c>
      <c r="C132" s="25" t="s">
        <v>513</v>
      </c>
      <c r="D132" s="14"/>
      <c r="E132" s="134">
        <f>SUM(E122:E131)</f>
        <v>5466985.1666666698</v>
      </c>
      <c r="F132" s="134">
        <f t="shared" ref="F132" si="20">SUM(F122:F131)</f>
        <v>390789.36666666699</v>
      </c>
      <c r="G132" s="12"/>
    </row>
    <row r="133" spans="1:7" ht="20.100000000000001" customHeight="1">
      <c r="A133" s="3"/>
      <c r="B133" s="21"/>
      <c r="C133" s="25"/>
      <c r="D133" s="14"/>
      <c r="E133" s="134"/>
      <c r="F133" s="134"/>
      <c r="G133" s="12"/>
    </row>
    <row r="134" spans="1:7" ht="20.100000000000001" customHeight="1">
      <c r="A134" s="3"/>
      <c r="B134" s="19" t="s">
        <v>103</v>
      </c>
      <c r="C134" s="11"/>
      <c r="D134" s="14"/>
      <c r="E134" s="72"/>
      <c r="F134" s="72"/>
      <c r="G134" s="12"/>
    </row>
    <row r="135" spans="1:7" ht="20.100000000000001" customHeight="1">
      <c r="A135" s="26">
        <v>1</v>
      </c>
      <c r="B135" s="10" t="s">
        <v>514</v>
      </c>
      <c r="C135" s="11" t="s">
        <v>515</v>
      </c>
      <c r="D135" s="14" t="s">
        <v>405</v>
      </c>
      <c r="E135" s="72">
        <v>1435720</v>
      </c>
      <c r="F135" s="72">
        <f>E135*0.08</f>
        <v>114857.60000000001</v>
      </c>
      <c r="G135" s="12"/>
    </row>
    <row r="136" spans="1:7" ht="20.100000000000001" customHeight="1">
      <c r="A136" s="26">
        <v>2</v>
      </c>
      <c r="B136" s="10" t="s">
        <v>338</v>
      </c>
      <c r="C136" s="11" t="s">
        <v>339</v>
      </c>
      <c r="D136" s="14" t="s">
        <v>340</v>
      </c>
      <c r="E136" s="72">
        <v>762373.16666666698</v>
      </c>
      <c r="F136" s="72"/>
      <c r="G136" s="12"/>
    </row>
    <row r="137" spans="1:7" ht="20.100000000000001" customHeight="1">
      <c r="A137" s="26">
        <v>3</v>
      </c>
      <c r="B137" s="13" t="s">
        <v>516</v>
      </c>
      <c r="C137" s="3" t="s">
        <v>517</v>
      </c>
      <c r="D137" s="15" t="s">
        <v>340</v>
      </c>
      <c r="E137" s="72">
        <v>762373.16666666698</v>
      </c>
      <c r="F137" s="72">
        <f t="shared" ref="F137:F193" si="21">E137*0.08</f>
        <v>60989.853333333398</v>
      </c>
      <c r="G137" s="12"/>
    </row>
    <row r="138" spans="1:7" ht="20.100000000000001" customHeight="1">
      <c r="A138" s="26">
        <v>4</v>
      </c>
      <c r="B138" s="10" t="s">
        <v>518</v>
      </c>
      <c r="C138" s="11" t="s">
        <v>519</v>
      </c>
      <c r="D138" s="14" t="s">
        <v>363</v>
      </c>
      <c r="E138" s="72">
        <v>484373.75</v>
      </c>
      <c r="F138" s="72">
        <f t="shared" si="21"/>
        <v>38749.9</v>
      </c>
      <c r="G138" s="12"/>
    </row>
    <row r="139" spans="1:7" ht="20.100000000000001" customHeight="1">
      <c r="A139" s="26">
        <v>5</v>
      </c>
      <c r="B139" s="10" t="s">
        <v>520</v>
      </c>
      <c r="C139" s="3" t="s">
        <v>521</v>
      </c>
      <c r="D139" s="14" t="s">
        <v>363</v>
      </c>
      <c r="E139" s="72">
        <v>484373.75</v>
      </c>
      <c r="F139" s="72">
        <f t="shared" si="21"/>
        <v>38749.9</v>
      </c>
      <c r="G139" s="12"/>
    </row>
    <row r="140" spans="1:7" ht="20.100000000000001" customHeight="1">
      <c r="A140" s="26">
        <v>6</v>
      </c>
      <c r="B140" s="10" t="s">
        <v>522</v>
      </c>
      <c r="C140" s="3" t="s">
        <v>521</v>
      </c>
      <c r="D140" s="14" t="s">
        <v>363</v>
      </c>
      <c r="E140" s="72">
        <v>484373.75</v>
      </c>
      <c r="F140" s="72">
        <f t="shared" si="21"/>
        <v>38749.9</v>
      </c>
      <c r="G140" s="12"/>
    </row>
    <row r="141" spans="1:7" ht="20.100000000000001" customHeight="1">
      <c r="A141" s="26">
        <v>7</v>
      </c>
      <c r="B141" s="10" t="s">
        <v>523</v>
      </c>
      <c r="C141" s="11" t="s">
        <v>524</v>
      </c>
      <c r="D141" s="14" t="s">
        <v>498</v>
      </c>
      <c r="E141" s="72">
        <v>390086.5</v>
      </c>
      <c r="F141" s="72">
        <f t="shared" si="21"/>
        <v>31206.92</v>
      </c>
      <c r="G141" s="12"/>
    </row>
    <row r="142" spans="1:7" ht="20.100000000000001" customHeight="1">
      <c r="A142" s="26">
        <v>8</v>
      </c>
      <c r="B142" s="10" t="s">
        <v>525</v>
      </c>
      <c r="C142" s="11" t="s">
        <v>524</v>
      </c>
      <c r="D142" s="14" t="s">
        <v>498</v>
      </c>
      <c r="E142" s="72">
        <v>390086.5</v>
      </c>
      <c r="F142" s="72">
        <f t="shared" si="21"/>
        <v>31206.92</v>
      </c>
      <c r="G142" s="12"/>
    </row>
    <row r="143" spans="1:7" ht="20.100000000000001" customHeight="1">
      <c r="A143" s="26">
        <v>9</v>
      </c>
      <c r="B143" s="10" t="s">
        <v>526</v>
      </c>
      <c r="C143" s="3" t="s">
        <v>527</v>
      </c>
      <c r="D143" s="14" t="s">
        <v>498</v>
      </c>
      <c r="E143" s="72">
        <v>390086.5</v>
      </c>
      <c r="F143" s="72">
        <f t="shared" si="21"/>
        <v>31206.92</v>
      </c>
      <c r="G143" s="12"/>
    </row>
    <row r="144" spans="1:7" ht="20.100000000000001" customHeight="1">
      <c r="A144" s="26">
        <v>10</v>
      </c>
      <c r="B144" s="10" t="s">
        <v>528</v>
      </c>
      <c r="C144" s="11" t="s">
        <v>529</v>
      </c>
      <c r="D144" s="14" t="s">
        <v>380</v>
      </c>
      <c r="E144" s="72">
        <v>377895.16666666698</v>
      </c>
      <c r="F144" s="72">
        <f t="shared" si="21"/>
        <v>30231.6133333334</v>
      </c>
      <c r="G144" s="12"/>
    </row>
    <row r="145" spans="1:7" ht="20.100000000000001" customHeight="1">
      <c r="A145" s="26">
        <v>11</v>
      </c>
      <c r="B145" s="10" t="s">
        <v>530</v>
      </c>
      <c r="C145" s="11" t="s">
        <v>531</v>
      </c>
      <c r="D145" s="14" t="s">
        <v>440</v>
      </c>
      <c r="E145" s="72">
        <v>365703.83333333302</v>
      </c>
      <c r="F145" s="72">
        <f t="shared" si="21"/>
        <v>29256.306666666602</v>
      </c>
      <c r="G145" s="12"/>
    </row>
    <row r="146" spans="1:7" ht="20.100000000000001" customHeight="1">
      <c r="A146" s="26">
        <v>12</v>
      </c>
      <c r="B146" s="10" t="s">
        <v>532</v>
      </c>
      <c r="C146" s="11" t="s">
        <v>533</v>
      </c>
      <c r="D146" s="14" t="s">
        <v>498</v>
      </c>
      <c r="E146" s="72">
        <v>390086.5</v>
      </c>
      <c r="F146" s="72">
        <f t="shared" si="21"/>
        <v>31206.92</v>
      </c>
      <c r="G146" s="12"/>
    </row>
    <row r="147" spans="1:7" ht="20.100000000000001" customHeight="1">
      <c r="A147" s="26">
        <v>13</v>
      </c>
      <c r="B147" s="17" t="s">
        <v>534</v>
      </c>
      <c r="C147" s="3" t="s">
        <v>535</v>
      </c>
      <c r="D147" s="14" t="s">
        <v>32</v>
      </c>
      <c r="E147" s="202">
        <v>353512.5</v>
      </c>
      <c r="F147" s="72">
        <f t="shared" si="21"/>
        <v>28281</v>
      </c>
      <c r="G147" s="12"/>
    </row>
    <row r="148" spans="1:7" ht="20.100000000000001" customHeight="1">
      <c r="A148" s="26">
        <v>14</v>
      </c>
      <c r="B148" s="10" t="s">
        <v>536</v>
      </c>
      <c r="C148" s="3" t="s">
        <v>537</v>
      </c>
      <c r="D148" s="14" t="s">
        <v>453</v>
      </c>
      <c r="E148" s="202">
        <v>308901.5</v>
      </c>
      <c r="F148" s="72">
        <f t="shared" si="21"/>
        <v>24712.12</v>
      </c>
      <c r="G148" s="12"/>
    </row>
    <row r="149" spans="1:7" ht="20.100000000000001" customHeight="1">
      <c r="A149" s="26">
        <v>15</v>
      </c>
      <c r="B149" s="10" t="s">
        <v>538</v>
      </c>
      <c r="C149" s="3" t="s">
        <v>537</v>
      </c>
      <c r="D149" s="14" t="s">
        <v>539</v>
      </c>
      <c r="E149" s="202">
        <v>316837.41666666698</v>
      </c>
      <c r="F149" s="72">
        <f t="shared" si="21"/>
        <v>25346.993333333401</v>
      </c>
      <c r="G149" s="12"/>
    </row>
    <row r="150" spans="1:7" ht="20.100000000000001" customHeight="1">
      <c r="A150" s="26">
        <v>16</v>
      </c>
      <c r="B150" s="10" t="s">
        <v>540</v>
      </c>
      <c r="C150" s="3" t="s">
        <v>537</v>
      </c>
      <c r="D150" s="14" t="s">
        <v>539</v>
      </c>
      <c r="E150" s="202">
        <v>316837.41666666698</v>
      </c>
      <c r="F150" s="72">
        <f t="shared" si="21"/>
        <v>25346.993333333401</v>
      </c>
      <c r="G150" s="12"/>
    </row>
    <row r="151" spans="1:7" ht="20.100000000000001" customHeight="1">
      <c r="A151" s="26">
        <v>17</v>
      </c>
      <c r="B151" s="10" t="s">
        <v>541</v>
      </c>
      <c r="C151" s="11" t="s">
        <v>542</v>
      </c>
      <c r="D151" s="14" t="s">
        <v>409</v>
      </c>
      <c r="E151" s="202">
        <v>300965.58333333302</v>
      </c>
      <c r="F151" s="72">
        <f t="shared" si="21"/>
        <v>24077.246666666601</v>
      </c>
      <c r="G151" s="12"/>
    </row>
    <row r="152" spans="1:7" ht="20.100000000000001" customHeight="1">
      <c r="A152" s="26">
        <v>18</v>
      </c>
      <c r="B152" s="10" t="s">
        <v>543</v>
      </c>
      <c r="C152" s="11" t="s">
        <v>544</v>
      </c>
      <c r="D152" s="9" t="s">
        <v>391</v>
      </c>
      <c r="E152" s="72">
        <v>263165.33333333302</v>
      </c>
      <c r="F152" s="72">
        <f t="shared" si="21"/>
        <v>21053.2266666666</v>
      </c>
      <c r="G152" s="12"/>
    </row>
    <row r="153" spans="1:7" ht="20.100000000000001" customHeight="1">
      <c r="A153" s="26">
        <v>19</v>
      </c>
      <c r="B153" s="10" t="s">
        <v>545</v>
      </c>
      <c r="C153" s="11" t="s">
        <v>546</v>
      </c>
      <c r="D153" s="14" t="s">
        <v>453</v>
      </c>
      <c r="E153" s="202">
        <v>308901.5</v>
      </c>
      <c r="F153" s="72">
        <f t="shared" si="21"/>
        <v>24712.12</v>
      </c>
      <c r="G153" s="12"/>
    </row>
    <row r="154" spans="1:7" ht="20.100000000000001" customHeight="1">
      <c r="A154" s="26">
        <v>20</v>
      </c>
      <c r="B154" s="10" t="s">
        <v>547</v>
      </c>
      <c r="C154" s="11" t="s">
        <v>548</v>
      </c>
      <c r="D154" s="14" t="s">
        <v>387</v>
      </c>
      <c r="E154" s="202">
        <v>270481.66666666698</v>
      </c>
      <c r="F154" s="72">
        <f t="shared" si="21"/>
        <v>21638.533333333398</v>
      </c>
      <c r="G154" s="12"/>
    </row>
    <row r="155" spans="1:7" ht="20.100000000000001" customHeight="1">
      <c r="A155" s="26">
        <v>21</v>
      </c>
      <c r="B155" s="10" t="s">
        <v>549</v>
      </c>
      <c r="C155" s="11" t="s">
        <v>550</v>
      </c>
      <c r="D155" s="14" t="s">
        <v>453</v>
      </c>
      <c r="E155" s="202">
        <v>308901.5</v>
      </c>
      <c r="F155" s="72">
        <f t="shared" si="21"/>
        <v>24712.12</v>
      </c>
      <c r="G155" s="12"/>
    </row>
    <row r="156" spans="1:7" ht="20.100000000000001" customHeight="1">
      <c r="A156" s="26">
        <v>22</v>
      </c>
      <c r="B156" s="10" t="s">
        <v>551</v>
      </c>
      <c r="C156" s="11" t="s">
        <v>552</v>
      </c>
      <c r="D156" s="14" t="s">
        <v>387</v>
      </c>
      <c r="E156" s="202">
        <v>270481.66666666698</v>
      </c>
      <c r="F156" s="72">
        <f t="shared" si="21"/>
        <v>21638.533333333398</v>
      </c>
      <c r="G156" s="12"/>
    </row>
    <row r="157" spans="1:7" ht="20.100000000000001" customHeight="1">
      <c r="A157" s="26">
        <v>23</v>
      </c>
      <c r="B157" s="17" t="s">
        <v>553</v>
      </c>
      <c r="C157" s="11" t="s">
        <v>554</v>
      </c>
      <c r="D157" s="14" t="s">
        <v>55</v>
      </c>
      <c r="E157" s="202">
        <v>255849</v>
      </c>
      <c r="F157" s="72">
        <f t="shared" si="21"/>
        <v>20467.919999999998</v>
      </c>
      <c r="G157" s="12"/>
    </row>
    <row r="158" spans="1:7" ht="20.100000000000001" customHeight="1">
      <c r="A158" s="26">
        <v>24</v>
      </c>
      <c r="B158" s="17" t="s">
        <v>555</v>
      </c>
      <c r="C158" s="11" t="s">
        <v>556</v>
      </c>
      <c r="D158" s="14" t="s">
        <v>402</v>
      </c>
      <c r="E158" s="72">
        <v>224459.75</v>
      </c>
      <c r="F158" s="72">
        <f t="shared" si="21"/>
        <v>17956.78</v>
      </c>
      <c r="G158" s="12"/>
    </row>
    <row r="159" spans="1:7" ht="20.100000000000001" customHeight="1">
      <c r="A159" s="26">
        <v>25</v>
      </c>
      <c r="B159" s="17" t="s">
        <v>557</v>
      </c>
      <c r="C159" s="11" t="s">
        <v>558</v>
      </c>
      <c r="D159" s="14" t="s">
        <v>402</v>
      </c>
      <c r="E159" s="72">
        <v>224459.75</v>
      </c>
      <c r="F159" s="72">
        <f t="shared" si="21"/>
        <v>17956.78</v>
      </c>
      <c r="G159" s="12"/>
    </row>
    <row r="160" spans="1:7" ht="20.100000000000001" customHeight="1">
      <c r="A160" s="26">
        <v>26</v>
      </c>
      <c r="B160" s="17" t="s">
        <v>559</v>
      </c>
      <c r="C160" s="11" t="s">
        <v>560</v>
      </c>
      <c r="D160" s="14" t="s">
        <v>402</v>
      </c>
      <c r="E160" s="72">
        <v>224459.75</v>
      </c>
      <c r="F160" s="72">
        <f t="shared" si="21"/>
        <v>17956.78</v>
      </c>
      <c r="G160" s="12"/>
    </row>
    <row r="161" spans="1:7" ht="20.100000000000001" customHeight="1">
      <c r="A161" s="26">
        <v>27</v>
      </c>
      <c r="B161" s="17" t="s">
        <v>561</v>
      </c>
      <c r="C161" s="11" t="s">
        <v>562</v>
      </c>
      <c r="D161" s="14" t="s">
        <v>399</v>
      </c>
      <c r="E161" s="72">
        <v>230631.91666666701</v>
      </c>
      <c r="F161" s="72">
        <f t="shared" si="21"/>
        <v>18450.553333333399</v>
      </c>
      <c r="G161" s="12"/>
    </row>
    <row r="162" spans="1:7" ht="20.100000000000001" customHeight="1">
      <c r="A162" s="26">
        <v>28</v>
      </c>
      <c r="B162" s="17" t="s">
        <v>563</v>
      </c>
      <c r="C162" s="11" t="s">
        <v>558</v>
      </c>
      <c r="D162" s="14" t="s">
        <v>402</v>
      </c>
      <c r="E162" s="72">
        <v>224459.75</v>
      </c>
      <c r="F162" s="72">
        <f t="shared" si="21"/>
        <v>17956.78</v>
      </c>
      <c r="G162" s="12"/>
    </row>
    <row r="163" spans="1:7" ht="20.100000000000001" customHeight="1">
      <c r="A163" s="26">
        <v>29</v>
      </c>
      <c r="B163" s="10" t="s">
        <v>564</v>
      </c>
      <c r="C163" s="11" t="s">
        <v>565</v>
      </c>
      <c r="D163" s="14" t="s">
        <v>566</v>
      </c>
      <c r="E163" s="208">
        <v>168598.16666666701</v>
      </c>
      <c r="F163" s="72">
        <f t="shared" si="21"/>
        <v>13487.8533333334</v>
      </c>
      <c r="G163" s="12"/>
    </row>
    <row r="164" spans="1:7" ht="20.100000000000001" customHeight="1">
      <c r="A164" s="26">
        <v>30</v>
      </c>
      <c r="B164" s="10" t="s">
        <v>567</v>
      </c>
      <c r="C164" s="11" t="s">
        <v>565</v>
      </c>
      <c r="D164" s="14" t="s">
        <v>566</v>
      </c>
      <c r="E164" s="208">
        <v>168598.16666666701</v>
      </c>
      <c r="F164" s="72">
        <f t="shared" si="21"/>
        <v>13487.8533333334</v>
      </c>
      <c r="G164" s="12"/>
    </row>
    <row r="165" spans="1:7" ht="20.100000000000001" customHeight="1">
      <c r="A165" s="26">
        <v>31</v>
      </c>
      <c r="B165" s="10" t="s">
        <v>568</v>
      </c>
      <c r="C165" s="11" t="s">
        <v>565</v>
      </c>
      <c r="D165" s="14" t="s">
        <v>566</v>
      </c>
      <c r="E165" s="208">
        <v>168598.16666666701</v>
      </c>
      <c r="F165" s="72">
        <f t="shared" si="21"/>
        <v>13487.8533333334</v>
      </c>
      <c r="G165" s="12"/>
    </row>
    <row r="166" spans="1:7" ht="20.100000000000001" customHeight="1">
      <c r="A166" s="26">
        <v>32</v>
      </c>
      <c r="B166" s="10" t="s">
        <v>569</v>
      </c>
      <c r="C166" s="11" t="s">
        <v>565</v>
      </c>
      <c r="D166" s="14" t="s">
        <v>566</v>
      </c>
      <c r="E166" s="208">
        <v>168598.16666666701</v>
      </c>
      <c r="F166" s="72">
        <f t="shared" si="21"/>
        <v>13487.8533333334</v>
      </c>
      <c r="G166" s="12"/>
    </row>
    <row r="167" spans="1:7" ht="20.100000000000001" customHeight="1">
      <c r="A167" s="26">
        <v>33</v>
      </c>
      <c r="B167" s="10" t="s">
        <v>570</v>
      </c>
      <c r="C167" s="11" t="s">
        <v>565</v>
      </c>
      <c r="D167" s="14" t="s">
        <v>566</v>
      </c>
      <c r="E167" s="208">
        <v>168598.16666666701</v>
      </c>
      <c r="F167" s="72">
        <f t="shared" si="21"/>
        <v>13487.8533333334</v>
      </c>
      <c r="G167" s="12"/>
    </row>
    <row r="168" spans="1:7" ht="20.100000000000001" customHeight="1">
      <c r="A168" s="26">
        <v>34</v>
      </c>
      <c r="B168" s="10" t="s">
        <v>571</v>
      </c>
      <c r="C168" s="11" t="s">
        <v>565</v>
      </c>
      <c r="D168" s="14" t="s">
        <v>572</v>
      </c>
      <c r="E168" s="208">
        <v>163336.83333333299</v>
      </c>
      <c r="F168" s="72">
        <f t="shared" si="21"/>
        <v>13066.946666666599</v>
      </c>
      <c r="G168" s="12"/>
    </row>
    <row r="169" spans="1:7" ht="20.100000000000001" customHeight="1">
      <c r="A169" s="26">
        <v>35</v>
      </c>
      <c r="B169" s="10" t="s">
        <v>573</v>
      </c>
      <c r="C169" s="11" t="s">
        <v>565</v>
      </c>
      <c r="D169" s="14" t="s">
        <v>572</v>
      </c>
      <c r="E169" s="208">
        <v>163336.83333333299</v>
      </c>
      <c r="F169" s="72">
        <f t="shared" si="21"/>
        <v>13066.946666666599</v>
      </c>
      <c r="G169" s="12"/>
    </row>
    <row r="170" spans="1:7" ht="20.100000000000001" customHeight="1">
      <c r="A170" s="26">
        <v>36</v>
      </c>
      <c r="B170" s="13" t="s">
        <v>574</v>
      </c>
      <c r="C170" s="11" t="s">
        <v>565</v>
      </c>
      <c r="D170" s="14" t="s">
        <v>572</v>
      </c>
      <c r="E170" s="208">
        <v>163336.83333333299</v>
      </c>
      <c r="F170" s="72">
        <f t="shared" si="21"/>
        <v>13066.946666666599</v>
      </c>
      <c r="G170" s="12"/>
    </row>
    <row r="171" spans="1:7" ht="20.100000000000001" customHeight="1">
      <c r="A171" s="26">
        <v>37</v>
      </c>
      <c r="B171" s="10" t="s">
        <v>575</v>
      </c>
      <c r="C171" s="11" t="s">
        <v>565</v>
      </c>
      <c r="D171" s="14" t="s">
        <v>572</v>
      </c>
      <c r="E171" s="208">
        <v>163336.83333333299</v>
      </c>
      <c r="F171" s="72">
        <f t="shared" si="21"/>
        <v>13066.946666666599</v>
      </c>
      <c r="G171" s="12"/>
    </row>
    <row r="172" spans="1:7" ht="20.100000000000001" customHeight="1">
      <c r="A172" s="26">
        <v>38</v>
      </c>
      <c r="B172" s="17" t="s">
        <v>576</v>
      </c>
      <c r="C172" s="11" t="s">
        <v>565</v>
      </c>
      <c r="D172" s="14" t="s">
        <v>572</v>
      </c>
      <c r="E172" s="208">
        <v>163336.83333333299</v>
      </c>
      <c r="F172" s="72">
        <f t="shared" si="21"/>
        <v>13066.946666666599</v>
      </c>
      <c r="G172" s="12"/>
    </row>
    <row r="173" spans="1:7" ht="20.100000000000001" customHeight="1">
      <c r="A173" s="26">
        <v>39</v>
      </c>
      <c r="B173" s="17" t="s">
        <v>577</v>
      </c>
      <c r="C173" s="11" t="s">
        <v>565</v>
      </c>
      <c r="D173" s="14" t="s">
        <v>572</v>
      </c>
      <c r="E173" s="208">
        <v>163336.83333333299</v>
      </c>
      <c r="F173" s="72">
        <f t="shared" si="21"/>
        <v>13066.946666666599</v>
      </c>
      <c r="G173" s="12"/>
    </row>
    <row r="174" spans="1:7" ht="20.100000000000001" customHeight="1">
      <c r="A174" s="26">
        <v>40</v>
      </c>
      <c r="B174" s="10" t="s">
        <v>578</v>
      </c>
      <c r="C174" s="11" t="s">
        <v>579</v>
      </c>
      <c r="D174" s="14" t="s">
        <v>580</v>
      </c>
      <c r="E174" s="72">
        <v>152814.16666666701</v>
      </c>
      <c r="F174" s="72">
        <f t="shared" si="21"/>
        <v>12225.133333333401</v>
      </c>
      <c r="G174" s="12"/>
    </row>
    <row r="175" spans="1:7" ht="20.100000000000001" customHeight="1">
      <c r="A175" s="26">
        <v>41</v>
      </c>
      <c r="B175" s="10" t="s">
        <v>581</v>
      </c>
      <c r="C175" s="11" t="s">
        <v>579</v>
      </c>
      <c r="D175" s="14" t="s">
        <v>580</v>
      </c>
      <c r="E175" s="72">
        <v>152814.16666666701</v>
      </c>
      <c r="F175" s="72">
        <f t="shared" si="21"/>
        <v>12225.133333333401</v>
      </c>
      <c r="G175" s="12"/>
    </row>
    <row r="176" spans="1:7" ht="20.100000000000001" customHeight="1">
      <c r="A176" s="26">
        <v>42</v>
      </c>
      <c r="B176" s="17" t="s">
        <v>582</v>
      </c>
      <c r="C176" s="11" t="s">
        <v>579</v>
      </c>
      <c r="D176" s="14" t="s">
        <v>583</v>
      </c>
      <c r="E176" s="72">
        <v>158075.5</v>
      </c>
      <c r="F176" s="72">
        <f t="shared" si="21"/>
        <v>12646.04</v>
      </c>
      <c r="G176" s="12"/>
    </row>
    <row r="177" spans="1:7" ht="20.100000000000001" customHeight="1">
      <c r="A177" s="26">
        <v>43</v>
      </c>
      <c r="B177" s="10" t="s">
        <v>584</v>
      </c>
      <c r="C177" s="11" t="s">
        <v>585</v>
      </c>
      <c r="D177" s="14" t="s">
        <v>586</v>
      </c>
      <c r="E177" s="72">
        <v>94145.75</v>
      </c>
      <c r="F177" s="72">
        <f t="shared" si="21"/>
        <v>7531.66</v>
      </c>
      <c r="G177" s="12"/>
    </row>
    <row r="178" spans="1:7" ht="20.100000000000001" customHeight="1">
      <c r="A178" s="26">
        <v>44</v>
      </c>
      <c r="B178" s="10" t="s">
        <v>587</v>
      </c>
      <c r="C178" s="11" t="s">
        <v>588</v>
      </c>
      <c r="D178" s="14" t="s">
        <v>589</v>
      </c>
      <c r="E178" s="72">
        <v>91598</v>
      </c>
      <c r="F178" s="72">
        <f t="shared" si="21"/>
        <v>7327.84</v>
      </c>
      <c r="G178" s="12"/>
    </row>
    <row r="179" spans="1:7" ht="20.100000000000001" customHeight="1">
      <c r="A179" s="26">
        <v>45</v>
      </c>
      <c r="B179" s="10" t="s">
        <v>590</v>
      </c>
      <c r="C179" s="11" t="s">
        <v>588</v>
      </c>
      <c r="D179" s="14" t="s">
        <v>589</v>
      </c>
      <c r="E179" s="72">
        <v>91598</v>
      </c>
      <c r="F179" s="72">
        <f t="shared" si="21"/>
        <v>7327.84</v>
      </c>
      <c r="G179" s="12"/>
    </row>
    <row r="180" spans="1:7" ht="20.100000000000001" customHeight="1">
      <c r="A180" s="26">
        <v>46</v>
      </c>
      <c r="B180" s="10" t="s">
        <v>591</v>
      </c>
      <c r="C180" s="11" t="s">
        <v>588</v>
      </c>
      <c r="D180" s="14" t="s">
        <v>589</v>
      </c>
      <c r="E180" s="72">
        <v>91598</v>
      </c>
      <c r="F180" s="72">
        <f t="shared" si="21"/>
        <v>7327.84</v>
      </c>
      <c r="G180" s="12"/>
    </row>
    <row r="181" spans="1:7" ht="20.100000000000001" customHeight="1">
      <c r="A181" s="26">
        <v>47</v>
      </c>
      <c r="B181" s="10" t="s">
        <v>592</v>
      </c>
      <c r="C181" s="11" t="s">
        <v>588</v>
      </c>
      <c r="D181" s="14" t="s">
        <v>589</v>
      </c>
      <c r="E181" s="72">
        <v>91598</v>
      </c>
      <c r="F181" s="72">
        <f t="shared" si="21"/>
        <v>7327.84</v>
      </c>
      <c r="G181" s="12"/>
    </row>
    <row r="182" spans="1:7" ht="20.100000000000001" customHeight="1">
      <c r="A182" s="26">
        <v>48</v>
      </c>
      <c r="B182" s="10" t="s">
        <v>593</v>
      </c>
      <c r="C182" s="11" t="s">
        <v>588</v>
      </c>
      <c r="D182" s="14" t="s">
        <v>589</v>
      </c>
      <c r="E182" s="72">
        <v>91598</v>
      </c>
      <c r="F182" s="72">
        <f t="shared" si="21"/>
        <v>7327.84</v>
      </c>
      <c r="G182" s="12"/>
    </row>
    <row r="183" spans="1:7" ht="20.100000000000001" customHeight="1">
      <c r="A183" s="26">
        <v>49</v>
      </c>
      <c r="B183" s="17" t="s">
        <v>594</v>
      </c>
      <c r="C183" s="11" t="s">
        <v>588</v>
      </c>
      <c r="D183" s="14" t="s">
        <v>589</v>
      </c>
      <c r="E183" s="72">
        <v>91598</v>
      </c>
      <c r="F183" s="72">
        <f t="shared" si="21"/>
        <v>7327.84</v>
      </c>
      <c r="G183" s="12"/>
    </row>
    <row r="184" spans="1:7" ht="20.100000000000001" customHeight="1">
      <c r="A184" s="26">
        <v>50</v>
      </c>
      <c r="B184" s="17" t="s">
        <v>595</v>
      </c>
      <c r="C184" s="11" t="s">
        <v>588</v>
      </c>
      <c r="D184" s="14" t="s">
        <v>589</v>
      </c>
      <c r="E184" s="72">
        <v>91598</v>
      </c>
      <c r="F184" s="72">
        <f t="shared" si="21"/>
        <v>7327.84</v>
      </c>
      <c r="G184" s="12"/>
    </row>
    <row r="185" spans="1:7" ht="20.100000000000001" customHeight="1">
      <c r="A185" s="26">
        <v>51</v>
      </c>
      <c r="B185" s="10" t="s">
        <v>596</v>
      </c>
      <c r="C185" s="11" t="s">
        <v>585</v>
      </c>
      <c r="D185" s="14" t="s">
        <v>589</v>
      </c>
      <c r="E185" s="72">
        <v>91598</v>
      </c>
      <c r="F185" s="72">
        <f t="shared" si="21"/>
        <v>7327.84</v>
      </c>
      <c r="G185" s="12"/>
    </row>
    <row r="186" spans="1:7" ht="20.100000000000001" customHeight="1">
      <c r="A186" s="26">
        <v>52</v>
      </c>
      <c r="B186" s="10" t="s">
        <v>597</v>
      </c>
      <c r="C186" s="11" t="s">
        <v>585</v>
      </c>
      <c r="D186" s="14" t="s">
        <v>589</v>
      </c>
      <c r="E186" s="72">
        <v>91598</v>
      </c>
      <c r="F186" s="72">
        <f t="shared" si="21"/>
        <v>7327.84</v>
      </c>
      <c r="G186" s="12"/>
    </row>
    <row r="187" spans="1:7" ht="20.100000000000001" customHeight="1">
      <c r="A187" s="26">
        <v>53</v>
      </c>
      <c r="B187" s="17" t="s">
        <v>598</v>
      </c>
      <c r="C187" s="11" t="s">
        <v>286</v>
      </c>
      <c r="D187" s="14" t="s">
        <v>599</v>
      </c>
      <c r="E187" s="72">
        <v>89050.25</v>
      </c>
      <c r="F187" s="72">
        <f t="shared" si="21"/>
        <v>7124.02</v>
      </c>
      <c r="G187" s="12"/>
    </row>
    <row r="188" spans="1:7" ht="20.100000000000001" customHeight="1">
      <c r="A188" s="26">
        <v>54</v>
      </c>
      <c r="B188" s="17" t="s">
        <v>600</v>
      </c>
      <c r="C188" s="11" t="s">
        <v>588</v>
      </c>
      <c r="D188" s="14" t="s">
        <v>601</v>
      </c>
      <c r="E188" s="202">
        <v>80926.916666666701</v>
      </c>
      <c r="F188" s="72">
        <f t="shared" si="21"/>
        <v>6474.15333333334</v>
      </c>
      <c r="G188" s="12"/>
    </row>
    <row r="189" spans="1:7" ht="20.100000000000001" customHeight="1">
      <c r="A189" s="26">
        <v>55</v>
      </c>
      <c r="B189" s="17" t="s">
        <v>602</v>
      </c>
      <c r="C189" s="11" t="s">
        <v>603</v>
      </c>
      <c r="D189" s="14" t="s">
        <v>604</v>
      </c>
      <c r="E189" s="72">
        <v>76540.75</v>
      </c>
      <c r="F189" s="72">
        <f t="shared" si="21"/>
        <v>6123.26</v>
      </c>
      <c r="G189" s="12"/>
    </row>
    <row r="190" spans="1:7" ht="20.100000000000001" customHeight="1">
      <c r="A190" s="26">
        <v>56</v>
      </c>
      <c r="B190" s="17" t="s">
        <v>605</v>
      </c>
      <c r="C190" s="11" t="s">
        <v>603</v>
      </c>
      <c r="D190" s="14" t="s">
        <v>604</v>
      </c>
      <c r="E190" s="72">
        <v>76540.75</v>
      </c>
      <c r="F190" s="72">
        <f t="shared" si="21"/>
        <v>6123.26</v>
      </c>
      <c r="G190" s="12"/>
    </row>
    <row r="191" spans="1:7" ht="20.100000000000001" customHeight="1">
      <c r="A191" s="26">
        <v>57</v>
      </c>
      <c r="B191" s="17" t="s">
        <v>606</v>
      </c>
      <c r="C191" s="11" t="s">
        <v>603</v>
      </c>
      <c r="D191" s="14" t="s">
        <v>604</v>
      </c>
      <c r="E191" s="72">
        <v>76540.75</v>
      </c>
      <c r="F191" s="72">
        <f t="shared" si="21"/>
        <v>6123.26</v>
      </c>
      <c r="G191" s="12"/>
    </row>
    <row r="192" spans="1:7" ht="20.100000000000001" customHeight="1">
      <c r="A192" s="26">
        <v>58</v>
      </c>
      <c r="B192" s="17" t="s">
        <v>607</v>
      </c>
      <c r="C192" s="11" t="s">
        <v>608</v>
      </c>
      <c r="D192" s="14" t="s">
        <v>609</v>
      </c>
      <c r="E192" s="72">
        <v>86502.5</v>
      </c>
      <c r="F192" s="72">
        <f t="shared" si="21"/>
        <v>6920.2</v>
      </c>
      <c r="G192" s="12"/>
    </row>
    <row r="193" spans="1:7" ht="20.100000000000001" customHeight="1">
      <c r="A193" s="26">
        <v>59</v>
      </c>
      <c r="B193" s="17" t="s">
        <v>610</v>
      </c>
      <c r="C193" s="11" t="s">
        <v>608</v>
      </c>
      <c r="D193" s="14" t="s">
        <v>609</v>
      </c>
      <c r="E193" s="72">
        <v>86502.5</v>
      </c>
      <c r="F193" s="72">
        <f t="shared" si="21"/>
        <v>6920.2</v>
      </c>
      <c r="G193" s="12"/>
    </row>
    <row r="194" spans="1:7" ht="20.100000000000001" customHeight="1">
      <c r="A194" s="26"/>
      <c r="B194" s="7" t="s">
        <v>42</v>
      </c>
      <c r="C194" s="27" t="s">
        <v>611</v>
      </c>
      <c r="D194" s="28"/>
      <c r="E194" s="80">
        <f>SUM(E135:E193)</f>
        <v>14898686.4166667</v>
      </c>
      <c r="F194" s="80">
        <f t="shared" ref="F194" si="22">SUM(F135:F193)</f>
        <v>1130905.06</v>
      </c>
      <c r="G194" s="12"/>
    </row>
    <row r="195" spans="1:7" ht="19.5" customHeight="1">
      <c r="A195" s="3"/>
      <c r="B195" s="29" t="s">
        <v>125</v>
      </c>
      <c r="C195" s="30">
        <f>C35+C41+C55+C60+C73+C83+C96+C103+C113+C132+C194</f>
        <v>153</v>
      </c>
      <c r="D195" s="31"/>
      <c r="E195" s="209">
        <f>E194+E132+E119+E113+E103+E96+E83+E73+E60+E55+E41+E35</f>
        <v>64242790.417000003</v>
      </c>
      <c r="F195" s="209">
        <f t="shared" ref="F195" si="23">F194+F132+F119+F113+F103+F96+F83+F73+F60+F55+F41+F35</f>
        <v>4564480.74</v>
      </c>
      <c r="G195" s="12"/>
    </row>
    <row r="196" spans="1:7" ht="20.100000000000001" customHeight="1">
      <c r="A196" s="2"/>
      <c r="B196" s="32"/>
      <c r="C196" s="2"/>
      <c r="D196" s="33"/>
      <c r="E196" s="33"/>
      <c r="F196" s="33"/>
      <c r="G196" s="34"/>
    </row>
    <row r="197" spans="1:7" ht="36.75" customHeight="1">
      <c r="A197" s="2"/>
      <c r="B197" s="32"/>
      <c r="C197" s="33"/>
      <c r="D197" s="33"/>
      <c r="E197" s="33"/>
      <c r="F197" s="33"/>
    </row>
    <row r="199" spans="1:7" ht="20.100000000000001" customHeight="1"/>
  </sheetData>
  <mergeCells count="2">
    <mergeCell ref="A1:F1"/>
    <mergeCell ref="A2:F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Views>
    <sheetView topLeftCell="O4" workbookViewId="0">
      <selection activeCell="X14" sqref="X14"/>
    </sheetView>
  </sheetViews>
  <sheetFormatPr defaultColWidth="9" defaultRowHeight="12.75"/>
  <cols>
    <col min="1" max="1" width="8" customWidth="1"/>
    <col min="2" max="2" width="29.28515625" customWidth="1"/>
    <col min="3" max="3" width="19.5703125" customWidth="1"/>
    <col min="4" max="4" width="15.140625" customWidth="1"/>
    <col min="5" max="11" width="15.7109375" customWidth="1"/>
    <col min="12" max="12" width="15.42578125" customWidth="1"/>
    <col min="13" max="13" width="14" customWidth="1"/>
    <col min="14" max="14" width="15.7109375" customWidth="1"/>
    <col min="15" max="15" width="13.85546875" customWidth="1"/>
    <col min="16" max="16" width="17.5703125" customWidth="1"/>
    <col min="17" max="17" width="14.85546875" customWidth="1"/>
    <col min="18" max="18" width="18" customWidth="1"/>
    <col min="19" max="19" width="15" customWidth="1"/>
    <col min="20" max="20" width="14.140625" customWidth="1"/>
    <col min="21" max="21" width="15.140625" customWidth="1"/>
    <col min="22" max="22" width="15.7109375" customWidth="1"/>
    <col min="23" max="23" width="14.85546875" customWidth="1"/>
    <col min="24" max="24" width="18.28515625" customWidth="1"/>
    <col min="25" max="25" width="15.140625" customWidth="1"/>
  </cols>
  <sheetData>
    <row r="1" spans="1:25" ht="25.5">
      <c r="A1" s="838" t="s">
        <v>0</v>
      </c>
      <c r="B1" s="838"/>
      <c r="C1" s="838"/>
      <c r="D1" s="838"/>
      <c r="E1" s="838"/>
      <c r="F1" s="838"/>
      <c r="G1" s="838"/>
      <c r="H1" s="838"/>
      <c r="I1" s="838"/>
      <c r="J1" s="838"/>
      <c r="K1" s="838"/>
      <c r="L1" s="199">
        <f>'[1]FEB 08'!F8/'[1]FEB 08'!Q8</f>
        <v>0.3</v>
      </c>
      <c r="M1" s="199"/>
      <c r="N1" s="199"/>
      <c r="O1" s="199"/>
      <c r="P1" s="199"/>
      <c r="Q1" s="199"/>
      <c r="R1" s="199"/>
      <c r="S1" s="199"/>
      <c r="T1" s="199"/>
      <c r="U1" s="199"/>
      <c r="V1" s="1"/>
      <c r="W1" s="1"/>
      <c r="X1" s="1"/>
      <c r="Y1" s="1"/>
    </row>
    <row r="2" spans="1:25" ht="26.25">
      <c r="A2" s="63" t="s">
        <v>670</v>
      </c>
      <c r="B2" s="64"/>
      <c r="C2" s="63"/>
      <c r="D2" s="63"/>
      <c r="E2" s="198"/>
      <c r="F2" s="198"/>
      <c r="G2" s="198"/>
      <c r="H2" s="198"/>
      <c r="I2" s="198"/>
      <c r="J2" s="198"/>
      <c r="K2" s="198"/>
      <c r="L2" s="279"/>
      <c r="M2" s="279"/>
      <c r="N2" s="279"/>
      <c r="O2" s="279"/>
      <c r="P2" s="279"/>
      <c r="Q2" s="279"/>
      <c r="R2" s="279"/>
      <c r="S2" s="279"/>
      <c r="T2" s="279"/>
      <c r="U2" s="279"/>
      <c r="V2" s="65"/>
      <c r="W2" s="65"/>
      <c r="X2" s="65"/>
      <c r="Y2" s="65"/>
    </row>
    <row r="3" spans="1:25" ht="18.75">
      <c r="A3" s="2"/>
      <c r="B3" s="2"/>
      <c r="C3" s="2"/>
      <c r="D3" s="2"/>
      <c r="E3" s="199" t="e">
        <f>'[1]FEB 08'!E11/'[1]FEB 08'!M11</f>
        <v>#REF!</v>
      </c>
      <c r="F3" s="199"/>
      <c r="G3" s="199"/>
      <c r="H3" s="199"/>
      <c r="I3" s="199"/>
      <c r="J3" s="199"/>
      <c r="K3" s="199"/>
      <c r="L3" s="199" t="e">
        <f>'[1]FEB 08'!F11/'[1]FEB 08'!Q11</f>
        <v>#REF!</v>
      </c>
      <c r="M3" s="199"/>
      <c r="N3" s="199"/>
      <c r="O3" s="199"/>
      <c r="P3" s="199"/>
      <c r="Q3" s="199"/>
      <c r="R3" s="199"/>
      <c r="S3" s="199"/>
      <c r="T3" s="199"/>
      <c r="U3" s="199"/>
      <c r="V3" s="1"/>
      <c r="W3" s="1"/>
      <c r="X3" s="1"/>
      <c r="Y3" s="1"/>
    </row>
    <row r="4" spans="1:25" ht="75">
      <c r="A4" s="3"/>
      <c r="B4" s="5" t="s">
        <v>2</v>
      </c>
      <c r="C4" s="5" t="s">
        <v>3</v>
      </c>
      <c r="D4" s="6" t="s">
        <v>4</v>
      </c>
      <c r="E4" s="200" t="s">
        <v>5</v>
      </c>
      <c r="F4" s="200" t="s">
        <v>6</v>
      </c>
      <c r="G4" s="23" t="s">
        <v>671</v>
      </c>
      <c r="H4" s="23" t="s">
        <v>672</v>
      </c>
      <c r="I4" s="200" t="s">
        <v>673</v>
      </c>
      <c r="J4" s="23" t="s">
        <v>674</v>
      </c>
      <c r="K4" s="23" t="s">
        <v>675</v>
      </c>
      <c r="L4" s="23" t="s">
        <v>676</v>
      </c>
      <c r="M4" s="200" t="s">
        <v>7</v>
      </c>
      <c r="N4" s="200" t="s">
        <v>7</v>
      </c>
      <c r="O4" s="23" t="s">
        <v>677</v>
      </c>
      <c r="P4" s="23" t="s">
        <v>677</v>
      </c>
      <c r="Q4" s="200" t="s">
        <v>8</v>
      </c>
      <c r="R4" s="314" t="s">
        <v>9</v>
      </c>
      <c r="S4" s="200" t="s">
        <v>10</v>
      </c>
      <c r="T4" s="200" t="s">
        <v>195</v>
      </c>
      <c r="U4" s="200" t="s">
        <v>196</v>
      </c>
      <c r="V4" s="200" t="s">
        <v>14</v>
      </c>
      <c r="W4" s="23" t="s">
        <v>15</v>
      </c>
      <c r="X4" s="327" t="s">
        <v>17</v>
      </c>
      <c r="Y4" s="301" t="s">
        <v>265</v>
      </c>
    </row>
    <row r="5" spans="1:25" ht="18.75">
      <c r="A5" s="1"/>
      <c r="B5" s="1"/>
      <c r="C5" s="7"/>
      <c r="D5" s="7"/>
      <c r="E5" s="69" t="s">
        <v>20</v>
      </c>
      <c r="F5" s="20"/>
      <c r="G5" s="69" t="s">
        <v>20</v>
      </c>
      <c r="H5" s="69" t="s">
        <v>20</v>
      </c>
      <c r="I5" s="69" t="s">
        <v>20</v>
      </c>
      <c r="J5" s="69" t="s">
        <v>20</v>
      </c>
      <c r="K5" s="69" t="s">
        <v>20</v>
      </c>
      <c r="L5" s="69" t="s">
        <v>20</v>
      </c>
      <c r="M5" s="69" t="s">
        <v>20</v>
      </c>
      <c r="N5" s="69" t="s">
        <v>20</v>
      </c>
      <c r="O5" s="69" t="s">
        <v>20</v>
      </c>
      <c r="P5" s="69" t="s">
        <v>20</v>
      </c>
      <c r="Q5" s="69" t="s">
        <v>20</v>
      </c>
      <c r="R5" s="287" t="s">
        <v>20</v>
      </c>
      <c r="S5" s="69" t="s">
        <v>20</v>
      </c>
      <c r="T5" s="69" t="s">
        <v>20</v>
      </c>
      <c r="U5" s="69" t="s">
        <v>20</v>
      </c>
      <c r="V5" s="69" t="s">
        <v>20</v>
      </c>
      <c r="W5" s="69" t="s">
        <v>20</v>
      </c>
      <c r="X5" s="433" t="s">
        <v>20</v>
      </c>
      <c r="Y5" s="212" t="s">
        <v>20</v>
      </c>
    </row>
    <row r="6" spans="1:25" ht="18.75">
      <c r="A6" s="8" t="s">
        <v>21</v>
      </c>
      <c r="B6" s="7" t="s">
        <v>22</v>
      </c>
      <c r="C6" s="7"/>
      <c r="D6" s="7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287"/>
      <c r="W6" s="7"/>
      <c r="X6" s="287"/>
      <c r="Y6" s="69"/>
    </row>
    <row r="7" spans="1:25" ht="18.75">
      <c r="A7" s="9">
        <v>1</v>
      </c>
      <c r="B7" s="17" t="s">
        <v>406</v>
      </c>
      <c r="C7" s="3" t="s">
        <v>642</v>
      </c>
      <c r="D7" s="9" t="s">
        <v>402</v>
      </c>
      <c r="E7" s="72">
        <f>12732</f>
        <v>12732</v>
      </c>
      <c r="F7" s="72"/>
      <c r="G7" s="72">
        <f t="shared" ref="G7:G9" si="0">E7*300%</f>
        <v>38196</v>
      </c>
      <c r="H7" s="72">
        <f t="shared" ref="H7:H9" si="1">E7*7.5%</f>
        <v>954.9</v>
      </c>
      <c r="I7" s="72"/>
      <c r="J7" s="72">
        <f t="shared" ref="J7:J9" si="2">E7*50%</f>
        <v>6366</v>
      </c>
      <c r="K7" s="72">
        <f t="shared" ref="K7:K9" si="3">E7*350%</f>
        <v>44562</v>
      </c>
      <c r="L7" s="72">
        <f t="shared" ref="L7:L9" si="4">E7*100%</f>
        <v>12732</v>
      </c>
      <c r="M7" s="202"/>
      <c r="N7" s="202">
        <f>50000</f>
        <v>50000</v>
      </c>
      <c r="O7" s="72">
        <f t="shared" ref="O7:O9" si="5">E7*10%</f>
        <v>1273.2</v>
      </c>
      <c r="P7" s="72">
        <v>10000</v>
      </c>
      <c r="Q7" s="72"/>
      <c r="R7" s="201">
        <f>(Q7+P7+O7+N7+M7+L7+K7+J7+I7+H7+G7+F7+E7)</f>
        <v>176816.1</v>
      </c>
      <c r="S7" s="72"/>
      <c r="T7" s="72">
        <f>20000</f>
        <v>20000</v>
      </c>
      <c r="U7" s="72"/>
      <c r="V7" s="72">
        <v>0</v>
      </c>
      <c r="W7" s="72">
        <v>17042.713866666702</v>
      </c>
      <c r="X7" s="319">
        <f t="shared" ref="X7:X8" si="6">S7+T7+U7+V7+W7</f>
        <v>37042.713866666702</v>
      </c>
      <c r="Y7" s="213">
        <f t="shared" ref="Y7:Y8" si="7">R7-X7</f>
        <v>139773.386133333</v>
      </c>
    </row>
    <row r="8" spans="1:25" ht="56.25">
      <c r="B8" s="21" t="s">
        <v>678</v>
      </c>
      <c r="C8" s="13" t="s">
        <v>638</v>
      </c>
      <c r="D8" s="9" t="s">
        <v>37</v>
      </c>
      <c r="E8" s="72">
        <f>17286.33</f>
        <v>17286.330000000002</v>
      </c>
      <c r="F8" s="72"/>
      <c r="G8" s="72">
        <f t="shared" si="0"/>
        <v>51858.99</v>
      </c>
      <c r="H8" s="72">
        <f t="shared" si="1"/>
        <v>1296.4747500000001</v>
      </c>
      <c r="I8" s="72"/>
      <c r="J8" s="72">
        <f t="shared" si="2"/>
        <v>8643.1650000000009</v>
      </c>
      <c r="K8" s="72">
        <f t="shared" si="3"/>
        <v>60502.154999999999</v>
      </c>
      <c r="L8" s="72">
        <f t="shared" si="4"/>
        <v>17286.330000000002</v>
      </c>
      <c r="M8" s="202"/>
      <c r="N8" s="202">
        <f>50000+10000</f>
        <v>60000</v>
      </c>
      <c r="O8" s="72">
        <f t="shared" si="5"/>
        <v>1728.633</v>
      </c>
      <c r="P8" s="72">
        <v>10000</v>
      </c>
      <c r="Q8" s="72"/>
      <c r="R8" s="201">
        <f>SUM(E8:Q8)</f>
        <v>228602.07775</v>
      </c>
      <c r="S8" s="72"/>
      <c r="T8" s="72"/>
      <c r="U8" s="72"/>
      <c r="V8" s="72"/>
      <c r="W8" s="72">
        <v>25571.82</v>
      </c>
      <c r="X8" s="319">
        <f t="shared" si="6"/>
        <v>25571.82</v>
      </c>
      <c r="Y8" s="213">
        <f t="shared" si="7"/>
        <v>203030.25774999999</v>
      </c>
    </row>
    <row r="9" spans="1:25" ht="18.75">
      <c r="B9" s="21" t="s">
        <v>616</v>
      </c>
      <c r="C9" s="431"/>
      <c r="D9" s="20"/>
      <c r="E9" s="134">
        <f>E8-E7</f>
        <v>4554.33</v>
      </c>
      <c r="F9" s="134"/>
      <c r="G9" s="134">
        <f t="shared" si="0"/>
        <v>13662.99</v>
      </c>
      <c r="H9" s="134">
        <f t="shared" si="1"/>
        <v>341.57474999999999</v>
      </c>
      <c r="I9" s="134"/>
      <c r="J9" s="134">
        <f t="shared" si="2"/>
        <v>2277.165</v>
      </c>
      <c r="K9" s="134">
        <f t="shared" si="3"/>
        <v>15940.155000000001</v>
      </c>
      <c r="L9" s="134">
        <f t="shared" si="4"/>
        <v>4554.33</v>
      </c>
      <c r="M9" s="432"/>
      <c r="N9" s="432">
        <f>N8-N7</f>
        <v>10000</v>
      </c>
      <c r="O9" s="134">
        <f t="shared" si="5"/>
        <v>455.43299999999999</v>
      </c>
      <c r="P9" s="134">
        <v>0</v>
      </c>
      <c r="Q9" s="134"/>
      <c r="R9" s="292">
        <f>SUM(E9:Q9)</f>
        <v>51785.977749999998</v>
      </c>
      <c r="S9" s="134"/>
      <c r="T9" s="134"/>
      <c r="U9" s="134"/>
      <c r="V9" s="134"/>
      <c r="W9" s="134">
        <f>W8-W7</f>
        <v>8529.1061333333</v>
      </c>
      <c r="X9" s="434"/>
      <c r="Y9" s="215">
        <f>R9-W9</f>
        <v>43256.8716166667</v>
      </c>
    </row>
    <row r="10" spans="1:25" ht="18.75">
      <c r="W10" s="435"/>
      <c r="X10" s="436" t="s">
        <v>183</v>
      </c>
      <c r="Y10" s="439">
        <f>1+(27/31)</f>
        <v>1.87096774193548</v>
      </c>
    </row>
    <row r="11" spans="1:25" ht="18.75">
      <c r="W11" s="437"/>
      <c r="X11" s="438" t="s">
        <v>679</v>
      </c>
      <c r="Y11" s="440">
        <f>Y9*Y10</f>
        <v>80932.211411828102</v>
      </c>
    </row>
  </sheetData>
  <mergeCells count="1">
    <mergeCell ref="A1:K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8"/>
  <sheetViews>
    <sheetView topLeftCell="A181" workbookViewId="0">
      <selection activeCell="G195" sqref="G195"/>
    </sheetView>
  </sheetViews>
  <sheetFormatPr defaultColWidth="9" defaultRowHeight="12.75"/>
  <cols>
    <col min="1" max="1" width="8.85546875" customWidth="1"/>
    <col min="2" max="2" width="28.7109375" customWidth="1"/>
    <col min="3" max="3" width="16.42578125" customWidth="1"/>
    <col min="4" max="4" width="19.5703125" customWidth="1"/>
    <col min="5" max="5" width="22.7109375" customWidth="1"/>
    <col min="6" max="6" width="21.85546875" customWidth="1"/>
    <col min="7" max="7" width="20" customWidth="1"/>
    <col min="8" max="8" width="21.5703125" customWidth="1"/>
    <col min="9" max="9" width="25.7109375" customWidth="1"/>
    <col min="10" max="10" width="15.42578125" customWidth="1"/>
    <col min="11" max="11" width="17.28515625" customWidth="1"/>
    <col min="12" max="12" width="16.42578125" customWidth="1"/>
    <col min="13" max="13" width="16.28515625" customWidth="1"/>
    <col min="14" max="14" width="19" customWidth="1"/>
    <col min="15" max="15" width="18.42578125" customWidth="1"/>
  </cols>
  <sheetData>
    <row r="1" spans="1:10" ht="22.5">
      <c r="A1" s="362" t="s">
        <v>680</v>
      </c>
      <c r="B1" s="363"/>
      <c r="C1" s="362"/>
      <c r="D1" s="362"/>
      <c r="E1" s="364"/>
      <c r="F1" s="364"/>
      <c r="G1" s="365"/>
    </row>
    <row r="2" spans="1:10" ht="22.5">
      <c r="A2" s="362" t="s">
        <v>681</v>
      </c>
      <c r="B2" s="362"/>
      <c r="C2" s="362"/>
      <c r="D2" s="362"/>
      <c r="E2" s="364"/>
      <c r="F2" s="364"/>
      <c r="G2" s="365"/>
    </row>
    <row r="3" spans="1:10" ht="22.5">
      <c r="A3" s="362" t="s">
        <v>682</v>
      </c>
      <c r="B3" s="362"/>
      <c r="C3" s="362"/>
      <c r="D3" s="362"/>
      <c r="E3" s="364"/>
      <c r="F3" s="364"/>
      <c r="G3" s="365"/>
    </row>
    <row r="4" spans="1:10" ht="45" customHeight="1">
      <c r="A4" s="366" t="s">
        <v>21</v>
      </c>
      <c r="B4" s="367" t="s">
        <v>683</v>
      </c>
      <c r="C4" s="368" t="s">
        <v>684</v>
      </c>
      <c r="D4" s="369" t="s">
        <v>685</v>
      </c>
      <c r="E4" s="369" t="s">
        <v>686</v>
      </c>
      <c r="F4" s="369" t="s">
        <v>687</v>
      </c>
      <c r="G4" s="369" t="s">
        <v>688</v>
      </c>
      <c r="H4" s="370" t="s">
        <v>42</v>
      </c>
    </row>
    <row r="5" spans="1:10" ht="16.5">
      <c r="A5" s="831" t="s">
        <v>689</v>
      </c>
      <c r="B5" s="372" t="s">
        <v>690</v>
      </c>
      <c r="C5" s="373">
        <v>45323</v>
      </c>
      <c r="D5" s="374">
        <f>0</f>
        <v>0</v>
      </c>
      <c r="E5" s="374">
        <v>0</v>
      </c>
      <c r="F5" s="374">
        <v>0</v>
      </c>
      <c r="G5" s="374">
        <f>0</f>
        <v>0</v>
      </c>
      <c r="H5" s="375">
        <f>D5+E5+F5+G5</f>
        <v>0</v>
      </c>
      <c r="I5" s="387"/>
    </row>
    <row r="6" spans="1:10" ht="16.5">
      <c r="A6" s="831" t="s">
        <v>691</v>
      </c>
      <c r="B6" s="376" t="s">
        <v>692</v>
      </c>
      <c r="C6" s="373">
        <v>45323</v>
      </c>
      <c r="D6" s="377">
        <v>250000</v>
      </c>
      <c r="E6" s="377">
        <v>0</v>
      </c>
      <c r="F6" s="377"/>
      <c r="G6" s="375">
        <f>0</f>
        <v>0</v>
      </c>
      <c r="H6" s="375">
        <f t="shared" ref="H6:H69" si="0">D6+E6+F6+G6</f>
        <v>250000</v>
      </c>
      <c r="I6" s="388"/>
    </row>
    <row r="7" spans="1:10" ht="16.5">
      <c r="A7" s="831" t="s">
        <v>693</v>
      </c>
      <c r="B7" s="371" t="s">
        <v>694</v>
      </c>
      <c r="C7" s="373">
        <v>45323</v>
      </c>
      <c r="D7" s="377">
        <f>0</f>
        <v>0</v>
      </c>
      <c r="E7" s="377">
        <v>0</v>
      </c>
      <c r="F7" s="377">
        <v>0</v>
      </c>
      <c r="G7" s="377">
        <f>0</f>
        <v>0</v>
      </c>
      <c r="H7" s="375">
        <f t="shared" si="0"/>
        <v>0</v>
      </c>
      <c r="I7" s="387"/>
    </row>
    <row r="8" spans="1:10" ht="16.5">
      <c r="A8" s="831" t="s">
        <v>695</v>
      </c>
      <c r="B8" s="371" t="s">
        <v>696</v>
      </c>
      <c r="C8" s="373">
        <v>45323</v>
      </c>
      <c r="D8" s="377">
        <v>200000</v>
      </c>
      <c r="E8" s="377">
        <v>0</v>
      </c>
      <c r="F8" s="377">
        <v>0</v>
      </c>
      <c r="G8" s="377">
        <f>327777.78</f>
        <v>327777.78000000003</v>
      </c>
      <c r="H8" s="375">
        <f t="shared" si="0"/>
        <v>527777.78</v>
      </c>
      <c r="I8" s="388"/>
    </row>
    <row r="9" spans="1:10" ht="16.5">
      <c r="A9" s="831" t="s">
        <v>697</v>
      </c>
      <c r="B9" s="371" t="s">
        <v>698</v>
      </c>
      <c r="C9" s="373">
        <v>45323</v>
      </c>
      <c r="D9" s="377">
        <f>0</f>
        <v>0</v>
      </c>
      <c r="E9" s="377"/>
      <c r="F9" s="377"/>
      <c r="G9" s="377">
        <f>0</f>
        <v>0</v>
      </c>
      <c r="H9" s="375">
        <f t="shared" si="0"/>
        <v>0</v>
      </c>
      <c r="I9" s="387"/>
    </row>
    <row r="10" spans="1:10" ht="16.5">
      <c r="A10" s="831" t="s">
        <v>699</v>
      </c>
      <c r="B10" s="371" t="s">
        <v>700</v>
      </c>
      <c r="C10" s="373">
        <v>45323</v>
      </c>
      <c r="D10" s="377">
        <f>0</f>
        <v>0</v>
      </c>
      <c r="E10" s="377">
        <v>0</v>
      </c>
      <c r="F10" s="377">
        <v>0</v>
      </c>
      <c r="G10" s="377">
        <f>0</f>
        <v>0</v>
      </c>
      <c r="H10" s="375">
        <f t="shared" si="0"/>
        <v>0</v>
      </c>
      <c r="I10" s="387"/>
      <c r="J10" s="389"/>
    </row>
    <row r="11" spans="1:10" ht="16.5">
      <c r="A11" s="831" t="s">
        <v>701</v>
      </c>
      <c r="B11" s="371" t="s">
        <v>702</v>
      </c>
      <c r="C11" s="373">
        <v>45323</v>
      </c>
      <c r="D11" s="377">
        <v>0</v>
      </c>
      <c r="E11" s="377">
        <v>0</v>
      </c>
      <c r="F11" s="377">
        <v>0</v>
      </c>
      <c r="G11" s="377">
        <v>0</v>
      </c>
      <c r="H11" s="375">
        <f t="shared" si="0"/>
        <v>0</v>
      </c>
      <c r="I11" s="390"/>
    </row>
    <row r="12" spans="1:10" ht="16.5">
      <c r="A12" s="831" t="s">
        <v>703</v>
      </c>
      <c r="B12" s="371" t="s">
        <v>704</v>
      </c>
      <c r="C12" s="373">
        <v>45323</v>
      </c>
      <c r="D12" s="377">
        <v>50000</v>
      </c>
      <c r="E12" s="377">
        <v>0</v>
      </c>
      <c r="F12" s="377">
        <v>0</v>
      </c>
      <c r="G12" s="377">
        <f>385000</f>
        <v>385000</v>
      </c>
      <c r="H12" s="375">
        <f t="shared" si="0"/>
        <v>435000</v>
      </c>
      <c r="I12" s="388"/>
    </row>
    <row r="13" spans="1:10" ht="16.5">
      <c r="A13" s="831" t="s">
        <v>705</v>
      </c>
      <c r="B13" s="371" t="s">
        <v>706</v>
      </c>
      <c r="C13" s="373">
        <v>45323</v>
      </c>
      <c r="D13" s="377">
        <v>0</v>
      </c>
      <c r="E13" s="377">
        <v>0</v>
      </c>
      <c r="F13" s="377">
        <v>0</v>
      </c>
      <c r="G13" s="377">
        <v>0</v>
      </c>
      <c r="H13" s="375">
        <f t="shared" si="0"/>
        <v>0</v>
      </c>
      <c r="I13" s="390"/>
    </row>
    <row r="14" spans="1:10" ht="16.5">
      <c r="A14" s="831" t="s">
        <v>707</v>
      </c>
      <c r="B14" s="371" t="s">
        <v>708</v>
      </c>
      <c r="C14" s="373">
        <v>45323</v>
      </c>
      <c r="D14" s="377">
        <f>0</f>
        <v>0</v>
      </c>
      <c r="E14" s="377">
        <v>0</v>
      </c>
      <c r="F14" s="377">
        <v>0</v>
      </c>
      <c r="G14" s="377">
        <f>0</f>
        <v>0</v>
      </c>
      <c r="H14" s="375">
        <f t="shared" si="0"/>
        <v>0</v>
      </c>
      <c r="I14" s="387"/>
    </row>
    <row r="15" spans="1:10" ht="16.5">
      <c r="A15" s="831" t="s">
        <v>709</v>
      </c>
      <c r="B15" s="371" t="s">
        <v>710</v>
      </c>
      <c r="C15" s="373">
        <v>45323</v>
      </c>
      <c r="D15" s="377">
        <v>30000</v>
      </c>
      <c r="E15" s="377">
        <v>0</v>
      </c>
      <c r="F15" s="377">
        <v>0</v>
      </c>
      <c r="G15" s="377">
        <v>91666.67</v>
      </c>
      <c r="H15" s="375">
        <f t="shared" si="0"/>
        <v>121666.67</v>
      </c>
      <c r="I15" s="388"/>
    </row>
    <row r="16" spans="1:10" ht="16.5">
      <c r="A16" s="831" t="s">
        <v>711</v>
      </c>
      <c r="B16" s="371" t="s">
        <v>178</v>
      </c>
      <c r="C16" s="373">
        <v>45323</v>
      </c>
      <c r="D16" s="377">
        <f>100000</f>
        <v>100000</v>
      </c>
      <c r="E16" s="377">
        <v>0</v>
      </c>
      <c r="F16" s="377">
        <v>0</v>
      </c>
      <c r="G16" s="377">
        <f>0</f>
        <v>0</v>
      </c>
      <c r="H16" s="375">
        <f t="shared" si="0"/>
        <v>100000</v>
      </c>
      <c r="I16" s="388"/>
    </row>
    <row r="17" spans="1:9" ht="16.5">
      <c r="A17" s="831" t="s">
        <v>712</v>
      </c>
      <c r="B17" s="371" t="s">
        <v>713</v>
      </c>
      <c r="C17" s="373">
        <v>45323</v>
      </c>
      <c r="D17" s="377">
        <f>0</f>
        <v>0</v>
      </c>
      <c r="E17" s="377">
        <v>0</v>
      </c>
      <c r="F17" s="377">
        <v>0</v>
      </c>
      <c r="G17" s="377">
        <f>0</f>
        <v>0</v>
      </c>
      <c r="H17" s="375">
        <f t="shared" si="0"/>
        <v>0</v>
      </c>
      <c r="I17" s="387"/>
    </row>
    <row r="18" spans="1:9" ht="16.5">
      <c r="A18" s="831" t="s">
        <v>714</v>
      </c>
      <c r="B18" s="371" t="s">
        <v>715</v>
      </c>
      <c r="C18" s="373">
        <v>45323</v>
      </c>
      <c r="D18" s="377">
        <v>0</v>
      </c>
      <c r="E18" s="377">
        <v>0</v>
      </c>
      <c r="F18" s="377">
        <v>0</v>
      </c>
      <c r="G18" s="377">
        <v>0</v>
      </c>
      <c r="H18" s="375">
        <f t="shared" si="0"/>
        <v>0</v>
      </c>
      <c r="I18" s="391"/>
    </row>
    <row r="19" spans="1:9" ht="16.5">
      <c r="A19" s="831" t="s">
        <v>716</v>
      </c>
      <c r="B19" s="371" t="s">
        <v>717</v>
      </c>
      <c r="C19" s="373">
        <v>45323</v>
      </c>
      <c r="D19" s="377">
        <f>100000</f>
        <v>100000</v>
      </c>
      <c r="E19" s="377">
        <v>0</v>
      </c>
      <c r="F19" s="377">
        <v>0</v>
      </c>
      <c r="G19" s="377">
        <f>0</f>
        <v>0</v>
      </c>
      <c r="H19" s="375">
        <f t="shared" si="0"/>
        <v>100000</v>
      </c>
      <c r="I19" s="392"/>
    </row>
    <row r="20" spans="1:9" ht="16.5">
      <c r="A20" s="831" t="s">
        <v>718</v>
      </c>
      <c r="B20" s="371" t="s">
        <v>719</v>
      </c>
      <c r="C20" s="373">
        <v>45323</v>
      </c>
      <c r="D20" s="377">
        <f>50000</f>
        <v>50000</v>
      </c>
      <c r="E20" s="377">
        <v>0</v>
      </c>
      <c r="F20" s="377">
        <v>0</v>
      </c>
      <c r="G20" s="375">
        <f>200000</f>
        <v>200000</v>
      </c>
      <c r="H20" s="375">
        <f t="shared" si="0"/>
        <v>250000</v>
      </c>
      <c r="I20" s="393"/>
    </row>
    <row r="21" spans="1:9" ht="16.5">
      <c r="A21" s="831" t="s">
        <v>720</v>
      </c>
      <c r="B21" s="372" t="s">
        <v>721</v>
      </c>
      <c r="C21" s="373">
        <v>45323</v>
      </c>
      <c r="D21" s="374">
        <f>0</f>
        <v>0</v>
      </c>
      <c r="E21" s="374">
        <v>0</v>
      </c>
      <c r="F21" s="374">
        <v>0</v>
      </c>
      <c r="G21" s="378">
        <f>0</f>
        <v>0</v>
      </c>
      <c r="H21" s="375">
        <f t="shared" si="0"/>
        <v>0</v>
      </c>
      <c r="I21" s="394"/>
    </row>
    <row r="22" spans="1:9" ht="16.5">
      <c r="A22" s="831" t="s">
        <v>722</v>
      </c>
      <c r="B22" s="371" t="s">
        <v>723</v>
      </c>
      <c r="C22" s="373">
        <v>45323</v>
      </c>
      <c r="D22" s="377">
        <v>50000</v>
      </c>
      <c r="E22" s="377">
        <v>0</v>
      </c>
      <c r="F22" s="377">
        <v>0</v>
      </c>
      <c r="G22" s="377">
        <f>0</f>
        <v>0</v>
      </c>
      <c r="H22" s="375">
        <f t="shared" si="0"/>
        <v>50000</v>
      </c>
      <c r="I22" s="393"/>
    </row>
    <row r="23" spans="1:9" ht="16.5">
      <c r="A23" s="831" t="s">
        <v>724</v>
      </c>
      <c r="B23" s="371" t="s">
        <v>725</v>
      </c>
      <c r="C23" s="373">
        <v>45323</v>
      </c>
      <c r="D23" s="377">
        <v>0</v>
      </c>
      <c r="E23" s="377">
        <v>0</v>
      </c>
      <c r="F23" s="377">
        <v>0</v>
      </c>
      <c r="G23" s="377">
        <v>0</v>
      </c>
      <c r="H23" s="375">
        <f t="shared" si="0"/>
        <v>0</v>
      </c>
    </row>
    <row r="24" spans="1:9" ht="16.5">
      <c r="A24" s="831" t="s">
        <v>726</v>
      </c>
      <c r="B24" s="372" t="s">
        <v>505</v>
      </c>
      <c r="C24" s="373">
        <v>45323</v>
      </c>
      <c r="D24" s="374">
        <f>20000</f>
        <v>20000</v>
      </c>
      <c r="E24" s="374">
        <v>0</v>
      </c>
      <c r="F24" s="374">
        <f>0</f>
        <v>0</v>
      </c>
      <c r="G24" s="374">
        <v>75694.44</v>
      </c>
      <c r="H24" s="375">
        <f t="shared" si="0"/>
        <v>95694.44</v>
      </c>
      <c r="I24" s="388"/>
    </row>
    <row r="25" spans="1:9" ht="16.5">
      <c r="A25" s="831" t="s">
        <v>727</v>
      </c>
      <c r="B25" s="371" t="s">
        <v>728</v>
      </c>
      <c r="C25" s="373">
        <v>45323</v>
      </c>
      <c r="D25" s="377">
        <v>0</v>
      </c>
      <c r="E25" s="377">
        <v>0</v>
      </c>
      <c r="F25" s="377">
        <v>0</v>
      </c>
      <c r="G25" s="377">
        <v>0</v>
      </c>
      <c r="H25" s="375">
        <f t="shared" si="0"/>
        <v>0</v>
      </c>
      <c r="I25" s="387"/>
    </row>
    <row r="26" spans="1:9" ht="16.5">
      <c r="A26" s="831" t="s">
        <v>729</v>
      </c>
      <c r="B26" s="371" t="s">
        <v>730</v>
      </c>
      <c r="C26" s="373">
        <v>45323</v>
      </c>
      <c r="D26" s="377">
        <v>10000</v>
      </c>
      <c r="E26" s="377">
        <v>0</v>
      </c>
      <c r="F26" s="377">
        <v>0</v>
      </c>
      <c r="G26" s="377">
        <f>65885.83</f>
        <v>65885.83</v>
      </c>
      <c r="H26" s="375">
        <f t="shared" si="0"/>
        <v>75885.83</v>
      </c>
      <c r="I26" s="388"/>
    </row>
    <row r="27" spans="1:9" ht="16.5">
      <c r="A27" s="831" t="s">
        <v>731</v>
      </c>
      <c r="B27" s="371" t="s">
        <v>732</v>
      </c>
      <c r="C27" s="373">
        <v>45323</v>
      </c>
      <c r="D27" s="377">
        <v>30000</v>
      </c>
      <c r="E27" s="377">
        <v>0</v>
      </c>
      <c r="F27" s="377">
        <v>10000</v>
      </c>
      <c r="G27" s="377">
        <f>238888.89</f>
        <v>238888.89</v>
      </c>
      <c r="H27" s="375">
        <f t="shared" si="0"/>
        <v>278888.89</v>
      </c>
      <c r="I27" s="388"/>
    </row>
    <row r="28" spans="1:9" ht="16.5">
      <c r="A28" s="831" t="s">
        <v>733</v>
      </c>
      <c r="B28" s="371" t="s">
        <v>734</v>
      </c>
      <c r="C28" s="373">
        <v>45323</v>
      </c>
      <c r="D28" s="377">
        <v>30000</v>
      </c>
      <c r="E28" s="377">
        <v>0</v>
      </c>
      <c r="F28" s="377">
        <v>0</v>
      </c>
      <c r="G28" s="377">
        <f>61111.11</f>
        <v>61111.11</v>
      </c>
      <c r="H28" s="375">
        <f t="shared" si="0"/>
        <v>91111.11</v>
      </c>
      <c r="I28" s="388"/>
    </row>
    <row r="29" spans="1:9" ht="18">
      <c r="A29" s="831" t="s">
        <v>735</v>
      </c>
      <c r="B29" s="371" t="s">
        <v>736</v>
      </c>
      <c r="C29" s="373">
        <v>45323</v>
      </c>
      <c r="D29" s="379">
        <f>15000</f>
        <v>15000</v>
      </c>
      <c r="E29" s="379"/>
      <c r="F29" s="379"/>
      <c r="G29" s="380">
        <f>30000</f>
        <v>30000</v>
      </c>
      <c r="H29" s="375">
        <f t="shared" si="0"/>
        <v>45000</v>
      </c>
      <c r="I29" s="388"/>
    </row>
    <row r="30" spans="1:9" ht="16.5">
      <c r="A30" s="831" t="s">
        <v>737</v>
      </c>
      <c r="B30" s="371" t="s">
        <v>738</v>
      </c>
      <c r="C30" s="373">
        <v>45323</v>
      </c>
      <c r="D30" s="377">
        <v>20000</v>
      </c>
      <c r="E30" s="377">
        <v>0</v>
      </c>
      <c r="F30" s="377">
        <v>0</v>
      </c>
      <c r="G30" s="377">
        <f>163103.59</f>
        <v>163103.59</v>
      </c>
      <c r="H30" s="375">
        <f t="shared" si="0"/>
        <v>183103.59</v>
      </c>
      <c r="I30" s="388"/>
    </row>
    <row r="31" spans="1:9" ht="16.5">
      <c r="A31" s="831" t="s">
        <v>739</v>
      </c>
      <c r="B31" s="371" t="s">
        <v>448</v>
      </c>
      <c r="C31" s="373">
        <v>45323</v>
      </c>
      <c r="D31" s="377">
        <v>20000</v>
      </c>
      <c r="E31" s="377">
        <v>0</v>
      </c>
      <c r="F31" s="377">
        <v>0</v>
      </c>
      <c r="G31" s="377">
        <v>96664.65</v>
      </c>
      <c r="H31" s="375">
        <f t="shared" si="0"/>
        <v>116664.65</v>
      </c>
      <c r="I31" s="388"/>
    </row>
    <row r="32" spans="1:9" ht="16.5">
      <c r="A32" s="831" t="s">
        <v>740</v>
      </c>
      <c r="B32" s="371" t="s">
        <v>741</v>
      </c>
      <c r="C32" s="373">
        <v>45323</v>
      </c>
      <c r="D32" s="377">
        <v>20000</v>
      </c>
      <c r="E32" s="377">
        <v>0</v>
      </c>
      <c r="F32" s="377">
        <v>0</v>
      </c>
      <c r="G32" s="381"/>
      <c r="H32" s="375">
        <f t="shared" si="0"/>
        <v>20000</v>
      </c>
      <c r="I32" s="388"/>
    </row>
    <row r="33" spans="1:9" ht="16.5">
      <c r="A33" s="831" t="s">
        <v>742</v>
      </c>
      <c r="B33" s="371" t="s">
        <v>743</v>
      </c>
      <c r="C33" s="373">
        <v>45323</v>
      </c>
      <c r="D33" s="378"/>
      <c r="E33" s="378"/>
      <c r="F33" s="378"/>
      <c r="G33" s="378"/>
      <c r="H33" s="375">
        <f t="shared" si="0"/>
        <v>0</v>
      </c>
      <c r="I33" s="387"/>
    </row>
    <row r="34" spans="1:9" ht="16.5">
      <c r="A34" s="831" t="s">
        <v>744</v>
      </c>
      <c r="B34" s="371" t="s">
        <v>745</v>
      </c>
      <c r="C34" s="373">
        <v>45323</v>
      </c>
      <c r="D34" s="377">
        <v>20000</v>
      </c>
      <c r="E34" s="377">
        <v>0</v>
      </c>
      <c r="F34" s="379">
        <f>5000+5000</f>
        <v>10000</v>
      </c>
      <c r="G34" s="377">
        <f>47916.66</f>
        <v>47916.66</v>
      </c>
      <c r="H34" s="375">
        <f t="shared" si="0"/>
        <v>77916.66</v>
      </c>
      <c r="I34" s="388"/>
    </row>
    <row r="35" spans="1:9" ht="16.5">
      <c r="A35" s="831" t="s">
        <v>746</v>
      </c>
      <c r="B35" s="371" t="s">
        <v>747</v>
      </c>
      <c r="C35" s="373">
        <v>45323</v>
      </c>
      <c r="D35" s="377">
        <v>0</v>
      </c>
      <c r="E35" s="377">
        <v>0</v>
      </c>
      <c r="F35" s="377">
        <v>0</v>
      </c>
      <c r="G35" s="377">
        <v>0</v>
      </c>
      <c r="H35" s="375">
        <f t="shared" si="0"/>
        <v>0</v>
      </c>
      <c r="I35" s="387"/>
    </row>
    <row r="36" spans="1:9" ht="16.5">
      <c r="A36" s="831" t="s">
        <v>748</v>
      </c>
      <c r="B36" s="371" t="s">
        <v>749</v>
      </c>
      <c r="C36" s="373">
        <v>45323</v>
      </c>
      <c r="D36" s="377">
        <f>20000</f>
        <v>20000</v>
      </c>
      <c r="E36" s="377">
        <v>0</v>
      </c>
      <c r="F36" s="377">
        <v>0</v>
      </c>
      <c r="G36" s="377">
        <f>43750</f>
        <v>43750</v>
      </c>
      <c r="H36" s="375">
        <f t="shared" si="0"/>
        <v>63750</v>
      </c>
      <c r="I36" s="388"/>
    </row>
    <row r="37" spans="1:9" ht="16.5">
      <c r="A37" s="831" t="s">
        <v>750</v>
      </c>
      <c r="B37" s="371" t="s">
        <v>751</v>
      </c>
      <c r="C37" s="373">
        <v>45323</v>
      </c>
      <c r="D37" s="377">
        <f>10000</f>
        <v>10000</v>
      </c>
      <c r="E37" s="377">
        <f>0</f>
        <v>0</v>
      </c>
      <c r="F37" s="377">
        <f>0</f>
        <v>0</v>
      </c>
      <c r="G37" s="377">
        <f>90000+25000</f>
        <v>115000</v>
      </c>
      <c r="H37" s="375">
        <f t="shared" si="0"/>
        <v>125000</v>
      </c>
      <c r="I37" s="388"/>
    </row>
    <row r="38" spans="1:9" ht="16.5">
      <c r="A38" s="831" t="s">
        <v>752</v>
      </c>
      <c r="B38" s="371" t="s">
        <v>522</v>
      </c>
      <c r="C38" s="373">
        <v>45323</v>
      </c>
      <c r="D38" s="377">
        <f>0</f>
        <v>0</v>
      </c>
      <c r="E38" s="377">
        <v>0</v>
      </c>
      <c r="F38" s="377">
        <v>0</v>
      </c>
      <c r="G38" s="377">
        <f>50000</f>
        <v>50000</v>
      </c>
      <c r="H38" s="375">
        <f t="shared" si="0"/>
        <v>50000</v>
      </c>
      <c r="I38" s="387"/>
    </row>
    <row r="39" spans="1:9" ht="16.5">
      <c r="A39" s="831" t="s">
        <v>753</v>
      </c>
      <c r="B39" s="371" t="s">
        <v>356</v>
      </c>
      <c r="C39" s="373">
        <v>45323</v>
      </c>
      <c r="D39" s="377">
        <f>10000</f>
        <v>10000</v>
      </c>
      <c r="E39" s="377">
        <v>0</v>
      </c>
      <c r="F39" s="377">
        <v>0</v>
      </c>
      <c r="G39" s="377">
        <f>200000</f>
        <v>200000</v>
      </c>
      <c r="H39" s="375">
        <f t="shared" si="0"/>
        <v>210000</v>
      </c>
      <c r="I39" s="388"/>
    </row>
    <row r="40" spans="1:9" ht="16.5">
      <c r="A40" s="831" t="s">
        <v>754</v>
      </c>
      <c r="B40" s="371" t="s">
        <v>507</v>
      </c>
      <c r="C40" s="373">
        <v>45323</v>
      </c>
      <c r="D40" s="377">
        <v>35000</v>
      </c>
      <c r="E40" s="377">
        <v>0</v>
      </c>
      <c r="F40" s="377">
        <f>25000</f>
        <v>25000</v>
      </c>
      <c r="G40" s="377">
        <f>55000</f>
        <v>55000</v>
      </c>
      <c r="H40" s="375">
        <f t="shared" si="0"/>
        <v>115000</v>
      </c>
      <c r="I40" s="388"/>
    </row>
    <row r="41" spans="1:9" ht="16.5">
      <c r="A41" s="831" t="s">
        <v>755</v>
      </c>
      <c r="B41" s="371" t="s">
        <v>530</v>
      </c>
      <c r="C41" s="373">
        <v>45323</v>
      </c>
      <c r="D41" s="377">
        <v>10000</v>
      </c>
      <c r="E41" s="377">
        <v>0</v>
      </c>
      <c r="F41" s="377">
        <v>0</v>
      </c>
      <c r="G41" s="377">
        <f>100000</f>
        <v>100000</v>
      </c>
      <c r="H41" s="375">
        <f t="shared" si="0"/>
        <v>110000</v>
      </c>
      <c r="I41" s="388"/>
    </row>
    <row r="42" spans="1:9" ht="16.5">
      <c r="A42" s="831" t="s">
        <v>756</v>
      </c>
      <c r="B42" s="371" t="s">
        <v>757</v>
      </c>
      <c r="C42" s="373">
        <v>45323</v>
      </c>
      <c r="D42" s="377">
        <f>10000</f>
        <v>10000</v>
      </c>
      <c r="E42" s="378"/>
      <c r="F42" s="378"/>
      <c r="G42" s="378"/>
      <c r="H42" s="375">
        <f t="shared" si="0"/>
        <v>10000</v>
      </c>
      <c r="I42" s="388"/>
    </row>
    <row r="43" spans="1:9" ht="16.5">
      <c r="A43" s="831" t="s">
        <v>758</v>
      </c>
      <c r="B43" s="371" t="s">
        <v>577</v>
      </c>
      <c r="C43" s="373">
        <v>45323</v>
      </c>
      <c r="D43" s="375">
        <v>10000</v>
      </c>
      <c r="E43" s="382">
        <v>0</v>
      </c>
      <c r="F43" s="379">
        <f>5000+5000</f>
        <v>10000</v>
      </c>
      <c r="G43" s="375">
        <f>22361.11</f>
        <v>22361.11</v>
      </c>
      <c r="H43" s="375">
        <f t="shared" si="0"/>
        <v>42361.11</v>
      </c>
      <c r="I43" s="388"/>
    </row>
    <row r="44" spans="1:9" ht="16.5">
      <c r="A44" s="831" t="s">
        <v>759</v>
      </c>
      <c r="B44" s="371" t="s">
        <v>760</v>
      </c>
      <c r="C44" s="373">
        <v>45323</v>
      </c>
      <c r="D44" s="375">
        <f>10000</f>
        <v>10000</v>
      </c>
      <c r="E44" s="382">
        <v>0</v>
      </c>
      <c r="F44" s="379">
        <f>5000+5000</f>
        <v>10000</v>
      </c>
      <c r="G44" s="375">
        <f>20000</f>
        <v>20000</v>
      </c>
      <c r="H44" s="375">
        <f t="shared" si="0"/>
        <v>40000</v>
      </c>
      <c r="I44" s="388"/>
    </row>
    <row r="45" spans="1:9" ht="16.5">
      <c r="A45" s="831" t="s">
        <v>761</v>
      </c>
      <c r="B45" s="371" t="s">
        <v>762</v>
      </c>
      <c r="C45" s="373">
        <v>45323</v>
      </c>
      <c r="D45" s="377">
        <f>5000</f>
        <v>5000</v>
      </c>
      <c r="E45" s="377">
        <v>0</v>
      </c>
      <c r="F45" s="379">
        <f>5000+5000</f>
        <v>10000</v>
      </c>
      <c r="G45" s="377">
        <f>35704.84</f>
        <v>35704.839999999997</v>
      </c>
      <c r="H45" s="375">
        <f t="shared" si="0"/>
        <v>50704.84</v>
      </c>
      <c r="I45" s="388"/>
    </row>
    <row r="46" spans="1:9" ht="16.5">
      <c r="A46" s="831" t="s">
        <v>763</v>
      </c>
      <c r="B46" s="371" t="s">
        <v>561</v>
      </c>
      <c r="C46" s="373">
        <v>45323</v>
      </c>
      <c r="D46" s="377">
        <v>10000</v>
      </c>
      <c r="E46" s="377">
        <v>0</v>
      </c>
      <c r="F46" s="377">
        <f>5000+5000</f>
        <v>10000</v>
      </c>
      <c r="G46" s="377">
        <f>32000</f>
        <v>32000</v>
      </c>
      <c r="H46" s="375">
        <f t="shared" si="0"/>
        <v>52000</v>
      </c>
      <c r="I46" s="388"/>
    </row>
    <row r="47" spans="1:9" ht="16.5">
      <c r="A47" s="831" t="s">
        <v>764</v>
      </c>
      <c r="B47" s="371" t="s">
        <v>765</v>
      </c>
      <c r="C47" s="373">
        <v>45323</v>
      </c>
      <c r="D47" s="377">
        <v>0</v>
      </c>
      <c r="E47" s="377">
        <v>0</v>
      </c>
      <c r="F47" s="377">
        <v>0</v>
      </c>
      <c r="G47" s="377">
        <v>0</v>
      </c>
      <c r="H47" s="375">
        <f t="shared" si="0"/>
        <v>0</v>
      </c>
      <c r="I47" s="387"/>
    </row>
    <row r="48" spans="1:9" ht="16.5">
      <c r="A48" s="831" t="s">
        <v>766</v>
      </c>
      <c r="B48" s="371" t="s">
        <v>767</v>
      </c>
      <c r="C48" s="373">
        <v>45323</v>
      </c>
      <c r="D48" s="377">
        <f>0</f>
        <v>0</v>
      </c>
      <c r="E48" s="377">
        <v>0</v>
      </c>
      <c r="F48" s="377">
        <v>0</v>
      </c>
      <c r="G48" s="377">
        <f>0</f>
        <v>0</v>
      </c>
      <c r="H48" s="375">
        <f t="shared" si="0"/>
        <v>0</v>
      </c>
      <c r="I48" s="387"/>
    </row>
    <row r="49" spans="1:11" ht="16.5">
      <c r="A49" s="831" t="s">
        <v>768</v>
      </c>
      <c r="B49" s="371" t="s">
        <v>769</v>
      </c>
      <c r="C49" s="373">
        <v>45323</v>
      </c>
      <c r="D49" s="377">
        <f>0</f>
        <v>0</v>
      </c>
      <c r="E49" s="377">
        <v>0</v>
      </c>
      <c r="F49" s="379">
        <f>0</f>
        <v>0</v>
      </c>
      <c r="G49" s="377">
        <f>0</f>
        <v>0</v>
      </c>
      <c r="H49" s="375">
        <f t="shared" si="0"/>
        <v>0</v>
      </c>
      <c r="I49" s="387"/>
    </row>
    <row r="50" spans="1:11" ht="16.5">
      <c r="A50" s="831" t="s">
        <v>770</v>
      </c>
      <c r="B50" s="371" t="s">
        <v>568</v>
      </c>
      <c r="C50" s="373">
        <v>45323</v>
      </c>
      <c r="D50" s="377">
        <v>10000</v>
      </c>
      <c r="E50" s="377">
        <v>0</v>
      </c>
      <c r="F50" s="377">
        <f>5000+5000</f>
        <v>10000</v>
      </c>
      <c r="G50" s="383">
        <f>0</f>
        <v>0</v>
      </c>
      <c r="H50" s="375">
        <f t="shared" si="0"/>
        <v>20000</v>
      </c>
      <c r="I50" s="388"/>
    </row>
    <row r="51" spans="1:11" ht="16.5">
      <c r="A51" s="831" t="s">
        <v>771</v>
      </c>
      <c r="B51" s="371" t="s">
        <v>772</v>
      </c>
      <c r="C51" s="373">
        <v>45323</v>
      </c>
      <c r="D51" s="375">
        <v>20000</v>
      </c>
      <c r="E51" s="384">
        <f>0</f>
        <v>0</v>
      </c>
      <c r="F51" s="377">
        <f>5000+5000</f>
        <v>10000</v>
      </c>
      <c r="G51" s="377">
        <f>26430.62</f>
        <v>26430.62</v>
      </c>
      <c r="H51" s="375">
        <f t="shared" si="0"/>
        <v>56430.62</v>
      </c>
      <c r="I51" s="388"/>
      <c r="J51" s="391"/>
    </row>
    <row r="52" spans="1:11" ht="16.5">
      <c r="A52" s="831" t="s">
        <v>773</v>
      </c>
      <c r="B52" s="371" t="s">
        <v>582</v>
      </c>
      <c r="C52" s="373">
        <v>45323</v>
      </c>
      <c r="D52" s="375">
        <f>3000</f>
        <v>3000</v>
      </c>
      <c r="E52" s="375"/>
      <c r="F52" s="377">
        <f>5000+5000</f>
        <v>10000</v>
      </c>
      <c r="G52" s="375">
        <f>44000</f>
        <v>44000</v>
      </c>
      <c r="H52" s="375">
        <f t="shared" si="0"/>
        <v>57000</v>
      </c>
      <c r="I52" s="388"/>
    </row>
    <row r="53" spans="1:11" ht="16.5">
      <c r="A53" s="831" t="s">
        <v>774</v>
      </c>
      <c r="B53" s="371" t="s">
        <v>570</v>
      </c>
      <c r="C53" s="373">
        <v>45323</v>
      </c>
      <c r="D53" s="377">
        <v>10000</v>
      </c>
      <c r="E53" s="377">
        <v>0</v>
      </c>
      <c r="F53" s="377">
        <f>5000+5000</f>
        <v>10000</v>
      </c>
      <c r="G53" s="377">
        <f>15112.49</f>
        <v>15112.49</v>
      </c>
      <c r="H53" s="375">
        <f t="shared" si="0"/>
        <v>35112.49</v>
      </c>
      <c r="I53" s="388"/>
      <c r="K53" s="389"/>
    </row>
    <row r="54" spans="1:11" ht="16.5">
      <c r="A54" s="831" t="s">
        <v>775</v>
      </c>
      <c r="B54" s="371" t="s">
        <v>776</v>
      </c>
      <c r="C54" s="373">
        <v>45323</v>
      </c>
      <c r="D54" s="377">
        <v>20000</v>
      </c>
      <c r="E54" s="377">
        <v>0</v>
      </c>
      <c r="F54" s="377">
        <f>5000+5000</f>
        <v>10000</v>
      </c>
      <c r="G54" s="377">
        <f>25555.56</f>
        <v>25555.56</v>
      </c>
      <c r="H54" s="375">
        <f t="shared" si="0"/>
        <v>55555.56</v>
      </c>
      <c r="I54" s="388"/>
    </row>
    <row r="55" spans="1:11" ht="16.5">
      <c r="A55" s="832" t="s">
        <v>777</v>
      </c>
      <c r="B55" s="385" t="s">
        <v>778</v>
      </c>
      <c r="C55" s="373">
        <v>45323</v>
      </c>
      <c r="D55" s="386">
        <v>0</v>
      </c>
      <c r="E55" s="386">
        <v>0</v>
      </c>
      <c r="F55" s="386">
        <v>0</v>
      </c>
      <c r="G55" s="386">
        <v>0</v>
      </c>
      <c r="H55" s="375">
        <f t="shared" si="0"/>
        <v>0</v>
      </c>
      <c r="I55" s="387"/>
      <c r="K55" s="389"/>
    </row>
    <row r="56" spans="1:11" ht="16.5">
      <c r="A56" s="831" t="s">
        <v>779</v>
      </c>
      <c r="B56" s="372" t="s">
        <v>514</v>
      </c>
      <c r="C56" s="373">
        <v>45323</v>
      </c>
      <c r="D56" s="374">
        <v>100000</v>
      </c>
      <c r="E56" s="374">
        <v>0</v>
      </c>
      <c r="F56" s="374">
        <v>0</v>
      </c>
      <c r="G56" s="374">
        <v>208526.23499999999</v>
      </c>
      <c r="H56" s="375">
        <f t="shared" si="0"/>
        <v>308526.23499999999</v>
      </c>
      <c r="I56" s="388"/>
    </row>
    <row r="57" spans="1:11" ht="16.5">
      <c r="A57" s="831" t="s">
        <v>780</v>
      </c>
      <c r="B57" s="372" t="s">
        <v>781</v>
      </c>
      <c r="C57" s="373">
        <v>45323</v>
      </c>
      <c r="D57" s="375"/>
      <c r="E57" s="375">
        <v>0</v>
      </c>
      <c r="F57" s="375">
        <v>0</v>
      </c>
      <c r="G57" s="375">
        <v>0</v>
      </c>
      <c r="H57" s="375">
        <f t="shared" si="0"/>
        <v>0</v>
      </c>
      <c r="I57" s="387"/>
    </row>
    <row r="58" spans="1:11" ht="16.5">
      <c r="A58" s="831" t="s">
        <v>782</v>
      </c>
      <c r="B58" s="372" t="s">
        <v>783</v>
      </c>
      <c r="C58" s="373">
        <v>45323</v>
      </c>
      <c r="D58" s="375">
        <f>80000</f>
        <v>80000</v>
      </c>
      <c r="E58" s="375">
        <v>0</v>
      </c>
      <c r="F58" s="375">
        <v>0</v>
      </c>
      <c r="G58" s="377">
        <f>230499.8</f>
        <v>230499.8</v>
      </c>
      <c r="H58" s="375">
        <f t="shared" si="0"/>
        <v>310499.8</v>
      </c>
      <c r="I58" s="388"/>
      <c r="J58" s="387"/>
    </row>
    <row r="59" spans="1:11" ht="16.5">
      <c r="A59" s="832" t="s">
        <v>784</v>
      </c>
      <c r="B59" s="385" t="s">
        <v>785</v>
      </c>
      <c r="C59" s="373">
        <v>45323</v>
      </c>
      <c r="D59" s="386">
        <v>0</v>
      </c>
      <c r="E59" s="386">
        <v>0</v>
      </c>
      <c r="F59" s="386">
        <v>0</v>
      </c>
      <c r="G59" s="386">
        <v>0</v>
      </c>
      <c r="H59" s="375">
        <f t="shared" si="0"/>
        <v>0</v>
      </c>
      <c r="I59" s="387"/>
    </row>
    <row r="60" spans="1:11" ht="16.5">
      <c r="A60" s="831" t="s">
        <v>786</v>
      </c>
      <c r="B60" s="371" t="s">
        <v>787</v>
      </c>
      <c r="C60" s="373">
        <v>45323</v>
      </c>
      <c r="D60" s="377">
        <f>30000</f>
        <v>30000</v>
      </c>
      <c r="E60" s="377">
        <v>0</v>
      </c>
      <c r="F60" s="377">
        <f>10000</f>
        <v>10000</v>
      </c>
      <c r="G60" s="377">
        <f>70000</f>
        <v>70000</v>
      </c>
      <c r="H60" s="375">
        <f t="shared" si="0"/>
        <v>110000</v>
      </c>
      <c r="I60" s="388"/>
    </row>
    <row r="61" spans="1:11" ht="16.5">
      <c r="A61" s="831" t="s">
        <v>788</v>
      </c>
      <c r="B61" s="371" t="s">
        <v>789</v>
      </c>
      <c r="C61" s="373">
        <v>45323</v>
      </c>
      <c r="D61" s="377">
        <f>0</f>
        <v>0</v>
      </c>
      <c r="E61" s="377">
        <v>0</v>
      </c>
      <c r="F61" s="377">
        <v>0</v>
      </c>
      <c r="G61" s="377">
        <f>0</f>
        <v>0</v>
      </c>
      <c r="H61" s="375">
        <f t="shared" si="0"/>
        <v>0</v>
      </c>
      <c r="I61" s="387"/>
    </row>
    <row r="62" spans="1:11" ht="16.5">
      <c r="A62" s="831" t="s">
        <v>790</v>
      </c>
      <c r="B62" s="371" t="s">
        <v>791</v>
      </c>
      <c r="C62" s="373">
        <v>45323</v>
      </c>
      <c r="D62" s="378">
        <v>0</v>
      </c>
      <c r="E62" s="378">
        <v>0</v>
      </c>
      <c r="F62" s="378">
        <v>0</v>
      </c>
      <c r="G62" s="378">
        <v>0</v>
      </c>
      <c r="H62" s="375">
        <f t="shared" si="0"/>
        <v>0</v>
      </c>
      <c r="I62" s="387"/>
    </row>
    <row r="63" spans="1:11" ht="16.5">
      <c r="A63" s="831" t="s">
        <v>792</v>
      </c>
      <c r="B63" s="371" t="s">
        <v>793</v>
      </c>
      <c r="C63" s="373">
        <v>45323</v>
      </c>
      <c r="D63" s="377">
        <f>0</f>
        <v>0</v>
      </c>
      <c r="E63" s="377"/>
      <c r="F63" s="377"/>
      <c r="G63" s="377">
        <f>0</f>
        <v>0</v>
      </c>
      <c r="H63" s="375">
        <f t="shared" si="0"/>
        <v>0</v>
      </c>
      <c r="I63" s="388"/>
    </row>
    <row r="64" spans="1:11" ht="16.5">
      <c r="A64" s="831" t="s">
        <v>794</v>
      </c>
      <c r="B64" s="371" t="s">
        <v>795</v>
      </c>
      <c r="C64" s="373">
        <v>45323</v>
      </c>
      <c r="D64" s="377">
        <f>0</f>
        <v>0</v>
      </c>
      <c r="E64" s="377">
        <v>0</v>
      </c>
      <c r="F64" s="377">
        <f>0</f>
        <v>0</v>
      </c>
      <c r="G64" s="377"/>
      <c r="H64" s="375">
        <f t="shared" si="0"/>
        <v>0</v>
      </c>
      <c r="I64" s="387"/>
    </row>
    <row r="65" spans="1:9" ht="16.5">
      <c r="A65" s="831" t="s">
        <v>796</v>
      </c>
      <c r="B65" s="371" t="s">
        <v>520</v>
      </c>
      <c r="C65" s="373">
        <v>45323</v>
      </c>
      <c r="D65" s="377">
        <f>0</f>
        <v>0</v>
      </c>
      <c r="E65" s="377">
        <v>0</v>
      </c>
      <c r="F65" s="377">
        <v>0</v>
      </c>
      <c r="G65" s="377">
        <f>133333.33+30000</f>
        <v>163333.32999999999</v>
      </c>
      <c r="H65" s="375">
        <f t="shared" si="0"/>
        <v>163333.32999999999</v>
      </c>
      <c r="I65" s="388"/>
    </row>
    <row r="66" spans="1:9" ht="16.5">
      <c r="A66" s="831" t="s">
        <v>797</v>
      </c>
      <c r="B66" s="371" t="s">
        <v>798</v>
      </c>
      <c r="C66" s="373">
        <v>45323</v>
      </c>
      <c r="D66" s="377"/>
      <c r="E66" s="377"/>
      <c r="F66" s="377"/>
      <c r="G66" s="377"/>
      <c r="H66" s="375">
        <f t="shared" si="0"/>
        <v>0</v>
      </c>
      <c r="I66" s="388"/>
    </row>
    <row r="67" spans="1:9" ht="16.5">
      <c r="A67" s="831" t="s">
        <v>799</v>
      </c>
      <c r="B67" s="371" t="s">
        <v>567</v>
      </c>
      <c r="C67" s="373">
        <v>45323</v>
      </c>
      <c r="D67" s="377">
        <v>5000</v>
      </c>
      <c r="E67" s="377">
        <v>0</v>
      </c>
      <c r="F67" s="377">
        <f>5000+5000</f>
        <v>10000</v>
      </c>
      <c r="G67" s="377">
        <f>14524.11</f>
        <v>14524.11</v>
      </c>
      <c r="H67" s="375">
        <f t="shared" si="0"/>
        <v>29524.11</v>
      </c>
      <c r="I67" s="388"/>
    </row>
    <row r="68" spans="1:9" ht="16.5">
      <c r="A68" s="831" t="s">
        <v>800</v>
      </c>
      <c r="B68" s="371" t="s">
        <v>417</v>
      </c>
      <c r="C68" s="373">
        <v>45323</v>
      </c>
      <c r="D68" s="377">
        <v>30000</v>
      </c>
      <c r="E68" s="377">
        <v>0</v>
      </c>
      <c r="F68" s="377"/>
      <c r="G68" s="383">
        <f>176288.88</f>
        <v>176288.88</v>
      </c>
      <c r="H68" s="375">
        <f t="shared" si="0"/>
        <v>206288.88</v>
      </c>
      <c r="I68" s="388"/>
    </row>
    <row r="69" spans="1:9" ht="16.5">
      <c r="A69" s="831" t="s">
        <v>801</v>
      </c>
      <c r="B69" s="371" t="s">
        <v>802</v>
      </c>
      <c r="C69" s="373">
        <v>45323</v>
      </c>
      <c r="D69" s="377">
        <v>80000</v>
      </c>
      <c r="E69" s="377">
        <v>0</v>
      </c>
      <c r="F69" s="377">
        <f>23000</f>
        <v>23000</v>
      </c>
      <c r="G69" s="377">
        <v>246905.964583333</v>
      </c>
      <c r="H69" s="375">
        <f t="shared" si="0"/>
        <v>349905.964583333</v>
      </c>
      <c r="I69" s="388"/>
    </row>
    <row r="70" spans="1:9" ht="16.5">
      <c r="A70" s="831" t="s">
        <v>803</v>
      </c>
      <c r="B70" s="371" t="s">
        <v>361</v>
      </c>
      <c r="C70" s="373">
        <v>45323</v>
      </c>
      <c r="D70" s="377">
        <v>0</v>
      </c>
      <c r="E70" s="377">
        <v>0</v>
      </c>
      <c r="F70" s="377">
        <v>0</v>
      </c>
      <c r="G70" s="377">
        <v>0</v>
      </c>
      <c r="H70" s="375">
        <f t="shared" ref="H70:H133" si="1">D70+E70+F70+G70</f>
        <v>0</v>
      </c>
      <c r="I70" s="387"/>
    </row>
    <row r="71" spans="1:9" ht="16.5">
      <c r="A71" s="831" t="s">
        <v>804</v>
      </c>
      <c r="B71" s="371" t="s">
        <v>805</v>
      </c>
      <c r="C71" s="373">
        <v>45323</v>
      </c>
      <c r="D71" s="377">
        <f>70000</f>
        <v>70000</v>
      </c>
      <c r="E71" s="377">
        <f>0</f>
        <v>0</v>
      </c>
      <c r="F71" s="377">
        <v>0</v>
      </c>
      <c r="G71" s="377">
        <f>50000</f>
        <v>50000</v>
      </c>
      <c r="H71" s="375">
        <f t="shared" si="1"/>
        <v>120000</v>
      </c>
      <c r="I71" s="388"/>
    </row>
    <row r="72" spans="1:9" ht="16.5">
      <c r="A72" s="831" t="s">
        <v>806</v>
      </c>
      <c r="B72" s="371" t="s">
        <v>807</v>
      </c>
      <c r="C72" s="373">
        <v>45323</v>
      </c>
      <c r="D72" s="377">
        <f>10000</f>
        <v>10000</v>
      </c>
      <c r="E72" s="377">
        <v>0</v>
      </c>
      <c r="F72" s="377">
        <v>0</v>
      </c>
      <c r="G72" s="377">
        <f>54585.66</f>
        <v>54585.66</v>
      </c>
      <c r="H72" s="375">
        <f t="shared" si="1"/>
        <v>64585.66</v>
      </c>
      <c r="I72" s="390"/>
    </row>
    <row r="73" spans="1:9" ht="16.5">
      <c r="A73" s="831" t="s">
        <v>808</v>
      </c>
      <c r="B73" s="371" t="s">
        <v>809</v>
      </c>
      <c r="C73" s="373">
        <v>45323</v>
      </c>
      <c r="D73" s="377">
        <v>10000</v>
      </c>
      <c r="E73" s="377">
        <v>0</v>
      </c>
      <c r="F73" s="377">
        <f>5000+5000</f>
        <v>10000</v>
      </c>
      <c r="G73" s="377">
        <f>13750</f>
        <v>13750</v>
      </c>
      <c r="H73" s="375">
        <f t="shared" si="1"/>
        <v>33750</v>
      </c>
      <c r="I73" s="388"/>
    </row>
    <row r="74" spans="1:9" ht="18">
      <c r="A74" s="831" t="s">
        <v>810</v>
      </c>
      <c r="B74" s="371" t="s">
        <v>576</v>
      </c>
      <c r="C74" s="373">
        <v>45323</v>
      </c>
      <c r="D74" s="377">
        <f>10000</f>
        <v>10000</v>
      </c>
      <c r="E74" s="377">
        <v>0</v>
      </c>
      <c r="F74" s="377">
        <f>5000+5000</f>
        <v>10000</v>
      </c>
      <c r="G74" s="395">
        <f>16958.34</f>
        <v>16958.34</v>
      </c>
      <c r="H74" s="375">
        <f t="shared" si="1"/>
        <v>36958.339999999997</v>
      </c>
      <c r="I74" s="388"/>
    </row>
    <row r="75" spans="1:9" ht="16.5">
      <c r="A75" s="831" t="s">
        <v>811</v>
      </c>
      <c r="B75" s="371" t="s">
        <v>812</v>
      </c>
      <c r="C75" s="373">
        <v>45323</v>
      </c>
      <c r="D75" s="377">
        <f>0</f>
        <v>0</v>
      </c>
      <c r="E75" s="377">
        <v>0</v>
      </c>
      <c r="F75" s="377">
        <f>0</f>
        <v>0</v>
      </c>
      <c r="G75" s="377">
        <f>0</f>
        <v>0</v>
      </c>
      <c r="H75" s="375">
        <f t="shared" si="1"/>
        <v>0</v>
      </c>
      <c r="I75" s="387"/>
    </row>
    <row r="76" spans="1:9" ht="18">
      <c r="A76" s="831" t="s">
        <v>813</v>
      </c>
      <c r="B76" s="371" t="s">
        <v>814</v>
      </c>
      <c r="C76" s="373">
        <v>45323</v>
      </c>
      <c r="D76" s="395">
        <f>20000</f>
        <v>20000</v>
      </c>
      <c r="E76" s="382"/>
      <c r="F76" s="382"/>
      <c r="G76" s="377">
        <f>111833.33</f>
        <v>111833.33</v>
      </c>
      <c r="H76" s="375">
        <f t="shared" si="1"/>
        <v>131833.32999999999</v>
      </c>
      <c r="I76" s="388"/>
    </row>
    <row r="77" spans="1:9" ht="16.5">
      <c r="A77" s="831" t="s">
        <v>815</v>
      </c>
      <c r="B77" s="371" t="s">
        <v>816</v>
      </c>
      <c r="C77" s="373">
        <v>45323</v>
      </c>
      <c r="D77" s="377"/>
      <c r="E77" s="377"/>
      <c r="F77" s="377"/>
      <c r="G77" s="396"/>
      <c r="H77" s="375">
        <f t="shared" si="1"/>
        <v>0</v>
      </c>
      <c r="I77" s="388"/>
    </row>
    <row r="78" spans="1:9" ht="16.5">
      <c r="A78" s="831" t="s">
        <v>817</v>
      </c>
      <c r="B78" s="371" t="s">
        <v>818</v>
      </c>
      <c r="C78" s="373">
        <v>45323</v>
      </c>
      <c r="D78" s="377">
        <v>0</v>
      </c>
      <c r="E78" s="377">
        <v>0</v>
      </c>
      <c r="F78" s="377">
        <v>0</v>
      </c>
      <c r="G78" s="377"/>
      <c r="H78" s="375">
        <f t="shared" si="1"/>
        <v>0</v>
      </c>
      <c r="I78" s="390"/>
    </row>
    <row r="79" spans="1:9" ht="16.5">
      <c r="A79" s="831" t="s">
        <v>819</v>
      </c>
      <c r="B79" s="371" t="s">
        <v>820</v>
      </c>
      <c r="C79" s="373">
        <v>45323</v>
      </c>
      <c r="D79" s="377">
        <v>0</v>
      </c>
      <c r="E79" s="377">
        <v>0</v>
      </c>
      <c r="F79" s="377">
        <v>0</v>
      </c>
      <c r="G79" s="377"/>
      <c r="H79" s="375">
        <f t="shared" si="1"/>
        <v>0</v>
      </c>
      <c r="I79" s="387"/>
    </row>
    <row r="80" spans="1:9" ht="16.5">
      <c r="A80" s="831" t="s">
        <v>821</v>
      </c>
      <c r="B80" s="371" t="s">
        <v>822</v>
      </c>
      <c r="C80" s="373">
        <v>45323</v>
      </c>
      <c r="D80" s="377">
        <v>20000</v>
      </c>
      <c r="E80" s="377">
        <v>0</v>
      </c>
      <c r="F80" s="377">
        <v>0</v>
      </c>
      <c r="G80" s="377">
        <f>68750</f>
        <v>68750</v>
      </c>
      <c r="H80" s="375">
        <f t="shared" si="1"/>
        <v>88750</v>
      </c>
      <c r="I80" s="388"/>
    </row>
    <row r="81" spans="1:9" ht="16.5">
      <c r="A81" s="831" t="s">
        <v>823</v>
      </c>
      <c r="B81" s="371" t="s">
        <v>824</v>
      </c>
      <c r="C81" s="373">
        <v>45323</v>
      </c>
      <c r="D81" s="377">
        <f>37500</f>
        <v>37500</v>
      </c>
      <c r="E81" s="377">
        <v>0</v>
      </c>
      <c r="F81" s="377"/>
      <c r="G81" s="377"/>
      <c r="H81" s="375">
        <f t="shared" si="1"/>
        <v>37500</v>
      </c>
      <c r="I81" s="388"/>
    </row>
    <row r="82" spans="1:9" ht="16.5">
      <c r="A82" s="831" t="s">
        <v>825</v>
      </c>
      <c r="B82" s="371" t="s">
        <v>826</v>
      </c>
      <c r="C82" s="373">
        <v>45323</v>
      </c>
      <c r="D82" s="374">
        <v>0</v>
      </c>
      <c r="E82" s="374">
        <v>0</v>
      </c>
      <c r="F82" s="374">
        <v>0</v>
      </c>
      <c r="G82" s="378">
        <v>0</v>
      </c>
      <c r="H82" s="375">
        <f t="shared" si="1"/>
        <v>0</v>
      </c>
      <c r="I82" s="387"/>
    </row>
    <row r="83" spans="1:9" ht="16.5">
      <c r="A83" s="831" t="s">
        <v>827</v>
      </c>
      <c r="B83" s="371" t="s">
        <v>828</v>
      </c>
      <c r="C83" s="373">
        <v>45323</v>
      </c>
      <c r="D83" s="377">
        <v>50000</v>
      </c>
      <c r="E83" s="377">
        <v>0</v>
      </c>
      <c r="F83" s="377"/>
      <c r="G83" s="396">
        <f>103000</f>
        <v>103000</v>
      </c>
      <c r="H83" s="375">
        <f t="shared" si="1"/>
        <v>153000</v>
      </c>
      <c r="I83" s="388"/>
    </row>
    <row r="84" spans="1:9" ht="16.5">
      <c r="A84" s="831" t="s">
        <v>829</v>
      </c>
      <c r="B84" s="371" t="s">
        <v>830</v>
      </c>
      <c r="C84" s="373">
        <v>45323</v>
      </c>
      <c r="D84" s="377">
        <v>100000</v>
      </c>
      <c r="E84" s="377">
        <v>0</v>
      </c>
      <c r="F84" s="377">
        <v>10000</v>
      </c>
      <c r="G84" s="377"/>
      <c r="H84" s="375">
        <f t="shared" si="1"/>
        <v>110000</v>
      </c>
      <c r="I84" s="388"/>
    </row>
    <row r="85" spans="1:9" ht="16.5">
      <c r="A85" s="831" t="s">
        <v>831</v>
      </c>
      <c r="B85" s="371" t="s">
        <v>832</v>
      </c>
      <c r="C85" s="373">
        <v>45323</v>
      </c>
      <c r="D85" s="377">
        <v>0</v>
      </c>
      <c r="E85" s="377">
        <v>0</v>
      </c>
      <c r="F85" s="377">
        <v>0</v>
      </c>
      <c r="G85" s="377"/>
      <c r="H85" s="375">
        <f t="shared" si="1"/>
        <v>0</v>
      </c>
      <c r="I85" s="387"/>
    </row>
    <row r="86" spans="1:9" ht="16.5">
      <c r="A86" s="831" t="s">
        <v>833</v>
      </c>
      <c r="B86" s="371" t="s">
        <v>834</v>
      </c>
      <c r="C86" s="373">
        <v>45323</v>
      </c>
      <c r="D86" s="377">
        <f>0</f>
        <v>0</v>
      </c>
      <c r="E86" s="377">
        <v>0</v>
      </c>
      <c r="F86" s="377">
        <f>0</f>
        <v>0</v>
      </c>
      <c r="G86" s="377">
        <f>0</f>
        <v>0</v>
      </c>
      <c r="H86" s="375">
        <f t="shared" si="1"/>
        <v>0</v>
      </c>
      <c r="I86" s="387"/>
    </row>
    <row r="87" spans="1:9" ht="16.5">
      <c r="A87" s="831" t="s">
        <v>835</v>
      </c>
      <c r="B87" s="371" t="s">
        <v>836</v>
      </c>
      <c r="C87" s="373">
        <v>45323</v>
      </c>
      <c r="D87" s="377">
        <v>15000</v>
      </c>
      <c r="E87" s="377">
        <f>0</f>
        <v>0</v>
      </c>
      <c r="F87" s="377">
        <v>0</v>
      </c>
      <c r="G87" s="377">
        <f>133333.34+25000+33333.33+25000</f>
        <v>216666.67</v>
      </c>
      <c r="H87" s="375">
        <f t="shared" si="1"/>
        <v>231666.67</v>
      </c>
      <c r="I87" s="388"/>
    </row>
    <row r="88" spans="1:9" ht="16.5">
      <c r="A88" s="831" t="s">
        <v>837</v>
      </c>
      <c r="B88" s="371" t="s">
        <v>838</v>
      </c>
      <c r="C88" s="373">
        <v>45323</v>
      </c>
      <c r="D88" s="377">
        <v>50000</v>
      </c>
      <c r="E88" s="377">
        <v>0</v>
      </c>
      <c r="F88" s="377">
        <f>20000</f>
        <v>20000</v>
      </c>
      <c r="G88" s="377">
        <f>0</f>
        <v>0</v>
      </c>
      <c r="H88" s="375">
        <f t="shared" si="1"/>
        <v>70000</v>
      </c>
      <c r="I88" s="388"/>
    </row>
    <row r="89" spans="1:9" ht="16.5">
      <c r="A89" s="831" t="s">
        <v>839</v>
      </c>
      <c r="B89" s="371" t="s">
        <v>840</v>
      </c>
      <c r="C89" s="373">
        <v>45323</v>
      </c>
      <c r="D89" s="377">
        <f>50000</f>
        <v>50000</v>
      </c>
      <c r="E89" s="377">
        <v>0</v>
      </c>
      <c r="F89" s="377"/>
      <c r="G89" s="377"/>
      <c r="H89" s="375">
        <f t="shared" si="1"/>
        <v>50000</v>
      </c>
      <c r="I89" s="387"/>
    </row>
    <row r="90" spans="1:9" ht="16.5">
      <c r="A90" s="831" t="s">
        <v>841</v>
      </c>
      <c r="B90" s="371" t="s">
        <v>842</v>
      </c>
      <c r="C90" s="373">
        <v>45323</v>
      </c>
      <c r="D90" s="381"/>
      <c r="E90" s="377">
        <v>0</v>
      </c>
      <c r="F90" s="377"/>
      <c r="G90" s="377"/>
      <c r="H90" s="375">
        <f t="shared" si="1"/>
        <v>0</v>
      </c>
      <c r="I90" s="387"/>
    </row>
    <row r="91" spans="1:9" ht="16.5">
      <c r="A91" s="831" t="s">
        <v>843</v>
      </c>
      <c r="B91" s="371" t="s">
        <v>844</v>
      </c>
      <c r="C91" s="373">
        <v>45323</v>
      </c>
      <c r="D91" s="377">
        <f>10000</f>
        <v>10000</v>
      </c>
      <c r="E91" s="377">
        <v>0</v>
      </c>
      <c r="F91" s="377"/>
      <c r="G91" s="381"/>
      <c r="H91" s="375">
        <f t="shared" si="1"/>
        <v>10000</v>
      </c>
      <c r="I91" s="388"/>
    </row>
    <row r="92" spans="1:9" ht="16.5">
      <c r="A92" s="831" t="s">
        <v>845</v>
      </c>
      <c r="B92" s="371" t="s">
        <v>846</v>
      </c>
      <c r="C92" s="373">
        <v>45323</v>
      </c>
      <c r="D92" s="377">
        <f>50000</f>
        <v>50000</v>
      </c>
      <c r="E92" s="377">
        <v>0</v>
      </c>
      <c r="F92" s="377"/>
      <c r="G92" s="383">
        <f>79861.11</f>
        <v>79861.11</v>
      </c>
      <c r="H92" s="375">
        <f t="shared" si="1"/>
        <v>129861.11</v>
      </c>
      <c r="I92" s="388"/>
    </row>
    <row r="93" spans="1:9" ht="16.5">
      <c r="A93" s="831" t="s">
        <v>847</v>
      </c>
      <c r="B93" s="371" t="s">
        <v>848</v>
      </c>
      <c r="C93" s="373">
        <v>45323</v>
      </c>
      <c r="D93" s="377">
        <f>30000</f>
        <v>30000</v>
      </c>
      <c r="E93" s="377">
        <v>0</v>
      </c>
      <c r="F93" s="377">
        <v>0</v>
      </c>
      <c r="G93" s="375">
        <f>68750+30000</f>
        <v>98750</v>
      </c>
      <c r="H93" s="375">
        <f t="shared" si="1"/>
        <v>128750</v>
      </c>
      <c r="I93" s="388"/>
    </row>
    <row r="94" spans="1:9" ht="16.5">
      <c r="A94" s="831" t="s">
        <v>849</v>
      </c>
      <c r="B94" s="371" t="s">
        <v>850</v>
      </c>
      <c r="C94" s="373">
        <v>45323</v>
      </c>
      <c r="D94" s="377">
        <v>0</v>
      </c>
      <c r="E94" s="377">
        <v>0</v>
      </c>
      <c r="F94" s="378">
        <v>0</v>
      </c>
      <c r="G94" s="377">
        <v>0</v>
      </c>
      <c r="H94" s="375">
        <f t="shared" si="1"/>
        <v>0</v>
      </c>
      <c r="I94" s="387"/>
    </row>
    <row r="95" spans="1:9" ht="16.5">
      <c r="A95" s="831" t="s">
        <v>851</v>
      </c>
      <c r="B95" s="371" t="s">
        <v>592</v>
      </c>
      <c r="C95" s="373">
        <v>45323</v>
      </c>
      <c r="D95" s="377">
        <f>10000</f>
        <v>10000</v>
      </c>
      <c r="E95" s="377">
        <v>0</v>
      </c>
      <c r="F95" s="379">
        <f>5000+5000</f>
        <v>10000</v>
      </c>
      <c r="G95" s="377">
        <f>8416.67</f>
        <v>8416.67</v>
      </c>
      <c r="H95" s="375">
        <f t="shared" si="1"/>
        <v>28416.67</v>
      </c>
      <c r="I95" s="388"/>
    </row>
    <row r="96" spans="1:9" ht="16.5">
      <c r="A96" s="831" t="s">
        <v>852</v>
      </c>
      <c r="B96" s="371" t="s">
        <v>853</v>
      </c>
      <c r="C96" s="373">
        <v>45323</v>
      </c>
      <c r="D96" s="377">
        <f>20000</f>
        <v>20000</v>
      </c>
      <c r="E96" s="377">
        <v>0</v>
      </c>
      <c r="F96" s="377">
        <f>5000+5000</f>
        <v>10000</v>
      </c>
      <c r="G96" s="377">
        <f>25555.56</f>
        <v>25555.56</v>
      </c>
      <c r="H96" s="375">
        <f t="shared" si="1"/>
        <v>55555.56</v>
      </c>
      <c r="I96" s="388"/>
    </row>
    <row r="97" spans="1:9" ht="16.5">
      <c r="A97" s="831" t="s">
        <v>854</v>
      </c>
      <c r="B97" s="371" t="s">
        <v>855</v>
      </c>
      <c r="C97" s="373">
        <v>45323</v>
      </c>
      <c r="D97" s="377">
        <f>5000</f>
        <v>5000</v>
      </c>
      <c r="E97" s="377">
        <v>0</v>
      </c>
      <c r="F97" s="379">
        <f>5000+5000</f>
        <v>10000</v>
      </c>
      <c r="G97" s="377">
        <f>15972.22</f>
        <v>15972.22</v>
      </c>
      <c r="H97" s="375">
        <f t="shared" si="1"/>
        <v>30972.22</v>
      </c>
      <c r="I97" s="388"/>
    </row>
    <row r="98" spans="1:9" ht="16.5">
      <c r="A98" s="831" t="s">
        <v>856</v>
      </c>
      <c r="B98" s="371" t="s">
        <v>857</v>
      </c>
      <c r="C98" s="373">
        <v>45323</v>
      </c>
      <c r="D98" s="377">
        <v>10000</v>
      </c>
      <c r="E98" s="377">
        <v>0</v>
      </c>
      <c r="F98" s="377">
        <f>10000</f>
        <v>10000</v>
      </c>
      <c r="G98" s="377">
        <f>30000</f>
        <v>30000</v>
      </c>
      <c r="H98" s="375">
        <f t="shared" si="1"/>
        <v>50000</v>
      </c>
      <c r="I98" s="388"/>
    </row>
    <row r="99" spans="1:9" ht="16.5">
      <c r="A99" s="831" t="s">
        <v>858</v>
      </c>
      <c r="B99" s="371" t="s">
        <v>859</v>
      </c>
      <c r="C99" s="373">
        <v>45323</v>
      </c>
      <c r="D99" s="377">
        <v>0</v>
      </c>
      <c r="E99" s="377">
        <v>0</v>
      </c>
      <c r="F99" s="377">
        <v>0</v>
      </c>
      <c r="G99" s="377">
        <v>0</v>
      </c>
      <c r="H99" s="375">
        <f t="shared" si="1"/>
        <v>0</v>
      </c>
      <c r="I99" s="387"/>
    </row>
    <row r="100" spans="1:9" ht="16.5">
      <c r="A100" s="831" t="s">
        <v>860</v>
      </c>
      <c r="B100" s="371" t="s">
        <v>861</v>
      </c>
      <c r="C100" s="373">
        <v>45323</v>
      </c>
      <c r="D100" s="377">
        <f>0</f>
        <v>0</v>
      </c>
      <c r="E100" s="377">
        <v>0</v>
      </c>
      <c r="F100" s="377">
        <v>0</v>
      </c>
      <c r="G100" s="377">
        <f>0</f>
        <v>0</v>
      </c>
      <c r="H100" s="375">
        <f t="shared" si="1"/>
        <v>0</v>
      </c>
      <c r="I100" s="387"/>
    </row>
    <row r="101" spans="1:9" ht="16.5">
      <c r="A101" s="831" t="s">
        <v>862</v>
      </c>
      <c r="B101" s="371" t="s">
        <v>863</v>
      </c>
      <c r="C101" s="373">
        <v>45323</v>
      </c>
      <c r="D101" s="377">
        <v>0</v>
      </c>
      <c r="E101" s="377">
        <v>0</v>
      </c>
      <c r="F101" s="377">
        <v>0</v>
      </c>
      <c r="G101" s="377">
        <v>0</v>
      </c>
      <c r="H101" s="375">
        <f t="shared" si="1"/>
        <v>0</v>
      </c>
      <c r="I101" s="387"/>
    </row>
    <row r="102" spans="1:9" ht="16.5">
      <c r="A102" s="831" t="s">
        <v>864</v>
      </c>
      <c r="B102" s="371" t="s">
        <v>865</v>
      </c>
      <c r="C102" s="373">
        <v>45323</v>
      </c>
      <c r="D102" s="377">
        <f>10000</f>
        <v>10000</v>
      </c>
      <c r="E102" s="377">
        <v>0</v>
      </c>
      <c r="F102" s="377">
        <v>0</v>
      </c>
      <c r="G102" s="377">
        <f>50000</f>
        <v>50000</v>
      </c>
      <c r="H102" s="375">
        <f t="shared" si="1"/>
        <v>60000</v>
      </c>
      <c r="I102" s="388"/>
    </row>
    <row r="103" spans="1:9" ht="16.5">
      <c r="A103" s="831" t="s">
        <v>866</v>
      </c>
      <c r="B103" s="371" t="s">
        <v>867</v>
      </c>
      <c r="C103" s="373">
        <v>45323</v>
      </c>
      <c r="D103" s="377">
        <v>0</v>
      </c>
      <c r="E103" s="377">
        <v>0</v>
      </c>
      <c r="F103" s="377">
        <v>0</v>
      </c>
      <c r="G103" s="377">
        <v>0</v>
      </c>
      <c r="H103" s="375">
        <f t="shared" si="1"/>
        <v>0</v>
      </c>
      <c r="I103" s="387"/>
    </row>
    <row r="104" spans="1:9" ht="16.5">
      <c r="A104" s="831" t="s">
        <v>868</v>
      </c>
      <c r="B104" s="371" t="s">
        <v>869</v>
      </c>
      <c r="C104" s="373">
        <v>45323</v>
      </c>
      <c r="D104" s="377"/>
      <c r="E104" s="377"/>
      <c r="F104" s="377"/>
      <c r="G104" s="377">
        <f>0</f>
        <v>0</v>
      </c>
      <c r="H104" s="375">
        <f t="shared" si="1"/>
        <v>0</v>
      </c>
      <c r="I104" s="388"/>
    </row>
    <row r="105" spans="1:9" ht="16.5">
      <c r="A105" s="831" t="s">
        <v>870</v>
      </c>
      <c r="B105" s="371" t="s">
        <v>871</v>
      </c>
      <c r="C105" s="373">
        <v>45323</v>
      </c>
      <c r="D105" s="377"/>
      <c r="E105" s="377"/>
      <c r="F105" s="377"/>
      <c r="G105" s="381"/>
      <c r="H105" s="375">
        <f t="shared" si="1"/>
        <v>0</v>
      </c>
      <c r="I105" s="387"/>
    </row>
    <row r="106" spans="1:9" ht="16.5">
      <c r="A106" s="831" t="s">
        <v>872</v>
      </c>
      <c r="B106" s="371" t="s">
        <v>873</v>
      </c>
      <c r="C106" s="373">
        <v>45323</v>
      </c>
      <c r="D106" s="377">
        <v>0</v>
      </c>
      <c r="E106" s="377">
        <v>0</v>
      </c>
      <c r="F106" s="377">
        <v>0</v>
      </c>
      <c r="G106" s="377">
        <v>0</v>
      </c>
      <c r="H106" s="375">
        <f t="shared" si="1"/>
        <v>0</v>
      </c>
      <c r="I106" s="387"/>
    </row>
    <row r="107" spans="1:9" ht="15" customHeight="1">
      <c r="A107" s="833" t="s">
        <v>874</v>
      </c>
      <c r="B107" s="371" t="s">
        <v>875</v>
      </c>
      <c r="C107" s="373">
        <v>45323</v>
      </c>
      <c r="D107" s="375">
        <f>50000</f>
        <v>50000</v>
      </c>
      <c r="E107" s="378"/>
      <c r="F107" s="378"/>
      <c r="G107" s="396">
        <f>0</f>
        <v>0</v>
      </c>
      <c r="H107" s="375">
        <f t="shared" si="1"/>
        <v>50000</v>
      </c>
      <c r="I107" s="388"/>
    </row>
    <row r="108" spans="1:9" ht="18">
      <c r="A108" s="834" t="s">
        <v>876</v>
      </c>
      <c r="B108" s="371" t="s">
        <v>877</v>
      </c>
      <c r="C108" s="373">
        <v>45323</v>
      </c>
      <c r="D108" s="375">
        <f>30000</f>
        <v>30000</v>
      </c>
      <c r="E108" s="377"/>
      <c r="F108" s="377">
        <f>0</f>
        <v>0</v>
      </c>
      <c r="G108" s="398">
        <f>17500</f>
        <v>17500</v>
      </c>
      <c r="H108" s="375">
        <f t="shared" si="1"/>
        <v>47500</v>
      </c>
      <c r="I108" s="388"/>
    </row>
    <row r="109" spans="1:9" ht="18">
      <c r="A109" s="831" t="s">
        <v>878</v>
      </c>
      <c r="B109" s="371" t="s">
        <v>879</v>
      </c>
      <c r="C109" s="373">
        <v>45323</v>
      </c>
      <c r="D109" s="377">
        <v>100000</v>
      </c>
      <c r="E109" s="377"/>
      <c r="F109" s="377">
        <v>0</v>
      </c>
      <c r="G109" s="398">
        <v>0</v>
      </c>
      <c r="H109" s="375">
        <f t="shared" si="1"/>
        <v>100000</v>
      </c>
      <c r="I109" s="388"/>
    </row>
    <row r="110" spans="1:9" ht="18">
      <c r="A110" s="831" t="s">
        <v>880</v>
      </c>
      <c r="B110" s="371" t="s">
        <v>881</v>
      </c>
      <c r="C110" s="373">
        <v>45323</v>
      </c>
      <c r="D110" s="377">
        <f>20000</f>
        <v>20000</v>
      </c>
      <c r="E110" s="377"/>
      <c r="F110" s="377">
        <f>10000</f>
        <v>10000</v>
      </c>
      <c r="G110" s="398">
        <v>45833.333333333299</v>
      </c>
      <c r="H110" s="375">
        <f t="shared" si="1"/>
        <v>75833.333333333299</v>
      </c>
      <c r="I110" s="388"/>
    </row>
    <row r="111" spans="1:9" ht="18">
      <c r="A111" s="833" t="s">
        <v>882</v>
      </c>
      <c r="B111" s="371" t="s">
        <v>462</v>
      </c>
      <c r="C111" s="373">
        <v>45323</v>
      </c>
      <c r="D111" s="395">
        <f>50000</f>
        <v>50000</v>
      </c>
      <c r="E111" s="395"/>
      <c r="F111" s="378"/>
      <c r="G111" s="395">
        <f>0</f>
        <v>0</v>
      </c>
      <c r="H111" s="375">
        <f t="shared" si="1"/>
        <v>50000</v>
      </c>
      <c r="I111" s="387"/>
    </row>
    <row r="112" spans="1:9" ht="18">
      <c r="A112" s="831" t="s">
        <v>883</v>
      </c>
      <c r="B112" s="371" t="s">
        <v>884</v>
      </c>
      <c r="C112" s="373">
        <v>45323</v>
      </c>
      <c r="D112" s="398">
        <f>15000</f>
        <v>15000</v>
      </c>
      <c r="E112" s="398"/>
      <c r="F112" s="377"/>
      <c r="G112" s="377">
        <f>20000</f>
        <v>20000</v>
      </c>
      <c r="H112" s="375">
        <f t="shared" si="1"/>
        <v>35000</v>
      </c>
      <c r="I112" s="388"/>
    </row>
    <row r="113" spans="1:15" ht="18">
      <c r="A113" s="835" t="s">
        <v>885</v>
      </c>
      <c r="B113" s="371" t="s">
        <v>463</v>
      </c>
      <c r="C113" s="373">
        <v>45323</v>
      </c>
      <c r="D113" s="395">
        <f>0</f>
        <v>0</v>
      </c>
      <c r="E113" s="398"/>
      <c r="F113" s="377"/>
      <c r="G113" s="377">
        <f>0</f>
        <v>0</v>
      </c>
      <c r="H113" s="375">
        <f t="shared" si="1"/>
        <v>0</v>
      </c>
      <c r="I113" s="387"/>
    </row>
    <row r="114" spans="1:15" ht="18">
      <c r="A114" s="831" t="s">
        <v>886</v>
      </c>
      <c r="B114" s="371" t="s">
        <v>887</v>
      </c>
      <c r="C114" s="373">
        <v>45323</v>
      </c>
      <c r="D114" s="398">
        <f>20000</f>
        <v>20000</v>
      </c>
      <c r="E114" s="399"/>
      <c r="F114" s="377">
        <v>0</v>
      </c>
      <c r="G114" s="377">
        <f>50000</f>
        <v>50000</v>
      </c>
      <c r="H114" s="375">
        <f t="shared" si="1"/>
        <v>70000</v>
      </c>
      <c r="I114" s="388"/>
    </row>
    <row r="115" spans="1:15" ht="18">
      <c r="A115" s="831" t="s">
        <v>888</v>
      </c>
      <c r="B115" s="371" t="s">
        <v>889</v>
      </c>
      <c r="C115" s="373">
        <v>45323</v>
      </c>
      <c r="D115" s="398">
        <f>10000</f>
        <v>10000</v>
      </c>
      <c r="E115" s="399"/>
      <c r="F115" s="379">
        <f>5000+5000</f>
        <v>10000</v>
      </c>
      <c r="G115" s="377">
        <f>14222.06+12000</f>
        <v>26222.06</v>
      </c>
      <c r="H115" s="375">
        <f t="shared" si="1"/>
        <v>46222.06</v>
      </c>
      <c r="I115" s="388"/>
    </row>
    <row r="116" spans="1:15" ht="18">
      <c r="A116" s="831" t="s">
        <v>890</v>
      </c>
      <c r="B116" s="371" t="s">
        <v>528</v>
      </c>
      <c r="C116" s="373">
        <v>45323</v>
      </c>
      <c r="D116" s="398">
        <f>35000</f>
        <v>35000</v>
      </c>
      <c r="E116" s="399"/>
      <c r="F116" s="377">
        <v>0</v>
      </c>
      <c r="G116" s="377">
        <v>159722.22222222199</v>
      </c>
      <c r="H116" s="375">
        <f t="shared" si="1"/>
        <v>194722.22222222199</v>
      </c>
      <c r="I116" s="388"/>
    </row>
    <row r="117" spans="1:15" ht="16.5">
      <c r="A117" s="835" t="s">
        <v>891</v>
      </c>
      <c r="B117" s="371" t="s">
        <v>892</v>
      </c>
      <c r="C117" s="373">
        <v>45323</v>
      </c>
      <c r="D117" s="375">
        <f>35000</f>
        <v>35000</v>
      </c>
      <c r="E117" s="375"/>
      <c r="F117" s="375">
        <f>50000</f>
        <v>50000</v>
      </c>
      <c r="G117" s="400"/>
      <c r="H117" s="375">
        <f t="shared" si="1"/>
        <v>85000</v>
      </c>
      <c r="I117" s="388"/>
    </row>
    <row r="118" spans="1:15" ht="18">
      <c r="A118" s="831" t="s">
        <v>893</v>
      </c>
      <c r="B118" s="371" t="s">
        <v>894</v>
      </c>
      <c r="C118" s="373">
        <v>45323</v>
      </c>
      <c r="D118" s="377">
        <f>10000</f>
        <v>10000</v>
      </c>
      <c r="E118" s="377"/>
      <c r="F118" s="379">
        <f>10000</f>
        <v>10000</v>
      </c>
      <c r="G118" s="401">
        <f>18333.33</f>
        <v>18333.330000000002</v>
      </c>
      <c r="H118" s="375">
        <f t="shared" si="1"/>
        <v>38333.33</v>
      </c>
      <c r="I118" s="388"/>
      <c r="J118" s="387"/>
      <c r="L118" s="389"/>
    </row>
    <row r="119" spans="1:15" ht="16.5">
      <c r="A119" s="831" t="s">
        <v>895</v>
      </c>
      <c r="B119" s="371" t="s">
        <v>896</v>
      </c>
      <c r="C119" s="373">
        <v>45323</v>
      </c>
      <c r="D119" s="377">
        <f>10000</f>
        <v>10000</v>
      </c>
      <c r="E119" s="377"/>
      <c r="F119" s="379">
        <f>5000+5000</f>
        <v>10000</v>
      </c>
      <c r="G119" s="377">
        <f>13125+2500</f>
        <v>15625</v>
      </c>
      <c r="H119" s="375">
        <f t="shared" si="1"/>
        <v>35625</v>
      </c>
      <c r="I119" s="388"/>
    </row>
    <row r="120" spans="1:15" ht="16.5">
      <c r="A120" s="831" t="s">
        <v>897</v>
      </c>
      <c r="B120" s="371" t="s">
        <v>898</v>
      </c>
      <c r="C120" s="373">
        <v>45323</v>
      </c>
      <c r="D120" s="377">
        <f>10000</f>
        <v>10000</v>
      </c>
      <c r="E120" s="377"/>
      <c r="F120" s="379">
        <f>10000</f>
        <v>10000</v>
      </c>
      <c r="G120" s="377">
        <f>10000</f>
        <v>10000</v>
      </c>
      <c r="H120" s="375">
        <f t="shared" si="1"/>
        <v>30000</v>
      </c>
      <c r="I120" s="388"/>
    </row>
    <row r="121" spans="1:15" ht="16.5">
      <c r="A121" s="831" t="s">
        <v>899</v>
      </c>
      <c r="B121" s="371" t="s">
        <v>900</v>
      </c>
      <c r="C121" s="373">
        <v>45323</v>
      </c>
      <c r="D121" s="377">
        <v>10000</v>
      </c>
      <c r="E121" s="377"/>
      <c r="F121" s="379"/>
      <c r="G121" s="377">
        <v>63888.89</v>
      </c>
      <c r="H121" s="375">
        <f t="shared" si="1"/>
        <v>73888.89</v>
      </c>
      <c r="I121" s="388"/>
    </row>
    <row r="122" spans="1:15" ht="16.5">
      <c r="A122" s="831" t="s">
        <v>901</v>
      </c>
      <c r="B122" s="371" t="s">
        <v>902</v>
      </c>
      <c r="C122" s="373">
        <v>45323</v>
      </c>
      <c r="D122" s="377">
        <f>50000</f>
        <v>50000</v>
      </c>
      <c r="E122" s="377"/>
      <c r="F122" s="377">
        <f>50000</f>
        <v>50000</v>
      </c>
      <c r="G122" s="377"/>
      <c r="H122" s="375">
        <f t="shared" si="1"/>
        <v>100000</v>
      </c>
      <c r="I122" s="388"/>
      <c r="O122" s="387"/>
    </row>
    <row r="123" spans="1:15" ht="18">
      <c r="A123" s="831" t="s">
        <v>903</v>
      </c>
      <c r="B123" s="371" t="s">
        <v>475</v>
      </c>
      <c r="C123" s="373">
        <v>45323</v>
      </c>
      <c r="D123" s="377">
        <f>5000</f>
        <v>5000</v>
      </c>
      <c r="E123" s="377"/>
      <c r="F123" s="377"/>
      <c r="G123" s="398">
        <f>64806.29</f>
        <v>64806.29</v>
      </c>
      <c r="H123" s="375">
        <f t="shared" si="1"/>
        <v>69806.289999999994</v>
      </c>
      <c r="I123" s="388"/>
      <c r="O123" s="387"/>
    </row>
    <row r="124" spans="1:15" ht="18">
      <c r="A124" s="831" t="s">
        <v>904</v>
      </c>
      <c r="B124" s="371" t="s">
        <v>905</v>
      </c>
      <c r="C124" s="373">
        <v>45323</v>
      </c>
      <c r="D124" s="379">
        <f>30000</f>
        <v>30000</v>
      </c>
      <c r="E124" s="379">
        <f>0</f>
        <v>0</v>
      </c>
      <c r="F124" s="379">
        <f>0</f>
        <v>0</v>
      </c>
      <c r="G124" s="402">
        <f>60000</f>
        <v>60000</v>
      </c>
      <c r="H124" s="375">
        <f t="shared" si="1"/>
        <v>90000</v>
      </c>
      <c r="I124" s="388"/>
      <c r="N124" s="387"/>
      <c r="O124" s="387"/>
    </row>
    <row r="125" spans="1:15" ht="18">
      <c r="A125" s="836" t="s">
        <v>906</v>
      </c>
      <c r="B125" s="371" t="s">
        <v>907</v>
      </c>
      <c r="C125" s="373">
        <v>45323</v>
      </c>
      <c r="D125" s="379">
        <f>20000</f>
        <v>20000</v>
      </c>
      <c r="E125" s="379"/>
      <c r="F125" s="396"/>
      <c r="G125" s="403">
        <f>17500</f>
        <v>17500</v>
      </c>
      <c r="H125" s="375">
        <f t="shared" si="1"/>
        <v>37500</v>
      </c>
      <c r="I125" s="388"/>
      <c r="N125" s="387"/>
      <c r="O125" s="387"/>
    </row>
    <row r="126" spans="1:15" ht="16.5">
      <c r="A126" s="836" t="s">
        <v>908</v>
      </c>
      <c r="B126" s="371" t="s">
        <v>525</v>
      </c>
      <c r="C126" s="373">
        <v>45323</v>
      </c>
      <c r="D126" s="377">
        <v>0</v>
      </c>
      <c r="E126" s="377">
        <v>0</v>
      </c>
      <c r="F126" s="377">
        <v>0</v>
      </c>
      <c r="G126" s="377">
        <f>100000</f>
        <v>100000</v>
      </c>
      <c r="H126" s="375">
        <f t="shared" si="1"/>
        <v>100000</v>
      </c>
      <c r="I126" s="388"/>
      <c r="N126" s="387"/>
      <c r="O126" s="391"/>
    </row>
    <row r="127" spans="1:15" ht="16.5">
      <c r="A127" s="836" t="s">
        <v>909</v>
      </c>
      <c r="B127" s="371" t="s">
        <v>910</v>
      </c>
      <c r="C127" s="373">
        <v>45323</v>
      </c>
      <c r="D127" s="377"/>
      <c r="E127" s="377"/>
      <c r="F127" s="377"/>
      <c r="G127" s="377"/>
      <c r="H127" s="375">
        <f t="shared" si="1"/>
        <v>0</v>
      </c>
      <c r="I127" s="387"/>
      <c r="N127" s="387"/>
      <c r="O127" s="389"/>
    </row>
    <row r="128" spans="1:15" ht="16.5">
      <c r="A128" s="836" t="s">
        <v>911</v>
      </c>
      <c r="B128" s="371" t="s">
        <v>912</v>
      </c>
      <c r="C128" s="373">
        <v>45323</v>
      </c>
      <c r="D128" s="375">
        <f>0</f>
        <v>0</v>
      </c>
      <c r="E128" s="377"/>
      <c r="F128" s="377"/>
      <c r="G128" s="377">
        <f>0</f>
        <v>0</v>
      </c>
      <c r="H128" s="375">
        <f t="shared" si="1"/>
        <v>0</v>
      </c>
      <c r="I128" s="387"/>
      <c r="N128" s="387"/>
    </row>
    <row r="129" spans="1:15" ht="16.5">
      <c r="A129" s="836" t="s">
        <v>913</v>
      </c>
      <c r="B129" s="371" t="s">
        <v>914</v>
      </c>
      <c r="C129" s="373">
        <v>45323</v>
      </c>
      <c r="D129" s="375">
        <f>50000</f>
        <v>50000</v>
      </c>
      <c r="E129" s="377"/>
      <c r="F129" s="377">
        <f>0</f>
        <v>0</v>
      </c>
      <c r="G129" s="377"/>
      <c r="H129" s="375">
        <f t="shared" si="1"/>
        <v>50000</v>
      </c>
      <c r="I129" s="388"/>
      <c r="K129" s="387"/>
    </row>
    <row r="130" spans="1:15" ht="16.5">
      <c r="A130" s="836" t="s">
        <v>913</v>
      </c>
      <c r="B130" s="371" t="s">
        <v>915</v>
      </c>
      <c r="C130" s="373">
        <v>45323</v>
      </c>
      <c r="D130" s="375"/>
      <c r="E130" s="377"/>
      <c r="F130" s="377"/>
      <c r="G130" s="377"/>
      <c r="H130" s="375">
        <f t="shared" si="1"/>
        <v>0</v>
      </c>
      <c r="I130" s="388"/>
      <c r="K130" s="387"/>
      <c r="O130" s="389"/>
    </row>
    <row r="131" spans="1:15" ht="16.5">
      <c r="A131" s="836" t="s">
        <v>916</v>
      </c>
      <c r="B131" s="371" t="s">
        <v>460</v>
      </c>
      <c r="C131" s="373">
        <v>45323</v>
      </c>
      <c r="D131" s="377">
        <f>50000</f>
        <v>50000</v>
      </c>
      <c r="E131" s="377">
        <f>0</f>
        <v>0</v>
      </c>
      <c r="F131" s="377">
        <v>0</v>
      </c>
      <c r="G131" s="377">
        <f>0</f>
        <v>0</v>
      </c>
      <c r="H131" s="375">
        <f t="shared" si="1"/>
        <v>50000</v>
      </c>
      <c r="I131" s="388"/>
      <c r="K131" s="387"/>
      <c r="L131" s="389"/>
    </row>
    <row r="132" spans="1:15" ht="16.5">
      <c r="A132" s="836" t="s">
        <v>917</v>
      </c>
      <c r="B132" s="371" t="s">
        <v>918</v>
      </c>
      <c r="C132" s="373">
        <v>45323</v>
      </c>
      <c r="D132" s="377">
        <f>0</f>
        <v>0</v>
      </c>
      <c r="E132" s="377">
        <f>0</f>
        <v>0</v>
      </c>
      <c r="F132" s="377">
        <f>0</f>
        <v>0</v>
      </c>
      <c r="G132" s="377">
        <v>0</v>
      </c>
      <c r="H132" s="375">
        <f t="shared" si="1"/>
        <v>0</v>
      </c>
      <c r="I132" s="387"/>
      <c r="K132" s="389"/>
      <c r="L132" s="389"/>
      <c r="N132" s="387"/>
    </row>
    <row r="133" spans="1:15" ht="16.5">
      <c r="A133" s="836" t="s">
        <v>919</v>
      </c>
      <c r="B133" s="371" t="s">
        <v>920</v>
      </c>
      <c r="C133" s="373">
        <v>45323</v>
      </c>
      <c r="D133" s="375">
        <f>50000</f>
        <v>50000</v>
      </c>
      <c r="E133" s="377"/>
      <c r="F133" s="377"/>
      <c r="G133" s="377">
        <v>59583.333333333299</v>
      </c>
      <c r="H133" s="375">
        <f t="shared" si="1"/>
        <v>109583.33333333299</v>
      </c>
      <c r="I133" s="388"/>
      <c r="L133" s="389"/>
      <c r="N133" s="387"/>
    </row>
    <row r="134" spans="1:15" ht="16.5">
      <c r="A134" s="836" t="s">
        <v>921</v>
      </c>
      <c r="B134" s="371" t="s">
        <v>922</v>
      </c>
      <c r="C134" s="373">
        <v>45323</v>
      </c>
      <c r="D134" s="378"/>
      <c r="E134" s="378"/>
      <c r="F134" s="377"/>
      <c r="G134" s="377"/>
      <c r="H134" s="375">
        <f t="shared" ref="H134:H184" si="2">D134+E134+F134+G134</f>
        <v>0</v>
      </c>
      <c r="I134" s="387"/>
      <c r="N134" s="387"/>
    </row>
    <row r="135" spans="1:15" ht="16.5">
      <c r="A135" s="836" t="s">
        <v>923</v>
      </c>
      <c r="B135" s="371" t="s">
        <v>924</v>
      </c>
      <c r="C135" s="373">
        <v>45323</v>
      </c>
      <c r="D135" s="377">
        <f>10000</f>
        <v>10000</v>
      </c>
      <c r="E135" s="377">
        <f>0</f>
        <v>0</v>
      </c>
      <c r="F135" s="377"/>
      <c r="G135" s="377">
        <f>95833.33</f>
        <v>95833.33</v>
      </c>
      <c r="H135" s="375">
        <f t="shared" si="2"/>
        <v>105833.33</v>
      </c>
      <c r="I135" s="388"/>
      <c r="J135" s="387"/>
      <c r="L135" s="389"/>
      <c r="M135" s="387"/>
      <c r="N135" s="387"/>
    </row>
    <row r="136" spans="1:15" ht="16.5">
      <c r="A136" s="836" t="s">
        <v>925</v>
      </c>
      <c r="B136" s="371" t="s">
        <v>926</v>
      </c>
      <c r="C136" s="373">
        <v>45323</v>
      </c>
      <c r="D136" s="377">
        <f>10000</f>
        <v>10000</v>
      </c>
      <c r="E136" s="377">
        <v>0</v>
      </c>
      <c r="F136" s="377">
        <f>5000+5000</f>
        <v>10000</v>
      </c>
      <c r="G136" s="379">
        <f>22916.67+10000</f>
        <v>32916.67</v>
      </c>
      <c r="H136" s="375">
        <f t="shared" si="2"/>
        <v>52916.67</v>
      </c>
      <c r="I136" s="388"/>
      <c r="J136" s="387"/>
      <c r="M136" s="387"/>
      <c r="N136" s="387"/>
    </row>
    <row r="137" spans="1:15" ht="16.5">
      <c r="A137" s="836" t="s">
        <v>927</v>
      </c>
      <c r="B137" s="371" t="s">
        <v>928</v>
      </c>
      <c r="C137" s="373">
        <v>45323</v>
      </c>
      <c r="D137" s="379">
        <f>100000</f>
        <v>100000</v>
      </c>
      <c r="E137" s="377"/>
      <c r="F137" s="377"/>
      <c r="G137" s="379">
        <f>131250</f>
        <v>131250</v>
      </c>
      <c r="H137" s="375">
        <f t="shared" si="2"/>
        <v>231250</v>
      </c>
      <c r="I137" s="388"/>
      <c r="J137" s="387"/>
      <c r="M137" s="387"/>
    </row>
    <row r="138" spans="1:15" ht="16.5">
      <c r="A138" s="836" t="s">
        <v>929</v>
      </c>
      <c r="B138" s="371" t="s">
        <v>930</v>
      </c>
      <c r="C138" s="373">
        <v>45323</v>
      </c>
      <c r="D138" s="379">
        <f>50000</f>
        <v>50000</v>
      </c>
      <c r="E138" s="379">
        <f>0</f>
        <v>0</v>
      </c>
      <c r="F138" s="379"/>
      <c r="G138" s="379"/>
      <c r="H138" s="375">
        <f t="shared" si="2"/>
        <v>50000</v>
      </c>
      <c r="I138" s="388"/>
      <c r="J138" s="387"/>
      <c r="M138" s="387"/>
    </row>
    <row r="139" spans="1:15" ht="16.5">
      <c r="A139" s="836" t="s">
        <v>931</v>
      </c>
      <c r="B139" s="371" t="s">
        <v>549</v>
      </c>
      <c r="C139" s="373">
        <v>45323</v>
      </c>
      <c r="D139" s="379">
        <f>10000</f>
        <v>10000</v>
      </c>
      <c r="E139" s="379">
        <f>0</f>
        <v>0</v>
      </c>
      <c r="F139" s="379"/>
      <c r="G139" s="375">
        <f>90000</f>
        <v>90000</v>
      </c>
      <c r="H139" s="375">
        <f t="shared" si="2"/>
        <v>100000</v>
      </c>
      <c r="I139" s="388"/>
      <c r="J139" s="387"/>
      <c r="M139" s="387"/>
    </row>
    <row r="140" spans="1:15" ht="16.5">
      <c r="A140" s="836" t="s">
        <v>932</v>
      </c>
      <c r="B140" s="371" t="s">
        <v>451</v>
      </c>
      <c r="C140" s="373">
        <v>45323</v>
      </c>
      <c r="D140" s="379">
        <f>50000</f>
        <v>50000</v>
      </c>
      <c r="E140" s="379"/>
      <c r="F140" s="379"/>
      <c r="G140" s="375">
        <f>50000</f>
        <v>50000</v>
      </c>
      <c r="H140" s="375">
        <f t="shared" si="2"/>
        <v>100000</v>
      </c>
      <c r="I140" s="388"/>
      <c r="M140" s="387"/>
    </row>
    <row r="141" spans="1:15" ht="16.5">
      <c r="A141" s="836" t="s">
        <v>933</v>
      </c>
      <c r="B141" s="371" t="s">
        <v>934</v>
      </c>
      <c r="C141" s="373">
        <v>45323</v>
      </c>
      <c r="D141" s="379">
        <f>100000</f>
        <v>100000</v>
      </c>
      <c r="E141" s="379">
        <f>0</f>
        <v>0</v>
      </c>
      <c r="F141" s="379">
        <f>100000</f>
        <v>100000</v>
      </c>
      <c r="G141" s="379">
        <f>223611.11</f>
        <v>223611.11</v>
      </c>
      <c r="H141" s="375">
        <f t="shared" si="2"/>
        <v>423611.11</v>
      </c>
      <c r="I141" s="388"/>
      <c r="J141" s="387"/>
      <c r="M141" s="387"/>
      <c r="N141" s="389"/>
    </row>
    <row r="142" spans="1:15" ht="16.5">
      <c r="A142" s="836" t="s">
        <v>935</v>
      </c>
      <c r="B142" s="371" t="s">
        <v>936</v>
      </c>
      <c r="C142" s="373">
        <v>45323</v>
      </c>
      <c r="D142" s="379">
        <f>10000</f>
        <v>10000</v>
      </c>
      <c r="E142" s="379">
        <f>0</f>
        <v>0</v>
      </c>
      <c r="F142" s="379"/>
      <c r="G142" s="379">
        <f>70000</f>
        <v>70000</v>
      </c>
      <c r="H142" s="375">
        <f t="shared" si="2"/>
        <v>80000</v>
      </c>
      <c r="I142" s="388"/>
      <c r="J142" s="387"/>
      <c r="M142" s="387"/>
    </row>
    <row r="143" spans="1:15" ht="16.5">
      <c r="A143" s="836" t="s">
        <v>937</v>
      </c>
      <c r="B143" s="371" t="s">
        <v>587</v>
      </c>
      <c r="C143" s="373">
        <v>45323</v>
      </c>
      <c r="D143" s="379">
        <f>5000</f>
        <v>5000</v>
      </c>
      <c r="E143" s="379">
        <f>0</f>
        <v>0</v>
      </c>
      <c r="F143" s="379">
        <f>5000+5000</f>
        <v>10000</v>
      </c>
      <c r="G143" s="379">
        <f>15000</f>
        <v>15000</v>
      </c>
      <c r="H143" s="375">
        <f t="shared" si="2"/>
        <v>30000</v>
      </c>
      <c r="I143" s="388"/>
      <c r="M143" s="387"/>
    </row>
    <row r="144" spans="1:15" ht="16.5">
      <c r="A144" s="836" t="s">
        <v>938</v>
      </c>
      <c r="B144" s="371" t="s">
        <v>939</v>
      </c>
      <c r="C144" s="373">
        <v>45323</v>
      </c>
      <c r="D144" s="379">
        <f>0</f>
        <v>0</v>
      </c>
      <c r="E144" s="379">
        <v>0</v>
      </c>
      <c r="F144" s="379"/>
      <c r="G144" s="379">
        <f>0</f>
        <v>0</v>
      </c>
      <c r="H144" s="375">
        <f t="shared" si="2"/>
        <v>0</v>
      </c>
      <c r="I144" s="387"/>
      <c r="L144" s="387"/>
      <c r="M144" s="387"/>
    </row>
    <row r="145" spans="1:13" ht="18">
      <c r="A145" s="836" t="s">
        <v>940</v>
      </c>
      <c r="B145" s="371" t="s">
        <v>941</v>
      </c>
      <c r="C145" s="373">
        <v>45323</v>
      </c>
      <c r="D145" s="379"/>
      <c r="E145" s="379"/>
      <c r="F145" s="379"/>
      <c r="G145" s="398"/>
      <c r="H145" s="375">
        <f t="shared" si="2"/>
        <v>0</v>
      </c>
      <c r="I145" s="388"/>
      <c r="L145" s="387"/>
      <c r="M145" s="387"/>
    </row>
    <row r="146" spans="1:13" ht="16.5">
      <c r="A146" s="836" t="s">
        <v>942</v>
      </c>
      <c r="B146" s="371" t="s">
        <v>943</v>
      </c>
      <c r="C146" s="373">
        <v>45323</v>
      </c>
      <c r="D146" s="379">
        <f>200000</f>
        <v>200000</v>
      </c>
      <c r="E146" s="379">
        <f>0</f>
        <v>0</v>
      </c>
      <c r="F146" s="379"/>
      <c r="G146" s="379">
        <f>52500*2+275000</f>
        <v>380000</v>
      </c>
      <c r="H146" s="375">
        <f t="shared" si="2"/>
        <v>580000</v>
      </c>
      <c r="I146" s="388"/>
      <c r="L146" s="387"/>
    </row>
    <row r="147" spans="1:13" ht="16.5">
      <c r="A147" s="836" t="s">
        <v>944</v>
      </c>
      <c r="B147" s="371" t="s">
        <v>945</v>
      </c>
      <c r="C147" s="373">
        <v>45323</v>
      </c>
      <c r="D147" s="379">
        <f>25000</f>
        <v>25000</v>
      </c>
      <c r="E147" s="379"/>
      <c r="F147" s="379"/>
      <c r="G147" s="381"/>
      <c r="H147" s="375">
        <f t="shared" si="2"/>
        <v>25000</v>
      </c>
      <c r="I147" s="388"/>
      <c r="L147" s="387"/>
    </row>
    <row r="148" spans="1:13" ht="16.5">
      <c r="A148" s="836" t="s">
        <v>946</v>
      </c>
      <c r="B148" s="371" t="s">
        <v>947</v>
      </c>
      <c r="C148" s="373">
        <v>45323</v>
      </c>
      <c r="D148" s="379">
        <f>0</f>
        <v>0</v>
      </c>
      <c r="E148" s="379"/>
      <c r="F148" s="379"/>
      <c r="G148" s="379"/>
      <c r="H148" s="375">
        <f t="shared" si="2"/>
        <v>0</v>
      </c>
      <c r="I148" s="388"/>
      <c r="L148" s="387"/>
    </row>
    <row r="149" spans="1:13" ht="16.5">
      <c r="A149" s="836" t="s">
        <v>948</v>
      </c>
      <c r="B149" s="371" t="s">
        <v>429</v>
      </c>
      <c r="C149" s="373">
        <v>45323</v>
      </c>
      <c r="D149" s="379">
        <v>50000</v>
      </c>
      <c r="E149" s="379"/>
      <c r="F149" s="379"/>
      <c r="G149" s="379">
        <v>145000</v>
      </c>
      <c r="H149" s="375">
        <f t="shared" si="2"/>
        <v>195000</v>
      </c>
      <c r="I149" s="388"/>
    </row>
    <row r="150" spans="1:13" ht="16.5">
      <c r="A150" s="836" t="s">
        <v>949</v>
      </c>
      <c r="B150" s="371" t="s">
        <v>477</v>
      </c>
      <c r="C150" s="373">
        <v>45323</v>
      </c>
      <c r="D150" s="379">
        <f>10000</f>
        <v>10000</v>
      </c>
      <c r="E150" s="379">
        <f>0</f>
        <v>0</v>
      </c>
      <c r="F150" s="379"/>
      <c r="G150" s="377">
        <v>19583.330000000002</v>
      </c>
      <c r="H150" s="375">
        <f t="shared" si="2"/>
        <v>29583.33</v>
      </c>
      <c r="I150" s="387"/>
      <c r="L150" s="387"/>
    </row>
    <row r="151" spans="1:13" ht="16.5">
      <c r="A151" s="836" t="s">
        <v>950</v>
      </c>
      <c r="B151" s="371" t="s">
        <v>951</v>
      </c>
      <c r="C151" s="373">
        <v>45323</v>
      </c>
      <c r="D151" s="379">
        <f>10000</f>
        <v>10000</v>
      </c>
      <c r="E151" s="379"/>
      <c r="F151" s="379"/>
      <c r="G151" s="379">
        <f>95833.33</f>
        <v>95833.33</v>
      </c>
      <c r="H151" s="375">
        <f t="shared" si="2"/>
        <v>105833.33</v>
      </c>
      <c r="I151" s="388"/>
    </row>
    <row r="152" spans="1:13" ht="16.5">
      <c r="A152" s="836" t="s">
        <v>952</v>
      </c>
      <c r="B152" s="371" t="s">
        <v>397</v>
      </c>
      <c r="C152" s="373">
        <v>45323</v>
      </c>
      <c r="D152" s="379">
        <f>0</f>
        <v>0</v>
      </c>
      <c r="E152" s="379"/>
      <c r="F152" s="379"/>
      <c r="G152" s="379">
        <f>26666.67</f>
        <v>26666.67</v>
      </c>
      <c r="H152" s="375">
        <f t="shared" si="2"/>
        <v>26666.67</v>
      </c>
      <c r="I152" s="388"/>
    </row>
    <row r="153" spans="1:13" ht="16.5">
      <c r="A153" s="836" t="s">
        <v>953</v>
      </c>
      <c r="B153" s="371" t="s">
        <v>395</v>
      </c>
      <c r="C153" s="373">
        <v>45323</v>
      </c>
      <c r="D153" s="379">
        <f>50000</f>
        <v>50000</v>
      </c>
      <c r="E153" s="379"/>
      <c r="F153" s="379"/>
      <c r="G153" s="379">
        <f>50000</f>
        <v>50000</v>
      </c>
      <c r="H153" s="375">
        <f t="shared" si="2"/>
        <v>100000</v>
      </c>
      <c r="I153" s="388"/>
    </row>
    <row r="154" spans="1:13" ht="16.5">
      <c r="A154" s="836" t="s">
        <v>954</v>
      </c>
      <c r="B154" s="371" t="s">
        <v>955</v>
      </c>
      <c r="C154" s="373">
        <v>45323</v>
      </c>
      <c r="D154" s="379">
        <f>30000</f>
        <v>30000</v>
      </c>
      <c r="E154" s="379"/>
      <c r="F154" s="379"/>
      <c r="G154" s="379"/>
      <c r="H154" s="375">
        <f t="shared" si="2"/>
        <v>30000</v>
      </c>
      <c r="I154" s="388"/>
    </row>
    <row r="155" spans="1:13" ht="16.5">
      <c r="A155" s="836" t="s">
        <v>956</v>
      </c>
      <c r="B155" s="371" t="s">
        <v>957</v>
      </c>
      <c r="C155" s="373">
        <v>45323</v>
      </c>
      <c r="D155" s="379">
        <f>0</f>
        <v>0</v>
      </c>
      <c r="E155" s="379"/>
      <c r="F155" s="379"/>
      <c r="G155" s="379"/>
      <c r="H155" s="375">
        <f t="shared" si="2"/>
        <v>0</v>
      </c>
      <c r="I155" s="387"/>
    </row>
    <row r="156" spans="1:13" ht="16.5">
      <c r="A156" s="836" t="s">
        <v>958</v>
      </c>
      <c r="B156" s="371" t="s">
        <v>959</v>
      </c>
      <c r="C156" s="373">
        <v>45323</v>
      </c>
      <c r="D156" s="379">
        <f>100000</f>
        <v>100000</v>
      </c>
      <c r="E156" s="379"/>
      <c r="F156" s="379"/>
      <c r="G156" s="379">
        <f>51500</f>
        <v>51500</v>
      </c>
      <c r="H156" s="375">
        <f t="shared" si="2"/>
        <v>151500</v>
      </c>
      <c r="I156" s="388"/>
    </row>
    <row r="157" spans="1:13" ht="16.5">
      <c r="A157" s="836" t="s">
        <v>960</v>
      </c>
      <c r="B157" s="371" t="s">
        <v>961</v>
      </c>
      <c r="C157" s="373">
        <v>45323</v>
      </c>
      <c r="D157" s="379">
        <f>10000</f>
        <v>10000</v>
      </c>
      <c r="E157" s="379"/>
      <c r="F157" s="379">
        <f>10000</f>
        <v>10000</v>
      </c>
      <c r="G157" s="379">
        <f>11518</f>
        <v>11518</v>
      </c>
      <c r="H157" s="375">
        <f t="shared" si="2"/>
        <v>31518</v>
      </c>
      <c r="I157" s="388"/>
    </row>
    <row r="158" spans="1:13" ht="16.5">
      <c r="A158" s="836" t="s">
        <v>962</v>
      </c>
      <c r="B158" s="371" t="s">
        <v>963</v>
      </c>
      <c r="C158" s="373">
        <v>45323</v>
      </c>
      <c r="D158" s="379">
        <f>20000</f>
        <v>20000</v>
      </c>
      <c r="E158" s="379"/>
      <c r="F158" s="379"/>
      <c r="G158" s="379"/>
      <c r="H158" s="375">
        <f t="shared" si="2"/>
        <v>20000</v>
      </c>
      <c r="I158" s="388"/>
    </row>
    <row r="159" spans="1:13" ht="16.5">
      <c r="A159" s="836" t="s">
        <v>964</v>
      </c>
      <c r="B159" s="371" t="s">
        <v>595</v>
      </c>
      <c r="C159" s="373">
        <v>45323</v>
      </c>
      <c r="D159" s="379">
        <v>10000</v>
      </c>
      <c r="E159" s="379"/>
      <c r="F159" s="379">
        <f>5000+5000</f>
        <v>10000</v>
      </c>
      <c r="G159" s="379"/>
      <c r="H159" s="375">
        <f t="shared" si="2"/>
        <v>20000</v>
      </c>
      <c r="I159" s="388"/>
    </row>
    <row r="160" spans="1:13" ht="16.5">
      <c r="A160" s="836" t="s">
        <v>965</v>
      </c>
      <c r="B160" s="371" t="s">
        <v>966</v>
      </c>
      <c r="C160" s="373">
        <v>45323</v>
      </c>
      <c r="D160" s="379">
        <v>200000</v>
      </c>
      <c r="E160" s="379"/>
      <c r="F160" s="379"/>
      <c r="G160" s="404">
        <f>0</f>
        <v>0</v>
      </c>
      <c r="H160" s="375">
        <f t="shared" si="2"/>
        <v>200000</v>
      </c>
      <c r="I160" s="388"/>
    </row>
    <row r="161" spans="1:9" ht="16.5">
      <c r="A161" s="836" t="s">
        <v>967</v>
      </c>
      <c r="B161" s="371" t="s">
        <v>968</v>
      </c>
      <c r="C161" s="373">
        <v>45323</v>
      </c>
      <c r="D161" s="379">
        <f>0</f>
        <v>0</v>
      </c>
      <c r="E161" s="379"/>
      <c r="F161" s="379"/>
      <c r="G161" s="379">
        <f>0</f>
        <v>0</v>
      </c>
      <c r="H161" s="375">
        <f t="shared" si="2"/>
        <v>0</v>
      </c>
      <c r="I161" s="387"/>
    </row>
    <row r="162" spans="1:9" ht="16.5">
      <c r="A162" s="836" t="s">
        <v>969</v>
      </c>
      <c r="B162" s="371" t="s">
        <v>970</v>
      </c>
      <c r="C162" s="373">
        <v>45323</v>
      </c>
      <c r="D162" s="379">
        <f>100000</f>
        <v>100000</v>
      </c>
      <c r="E162" s="379"/>
      <c r="F162" s="379"/>
      <c r="G162" s="379"/>
      <c r="H162" s="375">
        <f t="shared" si="2"/>
        <v>100000</v>
      </c>
      <c r="I162" s="388"/>
    </row>
    <row r="163" spans="1:9" ht="16.5">
      <c r="A163" s="836" t="s">
        <v>971</v>
      </c>
      <c r="B163" s="371" t="s">
        <v>972</v>
      </c>
      <c r="C163" s="373">
        <v>45323</v>
      </c>
      <c r="D163" s="379">
        <f>5000</f>
        <v>5000</v>
      </c>
      <c r="E163" s="379">
        <f>0</f>
        <v>0</v>
      </c>
      <c r="F163" s="379">
        <f>10000</f>
        <v>10000</v>
      </c>
      <c r="G163" s="379">
        <v>20000</v>
      </c>
      <c r="H163" s="375">
        <f t="shared" si="2"/>
        <v>35000</v>
      </c>
      <c r="I163" s="388"/>
    </row>
    <row r="164" spans="1:9" ht="16.5">
      <c r="A164" s="836" t="s">
        <v>973</v>
      </c>
      <c r="B164" s="371" t="s">
        <v>974</v>
      </c>
      <c r="C164" s="373">
        <v>45323</v>
      </c>
      <c r="D164" s="379">
        <f>20000</f>
        <v>20000</v>
      </c>
      <c r="E164" s="379"/>
      <c r="F164" s="379"/>
      <c r="G164" s="379"/>
      <c r="H164" s="375">
        <f t="shared" si="2"/>
        <v>20000</v>
      </c>
      <c r="I164" s="388"/>
    </row>
    <row r="165" spans="1:9" ht="16.5">
      <c r="A165" s="836" t="s">
        <v>975</v>
      </c>
      <c r="B165" s="371" t="s">
        <v>976</v>
      </c>
      <c r="C165" s="373">
        <v>45323</v>
      </c>
      <c r="D165" s="379">
        <f>50000</f>
        <v>50000</v>
      </c>
      <c r="E165" s="379"/>
      <c r="F165" s="379"/>
      <c r="G165" s="379">
        <f>91666.67</f>
        <v>91666.67</v>
      </c>
      <c r="H165" s="375">
        <f t="shared" si="2"/>
        <v>141666.67000000001</v>
      </c>
      <c r="I165" s="388"/>
    </row>
    <row r="166" spans="1:9" ht="16.5">
      <c r="A166" s="836" t="s">
        <v>977</v>
      </c>
      <c r="B166" s="371" t="s">
        <v>464</v>
      </c>
      <c r="C166" s="373">
        <v>45323</v>
      </c>
      <c r="D166" s="379">
        <f>20000</f>
        <v>20000</v>
      </c>
      <c r="E166" s="379">
        <f>0</f>
        <v>0</v>
      </c>
      <c r="F166" s="379"/>
      <c r="G166" s="379">
        <f>43750</f>
        <v>43750</v>
      </c>
      <c r="H166" s="375">
        <f t="shared" si="2"/>
        <v>63750</v>
      </c>
      <c r="I166" s="388"/>
    </row>
    <row r="167" spans="1:9" ht="16.5">
      <c r="A167" s="836" t="s">
        <v>978</v>
      </c>
      <c r="B167" s="371" t="s">
        <v>979</v>
      </c>
      <c r="C167" s="373">
        <v>45323</v>
      </c>
      <c r="D167" s="379">
        <f>10000</f>
        <v>10000</v>
      </c>
      <c r="E167" s="379">
        <f>0</f>
        <v>0</v>
      </c>
      <c r="F167" s="379"/>
      <c r="G167" s="379"/>
      <c r="H167" s="375">
        <f t="shared" si="2"/>
        <v>10000</v>
      </c>
      <c r="I167" s="388"/>
    </row>
    <row r="168" spans="1:9" ht="16.5">
      <c r="A168" s="836" t="s">
        <v>980</v>
      </c>
      <c r="B168" s="371" t="s">
        <v>386</v>
      </c>
      <c r="C168" s="373">
        <v>45323</v>
      </c>
      <c r="D168" s="379">
        <f>10000</f>
        <v>10000</v>
      </c>
      <c r="E168" s="379">
        <f>0</f>
        <v>0</v>
      </c>
      <c r="F168" s="379"/>
      <c r="G168" s="379">
        <f>20000</f>
        <v>20000</v>
      </c>
      <c r="H168" s="375">
        <f t="shared" si="2"/>
        <v>30000</v>
      </c>
      <c r="I168" s="388"/>
    </row>
    <row r="169" spans="1:9" ht="16.5">
      <c r="A169" s="836" t="s">
        <v>981</v>
      </c>
      <c r="B169" s="371" t="s">
        <v>982</v>
      </c>
      <c r="C169" s="373">
        <v>45323</v>
      </c>
      <c r="D169" s="379">
        <v>20000</v>
      </c>
      <c r="E169" s="379">
        <f>0</f>
        <v>0</v>
      </c>
      <c r="F169" s="379"/>
      <c r="G169" s="379"/>
      <c r="H169" s="375">
        <f t="shared" si="2"/>
        <v>20000</v>
      </c>
      <c r="I169" s="388"/>
    </row>
    <row r="170" spans="1:9" ht="16.5">
      <c r="A170" s="836" t="s">
        <v>983</v>
      </c>
      <c r="B170" s="371" t="s">
        <v>984</v>
      </c>
      <c r="C170" s="373">
        <v>45323</v>
      </c>
      <c r="D170" s="379">
        <f>0</f>
        <v>0</v>
      </c>
      <c r="E170" s="379">
        <f>0</f>
        <v>0</v>
      </c>
      <c r="F170" s="379">
        <f>120000</f>
        <v>120000</v>
      </c>
      <c r="G170" s="379"/>
      <c r="H170" s="375">
        <f t="shared" si="2"/>
        <v>120000</v>
      </c>
      <c r="I170" s="388"/>
    </row>
    <row r="171" spans="1:9" ht="16.5">
      <c r="A171" s="836" t="s">
        <v>985</v>
      </c>
      <c r="B171" s="371" t="s">
        <v>986</v>
      </c>
      <c r="C171" s="373">
        <v>45323</v>
      </c>
      <c r="D171" s="379">
        <f>50000</f>
        <v>50000</v>
      </c>
      <c r="E171" s="379"/>
      <c r="F171" s="379"/>
      <c r="G171" s="379"/>
      <c r="H171" s="375">
        <f t="shared" si="2"/>
        <v>50000</v>
      </c>
      <c r="I171" s="388"/>
    </row>
    <row r="172" spans="1:9" ht="16.5">
      <c r="A172" s="836" t="s">
        <v>987</v>
      </c>
      <c r="B172" s="371" t="s">
        <v>442</v>
      </c>
      <c r="C172" s="373">
        <v>45323</v>
      </c>
      <c r="D172" s="379">
        <f>65000</f>
        <v>65000</v>
      </c>
      <c r="E172" s="379"/>
      <c r="F172" s="379"/>
      <c r="G172" s="379"/>
      <c r="H172" s="375">
        <f t="shared" si="2"/>
        <v>65000</v>
      </c>
      <c r="I172" s="388"/>
    </row>
    <row r="173" spans="1:9" ht="16.5">
      <c r="A173" s="836" t="s">
        <v>988</v>
      </c>
      <c r="B173" s="371" t="s">
        <v>557</v>
      </c>
      <c r="C173" s="373">
        <v>45323</v>
      </c>
      <c r="D173" s="379">
        <f>10000</f>
        <v>10000</v>
      </c>
      <c r="E173" s="379"/>
      <c r="F173" s="379"/>
      <c r="G173" s="379"/>
      <c r="H173" s="375">
        <f t="shared" si="2"/>
        <v>10000</v>
      </c>
      <c r="I173" s="388"/>
    </row>
    <row r="174" spans="1:9" ht="16.5">
      <c r="A174" s="836" t="s">
        <v>989</v>
      </c>
      <c r="B174" s="371" t="s">
        <v>990</v>
      </c>
      <c r="C174" s="373">
        <v>45323</v>
      </c>
      <c r="D174" s="379">
        <f>10000</f>
        <v>10000</v>
      </c>
      <c r="E174" s="379"/>
      <c r="F174" s="379"/>
      <c r="G174" s="379"/>
      <c r="H174" s="375">
        <f t="shared" si="2"/>
        <v>10000</v>
      </c>
      <c r="I174" s="388"/>
    </row>
    <row r="175" spans="1:9" ht="16.5">
      <c r="A175" s="836" t="s">
        <v>991</v>
      </c>
      <c r="B175" s="371" t="s">
        <v>992</v>
      </c>
      <c r="C175" s="373">
        <v>45323</v>
      </c>
      <c r="D175" s="379">
        <f>30000</f>
        <v>30000</v>
      </c>
      <c r="E175" s="379"/>
      <c r="F175" s="379"/>
      <c r="G175" s="379"/>
      <c r="H175" s="375">
        <f t="shared" si="2"/>
        <v>30000</v>
      </c>
      <c r="I175" s="388"/>
    </row>
    <row r="176" spans="1:9" ht="16.5">
      <c r="A176" s="836" t="s">
        <v>993</v>
      </c>
      <c r="B176" s="371" t="s">
        <v>400</v>
      </c>
      <c r="C176" s="373">
        <v>45323</v>
      </c>
      <c r="D176" s="379">
        <f>20000</f>
        <v>20000</v>
      </c>
      <c r="E176" s="379"/>
      <c r="F176" s="379"/>
      <c r="G176" s="379"/>
      <c r="H176" s="375">
        <f t="shared" si="2"/>
        <v>20000</v>
      </c>
      <c r="I176" s="388"/>
    </row>
    <row r="177" spans="1:12" ht="16.5">
      <c r="A177" s="836" t="s">
        <v>994</v>
      </c>
      <c r="B177" s="371" t="s">
        <v>995</v>
      </c>
      <c r="C177" s="373">
        <v>45323</v>
      </c>
      <c r="D177" s="379">
        <f>30000</f>
        <v>30000</v>
      </c>
      <c r="E177" s="379"/>
      <c r="F177" s="379"/>
      <c r="G177" s="379"/>
      <c r="H177" s="375">
        <f t="shared" si="2"/>
        <v>30000</v>
      </c>
      <c r="I177" s="388"/>
    </row>
    <row r="178" spans="1:12" ht="16.5">
      <c r="A178" s="836" t="s">
        <v>996</v>
      </c>
      <c r="B178" s="371" t="s">
        <v>997</v>
      </c>
      <c r="C178" s="373">
        <v>45323</v>
      </c>
      <c r="D178" s="379">
        <v>30000</v>
      </c>
      <c r="E178" s="379"/>
      <c r="F178" s="379"/>
      <c r="G178" s="379"/>
      <c r="H178" s="375">
        <f t="shared" si="2"/>
        <v>30000</v>
      </c>
      <c r="I178" s="388"/>
    </row>
    <row r="179" spans="1:12" ht="16.5">
      <c r="A179" s="836" t="s">
        <v>998</v>
      </c>
      <c r="B179" s="371" t="s">
        <v>999</v>
      </c>
      <c r="C179" s="373">
        <v>45323</v>
      </c>
      <c r="D179" s="379">
        <f>50000</f>
        <v>50000</v>
      </c>
      <c r="E179" s="379"/>
      <c r="F179" s="379"/>
      <c r="G179" s="379"/>
      <c r="H179" s="375">
        <f t="shared" si="2"/>
        <v>50000</v>
      </c>
      <c r="I179" s="388"/>
    </row>
    <row r="180" spans="1:12" ht="16.5">
      <c r="A180" s="836" t="s">
        <v>1000</v>
      </c>
      <c r="B180" s="371" t="s">
        <v>1001</v>
      </c>
      <c r="C180" s="373">
        <v>45323</v>
      </c>
      <c r="D180" s="379">
        <v>5000</v>
      </c>
      <c r="E180" s="379"/>
      <c r="F180" s="379">
        <f>10000</f>
        <v>10000</v>
      </c>
      <c r="G180" s="379"/>
      <c r="H180" s="375">
        <f t="shared" si="2"/>
        <v>15000</v>
      </c>
      <c r="I180" s="388"/>
    </row>
    <row r="181" spans="1:12" ht="16.5">
      <c r="A181" s="836" t="s">
        <v>1002</v>
      </c>
      <c r="B181" s="371" t="s">
        <v>607</v>
      </c>
      <c r="C181" s="373">
        <v>45323</v>
      </c>
      <c r="D181" s="379">
        <f>10000</f>
        <v>10000</v>
      </c>
      <c r="E181" s="379"/>
      <c r="F181" s="379">
        <f>10000</f>
        <v>10000</v>
      </c>
      <c r="G181" s="379"/>
      <c r="H181" s="375">
        <f t="shared" si="2"/>
        <v>20000</v>
      </c>
      <c r="I181" s="388"/>
    </row>
    <row r="182" spans="1:12" ht="16.5">
      <c r="A182" s="836" t="s">
        <v>1000</v>
      </c>
      <c r="B182" s="371" t="s">
        <v>1003</v>
      </c>
      <c r="C182" s="373">
        <v>45323</v>
      </c>
      <c r="D182" s="379">
        <f>10000</f>
        <v>10000</v>
      </c>
      <c r="E182" s="379"/>
      <c r="F182" s="379"/>
      <c r="G182" s="379"/>
      <c r="H182" s="375">
        <f t="shared" si="2"/>
        <v>10000</v>
      </c>
      <c r="I182" s="388"/>
    </row>
    <row r="183" spans="1:12" ht="16.5">
      <c r="A183" s="836" t="s">
        <v>1000</v>
      </c>
      <c r="B183" s="371" t="s">
        <v>602</v>
      </c>
      <c r="C183" s="373">
        <v>45323</v>
      </c>
      <c r="D183" s="379">
        <f>10000</f>
        <v>10000</v>
      </c>
      <c r="E183" s="379"/>
      <c r="F183" s="379"/>
      <c r="G183" s="379"/>
      <c r="H183" s="375">
        <f t="shared" si="2"/>
        <v>10000</v>
      </c>
      <c r="I183" s="388"/>
    </row>
    <row r="184" spans="1:12" ht="16.5">
      <c r="A184" s="836" t="s">
        <v>1000</v>
      </c>
      <c r="B184" s="371" t="s">
        <v>1004</v>
      </c>
      <c r="C184" s="373">
        <v>45323</v>
      </c>
      <c r="D184" s="379">
        <f>10000</f>
        <v>10000</v>
      </c>
      <c r="E184" s="379"/>
      <c r="F184" s="379"/>
      <c r="G184" s="379"/>
      <c r="H184" s="375">
        <f t="shared" si="2"/>
        <v>10000</v>
      </c>
      <c r="I184" s="388"/>
    </row>
    <row r="185" spans="1:12" ht="16.5">
      <c r="A185" s="371"/>
      <c r="B185" s="371"/>
      <c r="C185" s="405"/>
      <c r="D185" s="406">
        <f>SUM(D5:D184)</f>
        <v>4415500</v>
      </c>
      <c r="E185" s="406">
        <f>SUM(E5:E184)</f>
        <v>0</v>
      </c>
      <c r="F185" s="406">
        <f>SUM(F5:F184)</f>
        <v>708000</v>
      </c>
      <c r="G185" s="406">
        <f>SUM(G5:G184)</f>
        <v>7015945.6884722197</v>
      </c>
      <c r="H185" s="407">
        <f>SUM(H5:H184)</f>
        <v>12139445.6884722</v>
      </c>
      <c r="I185" s="387"/>
      <c r="J185" s="387"/>
      <c r="L185" s="387"/>
    </row>
    <row r="186" spans="1:12" ht="22.5">
      <c r="A186" s="408"/>
      <c r="B186" s="409" t="s">
        <v>42</v>
      </c>
      <c r="C186" s="372"/>
      <c r="D186" s="410">
        <f>D185+E185+F185</f>
        <v>5123500</v>
      </c>
      <c r="E186" s="411"/>
      <c r="F186" s="411"/>
      <c r="G186" s="411"/>
      <c r="H186" s="411"/>
      <c r="I186" s="389"/>
      <c r="J186" s="389"/>
      <c r="L186" s="387"/>
    </row>
    <row r="187" spans="1:12" ht="15.75">
      <c r="A187" s="412"/>
      <c r="B187" s="366" t="s">
        <v>1005</v>
      </c>
      <c r="C187" s="366"/>
      <c r="D187" s="413"/>
      <c r="E187" s="371"/>
      <c r="F187" s="389"/>
      <c r="G187" s="414"/>
      <c r="H187" s="387"/>
      <c r="I187" s="387"/>
      <c r="L187" s="415"/>
    </row>
    <row r="188" spans="1:12" ht="15.75">
      <c r="A188" s="412"/>
      <c r="B188" s="371"/>
      <c r="C188" s="366" t="s">
        <v>1006</v>
      </c>
      <c r="D188" s="366" t="s">
        <v>1007</v>
      </c>
      <c r="E188" s="371"/>
      <c r="F188" s="414"/>
      <c r="G188" s="414"/>
      <c r="H188" s="415"/>
      <c r="I188" s="387"/>
    </row>
    <row r="189" spans="1:12" ht="18">
      <c r="A189" s="371"/>
      <c r="B189" s="371" t="s">
        <v>1008</v>
      </c>
      <c r="C189" s="395">
        <f>22000</f>
        <v>22000</v>
      </c>
      <c r="D189" s="416">
        <f>20000</f>
        <v>20000</v>
      </c>
      <c r="E189" s="417">
        <f>D189-C189</f>
        <v>-2000</v>
      </c>
      <c r="F189" s="418" t="s">
        <v>1009</v>
      </c>
      <c r="G189" s="387"/>
      <c r="H189" s="387"/>
      <c r="I189" s="387"/>
      <c r="K189" s="387"/>
    </row>
    <row r="190" spans="1:12" ht="18">
      <c r="A190" s="371"/>
      <c r="B190" s="371" t="s">
        <v>1010</v>
      </c>
      <c r="C190" s="395">
        <f>52000</f>
        <v>52000</v>
      </c>
      <c r="D190" s="419">
        <f>50000</f>
        <v>50000</v>
      </c>
      <c r="E190" s="395">
        <f t="shared" ref="E190:E191" si="3">D190-C190</f>
        <v>-2000</v>
      </c>
      <c r="G190" s="387"/>
      <c r="H190" s="387"/>
      <c r="I190" s="387"/>
      <c r="K190" s="387"/>
    </row>
    <row r="191" spans="1:12" ht="18">
      <c r="A191" s="371"/>
      <c r="B191" s="371" t="s">
        <v>1011</v>
      </c>
      <c r="C191" s="395">
        <f>17000</f>
        <v>17000</v>
      </c>
      <c r="D191" s="419">
        <f>15000</f>
        <v>15000</v>
      </c>
      <c r="E191" s="395">
        <f t="shared" si="3"/>
        <v>-2000</v>
      </c>
      <c r="F191" s="388"/>
      <c r="G191" s="387"/>
      <c r="H191" s="387"/>
      <c r="I191" s="387"/>
      <c r="K191" s="387"/>
    </row>
    <row r="192" spans="1:12" ht="18">
      <c r="A192" s="371"/>
      <c r="B192" s="371" t="s">
        <v>607</v>
      </c>
      <c r="C192" s="395">
        <v>22000</v>
      </c>
      <c r="D192" s="419">
        <f>20000</f>
        <v>20000</v>
      </c>
      <c r="E192" s="395">
        <f t="shared" ref="E192:E195" si="4">D192-C192</f>
        <v>-2000</v>
      </c>
      <c r="F192" s="388"/>
      <c r="G192" s="387"/>
      <c r="H192" s="387"/>
      <c r="I192" s="387"/>
      <c r="K192" s="387"/>
    </row>
    <row r="193" spans="1:11" ht="18">
      <c r="A193" s="371"/>
      <c r="B193" s="371" t="s">
        <v>1003</v>
      </c>
      <c r="C193" s="395">
        <v>12000</v>
      </c>
      <c r="D193" s="419">
        <f>10000</f>
        <v>10000</v>
      </c>
      <c r="E193" s="395">
        <f t="shared" si="4"/>
        <v>-2000</v>
      </c>
      <c r="F193" s="388"/>
      <c r="G193" s="387"/>
      <c r="H193" s="387"/>
      <c r="I193" s="387"/>
      <c r="K193" s="387"/>
    </row>
    <row r="194" spans="1:11" ht="18">
      <c r="A194" s="371"/>
      <c r="B194" s="371" t="s">
        <v>602</v>
      </c>
      <c r="C194" s="395">
        <v>12000</v>
      </c>
      <c r="D194" s="419">
        <f>10000</f>
        <v>10000</v>
      </c>
      <c r="E194" s="395">
        <f t="shared" si="4"/>
        <v>-2000</v>
      </c>
      <c r="F194" s="388"/>
      <c r="G194" s="387"/>
      <c r="H194" s="387"/>
      <c r="I194" s="387"/>
      <c r="K194" s="387"/>
    </row>
    <row r="195" spans="1:11" ht="18">
      <c r="A195" s="371"/>
      <c r="B195" s="371" t="s">
        <v>1004</v>
      </c>
      <c r="C195" s="395">
        <v>12000</v>
      </c>
      <c r="D195" s="419">
        <f>10000</f>
        <v>10000</v>
      </c>
      <c r="E195" s="395">
        <f t="shared" si="4"/>
        <v>-2000</v>
      </c>
      <c r="F195" s="388"/>
      <c r="G195" s="387"/>
      <c r="H195" s="387"/>
      <c r="I195" s="387"/>
      <c r="K195" s="387"/>
    </row>
    <row r="196" spans="1:11" ht="18">
      <c r="A196" s="420"/>
      <c r="B196" s="421" t="s">
        <v>280</v>
      </c>
      <c r="C196" s="382"/>
      <c r="D196" s="422">
        <f>0</f>
        <v>0</v>
      </c>
      <c r="E196" s="423">
        <f>SUM(E190:E195)</f>
        <v>-12000</v>
      </c>
      <c r="I196" s="391"/>
      <c r="K196" s="387"/>
    </row>
    <row r="197" spans="1:11" ht="15">
      <c r="A197" s="371"/>
      <c r="B197" s="371"/>
      <c r="C197" s="366"/>
      <c r="D197" s="371"/>
      <c r="E197" s="371"/>
      <c r="K197" s="387"/>
    </row>
    <row r="198" spans="1:11" ht="15">
      <c r="A198" s="371"/>
      <c r="B198" s="366" t="s">
        <v>1012</v>
      </c>
      <c r="C198" s="366"/>
      <c r="D198" s="371"/>
      <c r="E198" s="371"/>
      <c r="K198" s="387"/>
    </row>
    <row r="199" spans="1:11" ht="15">
      <c r="A199" s="371"/>
      <c r="B199" s="366"/>
      <c r="C199" s="366" t="s">
        <v>1006</v>
      </c>
      <c r="D199" s="366" t="s">
        <v>1007</v>
      </c>
      <c r="E199" s="371"/>
      <c r="K199" s="387"/>
    </row>
    <row r="200" spans="1:11" ht="18">
      <c r="A200" s="424"/>
      <c r="B200" s="424" t="s">
        <v>1013</v>
      </c>
      <c r="C200" s="375">
        <f>20000</f>
        <v>20000</v>
      </c>
      <c r="D200" s="377">
        <f>0</f>
        <v>0</v>
      </c>
      <c r="E200" s="395">
        <f>D200-C200</f>
        <v>-20000</v>
      </c>
      <c r="G200" s="387"/>
      <c r="K200" s="387"/>
    </row>
    <row r="201" spans="1:11" ht="18">
      <c r="A201" s="424"/>
      <c r="B201" s="424" t="s">
        <v>1014</v>
      </c>
      <c r="C201" s="375">
        <v>120000</v>
      </c>
      <c r="D201" s="377"/>
      <c r="E201" s="395">
        <f>D201-C201</f>
        <v>-120000</v>
      </c>
      <c r="G201" s="387"/>
      <c r="K201" s="387"/>
    </row>
    <row r="202" spans="1:11" ht="18">
      <c r="A202" s="424"/>
      <c r="B202" s="424"/>
      <c r="C202" s="375"/>
      <c r="D202" s="377"/>
      <c r="E202" s="395"/>
      <c r="G202" s="387"/>
      <c r="K202" s="387"/>
    </row>
    <row r="203" spans="1:11" ht="18">
      <c r="A203" s="424"/>
      <c r="B203" s="424"/>
      <c r="C203" s="395"/>
      <c r="D203" s="395"/>
      <c r="E203" s="395"/>
      <c r="G203" s="387"/>
      <c r="K203" s="387"/>
    </row>
    <row r="204" spans="1:11" ht="18">
      <c r="A204" s="424"/>
      <c r="B204" s="424"/>
      <c r="C204" s="375"/>
      <c r="D204" s="377"/>
      <c r="E204" s="395"/>
      <c r="G204" s="387"/>
      <c r="H204" s="387"/>
      <c r="K204" s="387"/>
    </row>
    <row r="205" spans="1:11" ht="18">
      <c r="A205" s="412"/>
      <c r="B205" s="412"/>
      <c r="C205" s="412"/>
      <c r="D205" s="412"/>
      <c r="E205" s="423">
        <f>SUM(E200:E204)</f>
        <v>-140000</v>
      </c>
      <c r="G205" s="387"/>
      <c r="K205" s="387"/>
    </row>
    <row r="206" spans="1:11" ht="30" customHeight="1">
      <c r="A206" s="412"/>
      <c r="B206" s="421" t="s">
        <v>1015</v>
      </c>
      <c r="C206" s="412"/>
      <c r="D206" s="412"/>
      <c r="E206" s="425">
        <f>E196+E205</f>
        <v>-152000</v>
      </c>
      <c r="G206" s="387"/>
      <c r="K206" s="387"/>
    </row>
    <row r="207" spans="1:11" ht="18.75">
      <c r="E207" s="426"/>
      <c r="K207" s="387"/>
    </row>
    <row r="208" spans="1:11" ht="16.5">
      <c r="A208" s="835" t="s">
        <v>742</v>
      </c>
      <c r="B208" s="371" t="s">
        <v>743</v>
      </c>
      <c r="C208" s="373">
        <v>45292</v>
      </c>
      <c r="D208" s="377">
        <v>10000</v>
      </c>
      <c r="E208" s="377">
        <v>0</v>
      </c>
      <c r="F208" s="377">
        <v>0</v>
      </c>
      <c r="G208" s="377">
        <f>40000</f>
        <v>40000</v>
      </c>
      <c r="H208" s="375">
        <f t="shared" ref="H208:H223" si="5">D208+E208+F208+G208</f>
        <v>50000</v>
      </c>
      <c r="I208" s="387"/>
      <c r="K208" s="387"/>
    </row>
    <row r="209" spans="1:14" ht="16.5">
      <c r="A209" s="836" t="s">
        <v>790</v>
      </c>
      <c r="B209" s="371" t="s">
        <v>791</v>
      </c>
      <c r="C209" s="373">
        <v>45292</v>
      </c>
      <c r="D209" s="379">
        <v>30000</v>
      </c>
      <c r="E209" s="379">
        <v>0</v>
      </c>
      <c r="F209" s="379">
        <v>0</v>
      </c>
      <c r="G209" s="379">
        <f>0</f>
        <v>0</v>
      </c>
      <c r="H209" s="375">
        <f t="shared" si="5"/>
        <v>30000</v>
      </c>
      <c r="K209" s="387"/>
    </row>
    <row r="210" spans="1:14" ht="16.5">
      <c r="A210" s="835" t="s">
        <v>825</v>
      </c>
      <c r="B210" s="371" t="s">
        <v>826</v>
      </c>
      <c r="C210" s="373">
        <v>45292</v>
      </c>
      <c r="D210" s="379">
        <v>10000</v>
      </c>
      <c r="E210" s="379">
        <v>0</v>
      </c>
      <c r="F210" s="379"/>
      <c r="G210" s="379">
        <f>20000</f>
        <v>20000</v>
      </c>
      <c r="H210" s="375">
        <f t="shared" si="5"/>
        <v>30000</v>
      </c>
      <c r="K210" s="387"/>
      <c r="N210" s="387"/>
    </row>
    <row r="211" spans="1:14" ht="16.5">
      <c r="A211" s="835" t="s">
        <v>899</v>
      </c>
      <c r="B211" s="371" t="s">
        <v>900</v>
      </c>
      <c r="C211" s="373">
        <v>45292</v>
      </c>
      <c r="D211" s="379"/>
      <c r="E211" s="379"/>
      <c r="F211" s="379"/>
      <c r="G211" s="379"/>
      <c r="H211" s="375">
        <f t="shared" si="5"/>
        <v>0</v>
      </c>
      <c r="I211" s="387"/>
      <c r="K211" s="387"/>
      <c r="N211" s="387"/>
    </row>
    <row r="212" spans="1:14" ht="16.5">
      <c r="A212" s="836" t="s">
        <v>1016</v>
      </c>
      <c r="B212" s="371" t="s">
        <v>1017</v>
      </c>
      <c r="C212" s="373">
        <v>45292</v>
      </c>
      <c r="D212" s="379">
        <f>5000</f>
        <v>5000</v>
      </c>
      <c r="E212" s="379">
        <f>0</f>
        <v>0</v>
      </c>
      <c r="F212" s="379">
        <f>5000+5000</f>
        <v>10000</v>
      </c>
      <c r="G212" s="379">
        <f>14350</f>
        <v>14350</v>
      </c>
      <c r="H212" s="375">
        <f t="shared" si="5"/>
        <v>29350</v>
      </c>
      <c r="I212" s="389"/>
      <c r="K212" s="387"/>
      <c r="N212" s="387"/>
    </row>
    <row r="213" spans="1:14" ht="16.5">
      <c r="A213" s="836" t="s">
        <v>1018</v>
      </c>
      <c r="B213" s="371" t="s">
        <v>1019</v>
      </c>
      <c r="C213" s="373">
        <v>45292</v>
      </c>
      <c r="D213" s="379">
        <f>0</f>
        <v>0</v>
      </c>
      <c r="E213" s="379"/>
      <c r="F213" s="379"/>
      <c r="G213" s="379"/>
      <c r="H213" s="375">
        <f t="shared" si="5"/>
        <v>0</v>
      </c>
      <c r="K213" s="387"/>
      <c r="N213" s="387"/>
    </row>
    <row r="214" spans="1:14" ht="16.5">
      <c r="A214" s="836" t="s">
        <v>1020</v>
      </c>
      <c r="B214" s="371" t="s">
        <v>1021</v>
      </c>
      <c r="C214" s="373">
        <v>45292</v>
      </c>
      <c r="D214" s="379">
        <f>5000</f>
        <v>5000</v>
      </c>
      <c r="E214" s="379"/>
      <c r="F214" s="379"/>
      <c r="G214" s="379">
        <f>0</f>
        <v>0</v>
      </c>
      <c r="H214" s="375">
        <f t="shared" si="5"/>
        <v>5000</v>
      </c>
      <c r="K214" s="387"/>
      <c r="N214" s="387"/>
    </row>
    <row r="215" spans="1:14" ht="16.5">
      <c r="A215" s="836" t="s">
        <v>1022</v>
      </c>
      <c r="B215" s="371" t="s">
        <v>1023</v>
      </c>
      <c r="C215" s="373">
        <v>45292</v>
      </c>
      <c r="D215" s="379">
        <f>10000</f>
        <v>10000</v>
      </c>
      <c r="E215" s="379">
        <f>0</f>
        <v>0</v>
      </c>
      <c r="F215" s="379"/>
      <c r="G215" s="379">
        <f>20000</f>
        <v>20000</v>
      </c>
      <c r="H215" s="375">
        <f t="shared" si="5"/>
        <v>30000</v>
      </c>
      <c r="J215" s="387"/>
      <c r="K215" s="387"/>
      <c r="N215" s="387"/>
    </row>
    <row r="216" spans="1:14" ht="16.5">
      <c r="A216" s="836" t="s">
        <v>1024</v>
      </c>
      <c r="B216" s="371" t="s">
        <v>1025</v>
      </c>
      <c r="C216" s="373">
        <v>45292</v>
      </c>
      <c r="D216" s="379">
        <f>25000</f>
        <v>25000</v>
      </c>
      <c r="E216" s="379"/>
      <c r="F216" s="379"/>
      <c r="G216" s="379">
        <f>60640</f>
        <v>60640</v>
      </c>
      <c r="H216" s="375">
        <f t="shared" si="5"/>
        <v>85640</v>
      </c>
      <c r="J216" s="387"/>
      <c r="K216" s="387"/>
      <c r="N216" s="387"/>
    </row>
    <row r="217" spans="1:14" ht="18">
      <c r="A217" s="836" t="s">
        <v>1026</v>
      </c>
      <c r="B217" s="371" t="s">
        <v>1027</v>
      </c>
      <c r="C217" s="373">
        <v>45292</v>
      </c>
      <c r="D217" s="379">
        <v>10000</v>
      </c>
      <c r="E217" s="379"/>
      <c r="F217" s="379"/>
      <c r="G217" s="380">
        <f>0</f>
        <v>0</v>
      </c>
      <c r="H217" s="375">
        <f t="shared" si="5"/>
        <v>10000</v>
      </c>
      <c r="J217" s="387"/>
      <c r="K217" s="387"/>
      <c r="N217" s="387"/>
    </row>
    <row r="218" spans="1:14" ht="16.5">
      <c r="A218" s="836" t="s">
        <v>981</v>
      </c>
      <c r="B218" s="371" t="s">
        <v>982</v>
      </c>
      <c r="C218" s="373">
        <v>45292</v>
      </c>
      <c r="D218" s="379"/>
      <c r="E218" s="379">
        <f>0</f>
        <v>0</v>
      </c>
      <c r="F218" s="379"/>
      <c r="G218" s="379"/>
      <c r="H218" s="375">
        <f t="shared" si="5"/>
        <v>0</v>
      </c>
      <c r="J218" s="387"/>
      <c r="K218" s="387"/>
      <c r="N218" s="389"/>
    </row>
    <row r="219" spans="1:14" ht="16.5">
      <c r="A219" s="836" t="s">
        <v>996</v>
      </c>
      <c r="B219" s="371" t="s">
        <v>997</v>
      </c>
      <c r="C219" s="373">
        <v>45292</v>
      </c>
      <c r="D219" s="379"/>
      <c r="E219" s="379">
        <f>0</f>
        <v>0</v>
      </c>
      <c r="F219" s="379"/>
      <c r="G219" s="379"/>
      <c r="H219" s="375">
        <f t="shared" si="5"/>
        <v>0</v>
      </c>
      <c r="J219" s="387"/>
      <c r="K219" s="387"/>
      <c r="N219" s="389"/>
    </row>
    <row r="220" spans="1:14" ht="16.5">
      <c r="A220" s="836" t="s">
        <v>1028</v>
      </c>
      <c r="B220" s="371" t="s">
        <v>1029</v>
      </c>
      <c r="C220" s="373">
        <v>45292</v>
      </c>
      <c r="D220" s="379">
        <f>20000</f>
        <v>20000</v>
      </c>
      <c r="E220" s="379"/>
      <c r="F220" s="379"/>
      <c r="G220" s="379"/>
      <c r="H220" s="375">
        <f t="shared" si="5"/>
        <v>20000</v>
      </c>
      <c r="J220" s="387"/>
      <c r="K220" s="387"/>
      <c r="N220" s="389"/>
    </row>
    <row r="221" spans="1:14" ht="16.5">
      <c r="A221" s="836" t="s">
        <v>1030</v>
      </c>
      <c r="B221" s="371" t="s">
        <v>1031</v>
      </c>
      <c r="C221" s="373">
        <v>45292</v>
      </c>
      <c r="D221" s="379">
        <f>20000</f>
        <v>20000</v>
      </c>
      <c r="E221" s="379"/>
      <c r="F221" s="379"/>
      <c r="G221" s="379"/>
      <c r="H221" s="375">
        <f t="shared" si="5"/>
        <v>20000</v>
      </c>
      <c r="J221" s="387"/>
      <c r="K221" s="387"/>
      <c r="N221" s="389"/>
    </row>
    <row r="222" spans="1:14" ht="16.5">
      <c r="A222" s="836" t="s">
        <v>1032</v>
      </c>
      <c r="B222" s="371" t="s">
        <v>1033</v>
      </c>
      <c r="C222" s="373">
        <v>45292</v>
      </c>
      <c r="D222" s="379">
        <f>50000</f>
        <v>50000</v>
      </c>
      <c r="E222" s="379"/>
      <c r="F222" s="379"/>
      <c r="G222" s="379"/>
      <c r="H222" s="375">
        <f t="shared" si="5"/>
        <v>50000</v>
      </c>
      <c r="J222" s="387"/>
      <c r="K222" s="387"/>
      <c r="N222" s="389"/>
    </row>
    <row r="223" spans="1:14" ht="16.5">
      <c r="A223" s="836" t="s">
        <v>1034</v>
      </c>
      <c r="B223" s="371" t="s">
        <v>1008</v>
      </c>
      <c r="C223" s="373">
        <v>45292</v>
      </c>
      <c r="D223" s="379">
        <f>20000</f>
        <v>20000</v>
      </c>
      <c r="E223" s="379">
        <f>2000</f>
        <v>2000</v>
      </c>
      <c r="F223" s="379"/>
      <c r="G223" s="379"/>
      <c r="H223" s="375">
        <f t="shared" si="5"/>
        <v>22000</v>
      </c>
      <c r="J223" s="387"/>
      <c r="K223" s="387"/>
      <c r="N223" s="389"/>
    </row>
    <row r="224" spans="1:14" ht="16.5">
      <c r="A224" s="412"/>
      <c r="B224" s="412"/>
      <c r="C224" s="427"/>
      <c r="D224" s="407">
        <f>SUM(D208:D223)</f>
        <v>215000</v>
      </c>
      <c r="E224" s="407">
        <f>SUM(E208:E223)</f>
        <v>2000</v>
      </c>
      <c r="F224" s="407">
        <f>SUM(F208:F223)</f>
        <v>10000</v>
      </c>
      <c r="G224" s="407">
        <f>SUM(G208:G223)</f>
        <v>154990</v>
      </c>
      <c r="H224" s="407">
        <f>SUM(H208:H223)</f>
        <v>381990</v>
      </c>
      <c r="I224" s="391"/>
      <c r="J224" s="387"/>
      <c r="K224" s="387"/>
      <c r="N224" s="389"/>
    </row>
    <row r="225" spans="1:13" ht="15">
      <c r="A225" s="397"/>
      <c r="B225" s="365"/>
      <c r="C225" s="397"/>
      <c r="D225" s="428"/>
      <c r="E225" s="428"/>
      <c r="F225" s="428"/>
      <c r="G225" s="428"/>
      <c r="H225" s="428"/>
      <c r="I225" s="387"/>
      <c r="J225" s="387"/>
      <c r="K225" s="387"/>
      <c r="L225" s="387"/>
      <c r="M225" s="387"/>
    </row>
    <row r="226" spans="1:13" ht="15">
      <c r="A226" s="365"/>
      <c r="B226" s="397"/>
      <c r="C226" s="365"/>
      <c r="D226" s="429">
        <f>D185+D224</f>
        <v>4630500</v>
      </c>
      <c r="E226" s="429">
        <f>E185+E224</f>
        <v>2000</v>
      </c>
      <c r="F226" s="429">
        <f>F185+F224</f>
        <v>718000</v>
      </c>
      <c r="G226" s="429">
        <f>G185+G224</f>
        <v>7170935.6884722197</v>
      </c>
      <c r="H226" s="429">
        <f>H185+H224</f>
        <v>12521435.6884722</v>
      </c>
      <c r="I226" s="387"/>
      <c r="J226" s="387"/>
      <c r="K226" s="387"/>
      <c r="L226" s="387"/>
      <c r="M226" s="387"/>
    </row>
    <row r="227" spans="1:13" ht="16.5">
      <c r="B227" s="430"/>
      <c r="E227" s="389"/>
      <c r="F227" s="414"/>
      <c r="H227" s="414"/>
      <c r="I227" s="387"/>
      <c r="J227" s="415"/>
      <c r="K227" s="387"/>
      <c r="M227" s="387"/>
    </row>
    <row r="228" spans="1:13">
      <c r="H228" s="387"/>
      <c r="I228" s="391"/>
      <c r="J228" s="387"/>
      <c r="K228" s="387"/>
      <c r="L228" s="391"/>
      <c r="M228" s="387"/>
    </row>
    <row r="229" spans="1:13">
      <c r="D229" s="389"/>
      <c r="G229" s="389"/>
      <c r="H229" s="387"/>
      <c r="I229" s="389"/>
      <c r="J229" s="387"/>
      <c r="K229" s="387"/>
      <c r="M229" s="387"/>
    </row>
    <row r="230" spans="1:13">
      <c r="E230" s="389"/>
      <c r="H230" s="387"/>
      <c r="K230" s="387"/>
      <c r="M230" s="387"/>
    </row>
    <row r="231" spans="1:13">
      <c r="H231" s="387"/>
      <c r="K231" s="387"/>
      <c r="M231" s="387"/>
    </row>
    <row r="232" spans="1:13" ht="15">
      <c r="H232" s="387"/>
      <c r="K232" s="387"/>
      <c r="M232" s="415"/>
    </row>
    <row r="233" spans="1:13">
      <c r="H233" s="387"/>
      <c r="K233" s="387"/>
    </row>
    <row r="234" spans="1:13">
      <c r="H234" s="387"/>
      <c r="K234" s="387"/>
    </row>
    <row r="235" spans="1:13">
      <c r="H235" s="387"/>
      <c r="K235" s="387"/>
      <c r="M235" s="389"/>
    </row>
    <row r="236" spans="1:13">
      <c r="H236" s="387"/>
      <c r="K236" s="387"/>
    </row>
    <row r="237" spans="1:13">
      <c r="K237" s="387"/>
    </row>
    <row r="238" spans="1:13" ht="15">
      <c r="K238" s="415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Views>
    <sheetView zoomScaleSheetLayoutView="50" workbookViewId="0">
      <pane xSplit="3" ySplit="7" topLeftCell="D8" activePane="bottomRight" state="frozen"/>
      <selection pane="topRight"/>
      <selection pane="bottomLeft"/>
      <selection pane="bottomRight" activeCell="G93" sqref="G93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8.7109375" style="1" customWidth="1"/>
    <col min="6" max="6" width="16.140625" style="1" customWidth="1"/>
    <col min="7" max="7" width="18.140625" style="1" customWidth="1"/>
    <col min="8" max="16384" width="9.140625" style="1"/>
  </cols>
  <sheetData>
    <row r="1" spans="1:7" ht="27" customHeight="1">
      <c r="A1" s="861" t="s">
        <v>0</v>
      </c>
      <c r="B1" s="861"/>
      <c r="C1" s="861"/>
      <c r="D1" s="861"/>
      <c r="E1" s="861"/>
    </row>
    <row r="2" spans="1:7" ht="33.75" customHeight="1">
      <c r="A2" s="218" t="s">
        <v>1035</v>
      </c>
      <c r="B2" s="64"/>
      <c r="C2" s="64"/>
      <c r="D2" s="63"/>
      <c r="E2" s="65"/>
    </row>
    <row r="3" spans="1:7" ht="9.75" customHeight="1">
      <c r="A3" s="2"/>
      <c r="B3" s="2"/>
      <c r="C3" s="2"/>
      <c r="D3" s="2"/>
    </row>
    <row r="4" spans="1:7" ht="49.5" customHeight="1">
      <c r="A4" s="3"/>
      <c r="B4" s="4" t="s">
        <v>2</v>
      </c>
      <c r="C4" s="5" t="s">
        <v>3</v>
      </c>
      <c r="D4" s="66" t="s">
        <v>4</v>
      </c>
      <c r="E4" s="67" t="s">
        <v>201</v>
      </c>
      <c r="F4" s="67" t="s">
        <v>202</v>
      </c>
      <c r="G4" s="67" t="s">
        <v>203</v>
      </c>
    </row>
    <row r="5" spans="1:7" ht="17.25" customHeight="1">
      <c r="C5" s="68"/>
      <c r="D5" s="7"/>
      <c r="E5" s="69" t="s">
        <v>20</v>
      </c>
      <c r="F5" s="69" t="s">
        <v>20</v>
      </c>
      <c r="G5" s="69" t="s">
        <v>20</v>
      </c>
    </row>
    <row r="6" spans="1:7" ht="20.100000000000001" customHeight="1">
      <c r="A6" s="8" t="s">
        <v>21</v>
      </c>
      <c r="B6" s="7" t="s">
        <v>22</v>
      </c>
      <c r="C6" s="7"/>
      <c r="D6" s="7"/>
      <c r="E6" s="69"/>
      <c r="F6" s="20"/>
      <c r="G6" s="69"/>
    </row>
    <row r="7" spans="1:7" ht="20.100000000000001" customHeight="1">
      <c r="A7" s="9">
        <v>1</v>
      </c>
      <c r="B7" s="10" t="s">
        <v>345</v>
      </c>
      <c r="C7" s="11" t="s">
        <v>346</v>
      </c>
      <c r="D7" s="11" t="s">
        <v>347</v>
      </c>
      <c r="E7" s="71">
        <v>2000000</v>
      </c>
      <c r="F7" s="71"/>
      <c r="G7" s="71">
        <f>E7</f>
        <v>2000000</v>
      </c>
    </row>
    <row r="8" spans="1:7" ht="20.100000000000001" customHeight="1">
      <c r="A8" s="9">
        <v>2</v>
      </c>
      <c r="B8" s="10" t="s">
        <v>348</v>
      </c>
      <c r="C8" s="11" t="s">
        <v>349</v>
      </c>
      <c r="D8" s="9" t="s">
        <v>343</v>
      </c>
      <c r="E8" s="71">
        <v>350000</v>
      </c>
      <c r="F8" s="71"/>
      <c r="G8" s="71">
        <f t="shared" ref="G8:G16" si="0">E8</f>
        <v>350000</v>
      </c>
    </row>
    <row r="9" spans="1:7" ht="20.100000000000001" customHeight="1">
      <c r="A9" s="9">
        <v>3</v>
      </c>
      <c r="B9" s="13" t="s">
        <v>350</v>
      </c>
      <c r="C9" s="3" t="s">
        <v>351</v>
      </c>
      <c r="D9" s="9" t="s">
        <v>343</v>
      </c>
      <c r="E9" s="71">
        <v>700000</v>
      </c>
      <c r="F9" s="71"/>
      <c r="G9" s="71">
        <f t="shared" si="0"/>
        <v>700000</v>
      </c>
    </row>
    <row r="10" spans="1:7" ht="20.100000000000001" customHeight="1">
      <c r="A10" s="9">
        <v>4</v>
      </c>
      <c r="B10" s="10" t="s">
        <v>352</v>
      </c>
      <c r="C10" s="16" t="s">
        <v>353</v>
      </c>
      <c r="D10" s="9" t="s">
        <v>343</v>
      </c>
      <c r="E10" s="71">
        <v>700000</v>
      </c>
      <c r="F10" s="71"/>
      <c r="G10" s="71">
        <f t="shared" si="0"/>
        <v>700000</v>
      </c>
    </row>
    <row r="11" spans="1:7" ht="20.100000000000001" customHeight="1">
      <c r="A11" s="9">
        <v>5</v>
      </c>
      <c r="B11" s="13" t="s">
        <v>354</v>
      </c>
      <c r="C11" s="3" t="s">
        <v>355</v>
      </c>
      <c r="D11" s="9" t="s">
        <v>343</v>
      </c>
      <c r="E11" s="71">
        <v>700000</v>
      </c>
      <c r="F11" s="71"/>
      <c r="G11" s="71">
        <f t="shared" si="0"/>
        <v>700000</v>
      </c>
    </row>
    <row r="12" spans="1:7" ht="20.100000000000001" customHeight="1">
      <c r="A12" s="9">
        <v>6</v>
      </c>
      <c r="B12" s="17" t="s">
        <v>341</v>
      </c>
      <c r="C12" s="9" t="s">
        <v>342</v>
      </c>
      <c r="D12" s="9" t="s">
        <v>343</v>
      </c>
      <c r="E12" s="71">
        <v>700000</v>
      </c>
      <c r="F12" s="71"/>
      <c r="G12" s="71">
        <f t="shared" si="0"/>
        <v>700000</v>
      </c>
    </row>
    <row r="13" spans="1:7" ht="20.100000000000001" customHeight="1">
      <c r="A13" s="9">
        <v>7</v>
      </c>
      <c r="B13" s="10" t="s">
        <v>356</v>
      </c>
      <c r="C13" s="11" t="s">
        <v>357</v>
      </c>
      <c r="D13" s="14" t="s">
        <v>358</v>
      </c>
      <c r="E13" s="71">
        <v>700000</v>
      </c>
      <c r="F13" s="71"/>
      <c r="G13" s="71">
        <f t="shared" si="0"/>
        <v>700000</v>
      </c>
    </row>
    <row r="14" spans="1:7" ht="20.100000000000001" customHeight="1">
      <c r="A14" s="9">
        <v>8</v>
      </c>
      <c r="B14" s="10" t="s">
        <v>359</v>
      </c>
      <c r="C14" s="3" t="s">
        <v>360</v>
      </c>
      <c r="D14" s="9" t="s">
        <v>99</v>
      </c>
      <c r="E14" s="71">
        <v>700000</v>
      </c>
      <c r="F14" s="71"/>
      <c r="G14" s="71">
        <f t="shared" si="0"/>
        <v>700000</v>
      </c>
    </row>
    <row r="15" spans="1:7" ht="20.100000000000001" customHeight="1">
      <c r="A15" s="9">
        <v>9</v>
      </c>
      <c r="B15" s="10" t="s">
        <v>361</v>
      </c>
      <c r="C15" s="3" t="s">
        <v>362</v>
      </c>
      <c r="D15" s="14" t="s">
        <v>363</v>
      </c>
      <c r="E15" s="71">
        <v>500000</v>
      </c>
      <c r="F15" s="71"/>
      <c r="G15" s="71">
        <f t="shared" si="0"/>
        <v>500000</v>
      </c>
    </row>
    <row r="16" spans="1:7" ht="20.100000000000001" customHeight="1">
      <c r="A16" s="9">
        <v>10</v>
      </c>
      <c r="B16" s="13" t="s">
        <v>364</v>
      </c>
      <c r="C16" s="16" t="s">
        <v>365</v>
      </c>
      <c r="D16" s="14" t="s">
        <v>366</v>
      </c>
      <c r="E16" s="71">
        <v>500000</v>
      </c>
      <c r="F16" s="71"/>
      <c r="G16" s="71">
        <f t="shared" si="0"/>
        <v>500000</v>
      </c>
    </row>
    <row r="17" spans="1:7" ht="20.100000000000001" customHeight="1">
      <c r="A17" s="9">
        <v>11</v>
      </c>
      <c r="B17" s="10" t="s">
        <v>370</v>
      </c>
      <c r="C17" s="3" t="s">
        <v>371</v>
      </c>
      <c r="D17" s="9" t="s">
        <v>372</v>
      </c>
      <c r="E17" s="71">
        <v>500000</v>
      </c>
      <c r="F17" s="71">
        <f>E17</f>
        <v>500000</v>
      </c>
      <c r="G17" s="71"/>
    </row>
    <row r="18" spans="1:7" ht="20.100000000000001" customHeight="1">
      <c r="A18" s="9">
        <v>12</v>
      </c>
      <c r="B18" s="10" t="s">
        <v>373</v>
      </c>
      <c r="C18" s="11" t="s">
        <v>374</v>
      </c>
      <c r="D18" s="14" t="s">
        <v>375</v>
      </c>
      <c r="E18" s="71">
        <v>500000</v>
      </c>
      <c r="F18" s="71">
        <f t="shared" ref="F18:F30" si="1">E18</f>
        <v>500000</v>
      </c>
      <c r="G18" s="71"/>
    </row>
    <row r="19" spans="1:7" ht="20.100000000000001" customHeight="1">
      <c r="A19" s="9">
        <v>13</v>
      </c>
      <c r="B19" s="17" t="s">
        <v>376</v>
      </c>
      <c r="C19" s="3" t="s">
        <v>377</v>
      </c>
      <c r="D19" s="14" t="s">
        <v>378</v>
      </c>
      <c r="E19" s="71">
        <v>500000</v>
      </c>
      <c r="F19" s="71">
        <f t="shared" si="1"/>
        <v>500000</v>
      </c>
      <c r="G19" s="71"/>
    </row>
    <row r="20" spans="1:7" ht="18.75" customHeight="1">
      <c r="A20" s="9">
        <v>14</v>
      </c>
      <c r="B20" s="10" t="s">
        <v>379</v>
      </c>
      <c r="C20" s="11" t="s">
        <v>233</v>
      </c>
      <c r="D20" s="14" t="s">
        <v>380</v>
      </c>
      <c r="E20" s="71">
        <v>400000</v>
      </c>
      <c r="F20" s="71">
        <f t="shared" si="1"/>
        <v>400000</v>
      </c>
      <c r="G20" s="71"/>
    </row>
    <row r="21" spans="1:7" ht="20.100000000000001" customHeight="1">
      <c r="A21" s="9">
        <v>15</v>
      </c>
      <c r="B21" s="13" t="s">
        <v>381</v>
      </c>
      <c r="C21" s="16" t="s">
        <v>382</v>
      </c>
      <c r="D21" s="9" t="s">
        <v>32</v>
      </c>
      <c r="E21" s="71">
        <v>400000</v>
      </c>
      <c r="F21" s="71">
        <f t="shared" si="1"/>
        <v>400000</v>
      </c>
      <c r="G21" s="71"/>
    </row>
    <row r="22" spans="1:7" ht="20.100000000000001" customHeight="1">
      <c r="A22" s="9">
        <v>16</v>
      </c>
      <c r="B22" s="13" t="s">
        <v>384</v>
      </c>
      <c r="C22" s="16" t="s">
        <v>385</v>
      </c>
      <c r="D22" s="9" t="s">
        <v>37</v>
      </c>
      <c r="E22" s="71">
        <v>300000</v>
      </c>
      <c r="F22" s="71">
        <f t="shared" si="1"/>
        <v>300000</v>
      </c>
      <c r="G22" s="71"/>
    </row>
    <row r="23" spans="1:7" ht="18.75" customHeight="1">
      <c r="A23" s="9">
        <v>17</v>
      </c>
      <c r="B23" s="3" t="s">
        <v>386</v>
      </c>
      <c r="C23" s="3" t="s">
        <v>289</v>
      </c>
      <c r="D23" s="9" t="s">
        <v>387</v>
      </c>
      <c r="E23" s="71">
        <v>300000</v>
      </c>
      <c r="F23" s="71">
        <f t="shared" si="1"/>
        <v>300000</v>
      </c>
      <c r="G23" s="71"/>
    </row>
    <row r="24" spans="1:7" ht="18.75" customHeight="1">
      <c r="A24" s="9">
        <v>18</v>
      </c>
      <c r="B24" s="17" t="s">
        <v>388</v>
      </c>
      <c r="C24" s="11" t="s">
        <v>289</v>
      </c>
      <c r="D24" s="14" t="s">
        <v>387</v>
      </c>
      <c r="E24" s="71">
        <v>300000</v>
      </c>
      <c r="F24" s="71">
        <f t="shared" si="1"/>
        <v>300000</v>
      </c>
      <c r="G24" s="71"/>
    </row>
    <row r="25" spans="1:7" ht="18.75" customHeight="1">
      <c r="A25" s="9">
        <v>19</v>
      </c>
      <c r="B25" s="17" t="s">
        <v>390</v>
      </c>
      <c r="C25" s="11" t="s">
        <v>220</v>
      </c>
      <c r="D25" s="14" t="s">
        <v>391</v>
      </c>
      <c r="E25" s="71">
        <v>300000</v>
      </c>
      <c r="F25" s="71">
        <f t="shared" si="1"/>
        <v>300000</v>
      </c>
      <c r="G25" s="71"/>
    </row>
    <row r="26" spans="1:7" ht="18.75" customHeight="1">
      <c r="A26" s="9">
        <v>20</v>
      </c>
      <c r="B26" s="17" t="s">
        <v>392</v>
      </c>
      <c r="C26" s="3" t="s">
        <v>393</v>
      </c>
      <c r="D26" s="9" t="s">
        <v>55</v>
      </c>
      <c r="E26" s="71">
        <v>300000</v>
      </c>
      <c r="F26" s="71">
        <f t="shared" si="1"/>
        <v>300000</v>
      </c>
      <c r="G26" s="71"/>
    </row>
    <row r="27" spans="1:7" ht="18.75" customHeight="1">
      <c r="A27" s="9">
        <v>21</v>
      </c>
      <c r="B27" s="17" t="s">
        <v>395</v>
      </c>
      <c r="C27" s="16" t="s">
        <v>396</v>
      </c>
      <c r="D27" s="14" t="s">
        <v>391</v>
      </c>
      <c r="E27" s="71">
        <v>300000</v>
      </c>
      <c r="F27" s="71">
        <f t="shared" si="1"/>
        <v>300000</v>
      </c>
      <c r="G27" s="71"/>
    </row>
    <row r="28" spans="1:7" ht="18.75" customHeight="1">
      <c r="A28" s="9">
        <v>22</v>
      </c>
      <c r="B28" s="17" t="s">
        <v>397</v>
      </c>
      <c r="C28" s="3" t="s">
        <v>398</v>
      </c>
      <c r="D28" s="9" t="s">
        <v>399</v>
      </c>
      <c r="E28" s="71">
        <v>300000</v>
      </c>
      <c r="F28" s="71">
        <f t="shared" si="1"/>
        <v>300000</v>
      </c>
      <c r="G28" s="71"/>
    </row>
    <row r="29" spans="1:7" ht="18.75" customHeight="1">
      <c r="A29" s="9">
        <v>23</v>
      </c>
      <c r="B29" s="17" t="s">
        <v>1036</v>
      </c>
      <c r="C29" s="11" t="s">
        <v>401</v>
      </c>
      <c r="D29" s="9" t="s">
        <v>399</v>
      </c>
      <c r="E29" s="71">
        <v>300000</v>
      </c>
      <c r="F29" s="71">
        <f t="shared" si="1"/>
        <v>300000</v>
      </c>
      <c r="G29" s="71"/>
    </row>
    <row r="30" spans="1:7" ht="18.75" customHeight="1">
      <c r="A30" s="9">
        <v>24</v>
      </c>
      <c r="B30" s="17" t="s">
        <v>400</v>
      </c>
      <c r="C30" s="11" t="s">
        <v>401</v>
      </c>
      <c r="D30" s="14" t="s">
        <v>402</v>
      </c>
      <c r="E30" s="71">
        <v>300000</v>
      </c>
      <c r="F30" s="71">
        <f t="shared" si="1"/>
        <v>300000</v>
      </c>
      <c r="G30" s="71"/>
    </row>
    <row r="31" spans="1:7" ht="26.25" customHeight="1">
      <c r="A31" s="9"/>
      <c r="B31" s="19" t="s">
        <v>42</v>
      </c>
      <c r="C31" s="20">
        <v>24</v>
      </c>
      <c r="D31" s="14"/>
      <c r="E31" s="76">
        <f>SUM(E7:E30)</f>
        <v>12550000</v>
      </c>
      <c r="F31" s="76">
        <f>SUM(F7:F30)</f>
        <v>5000000</v>
      </c>
      <c r="G31" s="76">
        <f>SUM(G7:G30)</f>
        <v>7550000</v>
      </c>
    </row>
    <row r="32" spans="1:7" ht="18.75" customHeight="1">
      <c r="A32" s="9"/>
      <c r="B32" s="21"/>
      <c r="C32" s="3"/>
      <c r="D32" s="14"/>
      <c r="E32" s="71"/>
      <c r="F32" s="76"/>
      <c r="G32" s="76"/>
    </row>
    <row r="33" spans="1:7" ht="18.75" customHeight="1">
      <c r="A33" s="9"/>
      <c r="B33" s="19" t="s">
        <v>225</v>
      </c>
      <c r="C33" s="3"/>
      <c r="D33" s="14"/>
      <c r="E33" s="71"/>
      <c r="F33" s="71"/>
      <c r="G33" s="71"/>
    </row>
    <row r="34" spans="1:7" ht="18.75" customHeight="1">
      <c r="A34" s="9">
        <v>1</v>
      </c>
      <c r="B34" s="17" t="s">
        <v>403</v>
      </c>
      <c r="C34" s="3" t="s">
        <v>404</v>
      </c>
      <c r="D34" s="9" t="s">
        <v>405</v>
      </c>
      <c r="E34" s="71">
        <v>1000000</v>
      </c>
      <c r="F34" s="71"/>
      <c r="G34" s="71">
        <f>E34</f>
        <v>1000000</v>
      </c>
    </row>
    <row r="35" spans="1:7" ht="18.75" customHeight="1">
      <c r="A35" s="9">
        <v>2</v>
      </c>
      <c r="B35" s="17" t="s">
        <v>406</v>
      </c>
      <c r="C35" s="3" t="s">
        <v>642</v>
      </c>
      <c r="D35" s="9" t="s">
        <v>402</v>
      </c>
      <c r="E35" s="71">
        <v>300000</v>
      </c>
      <c r="F35" s="71">
        <f>E35</f>
        <v>300000</v>
      </c>
      <c r="G35" s="71"/>
    </row>
    <row r="36" spans="1:7" ht="18.75" customHeight="1">
      <c r="A36" s="9">
        <v>3</v>
      </c>
      <c r="B36" s="10" t="s">
        <v>408</v>
      </c>
      <c r="C36" s="11" t="s">
        <v>639</v>
      </c>
      <c r="D36" s="14" t="s">
        <v>409</v>
      </c>
      <c r="E36" s="71">
        <v>300000</v>
      </c>
      <c r="F36" s="71">
        <f>E36</f>
        <v>300000</v>
      </c>
      <c r="G36" s="71"/>
    </row>
    <row r="37" spans="1:7" ht="19.5" customHeight="1">
      <c r="A37" s="9"/>
      <c r="B37" s="13"/>
      <c r="C37" s="20">
        <v>3</v>
      </c>
      <c r="D37" s="9"/>
      <c r="E37" s="76">
        <f>SUM(E34:E36)</f>
        <v>1600000</v>
      </c>
      <c r="F37" s="76">
        <f t="shared" ref="F37:G37" si="2">SUM(F34:F36)</f>
        <v>600000</v>
      </c>
      <c r="G37" s="76">
        <f t="shared" si="2"/>
        <v>1000000</v>
      </c>
    </row>
    <row r="38" spans="1:7" ht="20.100000000000001" customHeight="1">
      <c r="A38" s="9"/>
      <c r="B38" s="13"/>
      <c r="C38" s="3"/>
      <c r="D38" s="9"/>
      <c r="E38" s="71"/>
      <c r="F38" s="76"/>
      <c r="G38" s="76"/>
    </row>
    <row r="39" spans="1:7" ht="20.100000000000001" customHeight="1">
      <c r="A39" s="9"/>
      <c r="B39" s="22" t="s">
        <v>43</v>
      </c>
      <c r="C39" s="4"/>
      <c r="D39" s="23"/>
      <c r="E39" s="71"/>
      <c r="F39" s="76"/>
      <c r="G39" s="76"/>
    </row>
    <row r="40" spans="1:7" ht="20.100000000000001" customHeight="1">
      <c r="A40" s="9">
        <v>1</v>
      </c>
      <c r="B40" s="10" t="s">
        <v>410</v>
      </c>
      <c r="C40" s="3" t="s">
        <v>411</v>
      </c>
      <c r="D40" s="9" t="s">
        <v>405</v>
      </c>
      <c r="E40" s="71">
        <v>1000000</v>
      </c>
      <c r="F40" s="71"/>
      <c r="G40" s="71">
        <f>E40</f>
        <v>1000000</v>
      </c>
    </row>
    <row r="41" spans="1:7" ht="20.100000000000001" customHeight="1">
      <c r="A41" s="9">
        <v>2</v>
      </c>
      <c r="B41" s="10" t="s">
        <v>412</v>
      </c>
      <c r="C41" s="3" t="s">
        <v>413</v>
      </c>
      <c r="D41" s="9" t="s">
        <v>358</v>
      </c>
      <c r="E41" s="71">
        <v>700000</v>
      </c>
      <c r="F41" s="71"/>
      <c r="G41" s="71">
        <f t="shared" ref="G41:G47" si="3">E41</f>
        <v>700000</v>
      </c>
    </row>
    <row r="42" spans="1:7" ht="20.100000000000001" customHeight="1">
      <c r="A42" s="9">
        <v>3</v>
      </c>
      <c r="B42" s="10" t="s">
        <v>414</v>
      </c>
      <c r="C42" s="3" t="s">
        <v>415</v>
      </c>
      <c r="D42" s="9" t="s">
        <v>416</v>
      </c>
      <c r="E42" s="71">
        <v>700000</v>
      </c>
      <c r="F42" s="71"/>
      <c r="G42" s="71">
        <f t="shared" si="3"/>
        <v>700000</v>
      </c>
    </row>
    <row r="43" spans="1:7" ht="20.100000000000001" customHeight="1">
      <c r="A43" s="9">
        <v>4</v>
      </c>
      <c r="B43" s="10" t="s">
        <v>417</v>
      </c>
      <c r="C43" s="3" t="s">
        <v>418</v>
      </c>
      <c r="D43" s="9" t="s">
        <v>358</v>
      </c>
      <c r="E43" s="71">
        <v>700000</v>
      </c>
      <c r="F43" s="71"/>
      <c r="G43" s="71">
        <f t="shared" si="3"/>
        <v>700000</v>
      </c>
    </row>
    <row r="44" spans="1:7" ht="20.100000000000001" customHeight="1">
      <c r="A44" s="9">
        <v>5</v>
      </c>
      <c r="B44" s="10" t="s">
        <v>419</v>
      </c>
      <c r="C44" s="3" t="s">
        <v>418</v>
      </c>
      <c r="D44" s="9" t="s">
        <v>358</v>
      </c>
      <c r="E44" s="71">
        <v>700000</v>
      </c>
      <c r="F44" s="71"/>
      <c r="G44" s="71">
        <f t="shared" si="3"/>
        <v>700000</v>
      </c>
    </row>
    <row r="45" spans="1:7" ht="20.100000000000001" customHeight="1">
      <c r="A45" s="9">
        <v>6</v>
      </c>
      <c r="B45" s="10" t="s">
        <v>420</v>
      </c>
      <c r="C45" s="3" t="s">
        <v>418</v>
      </c>
      <c r="D45" s="9" t="s">
        <v>99</v>
      </c>
      <c r="E45" s="71">
        <v>700000</v>
      </c>
      <c r="F45" s="71"/>
      <c r="G45" s="71">
        <f t="shared" si="3"/>
        <v>700000</v>
      </c>
    </row>
    <row r="46" spans="1:7" ht="20.100000000000001" customHeight="1">
      <c r="A46" s="9">
        <v>7</v>
      </c>
      <c r="B46" s="13" t="s">
        <v>421</v>
      </c>
      <c r="C46" s="3" t="s">
        <v>365</v>
      </c>
      <c r="D46" s="15" t="s">
        <v>366</v>
      </c>
      <c r="E46" s="71">
        <v>500000</v>
      </c>
      <c r="F46" s="71"/>
      <c r="G46" s="71">
        <f t="shared" si="3"/>
        <v>500000</v>
      </c>
    </row>
    <row r="47" spans="1:7" ht="20.100000000000001" customHeight="1">
      <c r="A47" s="9">
        <v>8</v>
      </c>
      <c r="B47" s="10" t="s">
        <v>367</v>
      </c>
      <c r="C47" s="3" t="s">
        <v>368</v>
      </c>
      <c r="D47" s="9" t="s">
        <v>369</v>
      </c>
      <c r="E47" s="71">
        <v>500000</v>
      </c>
      <c r="F47" s="71"/>
      <c r="G47" s="71">
        <f t="shared" si="3"/>
        <v>500000</v>
      </c>
    </row>
    <row r="48" spans="1:7" ht="20.100000000000001" customHeight="1">
      <c r="A48" s="9">
        <v>9</v>
      </c>
      <c r="B48" s="10" t="s">
        <v>422</v>
      </c>
      <c r="C48" s="3" t="s">
        <v>64</v>
      </c>
      <c r="D48" s="9" t="s">
        <v>409</v>
      </c>
      <c r="E48" s="71">
        <v>300000</v>
      </c>
      <c r="F48" s="71">
        <f>E48</f>
        <v>300000</v>
      </c>
      <c r="G48" s="71"/>
    </row>
    <row r="49" spans="1:7" ht="20.100000000000001" customHeight="1">
      <c r="A49" s="9">
        <v>10</v>
      </c>
      <c r="B49" s="10" t="s">
        <v>423</v>
      </c>
      <c r="C49" s="3" t="s">
        <v>64</v>
      </c>
      <c r="D49" s="9" t="s">
        <v>391</v>
      </c>
      <c r="E49" s="71">
        <v>300000</v>
      </c>
      <c r="F49" s="71">
        <f t="shared" ref="F49:F51" si="4">E49</f>
        <v>300000</v>
      </c>
      <c r="G49" s="71"/>
    </row>
    <row r="50" spans="1:7" ht="20.100000000000001" customHeight="1">
      <c r="A50" s="9">
        <v>11</v>
      </c>
      <c r="B50" s="10" t="s">
        <v>424</v>
      </c>
      <c r="C50" s="3" t="s">
        <v>64</v>
      </c>
      <c r="D50" s="9" t="s">
        <v>391</v>
      </c>
      <c r="E50" s="71">
        <v>300000</v>
      </c>
      <c r="F50" s="71">
        <f t="shared" si="4"/>
        <v>300000</v>
      </c>
      <c r="G50" s="71"/>
    </row>
    <row r="51" spans="1:7" ht="20.100000000000001" customHeight="1">
      <c r="A51" s="9">
        <v>12</v>
      </c>
      <c r="B51" s="10" t="s">
        <v>425</v>
      </c>
      <c r="C51" s="3" t="s">
        <v>64</v>
      </c>
      <c r="D51" s="9" t="s">
        <v>391</v>
      </c>
      <c r="E51" s="71">
        <v>300000</v>
      </c>
      <c r="F51" s="71">
        <f t="shared" si="4"/>
        <v>300000</v>
      </c>
      <c r="G51" s="71"/>
    </row>
    <row r="52" spans="1:7" ht="25.5" customHeight="1">
      <c r="A52" s="9"/>
      <c r="B52" s="19" t="s">
        <v>42</v>
      </c>
      <c r="C52" s="20">
        <v>12</v>
      </c>
      <c r="D52" s="20"/>
      <c r="E52" s="76">
        <f>SUM(E40:E51)</f>
        <v>6700000</v>
      </c>
      <c r="F52" s="78">
        <f t="shared" ref="F52:G52" si="5">SUM(F40:F51)</f>
        <v>1200000</v>
      </c>
      <c r="G52" s="78">
        <f t="shared" si="5"/>
        <v>5500000</v>
      </c>
    </row>
    <row r="53" spans="1:7" ht="20.100000000000001" customHeight="1">
      <c r="A53" s="9"/>
      <c r="B53" s="21"/>
      <c r="C53" s="20"/>
      <c r="D53" s="20"/>
      <c r="E53" s="71"/>
      <c r="F53" s="79"/>
      <c r="G53" s="79"/>
    </row>
    <row r="54" spans="1:7" ht="20.100000000000001" customHeight="1">
      <c r="A54" s="9"/>
      <c r="B54" s="19" t="s">
        <v>426</v>
      </c>
      <c r="C54" s="20"/>
      <c r="D54" s="20"/>
      <c r="E54" s="71"/>
      <c r="F54" s="79"/>
      <c r="G54" s="79"/>
    </row>
    <row r="55" spans="1:7" ht="20.100000000000001" customHeight="1">
      <c r="A55" s="9">
        <v>1</v>
      </c>
      <c r="B55" s="10" t="s">
        <v>427</v>
      </c>
      <c r="C55" s="11" t="s">
        <v>428</v>
      </c>
      <c r="D55" s="14" t="s">
        <v>405</v>
      </c>
      <c r="E55" s="71">
        <v>500000</v>
      </c>
      <c r="F55" s="71"/>
      <c r="G55" s="71">
        <f>E55</f>
        <v>500000</v>
      </c>
    </row>
    <row r="56" spans="1:7" ht="20.100000000000001" customHeight="1">
      <c r="A56" s="9">
        <v>2</v>
      </c>
      <c r="B56" s="10" t="s">
        <v>429</v>
      </c>
      <c r="C56" s="11" t="s">
        <v>430</v>
      </c>
      <c r="D56" s="14" t="s">
        <v>335</v>
      </c>
      <c r="E56" s="71">
        <v>700000</v>
      </c>
      <c r="F56" s="71"/>
      <c r="G56" s="71">
        <f>E56</f>
        <v>700000</v>
      </c>
    </row>
    <row r="57" spans="1:7" ht="20.100000000000001" customHeight="1">
      <c r="A57" s="9"/>
      <c r="B57" s="19" t="s">
        <v>42</v>
      </c>
      <c r="C57" s="20">
        <v>2</v>
      </c>
      <c r="D57" s="20"/>
      <c r="E57" s="71">
        <f>SUM(E55:E56)</f>
        <v>1200000</v>
      </c>
      <c r="F57" s="78"/>
      <c r="G57" s="78">
        <f>SUM(G55:G56)</f>
        <v>1200000</v>
      </c>
    </row>
    <row r="58" spans="1:7" ht="20.100000000000001" customHeight="1">
      <c r="A58" s="9"/>
      <c r="B58" s="19"/>
      <c r="C58" s="20"/>
      <c r="D58" s="20"/>
      <c r="E58" s="71"/>
      <c r="F58" s="79"/>
      <c r="G58" s="79"/>
    </row>
    <row r="59" spans="1:7" ht="20.100000000000001" customHeight="1">
      <c r="A59" s="9"/>
      <c r="B59" s="19" t="s">
        <v>60</v>
      </c>
      <c r="C59" s="20"/>
      <c r="D59" s="20"/>
      <c r="E59" s="71"/>
      <c r="F59" s="79"/>
      <c r="G59" s="79"/>
    </row>
    <row r="60" spans="1:7" ht="20.100000000000001" customHeight="1">
      <c r="A60" s="9">
        <v>1</v>
      </c>
      <c r="B60" s="10" t="s">
        <v>431</v>
      </c>
      <c r="C60" s="16" t="s">
        <v>432</v>
      </c>
      <c r="D60" s="9" t="s">
        <v>405</v>
      </c>
      <c r="E60" s="71">
        <v>500000</v>
      </c>
      <c r="F60" s="71"/>
      <c r="G60" s="71">
        <f>E60</f>
        <v>500000</v>
      </c>
    </row>
    <row r="61" spans="1:7" ht="20.100000000000001" customHeight="1">
      <c r="A61" s="9">
        <v>2</v>
      </c>
      <c r="B61" s="330" t="s">
        <v>433</v>
      </c>
      <c r="C61" s="16" t="s">
        <v>434</v>
      </c>
      <c r="D61" s="14" t="s">
        <v>435</v>
      </c>
      <c r="E61" s="71">
        <v>350000</v>
      </c>
      <c r="F61" s="71"/>
      <c r="G61" s="71">
        <f t="shared" ref="G61:G62" si="6">E61</f>
        <v>350000</v>
      </c>
    </row>
    <row r="62" spans="1:7" ht="20.100000000000001" customHeight="1">
      <c r="A62" s="9">
        <v>3</v>
      </c>
      <c r="B62" s="10" t="s">
        <v>436</v>
      </c>
      <c r="C62" s="3" t="s">
        <v>365</v>
      </c>
      <c r="D62" s="9" t="s">
        <v>369</v>
      </c>
      <c r="E62" s="71">
        <v>500000</v>
      </c>
      <c r="F62" s="71"/>
      <c r="G62" s="71">
        <f t="shared" si="6"/>
        <v>500000</v>
      </c>
    </row>
    <row r="63" spans="1:7" ht="20.100000000000001" customHeight="1">
      <c r="A63" s="9">
        <v>4</v>
      </c>
      <c r="B63" s="17" t="s">
        <v>437</v>
      </c>
      <c r="C63" s="16" t="s">
        <v>231</v>
      </c>
      <c r="D63" s="14" t="s">
        <v>375</v>
      </c>
      <c r="E63" s="71">
        <v>500000</v>
      </c>
      <c r="F63" s="71">
        <f>E63</f>
        <v>500000</v>
      </c>
      <c r="G63" s="71"/>
    </row>
    <row r="64" spans="1:7" ht="20.100000000000001" customHeight="1">
      <c r="A64" s="9">
        <v>5</v>
      </c>
      <c r="B64" s="13" t="s">
        <v>438</v>
      </c>
      <c r="C64" s="16" t="s">
        <v>365</v>
      </c>
      <c r="D64" s="14" t="s">
        <v>363</v>
      </c>
      <c r="E64" s="71">
        <v>500000</v>
      </c>
      <c r="F64" s="71"/>
      <c r="G64" s="71">
        <f>E64</f>
        <v>500000</v>
      </c>
    </row>
    <row r="65" spans="1:7" ht="20.100000000000001" customHeight="1">
      <c r="A65" s="9">
        <v>7</v>
      </c>
      <c r="B65" s="10" t="s">
        <v>439</v>
      </c>
      <c r="C65" s="3" t="s">
        <v>64</v>
      </c>
      <c r="D65" s="9" t="s">
        <v>440</v>
      </c>
      <c r="E65" s="71">
        <v>400000</v>
      </c>
      <c r="F65" s="71">
        <f>E65</f>
        <v>400000</v>
      </c>
      <c r="G65" s="71"/>
    </row>
    <row r="66" spans="1:7" ht="20.100000000000001" customHeight="1">
      <c r="A66" s="9">
        <v>8</v>
      </c>
      <c r="B66" s="10" t="s">
        <v>441</v>
      </c>
      <c r="C66" s="16" t="s">
        <v>34</v>
      </c>
      <c r="D66" s="9" t="s">
        <v>440</v>
      </c>
      <c r="E66" s="71">
        <v>400000</v>
      </c>
      <c r="F66" s="71">
        <f t="shared" ref="F66:F70" si="7">E66</f>
        <v>400000</v>
      </c>
      <c r="G66" s="71"/>
    </row>
    <row r="67" spans="1:7" ht="20.100000000000001" customHeight="1">
      <c r="A67" s="9">
        <v>9</v>
      </c>
      <c r="B67" s="10" t="s">
        <v>442</v>
      </c>
      <c r="C67" s="16" t="s">
        <v>34</v>
      </c>
      <c r="D67" s="9" t="s">
        <v>440</v>
      </c>
      <c r="E67" s="71">
        <v>400000</v>
      </c>
      <c r="F67" s="71">
        <f t="shared" si="7"/>
        <v>400000</v>
      </c>
      <c r="G67" s="71"/>
    </row>
    <row r="68" spans="1:7" ht="20.100000000000001" customHeight="1">
      <c r="A68" s="9">
        <v>10</v>
      </c>
      <c r="B68" s="10" t="s">
        <v>443</v>
      </c>
      <c r="C68" s="3" t="s">
        <v>444</v>
      </c>
      <c r="D68" s="9" t="s">
        <v>380</v>
      </c>
      <c r="E68" s="71">
        <v>400000</v>
      </c>
      <c r="F68" s="71">
        <f t="shared" si="7"/>
        <v>400000</v>
      </c>
      <c r="G68" s="71"/>
    </row>
    <row r="69" spans="1:7" ht="21.6" customHeight="1">
      <c r="A69" s="9">
        <v>11</v>
      </c>
      <c r="B69" s="10" t="s">
        <v>445</v>
      </c>
      <c r="C69" s="3" t="s">
        <v>64</v>
      </c>
      <c r="D69" s="9" t="s">
        <v>409</v>
      </c>
      <c r="E69" s="71">
        <v>300000</v>
      </c>
      <c r="F69" s="71">
        <f t="shared" si="7"/>
        <v>300000</v>
      </c>
      <c r="G69" s="71"/>
    </row>
    <row r="70" spans="1:7" ht="20.100000000000001" customHeight="1">
      <c r="A70" s="9">
        <v>12</v>
      </c>
      <c r="B70" s="10" t="s">
        <v>389</v>
      </c>
      <c r="C70" s="16" t="s">
        <v>382</v>
      </c>
      <c r="D70" s="9" t="s">
        <v>387</v>
      </c>
      <c r="E70" s="71">
        <v>300000</v>
      </c>
      <c r="F70" s="71">
        <f t="shared" si="7"/>
        <v>300000</v>
      </c>
      <c r="G70" s="71"/>
    </row>
    <row r="71" spans="1:7" ht="27" customHeight="1">
      <c r="A71" s="9"/>
      <c r="B71" s="19" t="s">
        <v>42</v>
      </c>
      <c r="C71" s="20">
        <v>12</v>
      </c>
      <c r="D71" s="20"/>
      <c r="E71" s="76">
        <f>SUM(E60:E70)</f>
        <v>4550000</v>
      </c>
      <c r="F71" s="78">
        <f t="shared" ref="F71:G71" si="8">SUM(F60:F70)</f>
        <v>2700000</v>
      </c>
      <c r="G71" s="78">
        <f t="shared" si="8"/>
        <v>1850000</v>
      </c>
    </row>
    <row r="72" spans="1:7" ht="20.100000000000001" customHeight="1">
      <c r="A72" s="9"/>
      <c r="B72" s="21"/>
      <c r="C72" s="20"/>
      <c r="D72" s="20"/>
      <c r="E72" s="71"/>
      <c r="F72" s="79"/>
      <c r="G72" s="79"/>
    </row>
    <row r="73" spans="1:7" ht="20.100000000000001" customHeight="1">
      <c r="A73" s="9"/>
      <c r="B73" s="19" t="s">
        <v>65</v>
      </c>
      <c r="C73" s="20"/>
      <c r="D73" s="20"/>
      <c r="E73" s="71"/>
      <c r="F73" s="79"/>
      <c r="G73" s="79"/>
    </row>
    <row r="74" spans="1:7" ht="20.100000000000001" customHeight="1">
      <c r="A74" s="9">
        <v>1</v>
      </c>
      <c r="B74" s="10" t="s">
        <v>446</v>
      </c>
      <c r="C74" s="3" t="s">
        <v>447</v>
      </c>
      <c r="D74" s="9" t="s">
        <v>405</v>
      </c>
      <c r="E74" s="71">
        <v>1000000</v>
      </c>
      <c r="F74" s="71"/>
      <c r="G74" s="71">
        <f>E74</f>
        <v>1000000</v>
      </c>
    </row>
    <row r="75" spans="1:7" ht="20.100000000000001" customHeight="1">
      <c r="A75" s="9">
        <v>2</v>
      </c>
      <c r="B75" s="13" t="s">
        <v>331</v>
      </c>
      <c r="C75" s="3" t="s">
        <v>76</v>
      </c>
      <c r="D75" s="14" t="s">
        <v>332</v>
      </c>
      <c r="E75" s="71">
        <v>700000</v>
      </c>
      <c r="F75" s="71"/>
      <c r="G75" s="71">
        <f t="shared" ref="G75:G77" si="9">E75</f>
        <v>700000</v>
      </c>
    </row>
    <row r="76" spans="1:7" ht="20.100000000000001" customHeight="1">
      <c r="A76" s="9">
        <v>3</v>
      </c>
      <c r="B76" s="17" t="s">
        <v>333</v>
      </c>
      <c r="C76" s="11" t="s">
        <v>334</v>
      </c>
      <c r="D76" s="9" t="s">
        <v>335</v>
      </c>
      <c r="E76" s="71">
        <v>700000</v>
      </c>
      <c r="F76" s="71"/>
      <c r="G76" s="71">
        <f t="shared" si="9"/>
        <v>700000</v>
      </c>
    </row>
    <row r="77" spans="1:7" ht="20.100000000000001" customHeight="1">
      <c r="A77" s="9">
        <v>4</v>
      </c>
      <c r="B77" s="10" t="s">
        <v>448</v>
      </c>
      <c r="C77" s="3" t="s">
        <v>449</v>
      </c>
      <c r="D77" s="14" t="s">
        <v>450</v>
      </c>
      <c r="E77" s="71">
        <v>500000</v>
      </c>
      <c r="F77" s="71"/>
      <c r="G77" s="71">
        <f t="shared" si="9"/>
        <v>500000</v>
      </c>
    </row>
    <row r="78" spans="1:7" ht="20.100000000000001" customHeight="1">
      <c r="A78" s="9">
        <v>5</v>
      </c>
      <c r="B78" s="10" t="s">
        <v>451</v>
      </c>
      <c r="C78" s="3" t="s">
        <v>452</v>
      </c>
      <c r="D78" s="9" t="s">
        <v>453</v>
      </c>
      <c r="E78" s="71">
        <v>300000</v>
      </c>
      <c r="F78" s="71">
        <f>E78</f>
        <v>300000</v>
      </c>
      <c r="G78" s="71"/>
    </row>
    <row r="79" spans="1:7" ht="20.100000000000001" customHeight="1">
      <c r="A79" s="9">
        <v>6</v>
      </c>
      <c r="B79" s="10" t="s">
        <v>454</v>
      </c>
      <c r="C79" s="3" t="s">
        <v>452</v>
      </c>
      <c r="D79" s="9" t="s">
        <v>391</v>
      </c>
      <c r="E79" s="71">
        <v>300000</v>
      </c>
      <c r="F79" s="71">
        <f t="shared" ref="F79:F80" si="10">E79</f>
        <v>300000</v>
      </c>
      <c r="G79" s="71"/>
    </row>
    <row r="80" spans="1:7" ht="20.100000000000001" customHeight="1">
      <c r="A80" s="9">
        <v>7</v>
      </c>
      <c r="B80" s="10" t="s">
        <v>455</v>
      </c>
      <c r="C80" s="3" t="s">
        <v>456</v>
      </c>
      <c r="D80" s="9" t="s">
        <v>402</v>
      </c>
      <c r="E80" s="71">
        <v>300000</v>
      </c>
      <c r="F80" s="71">
        <f t="shared" si="10"/>
        <v>300000</v>
      </c>
      <c r="G80" s="71"/>
    </row>
    <row r="81" spans="1:7" ht="20.100000000000001" customHeight="1">
      <c r="A81" s="9"/>
      <c r="B81" s="19" t="s">
        <v>42</v>
      </c>
      <c r="C81" s="20">
        <v>7</v>
      </c>
      <c r="D81" s="20"/>
      <c r="E81" s="76">
        <f>SUM(E74:E80)</f>
        <v>3800000</v>
      </c>
      <c r="F81" s="78">
        <f t="shared" ref="F81:G81" si="11">SUM(F74:F80)</f>
        <v>900000</v>
      </c>
      <c r="G81" s="78">
        <f t="shared" si="11"/>
        <v>2900000</v>
      </c>
    </row>
    <row r="82" spans="1:7" ht="20.100000000000001" customHeight="1">
      <c r="A82" s="9"/>
      <c r="B82" s="19"/>
      <c r="C82" s="20"/>
      <c r="D82" s="20"/>
      <c r="E82" s="71"/>
      <c r="F82" s="79"/>
      <c r="G82" s="79"/>
    </row>
    <row r="83" spans="1:7" ht="20.100000000000001" customHeight="1">
      <c r="A83" s="9"/>
      <c r="B83" s="19" t="s">
        <v>74</v>
      </c>
      <c r="C83" s="24"/>
      <c r="D83" s="20"/>
      <c r="E83" s="71"/>
      <c r="F83" s="79"/>
      <c r="G83" s="79"/>
    </row>
    <row r="84" spans="1:7" ht="20.100000000000001" customHeight="1">
      <c r="A84" s="9">
        <v>1</v>
      </c>
      <c r="B84" s="10" t="s">
        <v>457</v>
      </c>
      <c r="C84" s="3" t="s">
        <v>418</v>
      </c>
      <c r="D84" s="9" t="s">
        <v>358</v>
      </c>
      <c r="E84" s="71">
        <f>700000</f>
        <v>700000</v>
      </c>
      <c r="F84" s="71"/>
      <c r="G84" s="71">
        <f>E84</f>
        <v>700000</v>
      </c>
    </row>
    <row r="85" spans="1:7" ht="20.100000000000001" customHeight="1">
      <c r="A85" s="9">
        <v>2</v>
      </c>
      <c r="B85" s="10" t="s">
        <v>458</v>
      </c>
      <c r="C85" s="3" t="s">
        <v>418</v>
      </c>
      <c r="D85" s="9" t="s">
        <v>358</v>
      </c>
      <c r="E85" s="71">
        <f t="shared" ref="E85:E87" si="12">700000</f>
        <v>700000</v>
      </c>
      <c r="F85" s="71"/>
      <c r="G85" s="71">
        <f t="shared" ref="G85:G87" si="13">E85</f>
        <v>700000</v>
      </c>
    </row>
    <row r="86" spans="1:7" ht="20.100000000000001" customHeight="1">
      <c r="A86" s="9">
        <v>3</v>
      </c>
      <c r="B86" s="13" t="s">
        <v>493</v>
      </c>
      <c r="C86" s="3" t="s">
        <v>418</v>
      </c>
      <c r="D86" s="9" t="s">
        <v>435</v>
      </c>
      <c r="E86" s="71">
        <f t="shared" si="12"/>
        <v>700000</v>
      </c>
      <c r="F86" s="71"/>
      <c r="G86" s="71">
        <f t="shared" si="13"/>
        <v>700000</v>
      </c>
    </row>
    <row r="87" spans="1:7" ht="20.100000000000001" customHeight="1">
      <c r="A87" s="9">
        <v>4</v>
      </c>
      <c r="B87" s="10" t="s">
        <v>459</v>
      </c>
      <c r="C87" s="3" t="s">
        <v>418</v>
      </c>
      <c r="D87" s="9" t="s">
        <v>99</v>
      </c>
      <c r="E87" s="71">
        <f t="shared" si="12"/>
        <v>700000</v>
      </c>
      <c r="F87" s="71"/>
      <c r="G87" s="71">
        <f t="shared" si="13"/>
        <v>700000</v>
      </c>
    </row>
    <row r="88" spans="1:7" ht="21.6" customHeight="1">
      <c r="A88" s="9">
        <v>5</v>
      </c>
      <c r="B88" s="10" t="s">
        <v>460</v>
      </c>
      <c r="C88" s="3" t="s">
        <v>461</v>
      </c>
      <c r="D88" s="14" t="s">
        <v>372</v>
      </c>
      <c r="E88" s="71">
        <v>500000</v>
      </c>
      <c r="F88" s="71">
        <f>E88</f>
        <v>500000</v>
      </c>
      <c r="G88" s="71"/>
    </row>
    <row r="89" spans="1:7" ht="21.6" customHeight="1">
      <c r="A89" s="9">
        <v>6</v>
      </c>
      <c r="B89" s="10" t="s">
        <v>462</v>
      </c>
      <c r="C89" s="11" t="s">
        <v>231</v>
      </c>
      <c r="D89" s="14" t="s">
        <v>375</v>
      </c>
      <c r="E89" s="71">
        <v>500000</v>
      </c>
      <c r="F89" s="71">
        <f>E89</f>
        <v>500000</v>
      </c>
      <c r="G89" s="71"/>
    </row>
    <row r="90" spans="1:7" ht="21.6" customHeight="1">
      <c r="A90" s="9">
        <v>7</v>
      </c>
      <c r="B90" s="10" t="s">
        <v>463</v>
      </c>
      <c r="C90" s="11" t="s">
        <v>365</v>
      </c>
      <c r="D90" s="14" t="s">
        <v>29</v>
      </c>
      <c r="E90" s="71">
        <v>250000</v>
      </c>
      <c r="F90" s="71"/>
      <c r="G90" s="71">
        <f>E90</f>
        <v>250000</v>
      </c>
    </row>
    <row r="91" spans="1:7" ht="21.6" customHeight="1">
      <c r="A91" s="9">
        <v>8</v>
      </c>
      <c r="B91" s="10" t="s">
        <v>464</v>
      </c>
      <c r="C91" s="16" t="s">
        <v>34</v>
      </c>
      <c r="D91" s="14" t="s">
        <v>440</v>
      </c>
      <c r="E91" s="71">
        <v>400000</v>
      </c>
      <c r="F91" s="71">
        <f>E91</f>
        <v>400000</v>
      </c>
      <c r="G91" s="71"/>
    </row>
    <row r="92" spans="1:7" ht="21.6" customHeight="1">
      <c r="A92" s="9">
        <v>9</v>
      </c>
      <c r="B92" s="10" t="s">
        <v>465</v>
      </c>
      <c r="C92" s="16" t="s">
        <v>34</v>
      </c>
      <c r="D92" s="14" t="s">
        <v>81</v>
      </c>
      <c r="E92" s="71">
        <v>500000</v>
      </c>
      <c r="F92" s="71">
        <f t="shared" ref="F92:F94" si="14">E92</f>
        <v>500000</v>
      </c>
      <c r="G92" s="71"/>
    </row>
    <row r="93" spans="1:7" ht="21.6" customHeight="1">
      <c r="A93" s="9">
        <v>10</v>
      </c>
      <c r="B93" s="10" t="s">
        <v>466</v>
      </c>
      <c r="C93" s="3" t="s">
        <v>467</v>
      </c>
      <c r="D93" s="9" t="s">
        <v>409</v>
      </c>
      <c r="E93" s="71">
        <v>300000</v>
      </c>
      <c r="F93" s="71">
        <f t="shared" si="14"/>
        <v>300000</v>
      </c>
      <c r="G93" s="71"/>
    </row>
    <row r="94" spans="1:7" ht="21.6" customHeight="1">
      <c r="A94" s="9">
        <v>11</v>
      </c>
      <c r="B94" s="10" t="s">
        <v>468</v>
      </c>
      <c r="C94" s="16" t="s">
        <v>469</v>
      </c>
      <c r="D94" s="14" t="s">
        <v>399</v>
      </c>
      <c r="E94" s="71">
        <v>300000</v>
      </c>
      <c r="F94" s="71">
        <f t="shared" si="14"/>
        <v>300000</v>
      </c>
      <c r="G94" s="71"/>
    </row>
    <row r="95" spans="1:7" ht="20.100000000000001" customHeight="1">
      <c r="A95" s="9"/>
      <c r="B95" s="19" t="s">
        <v>42</v>
      </c>
      <c r="C95" s="20">
        <v>11</v>
      </c>
      <c r="D95" s="20"/>
      <c r="E95" s="76">
        <f>SUM(E84:E94)</f>
        <v>5550000</v>
      </c>
      <c r="F95" s="78">
        <f t="shared" ref="F95:G95" si="15">SUM(F84:F94)</f>
        <v>2500000</v>
      </c>
      <c r="G95" s="78">
        <f t="shared" si="15"/>
        <v>3050000</v>
      </c>
    </row>
    <row r="96" spans="1:7" ht="20.100000000000001" customHeight="1">
      <c r="A96" s="9"/>
      <c r="B96" s="21"/>
      <c r="C96" s="20"/>
      <c r="D96" s="20"/>
      <c r="E96" s="71"/>
      <c r="F96" s="79"/>
      <c r="G96" s="79"/>
    </row>
    <row r="97" spans="1:7" ht="20.100000000000001" customHeight="1">
      <c r="A97" s="9"/>
      <c r="B97" s="19" t="s">
        <v>84</v>
      </c>
      <c r="C97" s="20"/>
      <c r="D97" s="20"/>
      <c r="E97" s="71"/>
      <c r="F97" s="79"/>
      <c r="G97" s="79"/>
    </row>
    <row r="98" spans="1:7" ht="20.100000000000001" customHeight="1">
      <c r="A98" s="9">
        <v>1</v>
      </c>
      <c r="B98" s="13" t="s">
        <v>470</v>
      </c>
      <c r="C98" s="3" t="s">
        <v>471</v>
      </c>
      <c r="D98" s="15" t="s">
        <v>340</v>
      </c>
      <c r="E98" s="71">
        <v>700000</v>
      </c>
      <c r="F98" s="71"/>
      <c r="G98" s="71">
        <v>700000</v>
      </c>
    </row>
    <row r="99" spans="1:7" ht="20.100000000000001" customHeight="1">
      <c r="A99" s="9">
        <v>2</v>
      </c>
      <c r="B99" s="10" t="s">
        <v>473</v>
      </c>
      <c r="C99" s="3" t="s">
        <v>474</v>
      </c>
      <c r="D99" s="14" t="s">
        <v>450</v>
      </c>
      <c r="E99" s="71">
        <v>500000</v>
      </c>
      <c r="F99" s="71"/>
      <c r="G99" s="71">
        <v>500000</v>
      </c>
    </row>
    <row r="100" spans="1:7" ht="20.100000000000001" customHeight="1">
      <c r="A100" s="9">
        <v>3</v>
      </c>
      <c r="B100" s="10" t="s">
        <v>475</v>
      </c>
      <c r="C100" s="3" t="s">
        <v>476</v>
      </c>
      <c r="D100" s="14" t="s">
        <v>380</v>
      </c>
      <c r="E100" s="71">
        <v>400000</v>
      </c>
      <c r="F100" s="71">
        <v>400000</v>
      </c>
      <c r="G100" s="71"/>
    </row>
    <row r="101" spans="1:7" ht="20.100000000000001" customHeight="1">
      <c r="A101" s="9">
        <v>4</v>
      </c>
      <c r="B101" s="10" t="s">
        <v>477</v>
      </c>
      <c r="C101" s="3" t="s">
        <v>478</v>
      </c>
      <c r="D101" s="14" t="s">
        <v>409</v>
      </c>
      <c r="E101" s="71">
        <v>300000</v>
      </c>
      <c r="F101" s="71">
        <v>300000</v>
      </c>
      <c r="G101" s="71"/>
    </row>
    <row r="102" spans="1:7" ht="20.100000000000001" customHeight="1">
      <c r="A102" s="3"/>
      <c r="B102" s="19" t="s">
        <v>42</v>
      </c>
      <c r="C102" s="20">
        <v>4</v>
      </c>
      <c r="D102" s="25"/>
      <c r="E102" s="78">
        <f>SUM(E98:E101)</f>
        <v>1900000</v>
      </c>
      <c r="F102" s="78">
        <f t="shared" ref="F102:G102" si="16">SUM(F98:F101)</f>
        <v>700000</v>
      </c>
      <c r="G102" s="78">
        <f t="shared" si="16"/>
        <v>1200000</v>
      </c>
    </row>
    <row r="103" spans="1:7" ht="20.100000000000001" customHeight="1">
      <c r="A103" s="3"/>
      <c r="B103" s="21"/>
      <c r="C103" s="20"/>
      <c r="D103" s="25"/>
      <c r="E103" s="79"/>
      <c r="F103" s="79"/>
      <c r="G103" s="79"/>
    </row>
    <row r="104" spans="1:7" ht="20.100000000000001" customHeight="1">
      <c r="A104" s="3"/>
      <c r="B104" s="19" t="s">
        <v>479</v>
      </c>
      <c r="C104" s="3"/>
      <c r="D104" s="3"/>
      <c r="E104" s="83"/>
      <c r="F104" s="83"/>
      <c r="G104" s="83"/>
    </row>
    <row r="105" spans="1:7" ht="20.100000000000001" customHeight="1">
      <c r="A105" s="3">
        <v>1</v>
      </c>
      <c r="B105" s="10" t="s">
        <v>480</v>
      </c>
      <c r="C105" s="11" t="s">
        <v>481</v>
      </c>
      <c r="D105" s="14" t="s">
        <v>405</v>
      </c>
      <c r="E105" s="71">
        <v>1000000</v>
      </c>
      <c r="F105" s="71"/>
      <c r="G105" s="71">
        <f>E105</f>
        <v>1000000</v>
      </c>
    </row>
    <row r="106" spans="1:7" ht="20.100000000000001" customHeight="1">
      <c r="A106" s="3">
        <v>2</v>
      </c>
      <c r="B106" s="10" t="s">
        <v>482</v>
      </c>
      <c r="C106" s="3" t="s">
        <v>483</v>
      </c>
      <c r="D106" s="15" t="s">
        <v>340</v>
      </c>
      <c r="E106" s="71">
        <v>700000</v>
      </c>
      <c r="F106" s="71"/>
      <c r="G106" s="71">
        <f>E106</f>
        <v>700000</v>
      </c>
    </row>
    <row r="107" spans="1:7" ht="20.100000000000001" customHeight="1">
      <c r="A107" s="3">
        <v>3</v>
      </c>
      <c r="B107" s="10" t="s">
        <v>484</v>
      </c>
      <c r="C107" s="3" t="s">
        <v>485</v>
      </c>
      <c r="D107" s="9" t="s">
        <v>372</v>
      </c>
      <c r="E107" s="71">
        <v>500000</v>
      </c>
      <c r="F107" s="71">
        <f>E107</f>
        <v>500000</v>
      </c>
      <c r="G107" s="71"/>
    </row>
    <row r="108" spans="1:7" ht="20.100000000000001" customHeight="1">
      <c r="A108" s="3">
        <v>4</v>
      </c>
      <c r="B108" s="10" t="s">
        <v>486</v>
      </c>
      <c r="C108" s="3" t="s">
        <v>485</v>
      </c>
      <c r="D108" s="9" t="s">
        <v>372</v>
      </c>
      <c r="E108" s="71">
        <v>500000</v>
      </c>
      <c r="F108" s="71">
        <f>E108</f>
        <v>500000</v>
      </c>
      <c r="G108" s="71"/>
    </row>
    <row r="109" spans="1:7" ht="20.100000000000001" customHeight="1">
      <c r="A109" s="3">
        <v>5</v>
      </c>
      <c r="B109" s="10" t="s">
        <v>487</v>
      </c>
      <c r="C109" s="3" t="s">
        <v>488</v>
      </c>
      <c r="D109" s="14" t="s">
        <v>489</v>
      </c>
      <c r="E109" s="350">
        <v>300000</v>
      </c>
      <c r="F109" s="71">
        <f t="shared" ref="F109:F111" si="17">E109</f>
        <v>300000</v>
      </c>
      <c r="G109" s="71"/>
    </row>
    <row r="110" spans="1:7" ht="20.100000000000001" customHeight="1">
      <c r="A110" s="3">
        <v>6</v>
      </c>
      <c r="B110" s="17" t="s">
        <v>490</v>
      </c>
      <c r="C110" s="3" t="s">
        <v>488</v>
      </c>
      <c r="D110" s="9" t="s">
        <v>491</v>
      </c>
      <c r="E110" s="350">
        <v>300000</v>
      </c>
      <c r="F110" s="71">
        <f t="shared" si="17"/>
        <v>300000</v>
      </c>
      <c r="G110" s="71"/>
    </row>
    <row r="111" spans="1:7" ht="20.100000000000001" customHeight="1">
      <c r="A111" s="3">
        <v>7</v>
      </c>
      <c r="B111" s="17" t="s">
        <v>492</v>
      </c>
      <c r="C111" s="3" t="s">
        <v>488</v>
      </c>
      <c r="D111" s="14" t="s">
        <v>399</v>
      </c>
      <c r="E111" s="350">
        <v>300000</v>
      </c>
      <c r="F111" s="71">
        <f t="shared" si="17"/>
        <v>300000</v>
      </c>
      <c r="G111" s="71"/>
    </row>
    <row r="112" spans="1:7" ht="25.5" customHeight="1">
      <c r="A112" s="3"/>
      <c r="B112" s="19" t="s">
        <v>42</v>
      </c>
      <c r="C112" s="20">
        <v>7</v>
      </c>
      <c r="D112" s="3"/>
      <c r="E112" s="84">
        <f>SUM(E105:E111)</f>
        <v>3600000</v>
      </c>
      <c r="F112" s="84">
        <f t="shared" ref="F112:G112" si="18">SUM(F105:F111)</f>
        <v>1900000</v>
      </c>
      <c r="G112" s="84">
        <f t="shared" si="18"/>
        <v>1700000</v>
      </c>
    </row>
    <row r="113" spans="1:7" ht="20.100000000000001" customHeight="1">
      <c r="A113" s="3"/>
      <c r="B113" s="19"/>
      <c r="C113" s="20"/>
      <c r="D113" s="3"/>
      <c r="E113" s="84"/>
      <c r="F113" s="84"/>
      <c r="G113" s="84"/>
    </row>
    <row r="114" spans="1:7" ht="20.100000000000001" customHeight="1">
      <c r="A114" s="9"/>
      <c r="B114" s="19" t="s">
        <v>242</v>
      </c>
      <c r="C114" s="20"/>
      <c r="D114" s="20"/>
      <c r="E114" s="79"/>
      <c r="F114" s="79"/>
      <c r="G114" s="79"/>
    </row>
    <row r="115" spans="1:7" ht="20.100000000000001" customHeight="1">
      <c r="A115" s="9">
        <v>1</v>
      </c>
      <c r="B115" s="10" t="s">
        <v>494</v>
      </c>
      <c r="C115" s="3" t="s">
        <v>495</v>
      </c>
      <c r="D115" s="14" t="s">
        <v>380</v>
      </c>
      <c r="E115" s="351">
        <v>400000</v>
      </c>
      <c r="F115" s="351">
        <f>E115</f>
        <v>400000</v>
      </c>
      <c r="G115" s="351"/>
    </row>
    <row r="116" spans="1:7" ht="18.75" customHeight="1">
      <c r="A116" s="9">
        <v>2</v>
      </c>
      <c r="B116" s="10" t="s">
        <v>496</v>
      </c>
      <c r="C116" s="11" t="s">
        <v>497</v>
      </c>
      <c r="D116" s="14" t="s">
        <v>498</v>
      </c>
      <c r="E116" s="351">
        <v>400000</v>
      </c>
      <c r="F116" s="351">
        <f>E116</f>
        <v>400000</v>
      </c>
      <c r="G116" s="351"/>
    </row>
    <row r="117" spans="1:7" ht="20.100000000000001" customHeight="1">
      <c r="A117" s="3"/>
      <c r="B117" s="19" t="s">
        <v>42</v>
      </c>
      <c r="C117" s="20">
        <v>2</v>
      </c>
      <c r="D117" s="25"/>
      <c r="E117" s="352">
        <f>SUM(E115:E116)</f>
        <v>800000</v>
      </c>
      <c r="F117" s="352">
        <f>SUM(F115:F116)</f>
        <v>800000</v>
      </c>
      <c r="G117" s="78"/>
    </row>
    <row r="118" spans="1:7" ht="24.75" customHeight="1">
      <c r="A118" s="3"/>
      <c r="B118" s="21"/>
      <c r="C118" s="9"/>
      <c r="D118" s="3"/>
    </row>
    <row r="119" spans="1:7" ht="20.100000000000001" customHeight="1">
      <c r="A119" s="3"/>
      <c r="B119" s="19" t="s">
        <v>97</v>
      </c>
      <c r="C119" s="20"/>
      <c r="D119" s="20"/>
      <c r="E119" s="85"/>
      <c r="F119" s="85"/>
      <c r="G119" s="85"/>
    </row>
    <row r="120" spans="1:7" ht="20.100000000000001" customHeight="1">
      <c r="A120" s="3">
        <v>1</v>
      </c>
      <c r="B120" s="10" t="s">
        <v>499</v>
      </c>
      <c r="C120" s="11" t="s">
        <v>500</v>
      </c>
      <c r="D120" s="14" t="s">
        <v>405</v>
      </c>
      <c r="E120" s="71">
        <v>1000000</v>
      </c>
      <c r="F120" s="71"/>
      <c r="G120" s="71">
        <f>E120</f>
        <v>1000000</v>
      </c>
    </row>
    <row r="121" spans="1:7" ht="20.100000000000001" customHeight="1">
      <c r="A121" s="3">
        <v>2</v>
      </c>
      <c r="B121" s="10" t="s">
        <v>178</v>
      </c>
      <c r="C121" s="11" t="s">
        <v>501</v>
      </c>
      <c r="D121" s="14" t="s">
        <v>416</v>
      </c>
      <c r="E121" s="71">
        <v>700000</v>
      </c>
      <c r="F121" s="71"/>
      <c r="G121" s="71">
        <f t="shared" ref="G121:G126" si="19">E121</f>
        <v>700000</v>
      </c>
    </row>
    <row r="122" spans="1:7" ht="20.100000000000001" customHeight="1">
      <c r="A122" s="3">
        <v>3</v>
      </c>
      <c r="B122" s="13" t="s">
        <v>502</v>
      </c>
      <c r="C122" s="11" t="s">
        <v>337</v>
      </c>
      <c r="D122" s="14" t="s">
        <v>358</v>
      </c>
      <c r="E122" s="71">
        <v>700000</v>
      </c>
      <c r="F122" s="71"/>
      <c r="G122" s="71">
        <f t="shared" si="19"/>
        <v>700000</v>
      </c>
    </row>
    <row r="123" spans="1:7" ht="20.100000000000001" customHeight="1">
      <c r="A123" s="3">
        <v>4</v>
      </c>
      <c r="B123" s="13" t="s">
        <v>336</v>
      </c>
      <c r="C123" s="11" t="s">
        <v>337</v>
      </c>
      <c r="D123" s="14" t="s">
        <v>435</v>
      </c>
      <c r="E123" s="71">
        <v>700000</v>
      </c>
      <c r="F123" s="71"/>
      <c r="G123" s="71">
        <f t="shared" si="19"/>
        <v>700000</v>
      </c>
    </row>
    <row r="124" spans="1:7" ht="20.100000000000001" customHeight="1">
      <c r="A124" s="3">
        <v>5</v>
      </c>
      <c r="B124" s="10" t="s">
        <v>503</v>
      </c>
      <c r="C124" s="11" t="s">
        <v>504</v>
      </c>
      <c r="D124" s="14" t="s">
        <v>366</v>
      </c>
      <c r="E124" s="71">
        <v>500000</v>
      </c>
      <c r="F124" s="71"/>
      <c r="G124" s="71">
        <f t="shared" si="19"/>
        <v>500000</v>
      </c>
    </row>
    <row r="125" spans="1:7" ht="20.100000000000001" customHeight="1">
      <c r="A125" s="3">
        <v>6</v>
      </c>
      <c r="B125" s="10" t="s">
        <v>505</v>
      </c>
      <c r="C125" s="11" t="s">
        <v>506</v>
      </c>
      <c r="D125" s="14" t="s">
        <v>369</v>
      </c>
      <c r="E125" s="71">
        <v>500000</v>
      </c>
      <c r="F125" s="71"/>
      <c r="G125" s="71">
        <f t="shared" si="19"/>
        <v>500000</v>
      </c>
    </row>
    <row r="126" spans="1:7" ht="20.100000000000001" customHeight="1">
      <c r="A126" s="3">
        <v>7</v>
      </c>
      <c r="B126" s="10" t="s">
        <v>507</v>
      </c>
      <c r="C126" s="11" t="s">
        <v>504</v>
      </c>
      <c r="D126" s="14" t="s">
        <v>450</v>
      </c>
      <c r="E126" s="71">
        <v>500000</v>
      </c>
      <c r="F126" s="71"/>
      <c r="G126" s="71">
        <f t="shared" si="19"/>
        <v>500000</v>
      </c>
    </row>
    <row r="127" spans="1:7" ht="20.100000000000001" customHeight="1">
      <c r="A127" s="3">
        <v>8</v>
      </c>
      <c r="B127" s="10" t="s">
        <v>508</v>
      </c>
      <c r="C127" s="11" t="s">
        <v>509</v>
      </c>
      <c r="D127" s="9" t="s">
        <v>387</v>
      </c>
      <c r="E127" s="71">
        <v>300000</v>
      </c>
      <c r="F127" s="71">
        <f>E127</f>
        <v>300000</v>
      </c>
      <c r="G127" s="71"/>
    </row>
    <row r="128" spans="1:7" ht="20.100000000000001" customHeight="1">
      <c r="A128" s="3">
        <v>9</v>
      </c>
      <c r="B128" s="17" t="s">
        <v>510</v>
      </c>
      <c r="C128" s="11" t="s">
        <v>511</v>
      </c>
      <c r="D128" s="14" t="s">
        <v>402</v>
      </c>
      <c r="E128" s="71">
        <v>300000</v>
      </c>
      <c r="F128" s="71">
        <f t="shared" ref="F128:F129" si="20">E128</f>
        <v>300000</v>
      </c>
      <c r="G128" s="71"/>
    </row>
    <row r="129" spans="1:7" ht="20.100000000000001" customHeight="1">
      <c r="A129" s="3">
        <v>10</v>
      </c>
      <c r="B129" s="17" t="s">
        <v>512</v>
      </c>
      <c r="C129" s="11" t="s">
        <v>248</v>
      </c>
      <c r="D129" s="14" t="s">
        <v>402</v>
      </c>
      <c r="E129" s="71">
        <v>300000</v>
      </c>
      <c r="F129" s="71">
        <f t="shared" si="20"/>
        <v>300000</v>
      </c>
      <c r="G129" s="71"/>
    </row>
    <row r="130" spans="1:7" ht="20.100000000000001" customHeight="1">
      <c r="A130" s="3"/>
      <c r="B130" s="19" t="s">
        <v>42</v>
      </c>
      <c r="C130" s="25" t="s">
        <v>513</v>
      </c>
      <c r="D130" s="14"/>
      <c r="E130" s="79">
        <f>SUM(E120:E129)</f>
        <v>5500000</v>
      </c>
      <c r="F130" s="79">
        <f t="shared" ref="F130:G130" si="21">SUM(F120:F129)</f>
        <v>900000</v>
      </c>
      <c r="G130" s="79">
        <f t="shared" si="21"/>
        <v>4600000</v>
      </c>
    </row>
    <row r="131" spans="1:7" ht="28.5" customHeight="1">
      <c r="A131" s="3"/>
      <c r="B131" s="21"/>
      <c r="C131" s="25"/>
      <c r="D131" s="14"/>
      <c r="E131" s="3"/>
      <c r="F131" s="3"/>
      <c r="G131" s="3"/>
    </row>
    <row r="132" spans="1:7" ht="20.100000000000001" customHeight="1">
      <c r="A132" s="3"/>
      <c r="B132" s="19" t="s">
        <v>103</v>
      </c>
      <c r="C132" s="11"/>
      <c r="D132" s="14"/>
      <c r="E132" s="79"/>
      <c r="F132" s="79"/>
      <c r="G132" s="79"/>
    </row>
    <row r="133" spans="1:7" ht="20.100000000000001" customHeight="1">
      <c r="A133" s="26">
        <v>1</v>
      </c>
      <c r="B133" s="10" t="s">
        <v>514</v>
      </c>
      <c r="C133" s="11" t="s">
        <v>515</v>
      </c>
      <c r="D133" s="14" t="s">
        <v>405</v>
      </c>
      <c r="E133" s="71">
        <v>500000</v>
      </c>
      <c r="F133" s="71"/>
      <c r="G133" s="71">
        <f>E133</f>
        <v>500000</v>
      </c>
    </row>
    <row r="134" spans="1:7" ht="20.100000000000001" customHeight="1">
      <c r="A134" s="26">
        <v>2</v>
      </c>
      <c r="B134" s="10" t="s">
        <v>338</v>
      </c>
      <c r="C134" s="11" t="s">
        <v>339</v>
      </c>
      <c r="D134" s="14" t="s">
        <v>340</v>
      </c>
      <c r="E134" s="71">
        <v>700000</v>
      </c>
      <c r="F134" s="71"/>
      <c r="G134" s="71">
        <f t="shared" ref="G134:G138" si="22">E134</f>
        <v>700000</v>
      </c>
    </row>
    <row r="135" spans="1:7" ht="20.100000000000001" customHeight="1">
      <c r="A135" s="26">
        <v>3</v>
      </c>
      <c r="B135" s="13" t="s">
        <v>516</v>
      </c>
      <c r="C135" s="3" t="s">
        <v>517</v>
      </c>
      <c r="D135" s="15" t="s">
        <v>340</v>
      </c>
      <c r="E135" s="71">
        <v>700000</v>
      </c>
      <c r="F135" s="71"/>
      <c r="G135" s="71">
        <f t="shared" si="22"/>
        <v>700000</v>
      </c>
    </row>
    <row r="136" spans="1:7" ht="20.100000000000001" customHeight="1">
      <c r="A136" s="26">
        <v>4</v>
      </c>
      <c r="B136" s="10" t="s">
        <v>518</v>
      </c>
      <c r="C136" s="11" t="s">
        <v>519</v>
      </c>
      <c r="D136" s="14" t="s">
        <v>363</v>
      </c>
      <c r="E136" s="71">
        <v>500000</v>
      </c>
      <c r="F136" s="71"/>
      <c r="G136" s="71">
        <f t="shared" si="22"/>
        <v>500000</v>
      </c>
    </row>
    <row r="137" spans="1:7" ht="20.100000000000001" customHeight="1">
      <c r="A137" s="26">
        <v>5</v>
      </c>
      <c r="B137" s="10" t="s">
        <v>520</v>
      </c>
      <c r="C137" s="3" t="s">
        <v>521</v>
      </c>
      <c r="D137" s="14" t="s">
        <v>363</v>
      </c>
      <c r="E137" s="71">
        <v>500000</v>
      </c>
      <c r="F137" s="71"/>
      <c r="G137" s="71">
        <f t="shared" si="22"/>
        <v>500000</v>
      </c>
    </row>
    <row r="138" spans="1:7" ht="20.100000000000001" customHeight="1">
      <c r="A138" s="26">
        <v>6</v>
      </c>
      <c r="B138" s="10" t="s">
        <v>522</v>
      </c>
      <c r="C138" s="3" t="s">
        <v>521</v>
      </c>
      <c r="D138" s="14" t="s">
        <v>363</v>
      </c>
      <c r="E138" s="71">
        <v>500000</v>
      </c>
      <c r="F138" s="71"/>
      <c r="G138" s="71">
        <f t="shared" si="22"/>
        <v>500000</v>
      </c>
    </row>
    <row r="139" spans="1:7" ht="20.100000000000001" customHeight="1">
      <c r="A139" s="26">
        <v>7</v>
      </c>
      <c r="B139" s="10" t="s">
        <v>523</v>
      </c>
      <c r="C139" s="11" t="s">
        <v>524</v>
      </c>
      <c r="D139" s="14" t="s">
        <v>498</v>
      </c>
      <c r="E139" s="71">
        <v>400000</v>
      </c>
      <c r="F139" s="71">
        <f>E139</f>
        <v>400000</v>
      </c>
      <c r="G139" s="71"/>
    </row>
    <row r="140" spans="1:7" ht="20.100000000000001" customHeight="1">
      <c r="A140" s="26">
        <v>8</v>
      </c>
      <c r="B140" s="10" t="s">
        <v>525</v>
      </c>
      <c r="C140" s="11" t="s">
        <v>524</v>
      </c>
      <c r="D140" s="14" t="s">
        <v>498</v>
      </c>
      <c r="E140" s="71">
        <v>400000</v>
      </c>
      <c r="F140" s="71">
        <f t="shared" ref="F140:F191" si="23">E140</f>
        <v>400000</v>
      </c>
      <c r="G140" s="71"/>
    </row>
    <row r="141" spans="1:7" ht="20.100000000000001" customHeight="1">
      <c r="A141" s="26">
        <v>9</v>
      </c>
      <c r="B141" s="10" t="s">
        <v>526</v>
      </c>
      <c r="C141" s="3" t="s">
        <v>527</v>
      </c>
      <c r="D141" s="14" t="s">
        <v>498</v>
      </c>
      <c r="E141" s="71">
        <v>400000</v>
      </c>
      <c r="F141" s="71">
        <f t="shared" si="23"/>
        <v>400000</v>
      </c>
      <c r="G141" s="71"/>
    </row>
    <row r="142" spans="1:7" ht="20.100000000000001" customHeight="1">
      <c r="A142" s="26">
        <v>10</v>
      </c>
      <c r="B142" s="10" t="s">
        <v>528</v>
      </c>
      <c r="C142" s="11" t="s">
        <v>529</v>
      </c>
      <c r="D142" s="14" t="s">
        <v>380</v>
      </c>
      <c r="E142" s="71">
        <v>400000</v>
      </c>
      <c r="F142" s="71">
        <f t="shared" si="23"/>
        <v>400000</v>
      </c>
      <c r="G142" s="71"/>
    </row>
    <row r="143" spans="1:7" ht="20.100000000000001" customHeight="1">
      <c r="A143" s="26">
        <v>11</v>
      </c>
      <c r="B143" s="10" t="s">
        <v>530</v>
      </c>
      <c r="C143" s="11" t="s">
        <v>531</v>
      </c>
      <c r="D143" s="14" t="s">
        <v>440</v>
      </c>
      <c r="E143" s="71">
        <v>400000</v>
      </c>
      <c r="F143" s="71">
        <f t="shared" si="23"/>
        <v>400000</v>
      </c>
      <c r="G143" s="71"/>
    </row>
    <row r="144" spans="1:7" ht="20.100000000000001" customHeight="1">
      <c r="A144" s="26">
        <v>12</v>
      </c>
      <c r="B144" s="10" t="s">
        <v>532</v>
      </c>
      <c r="C144" s="11" t="s">
        <v>533</v>
      </c>
      <c r="D144" s="14" t="s">
        <v>498</v>
      </c>
      <c r="E144" s="71">
        <v>400000</v>
      </c>
      <c r="F144" s="71">
        <f t="shared" si="23"/>
        <v>400000</v>
      </c>
      <c r="G144" s="71"/>
    </row>
    <row r="145" spans="1:7" ht="20.100000000000001" customHeight="1">
      <c r="A145" s="26">
        <v>13</v>
      </c>
      <c r="B145" s="17" t="s">
        <v>534</v>
      </c>
      <c r="C145" s="3" t="s">
        <v>535</v>
      </c>
      <c r="D145" s="14" t="s">
        <v>32</v>
      </c>
      <c r="E145" s="71">
        <v>400000</v>
      </c>
      <c r="F145" s="71">
        <f t="shared" si="23"/>
        <v>400000</v>
      </c>
      <c r="G145" s="71"/>
    </row>
    <row r="146" spans="1:7" ht="20.100000000000001" customHeight="1">
      <c r="A146" s="26">
        <v>14</v>
      </c>
      <c r="B146" s="10" t="s">
        <v>536</v>
      </c>
      <c r="C146" s="3" t="s">
        <v>537</v>
      </c>
      <c r="D146" s="14" t="s">
        <v>453</v>
      </c>
      <c r="E146" s="350">
        <v>300000</v>
      </c>
      <c r="F146" s="71">
        <f t="shared" si="23"/>
        <v>300000</v>
      </c>
      <c r="G146" s="71"/>
    </row>
    <row r="147" spans="1:7" ht="20.100000000000001" customHeight="1">
      <c r="A147" s="26">
        <v>15</v>
      </c>
      <c r="B147" s="10" t="s">
        <v>538</v>
      </c>
      <c r="C147" s="3" t="s">
        <v>537</v>
      </c>
      <c r="D147" s="14" t="s">
        <v>539</v>
      </c>
      <c r="E147" s="350">
        <v>300000</v>
      </c>
      <c r="F147" s="71">
        <f t="shared" si="23"/>
        <v>300000</v>
      </c>
      <c r="G147" s="71"/>
    </row>
    <row r="148" spans="1:7" ht="20.100000000000001" customHeight="1">
      <c r="A148" s="26">
        <v>16</v>
      </c>
      <c r="B148" s="10" t="s">
        <v>540</v>
      </c>
      <c r="C148" s="3" t="s">
        <v>537</v>
      </c>
      <c r="D148" s="14" t="s">
        <v>539</v>
      </c>
      <c r="E148" s="350">
        <v>300000</v>
      </c>
      <c r="F148" s="71">
        <f t="shared" si="23"/>
        <v>300000</v>
      </c>
      <c r="G148" s="71"/>
    </row>
    <row r="149" spans="1:7" ht="20.100000000000001" customHeight="1">
      <c r="A149" s="26">
        <v>17</v>
      </c>
      <c r="B149" s="10" t="s">
        <v>541</v>
      </c>
      <c r="C149" s="11" t="s">
        <v>542</v>
      </c>
      <c r="D149" s="14" t="s">
        <v>409</v>
      </c>
      <c r="E149" s="350">
        <v>300000</v>
      </c>
      <c r="F149" s="71">
        <f t="shared" si="23"/>
        <v>300000</v>
      </c>
      <c r="G149" s="71"/>
    </row>
    <row r="150" spans="1:7" ht="20.100000000000001" customHeight="1">
      <c r="A150" s="26">
        <v>18</v>
      </c>
      <c r="B150" s="10" t="s">
        <v>543</v>
      </c>
      <c r="C150" s="11" t="s">
        <v>544</v>
      </c>
      <c r="D150" s="9" t="s">
        <v>391</v>
      </c>
      <c r="E150" s="350">
        <v>300000</v>
      </c>
      <c r="F150" s="71">
        <f t="shared" si="23"/>
        <v>300000</v>
      </c>
      <c r="G150" s="71"/>
    </row>
    <row r="151" spans="1:7" ht="20.100000000000001" customHeight="1">
      <c r="A151" s="26">
        <v>19</v>
      </c>
      <c r="B151" s="10" t="s">
        <v>545</v>
      </c>
      <c r="C151" s="11" t="s">
        <v>546</v>
      </c>
      <c r="D151" s="14" t="s">
        <v>453</v>
      </c>
      <c r="E151" s="350">
        <v>300000</v>
      </c>
      <c r="F151" s="71">
        <f t="shared" si="23"/>
        <v>300000</v>
      </c>
      <c r="G151" s="71"/>
    </row>
    <row r="152" spans="1:7" ht="20.100000000000001" customHeight="1">
      <c r="A152" s="26">
        <v>20</v>
      </c>
      <c r="B152" s="10" t="s">
        <v>547</v>
      </c>
      <c r="C152" s="11" t="s">
        <v>548</v>
      </c>
      <c r="D152" s="14" t="s">
        <v>387</v>
      </c>
      <c r="E152" s="350">
        <v>300000</v>
      </c>
      <c r="F152" s="71">
        <f t="shared" si="23"/>
        <v>300000</v>
      </c>
      <c r="G152" s="71"/>
    </row>
    <row r="153" spans="1:7" ht="20.100000000000001" customHeight="1">
      <c r="A153" s="26">
        <v>21</v>
      </c>
      <c r="B153" s="10" t="s">
        <v>549</v>
      </c>
      <c r="C153" s="11" t="s">
        <v>550</v>
      </c>
      <c r="D153" s="14" t="s">
        <v>453</v>
      </c>
      <c r="E153" s="350">
        <v>300000</v>
      </c>
      <c r="F153" s="71">
        <f t="shared" si="23"/>
        <v>300000</v>
      </c>
      <c r="G153" s="71"/>
    </row>
    <row r="154" spans="1:7" ht="20.100000000000001" customHeight="1">
      <c r="A154" s="26">
        <v>22</v>
      </c>
      <c r="B154" s="10" t="s">
        <v>551</v>
      </c>
      <c r="C154" s="11" t="s">
        <v>552</v>
      </c>
      <c r="D154" s="14" t="s">
        <v>387</v>
      </c>
      <c r="E154" s="350">
        <v>300000</v>
      </c>
      <c r="F154" s="71">
        <f t="shared" si="23"/>
        <v>300000</v>
      </c>
      <c r="G154" s="71"/>
    </row>
    <row r="155" spans="1:7" ht="20.100000000000001" customHeight="1">
      <c r="A155" s="26">
        <v>23</v>
      </c>
      <c r="B155" s="17" t="s">
        <v>553</v>
      </c>
      <c r="C155" s="11" t="s">
        <v>554</v>
      </c>
      <c r="D155" s="14" t="s">
        <v>55</v>
      </c>
      <c r="E155" s="350">
        <v>300000</v>
      </c>
      <c r="F155" s="71">
        <f t="shared" si="23"/>
        <v>300000</v>
      </c>
      <c r="G155" s="71"/>
    </row>
    <row r="156" spans="1:7" ht="20.100000000000001" customHeight="1">
      <c r="A156" s="26">
        <v>24</v>
      </c>
      <c r="B156" s="17" t="s">
        <v>555</v>
      </c>
      <c r="C156" s="11" t="s">
        <v>556</v>
      </c>
      <c r="D156" s="14" t="s">
        <v>402</v>
      </c>
      <c r="E156" s="350">
        <v>300000</v>
      </c>
      <c r="F156" s="71">
        <f t="shared" si="23"/>
        <v>300000</v>
      </c>
      <c r="G156" s="71"/>
    </row>
    <row r="157" spans="1:7" ht="20.100000000000001" customHeight="1">
      <c r="A157" s="26">
        <v>25</v>
      </c>
      <c r="B157" s="17" t="s">
        <v>557</v>
      </c>
      <c r="C157" s="11" t="s">
        <v>558</v>
      </c>
      <c r="D157" s="14" t="s">
        <v>402</v>
      </c>
      <c r="E157" s="350">
        <v>300000</v>
      </c>
      <c r="F157" s="71">
        <f t="shared" si="23"/>
        <v>300000</v>
      </c>
      <c r="G157" s="71"/>
    </row>
    <row r="158" spans="1:7" ht="20.100000000000001" customHeight="1">
      <c r="A158" s="26">
        <v>26</v>
      </c>
      <c r="B158" s="17" t="s">
        <v>559</v>
      </c>
      <c r="C158" s="11" t="s">
        <v>560</v>
      </c>
      <c r="D158" s="14" t="s">
        <v>402</v>
      </c>
      <c r="E158" s="350">
        <v>300000</v>
      </c>
      <c r="F158" s="71">
        <f t="shared" si="23"/>
        <v>300000</v>
      </c>
      <c r="G158" s="71"/>
    </row>
    <row r="159" spans="1:7" ht="20.100000000000001" customHeight="1">
      <c r="A159" s="26">
        <v>27</v>
      </c>
      <c r="B159" s="17" t="s">
        <v>561</v>
      </c>
      <c r="C159" s="11" t="s">
        <v>562</v>
      </c>
      <c r="D159" s="14" t="s">
        <v>399</v>
      </c>
      <c r="E159" s="350">
        <v>300000</v>
      </c>
      <c r="F159" s="71">
        <f t="shared" si="23"/>
        <v>300000</v>
      </c>
      <c r="G159" s="71"/>
    </row>
    <row r="160" spans="1:7" ht="20.100000000000001" customHeight="1">
      <c r="A160" s="26">
        <v>28</v>
      </c>
      <c r="B160" s="17" t="s">
        <v>563</v>
      </c>
      <c r="C160" s="11" t="s">
        <v>558</v>
      </c>
      <c r="D160" s="14" t="s">
        <v>402</v>
      </c>
      <c r="E160" s="350">
        <v>300000</v>
      </c>
      <c r="F160" s="71">
        <f t="shared" si="23"/>
        <v>300000</v>
      </c>
      <c r="G160" s="71"/>
    </row>
    <row r="161" spans="1:7" ht="20.100000000000001" customHeight="1">
      <c r="A161" s="26">
        <v>29</v>
      </c>
      <c r="B161" s="10" t="s">
        <v>564</v>
      </c>
      <c r="C161" s="11" t="s">
        <v>565</v>
      </c>
      <c r="D161" s="14" t="s">
        <v>566</v>
      </c>
      <c r="E161" s="353">
        <v>100000</v>
      </c>
      <c r="F161" s="71">
        <f t="shared" si="23"/>
        <v>100000</v>
      </c>
      <c r="G161" s="71"/>
    </row>
    <row r="162" spans="1:7" ht="20.100000000000001" customHeight="1">
      <c r="A162" s="26">
        <v>30</v>
      </c>
      <c r="B162" s="10" t="s">
        <v>567</v>
      </c>
      <c r="C162" s="11" t="s">
        <v>565</v>
      </c>
      <c r="D162" s="14" t="s">
        <v>566</v>
      </c>
      <c r="E162" s="353">
        <v>100000</v>
      </c>
      <c r="F162" s="71">
        <f t="shared" si="23"/>
        <v>100000</v>
      </c>
      <c r="G162" s="71"/>
    </row>
    <row r="163" spans="1:7" ht="20.100000000000001" customHeight="1">
      <c r="A163" s="26">
        <v>31</v>
      </c>
      <c r="B163" s="10" t="s">
        <v>568</v>
      </c>
      <c r="C163" s="11" t="s">
        <v>565</v>
      </c>
      <c r="D163" s="14" t="s">
        <v>566</v>
      </c>
      <c r="E163" s="353">
        <v>100000</v>
      </c>
      <c r="F163" s="71">
        <f t="shared" si="23"/>
        <v>100000</v>
      </c>
      <c r="G163" s="71"/>
    </row>
    <row r="164" spans="1:7" ht="20.100000000000001" customHeight="1">
      <c r="A164" s="26">
        <v>32</v>
      </c>
      <c r="B164" s="10" t="s">
        <v>569</v>
      </c>
      <c r="C164" s="11" t="s">
        <v>565</v>
      </c>
      <c r="D164" s="14" t="s">
        <v>566</v>
      </c>
      <c r="E164" s="353">
        <v>100000</v>
      </c>
      <c r="F164" s="71">
        <f t="shared" si="23"/>
        <v>100000</v>
      </c>
      <c r="G164" s="71"/>
    </row>
    <row r="165" spans="1:7" ht="20.100000000000001" customHeight="1">
      <c r="A165" s="26">
        <v>33</v>
      </c>
      <c r="B165" s="10" t="s">
        <v>570</v>
      </c>
      <c r="C165" s="11" t="s">
        <v>565</v>
      </c>
      <c r="D165" s="14" t="s">
        <v>566</v>
      </c>
      <c r="E165" s="353">
        <v>100000</v>
      </c>
      <c r="F165" s="71">
        <f t="shared" si="23"/>
        <v>100000</v>
      </c>
      <c r="G165" s="71"/>
    </row>
    <row r="166" spans="1:7" ht="20.100000000000001" customHeight="1">
      <c r="A166" s="26">
        <v>34</v>
      </c>
      <c r="B166" s="10" t="s">
        <v>571</v>
      </c>
      <c r="C166" s="11" t="s">
        <v>565</v>
      </c>
      <c r="D166" s="14" t="s">
        <v>572</v>
      </c>
      <c r="E166" s="353">
        <v>100000</v>
      </c>
      <c r="F166" s="71">
        <f t="shared" si="23"/>
        <v>100000</v>
      </c>
      <c r="G166" s="71"/>
    </row>
    <row r="167" spans="1:7" ht="20.100000000000001" customHeight="1">
      <c r="A167" s="26">
        <v>35</v>
      </c>
      <c r="B167" s="10" t="s">
        <v>573</v>
      </c>
      <c r="C167" s="11" t="s">
        <v>565</v>
      </c>
      <c r="D167" s="14" t="s">
        <v>572</v>
      </c>
      <c r="E167" s="353">
        <v>100000</v>
      </c>
      <c r="F167" s="71">
        <f t="shared" si="23"/>
        <v>100000</v>
      </c>
      <c r="G167" s="71"/>
    </row>
    <row r="168" spans="1:7" ht="20.100000000000001" customHeight="1">
      <c r="A168" s="26">
        <v>36</v>
      </c>
      <c r="B168" s="13" t="s">
        <v>574</v>
      </c>
      <c r="C168" s="11" t="s">
        <v>565</v>
      </c>
      <c r="D168" s="14" t="s">
        <v>572</v>
      </c>
      <c r="E168" s="353">
        <v>100000</v>
      </c>
      <c r="F168" s="71">
        <f t="shared" si="23"/>
        <v>100000</v>
      </c>
      <c r="G168" s="71"/>
    </row>
    <row r="169" spans="1:7" ht="20.100000000000001" customHeight="1">
      <c r="A169" s="26">
        <v>37</v>
      </c>
      <c r="B169" s="10" t="s">
        <v>575</v>
      </c>
      <c r="C169" s="11" t="s">
        <v>565</v>
      </c>
      <c r="D169" s="14" t="s">
        <v>572</v>
      </c>
      <c r="E169" s="353">
        <v>100000</v>
      </c>
      <c r="F169" s="71">
        <f t="shared" si="23"/>
        <v>100000</v>
      </c>
      <c r="G169" s="71"/>
    </row>
    <row r="170" spans="1:7" ht="20.100000000000001" customHeight="1">
      <c r="A170" s="26">
        <v>38</v>
      </c>
      <c r="B170" s="17" t="s">
        <v>576</v>
      </c>
      <c r="C170" s="11" t="s">
        <v>565</v>
      </c>
      <c r="D170" s="14" t="s">
        <v>572</v>
      </c>
      <c r="E170" s="353">
        <v>100000</v>
      </c>
      <c r="F170" s="71">
        <f t="shared" si="23"/>
        <v>100000</v>
      </c>
      <c r="G170" s="71"/>
    </row>
    <row r="171" spans="1:7" ht="20.100000000000001" customHeight="1">
      <c r="A171" s="26">
        <v>39</v>
      </c>
      <c r="B171" s="17" t="s">
        <v>577</v>
      </c>
      <c r="C171" s="11" t="s">
        <v>565</v>
      </c>
      <c r="D171" s="14" t="s">
        <v>572</v>
      </c>
      <c r="E171" s="353">
        <v>100000</v>
      </c>
      <c r="F171" s="71">
        <f t="shared" si="23"/>
        <v>100000</v>
      </c>
      <c r="G171" s="71"/>
    </row>
    <row r="172" spans="1:7" ht="20.100000000000001" customHeight="1">
      <c r="A172" s="26">
        <v>40</v>
      </c>
      <c r="B172" s="10" t="s">
        <v>578</v>
      </c>
      <c r="C172" s="11" t="s">
        <v>579</v>
      </c>
      <c r="D172" s="14" t="s">
        <v>580</v>
      </c>
      <c r="E172" s="353">
        <v>100000</v>
      </c>
      <c r="F172" s="71">
        <f t="shared" si="23"/>
        <v>100000</v>
      </c>
      <c r="G172" s="71"/>
    </row>
    <row r="173" spans="1:7" ht="20.100000000000001" customHeight="1">
      <c r="A173" s="26">
        <v>41</v>
      </c>
      <c r="B173" s="10" t="s">
        <v>581</v>
      </c>
      <c r="C173" s="11" t="s">
        <v>579</v>
      </c>
      <c r="D173" s="14" t="s">
        <v>580</v>
      </c>
      <c r="E173" s="353">
        <v>100000</v>
      </c>
      <c r="F173" s="71">
        <f t="shared" si="23"/>
        <v>100000</v>
      </c>
      <c r="G173" s="71"/>
    </row>
    <row r="174" spans="1:7" ht="20.100000000000001" customHeight="1">
      <c r="A174" s="26">
        <v>42</v>
      </c>
      <c r="B174" s="17" t="s">
        <v>582</v>
      </c>
      <c r="C174" s="11" t="s">
        <v>579</v>
      </c>
      <c r="D174" s="14" t="s">
        <v>583</v>
      </c>
      <c r="E174" s="353">
        <v>100000</v>
      </c>
      <c r="F174" s="71">
        <f t="shared" si="23"/>
        <v>100000</v>
      </c>
      <c r="G174" s="71"/>
    </row>
    <row r="175" spans="1:7" ht="20.100000000000001" customHeight="1">
      <c r="A175" s="26">
        <v>43</v>
      </c>
      <c r="B175" s="10" t="s">
        <v>584</v>
      </c>
      <c r="C175" s="11" t="s">
        <v>585</v>
      </c>
      <c r="D175" s="14" t="s">
        <v>586</v>
      </c>
      <c r="E175" s="353">
        <v>100000</v>
      </c>
      <c r="F175" s="71">
        <f t="shared" si="23"/>
        <v>100000</v>
      </c>
      <c r="G175" s="71"/>
    </row>
    <row r="176" spans="1:7" ht="20.100000000000001" customHeight="1">
      <c r="A176" s="26">
        <v>44</v>
      </c>
      <c r="B176" s="10" t="s">
        <v>587</v>
      </c>
      <c r="C176" s="11" t="s">
        <v>588</v>
      </c>
      <c r="D176" s="14" t="s">
        <v>589</v>
      </c>
      <c r="E176" s="353">
        <v>100000</v>
      </c>
      <c r="F176" s="71">
        <f t="shared" si="23"/>
        <v>100000</v>
      </c>
      <c r="G176" s="71"/>
    </row>
    <row r="177" spans="1:7" ht="20.100000000000001" customHeight="1">
      <c r="A177" s="26">
        <v>45</v>
      </c>
      <c r="B177" s="10" t="s">
        <v>590</v>
      </c>
      <c r="C177" s="11" t="s">
        <v>588</v>
      </c>
      <c r="D177" s="14" t="s">
        <v>589</v>
      </c>
      <c r="E177" s="353">
        <v>100000</v>
      </c>
      <c r="F177" s="71">
        <f t="shared" si="23"/>
        <v>100000</v>
      </c>
      <c r="G177" s="71"/>
    </row>
    <row r="178" spans="1:7" ht="20.100000000000001" customHeight="1">
      <c r="A178" s="26">
        <v>46</v>
      </c>
      <c r="B178" s="10" t="s">
        <v>591</v>
      </c>
      <c r="C178" s="11" t="s">
        <v>588</v>
      </c>
      <c r="D178" s="14" t="s">
        <v>589</v>
      </c>
      <c r="E178" s="353">
        <v>100000</v>
      </c>
      <c r="F178" s="71">
        <f t="shared" si="23"/>
        <v>100000</v>
      </c>
      <c r="G178" s="71"/>
    </row>
    <row r="179" spans="1:7" ht="20.100000000000001" customHeight="1">
      <c r="A179" s="26">
        <v>47</v>
      </c>
      <c r="B179" s="10" t="s">
        <v>592</v>
      </c>
      <c r="C179" s="11" t="s">
        <v>588</v>
      </c>
      <c r="D179" s="14" t="s">
        <v>589</v>
      </c>
      <c r="E179" s="353">
        <v>100000</v>
      </c>
      <c r="F179" s="71">
        <f t="shared" si="23"/>
        <v>100000</v>
      </c>
      <c r="G179" s="71"/>
    </row>
    <row r="180" spans="1:7" ht="20.100000000000001" customHeight="1">
      <c r="A180" s="26">
        <v>48</v>
      </c>
      <c r="B180" s="10" t="s">
        <v>593</v>
      </c>
      <c r="C180" s="11" t="s">
        <v>588</v>
      </c>
      <c r="D180" s="14" t="s">
        <v>589</v>
      </c>
      <c r="E180" s="353">
        <v>100000</v>
      </c>
      <c r="F180" s="71">
        <f t="shared" si="23"/>
        <v>100000</v>
      </c>
      <c r="G180" s="71"/>
    </row>
    <row r="181" spans="1:7" ht="20.100000000000001" customHeight="1">
      <c r="A181" s="26">
        <v>49</v>
      </c>
      <c r="B181" s="17" t="s">
        <v>594</v>
      </c>
      <c r="C181" s="11" t="s">
        <v>588</v>
      </c>
      <c r="D181" s="14" t="s">
        <v>589</v>
      </c>
      <c r="E181" s="353">
        <v>100000</v>
      </c>
      <c r="F181" s="71">
        <f t="shared" si="23"/>
        <v>100000</v>
      </c>
      <c r="G181" s="71"/>
    </row>
    <row r="182" spans="1:7" ht="20.100000000000001" customHeight="1">
      <c r="A182" s="26">
        <v>50</v>
      </c>
      <c r="B182" s="17" t="s">
        <v>595</v>
      </c>
      <c r="C182" s="11" t="s">
        <v>588</v>
      </c>
      <c r="D182" s="14" t="s">
        <v>589</v>
      </c>
      <c r="E182" s="353">
        <v>100000</v>
      </c>
      <c r="F182" s="71">
        <f t="shared" si="23"/>
        <v>100000</v>
      </c>
      <c r="G182" s="71"/>
    </row>
    <row r="183" spans="1:7" ht="20.100000000000001" customHeight="1">
      <c r="A183" s="26">
        <v>51</v>
      </c>
      <c r="B183" s="10" t="s">
        <v>596</v>
      </c>
      <c r="C183" s="11" t="s">
        <v>585</v>
      </c>
      <c r="D183" s="14" t="s">
        <v>589</v>
      </c>
      <c r="E183" s="353">
        <v>100000</v>
      </c>
      <c r="F183" s="71">
        <f t="shared" si="23"/>
        <v>100000</v>
      </c>
      <c r="G183" s="71"/>
    </row>
    <row r="184" spans="1:7" ht="20.100000000000001" customHeight="1">
      <c r="A184" s="26">
        <v>52</v>
      </c>
      <c r="B184" s="10" t="s">
        <v>597</v>
      </c>
      <c r="C184" s="11" t="s">
        <v>585</v>
      </c>
      <c r="D184" s="14" t="s">
        <v>589</v>
      </c>
      <c r="E184" s="353">
        <v>100000</v>
      </c>
      <c r="F184" s="71">
        <f t="shared" si="23"/>
        <v>100000</v>
      </c>
      <c r="G184" s="71"/>
    </row>
    <row r="185" spans="1:7" ht="20.100000000000001" customHeight="1">
      <c r="A185" s="26">
        <v>53</v>
      </c>
      <c r="B185" s="17" t="s">
        <v>598</v>
      </c>
      <c r="C185" s="11" t="s">
        <v>286</v>
      </c>
      <c r="D185" s="14" t="s">
        <v>599</v>
      </c>
      <c r="E185" s="353">
        <v>100000</v>
      </c>
      <c r="F185" s="71">
        <f t="shared" si="23"/>
        <v>100000</v>
      </c>
      <c r="G185" s="71"/>
    </row>
    <row r="186" spans="1:7" ht="20.100000000000001" customHeight="1">
      <c r="A186" s="26">
        <v>54</v>
      </c>
      <c r="B186" s="17" t="s">
        <v>600</v>
      </c>
      <c r="C186" s="11" t="s">
        <v>588</v>
      </c>
      <c r="D186" s="14" t="s">
        <v>601</v>
      </c>
      <c r="E186" s="353">
        <v>100000</v>
      </c>
      <c r="F186" s="71">
        <f t="shared" si="23"/>
        <v>100000</v>
      </c>
      <c r="G186" s="71"/>
    </row>
    <row r="187" spans="1:7" ht="20.100000000000001" customHeight="1">
      <c r="A187" s="26">
        <v>55</v>
      </c>
      <c r="B187" s="17" t="s">
        <v>602</v>
      </c>
      <c r="C187" s="11" t="s">
        <v>603</v>
      </c>
      <c r="D187" s="14" t="s">
        <v>604</v>
      </c>
      <c r="E187" s="353">
        <v>100000</v>
      </c>
      <c r="F187" s="71">
        <f t="shared" si="23"/>
        <v>100000</v>
      </c>
      <c r="G187" s="354"/>
    </row>
    <row r="188" spans="1:7" ht="20.100000000000001" customHeight="1">
      <c r="A188" s="26">
        <v>56</v>
      </c>
      <c r="B188" s="17" t="s">
        <v>605</v>
      </c>
      <c r="C188" s="11" t="s">
        <v>603</v>
      </c>
      <c r="D188" s="14" t="s">
        <v>604</v>
      </c>
      <c r="E188" s="353">
        <v>100000</v>
      </c>
      <c r="F188" s="71">
        <f t="shared" si="23"/>
        <v>100000</v>
      </c>
      <c r="G188" s="354"/>
    </row>
    <row r="189" spans="1:7" ht="20.100000000000001" customHeight="1">
      <c r="A189" s="26">
        <v>57</v>
      </c>
      <c r="B189" s="17" t="s">
        <v>606</v>
      </c>
      <c r="C189" s="11" t="s">
        <v>603</v>
      </c>
      <c r="D189" s="14" t="s">
        <v>604</v>
      </c>
      <c r="E189" s="353">
        <v>100000</v>
      </c>
      <c r="F189" s="71">
        <f t="shared" si="23"/>
        <v>100000</v>
      </c>
      <c r="G189" s="354"/>
    </row>
    <row r="190" spans="1:7" ht="20.100000000000001" customHeight="1">
      <c r="A190" s="26">
        <v>58</v>
      </c>
      <c r="B190" s="17" t="s">
        <v>607</v>
      </c>
      <c r="C190" s="11" t="s">
        <v>608</v>
      </c>
      <c r="D190" s="14" t="s">
        <v>609</v>
      </c>
      <c r="E190" s="353">
        <v>100000</v>
      </c>
      <c r="F190" s="71">
        <f t="shared" si="23"/>
        <v>100000</v>
      </c>
      <c r="G190" s="71"/>
    </row>
    <row r="191" spans="1:7" ht="20.100000000000001" customHeight="1">
      <c r="A191" s="26">
        <v>59</v>
      </c>
      <c r="B191" s="17" t="s">
        <v>610</v>
      </c>
      <c r="C191" s="11" t="s">
        <v>608</v>
      </c>
      <c r="D191" s="14" t="s">
        <v>609</v>
      </c>
      <c r="E191" s="353">
        <v>100000</v>
      </c>
      <c r="F191" s="71">
        <f t="shared" si="23"/>
        <v>100000</v>
      </c>
      <c r="G191" s="71"/>
    </row>
    <row r="192" spans="1:7" ht="20.100000000000001" customHeight="1">
      <c r="A192" s="26"/>
      <c r="B192" s="7" t="s">
        <v>42</v>
      </c>
      <c r="C192" s="27" t="s">
        <v>611</v>
      </c>
      <c r="D192" s="28"/>
      <c r="E192" s="78">
        <f>SUM(E133:E191)</f>
        <v>13800000</v>
      </c>
      <c r="F192" s="78">
        <f t="shared" ref="F192:G192" si="24">SUM(F133:F191)</f>
        <v>10400000</v>
      </c>
      <c r="G192" s="78">
        <f t="shared" si="24"/>
        <v>3400000</v>
      </c>
    </row>
    <row r="193" spans="1:7" ht="20.100000000000001" customHeight="1">
      <c r="A193" s="3"/>
      <c r="B193" s="29"/>
      <c r="C193" s="30"/>
      <c r="D193" s="31"/>
    </row>
    <row r="194" spans="1:7" ht="33" customHeight="1">
      <c r="A194" s="3"/>
      <c r="B194" s="29" t="s">
        <v>125</v>
      </c>
      <c r="C194" s="30">
        <f>C192+C130+C117+C112+C102+C95+C81+C71+C57+C52+J1+C37+C31</f>
        <v>153</v>
      </c>
      <c r="D194" s="30"/>
      <c r="E194" s="355">
        <f>E192+E130+E117+E112+E102+E95+E81+E71+E57+E52+E37+E31</f>
        <v>61550000</v>
      </c>
      <c r="F194" s="355">
        <f t="shared" ref="F194:G194" si="25">F192+F130+F117+F112+F102+F95+F81+F71+F57+F52+F37+F31</f>
        <v>27600000</v>
      </c>
      <c r="G194" s="355">
        <f t="shared" si="25"/>
        <v>33950000</v>
      </c>
    </row>
    <row r="195" spans="1:7" ht="20.100000000000001" customHeight="1">
      <c r="A195" s="2"/>
      <c r="B195" s="32"/>
      <c r="C195" s="2"/>
      <c r="D195" s="33"/>
      <c r="E195" s="356"/>
      <c r="F195" s="356"/>
      <c r="G195" s="356"/>
    </row>
    <row r="196" spans="1:7" ht="36.75" customHeight="1">
      <c r="A196" s="357"/>
      <c r="B196" s="358"/>
      <c r="C196" s="359"/>
      <c r="D196" s="359"/>
      <c r="E196" s="360"/>
      <c r="F196" s="360"/>
      <c r="G196" s="361"/>
    </row>
    <row r="197" spans="1:7" ht="20.100000000000001" customHeight="1">
      <c r="E197" s="91"/>
      <c r="F197" s="91"/>
      <c r="G197" s="91"/>
    </row>
    <row r="198" spans="1:7" ht="20.100000000000001" customHeight="1">
      <c r="E198" s="91"/>
      <c r="F198" s="91"/>
      <c r="G198" s="91"/>
    </row>
    <row r="199" spans="1:7" ht="20.100000000000001" customHeight="1">
      <c r="E199" s="91"/>
      <c r="F199" s="91"/>
      <c r="G199" s="91"/>
    </row>
    <row r="200" spans="1:7" ht="20.100000000000001" customHeight="1">
      <c r="E200" s="91"/>
      <c r="F200" s="91"/>
      <c r="G200" s="91"/>
    </row>
    <row r="201" spans="1:7" ht="20.100000000000001" customHeight="1">
      <c r="E201" s="91"/>
      <c r="F201" s="91"/>
      <c r="G201" s="91"/>
    </row>
    <row r="202" spans="1:7" ht="20.100000000000001" customHeight="1">
      <c r="E202" s="91"/>
      <c r="F202" s="91"/>
      <c r="G202" s="91"/>
    </row>
    <row r="203" spans="1:7" ht="20.100000000000001" customHeight="1">
      <c r="E203" s="91"/>
      <c r="F203" s="91"/>
      <c r="G203" s="91"/>
    </row>
    <row r="204" spans="1:7" ht="20.100000000000001" customHeight="1">
      <c r="E204" s="91"/>
      <c r="F204" s="91"/>
      <c r="G204" s="91"/>
    </row>
    <row r="205" spans="1:7" ht="20.100000000000001" customHeight="1">
      <c r="E205" s="91"/>
      <c r="F205" s="91"/>
      <c r="G205" s="91"/>
    </row>
    <row r="206" spans="1:7" ht="20.100000000000001" customHeight="1">
      <c r="E206" s="91"/>
      <c r="F206" s="91"/>
      <c r="G206" s="91"/>
    </row>
    <row r="207" spans="1:7" ht="20.100000000000001" customHeight="1">
      <c r="E207" s="91"/>
      <c r="F207" s="91"/>
      <c r="G207" s="91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90" orientation="landscape" horizontalDpi="1200" verticalDpi="1200"/>
  <headerFooter alignWithMargins="0"/>
  <rowBreaks count="4" manualBreakCount="4">
    <brk id="42" max="25" man="1"/>
    <brk id="81" max="25" man="1"/>
    <brk id="118" max="6" man="1"/>
    <brk id="158" max="25" man="1"/>
  </row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2"/>
  <sheetViews>
    <sheetView zoomScaleSheetLayoutView="50" workbookViewId="0">
      <pane xSplit="3" ySplit="6" topLeftCell="X14" activePane="bottomRight" state="frozen"/>
      <selection pane="topRight"/>
      <selection pane="bottomLeft"/>
      <selection pane="bottomRight" activeCell="X12" sqref="X12"/>
    </sheetView>
  </sheetViews>
  <sheetFormatPr defaultColWidth="9.140625" defaultRowHeight="20.100000000000001" customHeight="1"/>
  <cols>
    <col min="1" max="1" width="5.42578125" style="1" customWidth="1"/>
    <col min="2" max="2" width="39.42578125" style="1" customWidth="1"/>
    <col min="3" max="3" width="26.57031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20" width="19.28515625" style="1" customWidth="1"/>
    <col min="21" max="21" width="14.85546875" style="1" customWidth="1"/>
    <col min="22" max="22" width="13.5703125" style="1" customWidth="1"/>
    <col min="23" max="23" width="20.42578125" style="278" customWidth="1"/>
    <col min="24" max="24" width="16.42578125" style="1" customWidth="1"/>
    <col min="25" max="26" width="17.7109375" style="1" customWidth="1"/>
    <col min="27" max="27" width="11.140625" style="1" customWidth="1"/>
    <col min="28" max="28" width="17.85546875" style="1" customWidth="1"/>
    <col min="29" max="29" width="21.7109375" style="1" customWidth="1"/>
    <col min="30" max="30" width="14.28515625" style="1" customWidth="1"/>
    <col min="31" max="16384" width="9.140625" style="1"/>
  </cols>
  <sheetData>
    <row r="1" spans="1:30" ht="27" customHeight="1">
      <c r="A1" s="838" t="s">
        <v>0</v>
      </c>
      <c r="B1" s="838"/>
      <c r="C1" s="838"/>
      <c r="D1" s="838"/>
      <c r="E1" s="838"/>
      <c r="F1" s="838"/>
      <c r="G1" s="199">
        <f>'[1]FEB 08'!F8/'[1]FEB 08'!Q8</f>
        <v>0.3</v>
      </c>
      <c r="H1" s="199"/>
      <c r="I1" s="199"/>
      <c r="J1" s="199"/>
      <c r="K1" s="199"/>
      <c r="L1" s="199"/>
      <c r="M1" s="199"/>
      <c r="N1" s="199"/>
      <c r="O1" s="199"/>
      <c r="P1" s="199"/>
    </row>
    <row r="2" spans="1:30" ht="33.75" customHeight="1">
      <c r="A2" s="63" t="s">
        <v>1037</v>
      </c>
      <c r="B2" s="64"/>
      <c r="C2" s="63"/>
      <c r="D2" s="63"/>
      <c r="E2" s="198"/>
      <c r="F2" s="198"/>
      <c r="G2" s="279"/>
      <c r="H2" s="279"/>
      <c r="I2" s="279"/>
      <c r="J2" s="279"/>
      <c r="K2" s="279"/>
      <c r="L2" s="279"/>
      <c r="M2" s="279"/>
      <c r="N2" s="279"/>
      <c r="O2" s="279"/>
      <c r="P2" s="279"/>
      <c r="Q2" s="65"/>
      <c r="R2" s="65"/>
      <c r="S2" s="65"/>
      <c r="T2" s="65"/>
      <c r="U2" s="65"/>
      <c r="V2" s="65"/>
      <c r="W2" s="285"/>
      <c r="X2" s="65"/>
      <c r="Y2" s="65"/>
      <c r="Z2" s="65"/>
      <c r="AA2" s="65"/>
      <c r="AB2" s="65"/>
    </row>
    <row r="3" spans="1:30" ht="9.75" customHeight="1">
      <c r="A3" s="2"/>
      <c r="B3" s="2"/>
      <c r="C3" s="2"/>
      <c r="D3" s="2"/>
      <c r="E3" s="199" t="e">
        <f>'[1]FEB 08'!E11/'[1]FEB 08'!M11</f>
        <v>#REF!</v>
      </c>
      <c r="F3" s="199"/>
      <c r="G3" s="199" t="e">
        <f>'[1]FEB 08'!F11/'[1]FEB 08'!Q11</f>
        <v>#REF!</v>
      </c>
      <c r="H3" s="199"/>
      <c r="I3" s="199"/>
      <c r="J3" s="199"/>
      <c r="K3" s="199"/>
      <c r="L3" s="199"/>
      <c r="M3" s="199"/>
      <c r="N3" s="199"/>
      <c r="O3" s="199"/>
      <c r="P3" s="199"/>
    </row>
    <row r="4" spans="1:30" ht="60" customHeight="1">
      <c r="A4" s="3"/>
      <c r="B4" s="5" t="s">
        <v>2</v>
      </c>
      <c r="C4" s="5" t="s">
        <v>3</v>
      </c>
      <c r="D4" s="6" t="s">
        <v>1038</v>
      </c>
      <c r="E4" s="67" t="s">
        <v>5</v>
      </c>
      <c r="F4" s="20" t="s">
        <v>671</v>
      </c>
      <c r="G4" s="20" t="s">
        <v>672</v>
      </c>
      <c r="H4" s="67" t="s">
        <v>673</v>
      </c>
      <c r="I4" s="20" t="s">
        <v>674</v>
      </c>
      <c r="J4" s="20" t="s">
        <v>675</v>
      </c>
      <c r="K4" s="20" t="s">
        <v>676</v>
      </c>
      <c r="L4" s="67" t="s">
        <v>7</v>
      </c>
      <c r="M4" s="67" t="s">
        <v>7</v>
      </c>
      <c r="N4" s="20" t="s">
        <v>677</v>
      </c>
      <c r="O4" s="20" t="s">
        <v>677</v>
      </c>
      <c r="P4" s="67" t="s">
        <v>8</v>
      </c>
      <c r="Q4" s="286" t="s">
        <v>263</v>
      </c>
      <c r="R4" s="6" t="s">
        <v>1039</v>
      </c>
      <c r="S4" s="286" t="s">
        <v>647</v>
      </c>
      <c r="T4" s="67" t="s">
        <v>1040</v>
      </c>
      <c r="U4" s="67" t="s">
        <v>1041</v>
      </c>
      <c r="V4" s="67" t="s">
        <v>1042</v>
      </c>
      <c r="W4" s="67" t="s">
        <v>1043</v>
      </c>
      <c r="X4" s="67" t="s">
        <v>621</v>
      </c>
      <c r="Y4" s="299" t="s">
        <v>1044</v>
      </c>
      <c r="Z4" s="300" t="s">
        <v>1045</v>
      </c>
      <c r="AA4" s="67" t="s">
        <v>183</v>
      </c>
      <c r="AB4" s="301" t="s">
        <v>194</v>
      </c>
    </row>
    <row r="5" spans="1:30" ht="17.25" customHeight="1">
      <c r="C5" s="7"/>
      <c r="D5" s="7"/>
      <c r="E5" s="69" t="s">
        <v>20</v>
      </c>
      <c r="F5" s="69" t="s">
        <v>20</v>
      </c>
      <c r="G5" s="69" t="s">
        <v>20</v>
      </c>
      <c r="H5" s="69" t="s">
        <v>20</v>
      </c>
      <c r="I5" s="69" t="s">
        <v>20</v>
      </c>
      <c r="J5" s="69" t="s">
        <v>20</v>
      </c>
      <c r="K5" s="69" t="s">
        <v>20</v>
      </c>
      <c r="L5" s="69" t="s">
        <v>20</v>
      </c>
      <c r="M5" s="69" t="s">
        <v>20</v>
      </c>
      <c r="N5" s="69" t="s">
        <v>20</v>
      </c>
      <c r="O5" s="69" t="s">
        <v>20</v>
      </c>
      <c r="P5" s="69" t="s">
        <v>20</v>
      </c>
      <c r="Q5" s="287" t="s">
        <v>20</v>
      </c>
      <c r="R5" s="7"/>
      <c r="S5" s="287" t="s">
        <v>20</v>
      </c>
      <c r="T5" s="69"/>
      <c r="U5" s="69" t="s">
        <v>20</v>
      </c>
      <c r="V5" s="69"/>
      <c r="W5" s="288" t="s">
        <v>20</v>
      </c>
      <c r="X5" s="69"/>
      <c r="Y5" s="69"/>
      <c r="Z5" s="212"/>
      <c r="AA5" s="69"/>
      <c r="AB5" s="212"/>
    </row>
    <row r="6" spans="1:30" ht="20.100000000000001" customHeight="1">
      <c r="A6" s="8" t="s">
        <v>21</v>
      </c>
      <c r="B6" s="7" t="s">
        <v>22</v>
      </c>
      <c r="C6" s="7"/>
      <c r="D6" s="7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287"/>
      <c r="R6" s="7"/>
      <c r="S6" s="287"/>
      <c r="T6" s="69"/>
      <c r="U6" s="69"/>
      <c r="V6" s="69"/>
      <c r="W6" s="288"/>
      <c r="X6" s="69"/>
      <c r="Y6" s="69"/>
      <c r="Z6" s="212"/>
      <c r="AA6" s="69"/>
      <c r="AB6" s="212"/>
    </row>
    <row r="7" spans="1:30" ht="18.75" customHeight="1">
      <c r="A7" s="9">
        <v>1</v>
      </c>
      <c r="B7" s="11" t="s">
        <v>1046</v>
      </c>
      <c r="C7" s="1" t="s">
        <v>1047</v>
      </c>
      <c r="D7" s="14" t="s">
        <v>1048</v>
      </c>
      <c r="E7" s="72">
        <v>13492.21</v>
      </c>
      <c r="F7" s="72"/>
      <c r="G7" s="72">
        <f t="shared" ref="G7" si="0">E7*300%</f>
        <v>40476.629999999997</v>
      </c>
      <c r="H7" s="72">
        <f t="shared" ref="H7" si="1">E7*7.5%</f>
        <v>1011.91575</v>
      </c>
      <c r="I7" s="72"/>
      <c r="J7" s="72">
        <f>E7*50%</f>
        <v>6746.1049999999996</v>
      </c>
      <c r="K7" s="72">
        <f t="shared" ref="K7" si="2">E7*350%</f>
        <v>47222.735000000001</v>
      </c>
      <c r="L7" s="72">
        <f>E7*100%</f>
        <v>13492.21</v>
      </c>
      <c r="M7" s="202"/>
      <c r="N7" s="202">
        <f>50000</f>
        <v>50000</v>
      </c>
      <c r="O7" s="72">
        <f>E7*10%</f>
        <v>1349.221</v>
      </c>
      <c r="P7" s="72">
        <v>10000</v>
      </c>
      <c r="Q7" s="201">
        <f ca="1">SUM(E7:Q7)</f>
        <v>183791.02674999999</v>
      </c>
      <c r="R7" s="349" t="s">
        <v>55</v>
      </c>
      <c r="S7" s="201">
        <f>205204.08</f>
        <v>205204.08</v>
      </c>
      <c r="T7" s="72">
        <f>205204.08-183791.03</f>
        <v>21413.05</v>
      </c>
      <c r="U7" s="72"/>
      <c r="V7" s="72"/>
      <c r="W7" s="289">
        <v>18102.900000000001</v>
      </c>
      <c r="X7" s="72">
        <f>21640.88</f>
        <v>21640.880000000001</v>
      </c>
      <c r="Y7" s="72">
        <f>X7-W7</f>
        <v>3537.98</v>
      </c>
      <c r="Z7" s="213">
        <f>T7-Y7</f>
        <v>17875.07</v>
      </c>
      <c r="AA7" s="72">
        <f>8/30</f>
        <v>0.266666666666667</v>
      </c>
      <c r="AB7" s="213">
        <f>Z7*AA7</f>
        <v>4766.6853333333302</v>
      </c>
      <c r="AC7" s="12"/>
      <c r="AD7" s="34"/>
    </row>
    <row r="8" spans="1:30" ht="26.25" customHeight="1">
      <c r="A8" s="9"/>
      <c r="B8" s="19" t="s">
        <v>42</v>
      </c>
      <c r="C8" s="20"/>
      <c r="D8" s="14"/>
      <c r="E8" s="203">
        <f t="shared" ref="E8:P8" si="3">SUM(E7:E7)</f>
        <v>13492.21</v>
      </c>
      <c r="F8" s="203">
        <f t="shared" si="3"/>
        <v>0</v>
      </c>
      <c r="G8" s="203">
        <f t="shared" si="3"/>
        <v>40476.629999999997</v>
      </c>
      <c r="H8" s="203">
        <f t="shared" si="3"/>
        <v>1011.91575</v>
      </c>
      <c r="I8" s="203">
        <f t="shared" si="3"/>
        <v>0</v>
      </c>
      <c r="J8" s="203">
        <f t="shared" si="3"/>
        <v>6746.1049999999996</v>
      </c>
      <c r="K8" s="203">
        <f t="shared" si="3"/>
        <v>47222.735000000001</v>
      </c>
      <c r="L8" s="203">
        <f t="shared" si="3"/>
        <v>13492.21</v>
      </c>
      <c r="M8" s="203">
        <f t="shared" si="3"/>
        <v>0</v>
      </c>
      <c r="N8" s="203">
        <f t="shared" si="3"/>
        <v>50000</v>
      </c>
      <c r="O8" s="203">
        <f t="shared" si="3"/>
        <v>1349.221</v>
      </c>
      <c r="P8" s="203">
        <f t="shared" si="3"/>
        <v>10000</v>
      </c>
      <c r="Q8" s="328">
        <f>E8+F8+G8+H8+I8+J8+K8+L8+M8+N8+O8+P8</f>
        <v>183791.02674999999</v>
      </c>
      <c r="R8" s="14"/>
      <c r="S8" s="203">
        <f t="shared" ref="S8:Z8" si="4">SUM(S7:S7)</f>
        <v>205204.08</v>
      </c>
      <c r="T8" s="203">
        <f t="shared" si="4"/>
        <v>21413.05</v>
      </c>
      <c r="U8" s="203">
        <f t="shared" si="4"/>
        <v>0</v>
      </c>
      <c r="V8" s="203">
        <f t="shared" si="4"/>
        <v>0</v>
      </c>
      <c r="W8" s="203">
        <f t="shared" si="4"/>
        <v>18102.900000000001</v>
      </c>
      <c r="X8" s="203">
        <f t="shared" si="4"/>
        <v>21640.880000000001</v>
      </c>
      <c r="Y8" s="203">
        <f t="shared" si="4"/>
        <v>3537.98</v>
      </c>
      <c r="Z8" s="214">
        <f t="shared" si="4"/>
        <v>17875.07</v>
      </c>
      <c r="AA8" s="203"/>
      <c r="AB8" s="214">
        <f>SUM(AB7:AB7)</f>
        <v>4766.6853333333302</v>
      </c>
      <c r="AC8" s="12"/>
    </row>
    <row r="9" spans="1:30" ht="20.100000000000001" customHeight="1">
      <c r="A9" s="9"/>
      <c r="B9" s="13"/>
      <c r="C9" s="3"/>
      <c r="D9" s="9"/>
      <c r="E9" s="203"/>
      <c r="F9" s="203"/>
      <c r="G9" s="203"/>
      <c r="H9" s="203"/>
      <c r="I9" s="203"/>
      <c r="J9" s="203"/>
      <c r="K9" s="203"/>
      <c r="L9" s="202"/>
      <c r="M9" s="202"/>
      <c r="N9" s="203"/>
      <c r="O9" s="203"/>
      <c r="P9" s="203"/>
      <c r="Q9" s="290"/>
      <c r="R9" s="9"/>
      <c r="S9" s="290"/>
      <c r="T9" s="72"/>
      <c r="U9" s="203"/>
      <c r="V9" s="203"/>
      <c r="W9" s="291"/>
      <c r="X9" s="203"/>
      <c r="Y9" s="72"/>
      <c r="Z9" s="213"/>
      <c r="AA9" s="203"/>
      <c r="AB9" s="213"/>
      <c r="AC9" s="12"/>
    </row>
    <row r="10" spans="1:30" ht="20.100000000000001" customHeight="1">
      <c r="A10" s="9"/>
      <c r="B10" s="22" t="s">
        <v>43</v>
      </c>
      <c r="C10" s="4"/>
      <c r="D10" s="23"/>
      <c r="E10" s="203"/>
      <c r="F10" s="203"/>
      <c r="G10" s="72"/>
      <c r="H10" s="72"/>
      <c r="I10" s="72"/>
      <c r="J10" s="72"/>
      <c r="K10" s="72"/>
      <c r="L10" s="202"/>
      <c r="M10" s="202"/>
      <c r="N10" s="72"/>
      <c r="O10" s="72"/>
      <c r="P10" s="72"/>
      <c r="Q10" s="201"/>
      <c r="R10" s="23"/>
      <c r="S10" s="201"/>
      <c r="T10" s="72"/>
      <c r="U10" s="72"/>
      <c r="V10" s="72"/>
      <c r="W10" s="289"/>
      <c r="X10" s="72"/>
      <c r="Y10" s="72"/>
      <c r="Z10" s="213"/>
      <c r="AA10" s="72"/>
      <c r="AB10" s="213"/>
      <c r="AC10" s="12"/>
    </row>
    <row r="11" spans="1:30" ht="20.100000000000001" customHeight="1">
      <c r="A11" s="9">
        <v>2</v>
      </c>
      <c r="B11" s="10" t="s">
        <v>414</v>
      </c>
      <c r="C11" s="3" t="s">
        <v>418</v>
      </c>
      <c r="D11" s="9" t="s">
        <v>358</v>
      </c>
      <c r="E11" s="72">
        <v>33507.5</v>
      </c>
      <c r="F11" s="72"/>
      <c r="G11" s="72">
        <f>E11*300%</f>
        <v>100522.5</v>
      </c>
      <c r="H11" s="72">
        <f>E11*7.5%</f>
        <v>2513.0625</v>
      </c>
      <c r="I11" s="72">
        <v>40122.19</v>
      </c>
      <c r="J11" s="72">
        <f>E11*50%</f>
        <v>16753.75</v>
      </c>
      <c r="K11" s="72">
        <f>E11*350%</f>
        <v>117276.25</v>
      </c>
      <c r="L11" s="72">
        <f>E11*100%</f>
        <v>33507.5</v>
      </c>
      <c r="M11" s="202">
        <f>160000</f>
        <v>160000</v>
      </c>
      <c r="N11" s="202"/>
      <c r="O11" s="72">
        <f>E11*10%</f>
        <v>3350.75</v>
      </c>
      <c r="P11" s="72">
        <v>20000</v>
      </c>
      <c r="Q11" s="201">
        <f ca="1">SUM(E11:Q11)</f>
        <v>527553.50249999994</v>
      </c>
      <c r="R11" s="349" t="s">
        <v>106</v>
      </c>
      <c r="S11" s="201">
        <f>'SALARY STRUCTURE'!H19+180000</f>
        <v>604023.33333333302</v>
      </c>
      <c r="T11" s="72">
        <f>604023.33-527553.5</f>
        <v>76469.83</v>
      </c>
      <c r="U11" s="72">
        <f>837.69</f>
        <v>837.69</v>
      </c>
      <c r="V11" s="72">
        <f>1028.94</f>
        <v>1028.94</v>
      </c>
      <c r="W11" s="289">
        <f>79956.94</f>
        <v>79956.94</v>
      </c>
      <c r="X11" s="72">
        <f>94639.15</f>
        <v>94639.15</v>
      </c>
      <c r="Y11" s="72">
        <f t="shared" ref="Y11:Y18" si="5">X11-W11</f>
        <v>14682.21</v>
      </c>
      <c r="Z11" s="213">
        <f t="shared" ref="Z11:Z18" si="6">T11-Y11</f>
        <v>61787.62</v>
      </c>
      <c r="AA11" s="72">
        <v>9</v>
      </c>
      <c r="AB11" s="213">
        <f t="shared" ref="AB11:AB18" si="7">Z11*AA11</f>
        <v>556088.57999999996</v>
      </c>
      <c r="AC11" s="12"/>
    </row>
    <row r="12" spans="1:30" ht="20.100000000000001" customHeight="1">
      <c r="A12" s="9">
        <v>3</v>
      </c>
      <c r="B12" s="10" t="s">
        <v>420</v>
      </c>
      <c r="C12" s="3" t="s">
        <v>368</v>
      </c>
      <c r="D12" s="9" t="s">
        <v>366</v>
      </c>
      <c r="E12" s="72">
        <v>27611.23</v>
      </c>
      <c r="F12" s="72"/>
      <c r="G12" s="72">
        <f t="shared" ref="G12" si="8">E12*300%</f>
        <v>82833.69</v>
      </c>
      <c r="H12" s="72">
        <f t="shared" ref="H12" si="9">E12*7.5%</f>
        <v>2070.8422500000001</v>
      </c>
      <c r="I12" s="72"/>
      <c r="J12" s="72">
        <f t="shared" ref="J12" si="10">E12*50%</f>
        <v>13805.615</v>
      </c>
      <c r="K12" s="72">
        <f t="shared" ref="K12" si="11">E12*350%</f>
        <v>96639.304999999993</v>
      </c>
      <c r="L12" s="72">
        <f t="shared" ref="L12" si="12">E12*100%</f>
        <v>27611.23</v>
      </c>
      <c r="M12" s="202">
        <f t="shared" ref="M12" si="13">140000</f>
        <v>140000</v>
      </c>
      <c r="N12" s="202"/>
      <c r="O12" s="72">
        <f t="shared" ref="O12" si="14">E12*10%</f>
        <v>2761.123</v>
      </c>
      <c r="P12" s="72">
        <v>20000</v>
      </c>
      <c r="Q12" s="201">
        <f ca="1">SUM(E12:Q12)</f>
        <v>413333.03525000002</v>
      </c>
      <c r="R12" s="349" t="s">
        <v>99</v>
      </c>
      <c r="S12" s="72">
        <f>'SALARY STRUCTURE'!H18+160000</f>
        <v>504720.16666666698</v>
      </c>
      <c r="T12" s="72">
        <f>504720.05-413333.04</f>
        <v>91387.01</v>
      </c>
      <c r="U12" s="72">
        <v>0</v>
      </c>
      <c r="V12" s="72"/>
      <c r="W12" s="72">
        <v>57889.864794666697</v>
      </c>
      <c r="X12" s="319">
        <f>75436.17</f>
        <v>75436.17</v>
      </c>
      <c r="Y12" s="72">
        <f t="shared" si="5"/>
        <v>17546.305205333301</v>
      </c>
      <c r="Z12" s="213">
        <f t="shared" si="6"/>
        <v>73840.704794666701</v>
      </c>
      <c r="AA12" s="12">
        <v>0</v>
      </c>
      <c r="AB12" s="315">
        <f t="shared" si="7"/>
        <v>0</v>
      </c>
    </row>
    <row r="13" spans="1:30" ht="25.5" customHeight="1">
      <c r="A13" s="9"/>
      <c r="B13" s="19" t="s">
        <v>42</v>
      </c>
      <c r="C13" s="20"/>
      <c r="D13" s="20"/>
      <c r="E13" s="80">
        <f>SUM(E11:E12)</f>
        <v>61118.73</v>
      </c>
      <c r="F13" s="80">
        <f t="shared" ref="F13:AB13" si="15">SUM(F11:F12)</f>
        <v>0</v>
      </c>
      <c r="G13" s="80">
        <f t="shared" si="15"/>
        <v>183356.19</v>
      </c>
      <c r="H13" s="80">
        <f t="shared" si="15"/>
        <v>4583.9047499999997</v>
      </c>
      <c r="I13" s="80">
        <f t="shared" si="15"/>
        <v>40122.19</v>
      </c>
      <c r="J13" s="80">
        <f t="shared" si="15"/>
        <v>30559.365000000002</v>
      </c>
      <c r="K13" s="80">
        <f t="shared" si="15"/>
        <v>213915.55499999999</v>
      </c>
      <c r="L13" s="80">
        <f t="shared" si="15"/>
        <v>61118.73</v>
      </c>
      <c r="M13" s="80">
        <f t="shared" si="15"/>
        <v>300000</v>
      </c>
      <c r="N13" s="80">
        <f t="shared" si="15"/>
        <v>0</v>
      </c>
      <c r="O13" s="80">
        <f t="shared" si="15"/>
        <v>6111.8729999999996</v>
      </c>
      <c r="P13" s="80">
        <f t="shared" si="15"/>
        <v>40000</v>
      </c>
      <c r="Q13" s="80">
        <f t="shared" ca="1" si="15"/>
        <v>61118.73</v>
      </c>
      <c r="R13" s="80">
        <f t="shared" si="15"/>
        <v>0</v>
      </c>
      <c r="S13" s="80">
        <f t="shared" si="15"/>
        <v>1108743.5</v>
      </c>
      <c r="T13" s="80">
        <f t="shared" si="15"/>
        <v>167856.84</v>
      </c>
      <c r="U13" s="80">
        <f t="shared" si="15"/>
        <v>837.69</v>
      </c>
      <c r="V13" s="80">
        <f t="shared" si="15"/>
        <v>1028.94</v>
      </c>
      <c r="W13" s="80">
        <f t="shared" si="15"/>
        <v>137846.804794667</v>
      </c>
      <c r="X13" s="80">
        <f t="shared" si="15"/>
        <v>170075.32</v>
      </c>
      <c r="Y13" s="80">
        <f t="shared" si="15"/>
        <v>32228.5152053333</v>
      </c>
      <c r="Z13" s="80">
        <f t="shared" si="15"/>
        <v>135628.32479466699</v>
      </c>
      <c r="AA13" s="80">
        <f t="shared" si="15"/>
        <v>9</v>
      </c>
      <c r="AB13" s="80">
        <f t="shared" si="15"/>
        <v>556088.57999999996</v>
      </c>
      <c r="AC13" s="12"/>
    </row>
    <row r="14" spans="1:30" ht="20.100000000000001" customHeight="1">
      <c r="A14" s="9"/>
      <c r="B14" s="19"/>
      <c r="C14" s="20"/>
      <c r="D14" s="20"/>
      <c r="E14" s="134"/>
      <c r="F14" s="134"/>
      <c r="G14" s="134"/>
      <c r="H14" s="134"/>
      <c r="I14" s="134"/>
      <c r="J14" s="134"/>
      <c r="K14" s="134"/>
      <c r="L14" s="202"/>
      <c r="M14" s="202"/>
      <c r="N14" s="134"/>
      <c r="O14" s="134"/>
      <c r="P14" s="134"/>
      <c r="Q14" s="292"/>
      <c r="R14" s="20"/>
      <c r="S14" s="292"/>
      <c r="T14" s="72">
        <f t="shared" ref="T14" si="16">S14-Q14</f>
        <v>0</v>
      </c>
      <c r="U14" s="134"/>
      <c r="V14" s="134"/>
      <c r="W14" s="293"/>
      <c r="X14" s="134"/>
      <c r="Y14" s="72"/>
      <c r="Z14" s="213"/>
      <c r="AA14" s="134"/>
      <c r="AB14" s="213"/>
      <c r="AC14" s="12"/>
    </row>
    <row r="15" spans="1:30" ht="20.100000000000001" customHeight="1">
      <c r="A15" s="3"/>
      <c r="B15" s="21"/>
      <c r="C15" s="9"/>
      <c r="D15" s="3"/>
      <c r="E15" s="206"/>
      <c r="F15" s="206"/>
      <c r="G15" s="206"/>
      <c r="H15" s="206"/>
      <c r="I15" s="206"/>
      <c r="J15" s="206"/>
      <c r="K15" s="206"/>
      <c r="L15" s="202"/>
      <c r="M15" s="202"/>
      <c r="N15" s="206"/>
      <c r="O15" s="206"/>
      <c r="P15" s="206"/>
      <c r="Q15" s="295"/>
      <c r="R15" s="3"/>
      <c r="S15" s="295"/>
      <c r="T15" s="72"/>
      <c r="U15" s="206"/>
      <c r="V15" s="206"/>
      <c r="W15" s="296"/>
      <c r="X15" s="206"/>
      <c r="Y15" s="72">
        <f t="shared" si="5"/>
        <v>0</v>
      </c>
      <c r="Z15" s="213">
        <f t="shared" si="6"/>
        <v>0</v>
      </c>
      <c r="AA15" s="206"/>
      <c r="AB15" s="213">
        <f t="shared" si="7"/>
        <v>0</v>
      </c>
      <c r="AC15" s="12"/>
    </row>
    <row r="16" spans="1:30" ht="20.100000000000001" customHeight="1">
      <c r="A16" s="3"/>
      <c r="B16" s="19" t="s">
        <v>97</v>
      </c>
      <c r="C16" s="20"/>
      <c r="D16" s="20"/>
      <c r="E16" s="134"/>
      <c r="F16" s="134"/>
      <c r="G16" s="134"/>
      <c r="H16" s="134"/>
      <c r="I16" s="134"/>
      <c r="J16" s="134"/>
      <c r="K16" s="134"/>
      <c r="L16" s="202"/>
      <c r="M16" s="202"/>
      <c r="N16" s="134"/>
      <c r="O16" s="134"/>
      <c r="P16" s="134"/>
      <c r="Q16" s="292"/>
      <c r="R16" s="20"/>
      <c r="S16" s="292"/>
      <c r="T16" s="72"/>
      <c r="U16" s="134"/>
      <c r="V16" s="134"/>
      <c r="W16" s="293"/>
      <c r="X16" s="134"/>
      <c r="Y16" s="72">
        <f t="shared" si="5"/>
        <v>0</v>
      </c>
      <c r="Z16" s="213">
        <f t="shared" si="6"/>
        <v>0</v>
      </c>
      <c r="AA16" s="134"/>
      <c r="AB16" s="213">
        <f t="shared" si="7"/>
        <v>0</v>
      </c>
      <c r="AC16" s="12"/>
    </row>
    <row r="17" spans="1:29" ht="20.100000000000001" customHeight="1">
      <c r="A17" s="3">
        <v>3</v>
      </c>
      <c r="B17" s="10" t="s">
        <v>178</v>
      </c>
      <c r="C17" s="11" t="s">
        <v>337</v>
      </c>
      <c r="D17" s="14" t="s">
        <v>358</v>
      </c>
      <c r="E17" s="72">
        <v>33507.5</v>
      </c>
      <c r="F17" s="72"/>
      <c r="G17" s="72">
        <f t="shared" ref="G17:G18" si="17">E17*300%</f>
        <v>100522.5</v>
      </c>
      <c r="H17" s="72">
        <f t="shared" ref="H17:H18" si="18">E17*7.5%</f>
        <v>2513.0625</v>
      </c>
      <c r="I17" s="72">
        <v>40122.19</v>
      </c>
      <c r="J17" s="72">
        <f t="shared" ref="J17:J18" si="19">E17*50%</f>
        <v>16753.75</v>
      </c>
      <c r="K17" s="72">
        <f t="shared" ref="K17:K18" si="20">E17*350%</f>
        <v>117276.25</v>
      </c>
      <c r="L17" s="72">
        <f t="shared" ref="L17:L18" si="21">E17*100%</f>
        <v>33507.5</v>
      </c>
      <c r="M17" s="202">
        <f>80000</f>
        <v>80000</v>
      </c>
      <c r="N17" s="72">
        <f>E17*10%</f>
        <v>3350.75</v>
      </c>
      <c r="O17" s="72">
        <v>20000</v>
      </c>
      <c r="P17" s="72">
        <v>100000</v>
      </c>
      <c r="Q17" s="201">
        <f>SUM(E17:P17)</f>
        <v>547553.50249999994</v>
      </c>
      <c r="R17" s="349" t="s">
        <v>106</v>
      </c>
      <c r="S17" s="201">
        <f>'SALARY STRUCTURE'!H19+190000</f>
        <v>614023.33333333302</v>
      </c>
      <c r="T17" s="72">
        <f>S17-Q17</f>
        <v>66469.830833333093</v>
      </c>
      <c r="U17" s="72">
        <f>837.69</f>
        <v>837.69</v>
      </c>
      <c r="V17" s="72">
        <f>1028.94</f>
        <v>1028.94</v>
      </c>
      <c r="W17" s="289">
        <f>83626.1</f>
        <v>83626.100000000006</v>
      </c>
      <c r="X17" s="72">
        <f>96398.31</f>
        <v>96398.31</v>
      </c>
      <c r="Y17" s="72">
        <f t="shared" si="5"/>
        <v>12772.21</v>
      </c>
      <c r="Z17" s="213">
        <f t="shared" si="6"/>
        <v>53697.620833333101</v>
      </c>
      <c r="AA17" s="72">
        <v>11</v>
      </c>
      <c r="AB17" s="213">
        <f t="shared" si="7"/>
        <v>590673.82916666404</v>
      </c>
      <c r="AC17" s="12"/>
    </row>
    <row r="18" spans="1:29" ht="20.100000000000001" customHeight="1">
      <c r="A18" s="3"/>
      <c r="B18" s="10" t="s">
        <v>505</v>
      </c>
      <c r="C18" s="11" t="s">
        <v>506</v>
      </c>
      <c r="D18" s="14" t="s">
        <v>375</v>
      </c>
      <c r="E18" s="72">
        <v>25523.45</v>
      </c>
      <c r="F18" s="72"/>
      <c r="G18" s="72">
        <f t="shared" si="17"/>
        <v>76570.350000000006</v>
      </c>
      <c r="H18" s="72">
        <f t="shared" si="18"/>
        <v>1914.25875</v>
      </c>
      <c r="I18" s="72"/>
      <c r="J18" s="72">
        <f t="shared" si="19"/>
        <v>12761.725</v>
      </c>
      <c r="K18" s="72">
        <f t="shared" si="20"/>
        <v>89332.074999999997</v>
      </c>
      <c r="L18" s="72">
        <f t="shared" si="21"/>
        <v>25523.45</v>
      </c>
      <c r="M18" s="202"/>
      <c r="N18" s="202">
        <f t="shared" ref="N18" si="22">70000</f>
        <v>70000</v>
      </c>
      <c r="O18" s="72">
        <f t="shared" ref="O18" si="23">E18*10%</f>
        <v>2552.3449999999998</v>
      </c>
      <c r="P18" s="72">
        <v>15000</v>
      </c>
      <c r="Q18" s="201">
        <f ca="1">SUM(E18:Q18)</f>
        <v>319177.65375</v>
      </c>
      <c r="R18" s="9" t="s">
        <v>1049</v>
      </c>
      <c r="S18" s="72" t="e">
        <f>#REF!</f>
        <v>#REF!</v>
      </c>
      <c r="T18" s="72">
        <f>327211.37-319177.65</f>
        <v>8033.7199999999702</v>
      </c>
      <c r="U18" s="72">
        <v>638.09</v>
      </c>
      <c r="V18" s="72">
        <v>690.28</v>
      </c>
      <c r="W18" s="72">
        <v>40684.6</v>
      </c>
      <c r="X18" s="319">
        <v>42034.239999999998</v>
      </c>
      <c r="Y18" s="72">
        <f t="shared" si="5"/>
        <v>1349.64</v>
      </c>
      <c r="Z18" s="213">
        <f t="shared" si="6"/>
        <v>6684.0799999999699</v>
      </c>
      <c r="AA18" s="72">
        <v>0</v>
      </c>
      <c r="AB18" s="213">
        <f t="shared" si="7"/>
        <v>0</v>
      </c>
      <c r="AC18" s="12"/>
    </row>
    <row r="19" spans="1:29" ht="28.5" customHeight="1">
      <c r="A19" s="3"/>
      <c r="B19" s="19" t="s">
        <v>42</v>
      </c>
      <c r="C19" s="25"/>
      <c r="D19" s="14"/>
      <c r="E19" s="134">
        <f t="shared" ref="E19:L19" si="24">SUM(E17:E17)</f>
        <v>33507.5</v>
      </c>
      <c r="F19" s="134">
        <f t="shared" si="24"/>
        <v>0</v>
      </c>
      <c r="G19" s="134">
        <f t="shared" si="24"/>
        <v>100522.5</v>
      </c>
      <c r="H19" s="134">
        <f t="shared" si="24"/>
        <v>2513.0625</v>
      </c>
      <c r="I19" s="134">
        <f t="shared" si="24"/>
        <v>40122.19</v>
      </c>
      <c r="J19" s="134">
        <f t="shared" si="24"/>
        <v>16753.75</v>
      </c>
      <c r="K19" s="134">
        <f t="shared" si="24"/>
        <v>117276.25</v>
      </c>
      <c r="L19" s="134">
        <f t="shared" si="24"/>
        <v>33507.5</v>
      </c>
      <c r="M19" s="134" t="e">
        <f>SUM(#REF!)</f>
        <v>#REF!</v>
      </c>
      <c r="N19" s="134">
        <f>SUM(M17:M17)</f>
        <v>80000</v>
      </c>
      <c r="O19" s="134">
        <f>SUM(N17:N17)</f>
        <v>3350.75</v>
      </c>
      <c r="P19" s="134">
        <f>SUM(O17:O17)</f>
        <v>20000</v>
      </c>
      <c r="Q19" s="134">
        <f>SUM(P17:P17)</f>
        <v>100000</v>
      </c>
      <c r="R19" s="14"/>
      <c r="S19" s="134">
        <f t="shared" ref="S19:Z19" si="25">SUM(S17:S17)</f>
        <v>614023.33333333302</v>
      </c>
      <c r="T19" s="134">
        <f t="shared" si="25"/>
        <v>66469.830833333093</v>
      </c>
      <c r="U19" s="134">
        <f t="shared" si="25"/>
        <v>837.69</v>
      </c>
      <c r="V19" s="134">
        <f t="shared" si="25"/>
        <v>1028.94</v>
      </c>
      <c r="W19" s="134">
        <f t="shared" si="25"/>
        <v>83626.100000000006</v>
      </c>
      <c r="X19" s="134">
        <f t="shared" si="25"/>
        <v>96398.31</v>
      </c>
      <c r="Y19" s="134">
        <f t="shared" si="25"/>
        <v>12772.21</v>
      </c>
      <c r="Z19" s="215">
        <f t="shared" si="25"/>
        <v>53697.620833333101</v>
      </c>
      <c r="AA19" s="134"/>
      <c r="AB19" s="215">
        <f>SUM(AB17:AB17)</f>
        <v>590673.82916666404</v>
      </c>
      <c r="AC19" s="12"/>
    </row>
    <row r="20" spans="1:29" ht="18.75" customHeight="1">
      <c r="A20" s="3"/>
      <c r="B20" s="19"/>
      <c r="C20" s="25"/>
      <c r="D20" s="1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4"/>
      <c r="S20" s="134"/>
      <c r="T20" s="134"/>
      <c r="U20" s="134"/>
      <c r="V20" s="134"/>
      <c r="W20" s="134"/>
      <c r="X20" s="134"/>
      <c r="Y20" s="134"/>
      <c r="Z20" s="215"/>
      <c r="AA20" s="134"/>
      <c r="AB20" s="215"/>
      <c r="AC20" s="12"/>
    </row>
    <row r="21" spans="1:29" ht="28.5" customHeight="1">
      <c r="A21" s="3"/>
      <c r="B21" s="19" t="s">
        <v>97</v>
      </c>
      <c r="C21" s="25"/>
      <c r="D21" s="1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4"/>
      <c r="S21" s="134"/>
      <c r="T21" s="134"/>
      <c r="U21" s="134"/>
      <c r="V21" s="134"/>
      <c r="W21" s="134"/>
      <c r="X21" s="134"/>
      <c r="Y21" s="134"/>
      <c r="Z21" s="215"/>
      <c r="AA21" s="134"/>
      <c r="AB21" s="215"/>
      <c r="AC21" s="12"/>
    </row>
    <row r="22" spans="1:29" ht="20.100000000000001" customHeight="1">
      <c r="A22" s="26">
        <v>15</v>
      </c>
      <c r="B22" s="10" t="s">
        <v>578</v>
      </c>
      <c r="C22" s="11" t="s">
        <v>585</v>
      </c>
      <c r="D22" s="14" t="s">
        <v>586</v>
      </c>
      <c r="E22" s="72">
        <v>5428.12</v>
      </c>
      <c r="F22" s="72">
        <f t="shared" ref="F22:F24" si="26">E22*300%</f>
        <v>16284.36</v>
      </c>
      <c r="G22" s="72">
        <f t="shared" ref="G22:G24" si="27">E22*7.5%</f>
        <v>407.10899999999998</v>
      </c>
      <c r="H22" s="72"/>
      <c r="I22" s="72">
        <f t="shared" ref="I22:I24" si="28">E22*50%</f>
        <v>2714.06</v>
      </c>
      <c r="J22" s="72">
        <f t="shared" ref="J22:J24" si="29">E22*350%</f>
        <v>18998.419999999998</v>
      </c>
      <c r="K22" s="72">
        <f t="shared" ref="K22:K24" si="30">E22*100%</f>
        <v>5428.12</v>
      </c>
      <c r="L22" s="202"/>
      <c r="M22" s="202">
        <f>20000</f>
        <v>20000</v>
      </c>
      <c r="N22" s="72">
        <f t="shared" ref="N22:N24" si="31">E22*10%</f>
        <v>542.81200000000001</v>
      </c>
      <c r="O22" s="72">
        <v>5000</v>
      </c>
      <c r="P22" s="72">
        <f>7000</f>
        <v>7000</v>
      </c>
      <c r="Q22" s="201">
        <f t="shared" ref="Q22:Q24" si="32">SUM(E22:P22)</f>
        <v>81803.001000000004</v>
      </c>
      <c r="R22" s="14" t="s">
        <v>580</v>
      </c>
      <c r="S22" s="201" t="e">
        <f>'SALARY STRUCTURE'!#REF!+30000</f>
        <v>#REF!</v>
      </c>
      <c r="T22" s="72" t="e">
        <f t="shared" ref="T22:T24" si="33">S22-Q22</f>
        <v>#REF!</v>
      </c>
      <c r="U22" s="72"/>
      <c r="V22" s="72"/>
      <c r="W22" s="289">
        <v>4365.3307546666701</v>
      </c>
      <c r="X22" s="72">
        <f>'[11]October 2023'!$Z$164</f>
        <v>8312.59</v>
      </c>
      <c r="Y22" s="72">
        <f t="shared" ref="Y22:Y24" si="34">X22-W22</f>
        <v>3947.25924533333</v>
      </c>
      <c r="Z22" s="213" t="e">
        <f t="shared" ref="Z22:Z24" si="35">T22-Y22</f>
        <v>#REF!</v>
      </c>
      <c r="AA22" s="72">
        <f>(10/31)+2</f>
        <v>2.32258064516129</v>
      </c>
      <c r="AB22" s="213" t="e">
        <f t="shared" ref="AB22:AB24" si="36">Z22*AA22</f>
        <v>#REF!</v>
      </c>
      <c r="AC22" s="12"/>
    </row>
    <row r="23" spans="1:29" s="277" customFormat="1" ht="20.100000000000001" customHeight="1">
      <c r="A23" s="280">
        <v>16</v>
      </c>
      <c r="B23" s="281" t="s">
        <v>581</v>
      </c>
      <c r="C23" s="282" t="s">
        <v>585</v>
      </c>
      <c r="D23" s="283" t="s">
        <v>586</v>
      </c>
      <c r="E23" s="54">
        <v>5428.12</v>
      </c>
      <c r="F23" s="54">
        <f t="shared" si="26"/>
        <v>16284.36</v>
      </c>
      <c r="G23" s="54">
        <f t="shared" si="27"/>
        <v>407.10899999999998</v>
      </c>
      <c r="H23" s="54"/>
      <c r="I23" s="54">
        <f t="shared" si="28"/>
        <v>2714.06</v>
      </c>
      <c r="J23" s="54">
        <f t="shared" si="29"/>
        <v>18998.419999999998</v>
      </c>
      <c r="K23" s="54">
        <f t="shared" si="30"/>
        <v>5428.12</v>
      </c>
      <c r="L23" s="284"/>
      <c r="M23" s="284">
        <f>20000</f>
        <v>20000</v>
      </c>
      <c r="N23" s="54">
        <f t="shared" si="31"/>
        <v>542.81200000000001</v>
      </c>
      <c r="O23" s="54">
        <v>5000</v>
      </c>
      <c r="P23" s="54">
        <f>7000</f>
        <v>7000</v>
      </c>
      <c r="Q23" s="54">
        <f t="shared" si="32"/>
        <v>81803.001000000004</v>
      </c>
      <c r="R23" s="283" t="s">
        <v>580</v>
      </c>
      <c r="S23" s="54" t="e">
        <f>'SALARY STRUCTURE'!#REF!+30000</f>
        <v>#REF!</v>
      </c>
      <c r="T23" s="54" t="e">
        <f t="shared" si="33"/>
        <v>#REF!</v>
      </c>
      <c r="U23" s="54"/>
      <c r="V23" s="54"/>
      <c r="W23" s="297">
        <f>4365.33075466667</f>
        <v>4365.3307546666701</v>
      </c>
      <c r="X23" s="54">
        <f>'[11]October 2023'!$Z$164</f>
        <v>8312.59</v>
      </c>
      <c r="Y23" s="54">
        <f t="shared" si="34"/>
        <v>3947.25924533333</v>
      </c>
      <c r="Z23" s="54" t="e">
        <f t="shared" si="35"/>
        <v>#REF!</v>
      </c>
      <c r="AA23" s="54">
        <f>(17/31)+1</f>
        <v>1.54838709677419</v>
      </c>
      <c r="AB23" s="54" t="e">
        <f t="shared" si="36"/>
        <v>#REF!</v>
      </c>
      <c r="AC23" s="304"/>
    </row>
    <row r="24" spans="1:29" ht="20.100000000000001" customHeight="1">
      <c r="A24" s="26">
        <v>17</v>
      </c>
      <c r="B24" s="17" t="s">
        <v>582</v>
      </c>
      <c r="C24" s="11" t="s">
        <v>585</v>
      </c>
      <c r="D24" s="14" t="s">
        <v>1050</v>
      </c>
      <c r="E24" s="72">
        <f>5598.92</f>
        <v>5598.92</v>
      </c>
      <c r="F24" s="72">
        <f t="shared" si="26"/>
        <v>16796.759999999998</v>
      </c>
      <c r="G24" s="72">
        <f t="shared" si="27"/>
        <v>419.91899999999998</v>
      </c>
      <c r="H24" s="72"/>
      <c r="I24" s="72">
        <f t="shared" si="28"/>
        <v>2799.46</v>
      </c>
      <c r="J24" s="72">
        <f t="shared" si="29"/>
        <v>19596.22</v>
      </c>
      <c r="K24" s="72">
        <f t="shared" si="30"/>
        <v>5598.92</v>
      </c>
      <c r="L24" s="202"/>
      <c r="M24" s="202">
        <f>20000</f>
        <v>20000</v>
      </c>
      <c r="N24" s="72">
        <f t="shared" si="31"/>
        <v>559.89200000000005</v>
      </c>
      <c r="O24" s="72">
        <v>5000</v>
      </c>
      <c r="P24" s="72">
        <f>7000</f>
        <v>7000</v>
      </c>
      <c r="Q24" s="201">
        <f t="shared" si="32"/>
        <v>83370.091</v>
      </c>
      <c r="R24" s="14" t="s">
        <v>580</v>
      </c>
      <c r="S24" s="201">
        <v>115104.91666666701</v>
      </c>
      <c r="T24" s="72">
        <f t="shared" si="33"/>
        <v>31734.825666666999</v>
      </c>
      <c r="U24" s="72"/>
      <c r="V24" s="72"/>
      <c r="W24" s="289">
        <v>4504.4109200000003</v>
      </c>
      <c r="X24" s="72">
        <f>'[11]October 2023'!$Z$164</f>
        <v>8312.59</v>
      </c>
      <c r="Y24" s="72">
        <f t="shared" si="34"/>
        <v>3808.1790799999999</v>
      </c>
      <c r="Z24" s="213">
        <f t="shared" si="35"/>
        <v>27926.646586667001</v>
      </c>
      <c r="AA24" s="72">
        <v>8</v>
      </c>
      <c r="AB24" s="213">
        <f t="shared" si="36"/>
        <v>223413.172693336</v>
      </c>
      <c r="AC24" s="12"/>
    </row>
    <row r="25" spans="1:29" ht="20.100000000000001" customHeight="1">
      <c r="A25" s="3"/>
      <c r="B25" s="21"/>
      <c r="C25" s="25"/>
      <c r="D25" s="14"/>
      <c r="E25" s="134"/>
      <c r="F25" s="134"/>
      <c r="G25" s="134"/>
      <c r="H25" s="134"/>
      <c r="I25" s="134"/>
      <c r="J25" s="134"/>
      <c r="K25" s="134"/>
      <c r="L25" s="202">
        <f>226713.38+70000</f>
        <v>296713.38</v>
      </c>
      <c r="M25" s="202"/>
      <c r="N25" s="134"/>
      <c r="O25" s="134"/>
      <c r="P25" s="134"/>
      <c r="Q25" s="292"/>
      <c r="R25" s="14"/>
      <c r="S25" s="292"/>
      <c r="T25" s="72"/>
      <c r="U25" s="134"/>
      <c r="V25" s="134"/>
      <c r="W25" s="293"/>
      <c r="X25" s="134"/>
      <c r="Y25" s="72"/>
      <c r="Z25" s="213"/>
      <c r="AA25" s="134"/>
      <c r="AB25" s="213"/>
      <c r="AC25" s="12"/>
    </row>
    <row r="26" spans="1:29" ht="20.100000000000001" customHeight="1">
      <c r="A26" s="3"/>
      <c r="B26" s="21"/>
      <c r="C26" s="25"/>
      <c r="D26" s="14"/>
      <c r="E26" s="134"/>
      <c r="F26" s="134"/>
      <c r="G26" s="134"/>
      <c r="H26" s="134"/>
      <c r="I26" s="134"/>
      <c r="J26" s="134"/>
      <c r="K26" s="134"/>
      <c r="L26" s="202"/>
      <c r="M26" s="202"/>
      <c r="N26" s="134"/>
      <c r="O26" s="134"/>
      <c r="P26" s="134"/>
      <c r="Q26" s="292"/>
      <c r="R26" s="14"/>
      <c r="S26" s="292"/>
      <c r="T26" s="72"/>
      <c r="U26" s="134"/>
      <c r="V26" s="134"/>
      <c r="W26" s="293"/>
      <c r="X26" s="134"/>
      <c r="Y26" s="72"/>
      <c r="Z26" s="213"/>
      <c r="AA26" s="134"/>
      <c r="AB26" s="213"/>
      <c r="AC26" s="12"/>
    </row>
    <row r="27" spans="1:29" ht="19.5" customHeight="1">
      <c r="A27" s="3"/>
      <c r="B27" s="29" t="s">
        <v>125</v>
      </c>
      <c r="C27" s="30"/>
      <c r="D27" s="31"/>
      <c r="E27" s="209">
        <f>E19+E13+E8</f>
        <v>108118.44</v>
      </c>
      <c r="F27" s="209">
        <f t="shared" ref="F27:AB27" si="37">F19+F13+F8</f>
        <v>0</v>
      </c>
      <c r="G27" s="209">
        <f t="shared" si="37"/>
        <v>324355.32</v>
      </c>
      <c r="H27" s="209">
        <f t="shared" si="37"/>
        <v>8108.8829999999998</v>
      </c>
      <c r="I27" s="209">
        <f t="shared" si="37"/>
        <v>80244.38</v>
      </c>
      <c r="J27" s="209">
        <f t="shared" si="37"/>
        <v>54059.22</v>
      </c>
      <c r="K27" s="209">
        <f t="shared" si="37"/>
        <v>378414.54</v>
      </c>
      <c r="L27" s="209">
        <f t="shared" si="37"/>
        <v>108118.44</v>
      </c>
      <c r="M27" s="209" t="e">
        <f t="shared" si="37"/>
        <v>#REF!</v>
      </c>
      <c r="N27" s="209">
        <f t="shared" si="37"/>
        <v>130000</v>
      </c>
      <c r="O27" s="209">
        <f t="shared" si="37"/>
        <v>10811.843999999999</v>
      </c>
      <c r="P27" s="209">
        <f t="shared" si="37"/>
        <v>70000</v>
      </c>
      <c r="Q27" s="209">
        <f t="shared" ca="1" si="37"/>
        <v>82203.67</v>
      </c>
      <c r="R27" s="209">
        <f t="shared" si="37"/>
        <v>0</v>
      </c>
      <c r="S27" s="209">
        <f t="shared" si="37"/>
        <v>1927970.9133333301</v>
      </c>
      <c r="T27" s="209">
        <f t="shared" si="37"/>
        <v>255739.72083333301</v>
      </c>
      <c r="U27" s="209">
        <f t="shared" si="37"/>
        <v>1675.38</v>
      </c>
      <c r="V27" s="209">
        <f t="shared" si="37"/>
        <v>2057.88</v>
      </c>
      <c r="W27" s="209">
        <f t="shared" si="37"/>
        <v>239575.804794667</v>
      </c>
      <c r="X27" s="209">
        <f t="shared" si="37"/>
        <v>288114.51</v>
      </c>
      <c r="Y27" s="209">
        <f t="shared" si="37"/>
        <v>48538.705205333303</v>
      </c>
      <c r="Z27" s="209">
        <f t="shared" si="37"/>
        <v>207201.01562799999</v>
      </c>
      <c r="AA27" s="209">
        <f t="shared" si="37"/>
        <v>9</v>
      </c>
      <c r="AB27" s="209">
        <f t="shared" si="37"/>
        <v>1151529.0944999999</v>
      </c>
      <c r="AC27" s="12"/>
    </row>
    <row r="28" spans="1:29" ht="20.100000000000001" customHeight="1">
      <c r="A28" s="2"/>
      <c r="B28" s="32"/>
      <c r="C28" s="2"/>
      <c r="D28" s="33"/>
      <c r="E28" s="33"/>
      <c r="F28" s="33"/>
      <c r="G28" s="33"/>
      <c r="H28" s="33"/>
      <c r="I28" s="210"/>
      <c r="J28" s="210"/>
      <c r="K28" s="210"/>
      <c r="L28" s="210"/>
      <c r="M28" s="210"/>
      <c r="N28" s="210"/>
      <c r="O28" s="210"/>
      <c r="P28" s="210"/>
      <c r="Q28" s="210"/>
      <c r="R28" s="210"/>
      <c r="S28" s="210"/>
      <c r="T28" s="210"/>
      <c r="U28" s="210"/>
      <c r="V28" s="210"/>
      <c r="W28" s="298"/>
      <c r="X28" s="211"/>
      <c r="Y28" s="211"/>
      <c r="Z28" s="211"/>
      <c r="AA28" s="211"/>
      <c r="AB28" s="211"/>
      <c r="AC28" s="34"/>
    </row>
    <row r="29" spans="1:29" ht="36.75" customHeight="1">
      <c r="A29" s="2"/>
      <c r="B29" s="32"/>
      <c r="C29" s="33"/>
      <c r="D29" s="33"/>
      <c r="E29" s="33"/>
      <c r="F29" s="33"/>
      <c r="G29" s="33"/>
      <c r="H29" s="33"/>
      <c r="I29" s="210"/>
      <c r="J29" s="210"/>
      <c r="K29" s="210"/>
      <c r="L29" s="210"/>
      <c r="M29" s="210"/>
      <c r="N29" s="210"/>
      <c r="O29" s="210"/>
      <c r="Q29" s="210"/>
      <c r="R29" s="210"/>
      <c r="S29" s="210"/>
      <c r="T29" s="210"/>
      <c r="U29" s="210"/>
      <c r="V29" s="210"/>
      <c r="W29" s="298"/>
      <c r="X29" s="211"/>
      <c r="Y29" s="211"/>
      <c r="Z29" s="211"/>
      <c r="AA29" s="211"/>
      <c r="AB29" s="211"/>
    </row>
    <row r="32" spans="1:29" ht="20.100000000000001" customHeight="1">
      <c r="Q32" s="34"/>
      <c r="R32" s="34"/>
      <c r="S32" s="34"/>
      <c r="T32" s="34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27" max="27" man="1"/>
  </rowBreaks>
  <colBreaks count="1" manualBreakCount="1">
    <brk id="13" max="46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zoomScaleSheetLayoutView="50" workbookViewId="0">
      <pane xSplit="3" ySplit="7" topLeftCell="D8" activePane="bottomRight" state="frozen"/>
      <selection pane="topRight"/>
      <selection pane="bottomLeft"/>
      <selection pane="bottomRight" activeCell="F176" sqref="F176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1.140625" style="1" customWidth="1"/>
    <col min="5" max="5" width="21.28515625" style="1" customWidth="1"/>
    <col min="6" max="6" width="21.7109375" style="1" customWidth="1"/>
    <col min="7" max="7" width="11.5703125" style="1" customWidth="1"/>
    <col min="8" max="16384" width="9.140625" style="1"/>
  </cols>
  <sheetData>
    <row r="1" spans="1:6" ht="27" customHeight="1">
      <c r="A1" s="862" t="s">
        <v>0</v>
      </c>
      <c r="B1" s="862"/>
      <c r="C1" s="862"/>
      <c r="D1" s="862"/>
      <c r="E1" s="862"/>
    </row>
    <row r="2" spans="1:6" ht="33.75" customHeight="1">
      <c r="A2" s="218" t="s">
        <v>1051</v>
      </c>
      <c r="B2" s="336"/>
      <c r="C2" s="218"/>
      <c r="D2" s="218"/>
      <c r="E2" s="337"/>
    </row>
    <row r="3" spans="1:6" ht="9.75" customHeight="1">
      <c r="A3" s="2"/>
      <c r="B3" s="2"/>
      <c r="C3" s="2"/>
      <c r="D3" s="2"/>
      <c r="E3" s="199" t="e">
        <f>'[1]FEB 08'!E11/'[1]FEB 08'!M11</f>
        <v>#REF!</v>
      </c>
    </row>
    <row r="4" spans="1:6" ht="49.5" customHeight="1">
      <c r="A4" s="3"/>
      <c r="B4" s="4" t="s">
        <v>2</v>
      </c>
      <c r="C4" s="5" t="s">
        <v>3</v>
      </c>
      <c r="D4" s="6" t="s">
        <v>4</v>
      </c>
      <c r="E4" s="338" t="s">
        <v>201</v>
      </c>
    </row>
    <row r="5" spans="1:6" ht="17.25" customHeight="1">
      <c r="C5" s="7"/>
      <c r="D5" s="7"/>
      <c r="E5" s="339" t="s">
        <v>20</v>
      </c>
    </row>
    <row r="6" spans="1:6" ht="20.100000000000001" customHeight="1">
      <c r="A6" s="8" t="s">
        <v>21</v>
      </c>
      <c r="B6" s="7" t="s">
        <v>22</v>
      </c>
      <c r="C6" s="7"/>
      <c r="D6" s="7"/>
      <c r="E6" s="339"/>
    </row>
    <row r="7" spans="1:6" ht="20.100000000000001" customHeight="1">
      <c r="A7" s="9">
        <v>1</v>
      </c>
      <c r="B7" s="10" t="s">
        <v>345</v>
      </c>
      <c r="C7" s="11" t="s">
        <v>346</v>
      </c>
      <c r="D7" s="11" t="s">
        <v>347</v>
      </c>
      <c r="E7" s="335">
        <v>540000</v>
      </c>
      <c r="F7" s="12"/>
    </row>
    <row r="8" spans="1:6" ht="20.100000000000001" customHeight="1">
      <c r="A8" s="9">
        <v>2</v>
      </c>
      <c r="B8" s="10" t="s">
        <v>348</v>
      </c>
      <c r="C8" s="11" t="s">
        <v>349</v>
      </c>
      <c r="D8" s="9" t="s">
        <v>343</v>
      </c>
      <c r="E8" s="335">
        <v>180000</v>
      </c>
      <c r="F8" s="12"/>
    </row>
    <row r="9" spans="1:6" ht="20.100000000000001" customHeight="1">
      <c r="A9" s="9">
        <v>3</v>
      </c>
      <c r="B9" s="13" t="s">
        <v>350</v>
      </c>
      <c r="C9" s="3" t="s">
        <v>351</v>
      </c>
      <c r="D9" s="14" t="s">
        <v>416</v>
      </c>
      <c r="E9" s="335">
        <v>180000</v>
      </c>
      <c r="F9" s="12"/>
    </row>
    <row r="10" spans="1:6" ht="20.100000000000001" customHeight="1">
      <c r="A10" s="9">
        <v>4</v>
      </c>
      <c r="B10" s="10" t="s">
        <v>352</v>
      </c>
      <c r="C10" s="16" t="s">
        <v>353</v>
      </c>
      <c r="D10" s="15" t="s">
        <v>416</v>
      </c>
      <c r="E10" s="335">
        <v>180000</v>
      </c>
      <c r="F10" s="12"/>
    </row>
    <row r="11" spans="1:6" ht="20.100000000000001" customHeight="1">
      <c r="A11" s="9">
        <v>5</v>
      </c>
      <c r="B11" s="13" t="s">
        <v>354</v>
      </c>
      <c r="C11" s="3" t="s">
        <v>355</v>
      </c>
      <c r="D11" s="15" t="s">
        <v>416</v>
      </c>
      <c r="E11" s="335">
        <v>180000</v>
      </c>
      <c r="F11" s="12"/>
    </row>
    <row r="12" spans="1:6" ht="20.100000000000001" customHeight="1">
      <c r="A12" s="9">
        <v>6</v>
      </c>
      <c r="B12" s="17" t="s">
        <v>341</v>
      </c>
      <c r="C12" s="9" t="s">
        <v>342</v>
      </c>
      <c r="D12" s="14" t="s">
        <v>416</v>
      </c>
      <c r="E12" s="335">
        <v>180000</v>
      </c>
      <c r="F12" s="12"/>
    </row>
    <row r="13" spans="1:6" ht="20.100000000000001" customHeight="1">
      <c r="A13" s="9">
        <v>7</v>
      </c>
      <c r="B13" s="10" t="s">
        <v>356</v>
      </c>
      <c r="C13" s="11" t="s">
        <v>357</v>
      </c>
      <c r="D13" s="14" t="s">
        <v>358</v>
      </c>
      <c r="E13" s="335">
        <v>126000</v>
      </c>
      <c r="F13" s="12"/>
    </row>
    <row r="14" spans="1:6" ht="20.100000000000001" customHeight="1">
      <c r="A14" s="9">
        <v>8</v>
      </c>
      <c r="B14" s="10" t="s">
        <v>359</v>
      </c>
      <c r="C14" s="3" t="s">
        <v>360</v>
      </c>
      <c r="D14" s="9" t="s">
        <v>99</v>
      </c>
      <c r="E14" s="335">
        <v>126000</v>
      </c>
      <c r="F14" s="12"/>
    </row>
    <row r="15" spans="1:6" ht="20.100000000000001" customHeight="1">
      <c r="A15" s="9">
        <v>9</v>
      </c>
      <c r="B15" s="10" t="s">
        <v>361</v>
      </c>
      <c r="C15" s="3" t="s">
        <v>362</v>
      </c>
      <c r="D15" s="14" t="s">
        <v>366</v>
      </c>
      <c r="E15" s="335">
        <f>90000</f>
        <v>90000</v>
      </c>
      <c r="F15" s="12"/>
    </row>
    <row r="16" spans="1:6" ht="20.100000000000001" customHeight="1">
      <c r="A16" s="9">
        <v>10</v>
      </c>
      <c r="B16" s="13" t="s">
        <v>364</v>
      </c>
      <c r="C16" s="16" t="s">
        <v>365</v>
      </c>
      <c r="D16" s="14" t="s">
        <v>450</v>
      </c>
      <c r="E16" s="335">
        <f>90000</f>
        <v>90000</v>
      </c>
      <c r="F16" s="12"/>
    </row>
    <row r="17" spans="1:6" ht="20.100000000000001" customHeight="1">
      <c r="A17" s="9">
        <v>11</v>
      </c>
      <c r="B17" s="10" t="s">
        <v>370</v>
      </c>
      <c r="C17" s="3" t="s">
        <v>371</v>
      </c>
      <c r="D17" s="9" t="s">
        <v>372</v>
      </c>
      <c r="E17" s="335">
        <f t="shared" ref="E17:E19" si="0">90000</f>
        <v>90000</v>
      </c>
    </row>
    <row r="18" spans="1:6" ht="20.100000000000001" customHeight="1">
      <c r="A18" s="9">
        <v>12</v>
      </c>
      <c r="B18" s="10" t="s">
        <v>373</v>
      </c>
      <c r="C18" s="11" t="s">
        <v>374</v>
      </c>
      <c r="D18" s="14" t="s">
        <v>1052</v>
      </c>
      <c r="E18" s="335">
        <f t="shared" si="0"/>
        <v>90000</v>
      </c>
      <c r="F18" s="12"/>
    </row>
    <row r="19" spans="1:6" ht="20.100000000000001" customHeight="1">
      <c r="A19" s="9">
        <v>13</v>
      </c>
      <c r="B19" s="17" t="s">
        <v>376</v>
      </c>
      <c r="C19" s="3" t="s">
        <v>377</v>
      </c>
      <c r="D19" s="14" t="s">
        <v>1053</v>
      </c>
      <c r="E19" s="335">
        <f t="shared" si="0"/>
        <v>90000</v>
      </c>
      <c r="F19" s="12"/>
    </row>
    <row r="20" spans="1:6" ht="18.75" customHeight="1">
      <c r="A20" s="9">
        <v>14</v>
      </c>
      <c r="B20" s="10" t="s">
        <v>379</v>
      </c>
      <c r="C20" s="11" t="s">
        <v>233</v>
      </c>
      <c r="D20" s="14" t="s">
        <v>440</v>
      </c>
      <c r="E20" s="335">
        <v>54000</v>
      </c>
      <c r="F20" s="12"/>
    </row>
    <row r="21" spans="1:6" ht="20.100000000000001" customHeight="1">
      <c r="A21" s="9">
        <v>15</v>
      </c>
      <c r="B21" s="13" t="s">
        <v>381</v>
      </c>
      <c r="C21" s="16" t="s">
        <v>382</v>
      </c>
      <c r="D21" s="9" t="s">
        <v>32</v>
      </c>
      <c r="E21" s="335">
        <v>54000</v>
      </c>
      <c r="F21" s="12"/>
    </row>
    <row r="22" spans="1:6" ht="20.100000000000001" customHeight="1">
      <c r="A22" s="9">
        <v>16</v>
      </c>
      <c r="B22" s="13" t="s">
        <v>384</v>
      </c>
      <c r="C22" s="16" t="s">
        <v>385</v>
      </c>
      <c r="D22" s="9" t="s">
        <v>37</v>
      </c>
      <c r="E22" s="335">
        <v>54000</v>
      </c>
      <c r="F22" s="12"/>
    </row>
    <row r="23" spans="1:6" ht="18.75" customHeight="1">
      <c r="A23" s="9">
        <v>17</v>
      </c>
      <c r="B23" s="3" t="s">
        <v>386</v>
      </c>
      <c r="C23" s="3" t="s">
        <v>289</v>
      </c>
      <c r="D23" s="9" t="s">
        <v>391</v>
      </c>
      <c r="E23" s="335">
        <v>54000</v>
      </c>
      <c r="F23" s="12"/>
    </row>
    <row r="24" spans="1:6" ht="18.75" customHeight="1">
      <c r="A24" s="9">
        <v>18</v>
      </c>
      <c r="B24" s="17" t="s">
        <v>388</v>
      </c>
      <c r="C24" s="11" t="s">
        <v>289</v>
      </c>
      <c r="D24" s="14" t="s">
        <v>391</v>
      </c>
      <c r="E24" s="335">
        <v>54000</v>
      </c>
      <c r="F24" s="12"/>
    </row>
    <row r="25" spans="1:6" ht="18.75" customHeight="1">
      <c r="A25" s="9">
        <v>19</v>
      </c>
      <c r="B25" s="17" t="s">
        <v>390</v>
      </c>
      <c r="C25" s="11" t="s">
        <v>220</v>
      </c>
      <c r="D25" s="14" t="s">
        <v>55</v>
      </c>
      <c r="E25" s="335">
        <v>54000</v>
      </c>
      <c r="F25" s="12"/>
    </row>
    <row r="26" spans="1:6" ht="18.75" customHeight="1">
      <c r="A26" s="9">
        <v>20</v>
      </c>
      <c r="B26" s="17" t="s">
        <v>392</v>
      </c>
      <c r="C26" s="3" t="s">
        <v>393</v>
      </c>
      <c r="D26" s="9" t="s">
        <v>55</v>
      </c>
      <c r="E26" s="335">
        <v>54000</v>
      </c>
      <c r="F26" s="12"/>
    </row>
    <row r="27" spans="1:6" ht="18.75" customHeight="1">
      <c r="A27" s="9">
        <v>21</v>
      </c>
      <c r="B27" s="17" t="s">
        <v>395</v>
      </c>
      <c r="C27" s="16" t="s">
        <v>396</v>
      </c>
      <c r="D27" s="14" t="s">
        <v>391</v>
      </c>
      <c r="E27" s="335">
        <v>54000</v>
      </c>
      <c r="F27" s="12"/>
    </row>
    <row r="28" spans="1:6" ht="18.75" customHeight="1">
      <c r="A28" s="9">
        <v>22</v>
      </c>
      <c r="B28" s="17" t="s">
        <v>397</v>
      </c>
      <c r="C28" s="3" t="s">
        <v>398</v>
      </c>
      <c r="D28" s="9" t="s">
        <v>402</v>
      </c>
      <c r="E28" s="335">
        <v>54000</v>
      </c>
      <c r="F28" s="12"/>
    </row>
    <row r="29" spans="1:6" ht="18.75" customHeight="1">
      <c r="A29" s="9">
        <v>23</v>
      </c>
      <c r="B29" s="17" t="s">
        <v>1036</v>
      </c>
      <c r="C29" s="11" t="s">
        <v>401</v>
      </c>
      <c r="D29" s="14" t="s">
        <v>402</v>
      </c>
      <c r="E29" s="335">
        <v>54000</v>
      </c>
      <c r="F29" s="12"/>
    </row>
    <row r="30" spans="1:6" ht="18.75" customHeight="1">
      <c r="A30" s="9">
        <v>24</v>
      </c>
      <c r="B30" s="17" t="s">
        <v>400</v>
      </c>
      <c r="C30" s="11" t="s">
        <v>401</v>
      </c>
      <c r="D30" s="14" t="s">
        <v>72</v>
      </c>
      <c r="E30" s="335">
        <v>54000</v>
      </c>
      <c r="F30" s="12"/>
    </row>
    <row r="31" spans="1:6" ht="26.25" customHeight="1">
      <c r="A31" s="9"/>
      <c r="B31" s="19" t="s">
        <v>42</v>
      </c>
      <c r="C31" s="20">
        <v>24</v>
      </c>
      <c r="D31" s="14"/>
      <c r="E31" s="340">
        <f>SUM(E7:E30)</f>
        <v>2736000</v>
      </c>
      <c r="F31" s="12"/>
    </row>
    <row r="32" spans="1:6" ht="18.75" customHeight="1">
      <c r="A32" s="9"/>
      <c r="B32" s="21"/>
      <c r="C32" s="3"/>
      <c r="D32" s="14"/>
      <c r="E32" s="340"/>
      <c r="F32" s="12"/>
    </row>
    <row r="33" spans="1:6" ht="18.75" customHeight="1">
      <c r="A33" s="9"/>
      <c r="B33" s="19" t="s">
        <v>225</v>
      </c>
      <c r="C33" s="3"/>
      <c r="D33" s="14"/>
      <c r="E33" s="335"/>
      <c r="F33" s="12"/>
    </row>
    <row r="34" spans="1:6" ht="18.75" customHeight="1">
      <c r="A34" s="9">
        <v>1</v>
      </c>
      <c r="B34" s="17" t="s">
        <v>403</v>
      </c>
      <c r="C34" s="3" t="s">
        <v>404</v>
      </c>
      <c r="D34" s="9" t="s">
        <v>405</v>
      </c>
      <c r="E34" s="335">
        <v>270000</v>
      </c>
      <c r="F34" s="12"/>
    </row>
    <row r="35" spans="1:6" ht="18.75" customHeight="1">
      <c r="A35" s="9">
        <v>2</v>
      </c>
      <c r="B35" s="17" t="s">
        <v>406</v>
      </c>
      <c r="C35" s="3" t="s">
        <v>642</v>
      </c>
      <c r="D35" s="9" t="s">
        <v>72</v>
      </c>
      <c r="E35" s="335">
        <v>54000</v>
      </c>
      <c r="F35" s="12"/>
    </row>
    <row r="36" spans="1:6" ht="18.75" customHeight="1">
      <c r="A36" s="9">
        <v>3</v>
      </c>
      <c r="B36" s="10" t="s">
        <v>408</v>
      </c>
      <c r="C36" s="11" t="s">
        <v>639</v>
      </c>
      <c r="D36" s="14" t="s">
        <v>37</v>
      </c>
      <c r="E36" s="335">
        <v>54000</v>
      </c>
      <c r="F36" s="12"/>
    </row>
    <row r="37" spans="1:6" ht="19.5" customHeight="1">
      <c r="A37" s="9"/>
      <c r="B37" s="13"/>
      <c r="C37" s="20">
        <v>3</v>
      </c>
      <c r="D37" s="9"/>
      <c r="E37" s="340">
        <f>SUM(E34:E36)</f>
        <v>378000</v>
      </c>
      <c r="F37" s="12"/>
    </row>
    <row r="38" spans="1:6" ht="20.100000000000001" customHeight="1">
      <c r="A38" s="9"/>
      <c r="B38" s="13"/>
      <c r="C38" s="3"/>
      <c r="D38" s="9"/>
      <c r="E38" s="340"/>
      <c r="F38" s="12"/>
    </row>
    <row r="39" spans="1:6" ht="20.100000000000001" customHeight="1">
      <c r="A39" s="9"/>
      <c r="B39" s="22" t="s">
        <v>43</v>
      </c>
      <c r="C39" s="4"/>
      <c r="D39" s="23"/>
      <c r="E39" s="340"/>
      <c r="F39" s="12"/>
    </row>
    <row r="40" spans="1:6" ht="20.100000000000001" customHeight="1">
      <c r="A40" s="9">
        <v>1</v>
      </c>
      <c r="B40" s="10" t="s">
        <v>410</v>
      </c>
      <c r="C40" s="3" t="s">
        <v>411</v>
      </c>
      <c r="D40" s="9" t="s">
        <v>405</v>
      </c>
      <c r="E40" s="335">
        <v>270000</v>
      </c>
      <c r="F40" s="12"/>
    </row>
    <row r="41" spans="1:6" ht="20.100000000000001" customHeight="1">
      <c r="A41" s="9">
        <v>2</v>
      </c>
      <c r="B41" s="10" t="s">
        <v>414</v>
      </c>
      <c r="C41" s="3" t="s">
        <v>415</v>
      </c>
      <c r="D41" s="9" t="s">
        <v>106</v>
      </c>
      <c r="E41" s="335">
        <f>180000</f>
        <v>180000</v>
      </c>
      <c r="F41" s="12"/>
    </row>
    <row r="42" spans="1:6" ht="20.100000000000001" customHeight="1">
      <c r="A42" s="9">
        <v>3</v>
      </c>
      <c r="B42" s="10" t="s">
        <v>412</v>
      </c>
      <c r="C42" s="3" t="s">
        <v>413</v>
      </c>
      <c r="D42" s="9" t="s">
        <v>358</v>
      </c>
      <c r="E42" s="335">
        <v>126000</v>
      </c>
      <c r="F42" s="12"/>
    </row>
    <row r="43" spans="1:6" ht="20.100000000000001" customHeight="1">
      <c r="A43" s="9">
        <v>4</v>
      </c>
      <c r="B43" s="10" t="s">
        <v>417</v>
      </c>
      <c r="C43" s="3" t="s">
        <v>418</v>
      </c>
      <c r="D43" s="9" t="s">
        <v>358</v>
      </c>
      <c r="E43" s="335">
        <v>126000</v>
      </c>
      <c r="F43" s="12"/>
    </row>
    <row r="44" spans="1:6" ht="20.100000000000001" customHeight="1">
      <c r="A44" s="9">
        <v>5</v>
      </c>
      <c r="B44" s="10" t="s">
        <v>419</v>
      </c>
      <c r="C44" s="3" t="s">
        <v>418</v>
      </c>
      <c r="D44" s="9" t="s">
        <v>435</v>
      </c>
      <c r="E44" s="335">
        <v>126000</v>
      </c>
      <c r="F44" s="12"/>
    </row>
    <row r="45" spans="1:6" ht="20.100000000000001" customHeight="1">
      <c r="A45" s="9">
        <v>6</v>
      </c>
      <c r="B45" s="10" t="s">
        <v>420</v>
      </c>
      <c r="C45" s="3" t="s">
        <v>418</v>
      </c>
      <c r="D45" s="9" t="s">
        <v>99</v>
      </c>
      <c r="E45" s="335">
        <v>126000</v>
      </c>
      <c r="F45" s="12"/>
    </row>
    <row r="46" spans="1:6" ht="20.100000000000001" customHeight="1">
      <c r="A46" s="9">
        <v>7</v>
      </c>
      <c r="B46" s="13" t="s">
        <v>421</v>
      </c>
      <c r="C46" s="3" t="s">
        <v>365</v>
      </c>
      <c r="D46" s="15" t="s">
        <v>366</v>
      </c>
      <c r="E46" s="335">
        <v>90000</v>
      </c>
      <c r="F46" s="12"/>
    </row>
    <row r="47" spans="1:6" ht="20.100000000000001" customHeight="1">
      <c r="A47" s="9">
        <v>8</v>
      </c>
      <c r="B47" s="10" t="s">
        <v>367</v>
      </c>
      <c r="C47" s="3" t="s">
        <v>368</v>
      </c>
      <c r="D47" s="9" t="s">
        <v>369</v>
      </c>
      <c r="E47" s="335">
        <v>90000</v>
      </c>
      <c r="F47" s="12"/>
    </row>
    <row r="48" spans="1:6" ht="20.100000000000001" customHeight="1">
      <c r="A48" s="9">
        <v>9</v>
      </c>
      <c r="B48" s="10" t="s">
        <v>422</v>
      </c>
      <c r="C48" s="3" t="s">
        <v>64</v>
      </c>
      <c r="D48" s="9" t="s">
        <v>37</v>
      </c>
      <c r="E48" s="335">
        <v>54000</v>
      </c>
      <c r="F48" s="12"/>
    </row>
    <row r="49" spans="1:6" ht="20.100000000000001" customHeight="1">
      <c r="A49" s="9">
        <v>10</v>
      </c>
      <c r="B49" s="10" t="s">
        <v>423</v>
      </c>
      <c r="C49" s="3" t="s">
        <v>64</v>
      </c>
      <c r="D49" s="9" t="s">
        <v>55</v>
      </c>
      <c r="E49" s="335">
        <v>54000</v>
      </c>
      <c r="F49" s="12"/>
    </row>
    <row r="50" spans="1:6" ht="20.100000000000001" customHeight="1">
      <c r="A50" s="9">
        <v>11</v>
      </c>
      <c r="B50" s="10" t="s">
        <v>424</v>
      </c>
      <c r="C50" s="3" t="s">
        <v>64</v>
      </c>
      <c r="D50" s="9" t="s">
        <v>55</v>
      </c>
      <c r="E50" s="335">
        <v>54000</v>
      </c>
      <c r="F50" s="12"/>
    </row>
    <row r="51" spans="1:6" ht="20.100000000000001" customHeight="1">
      <c r="A51" s="9">
        <v>12</v>
      </c>
      <c r="B51" s="10" t="s">
        <v>425</v>
      </c>
      <c r="C51" s="3" t="s">
        <v>64</v>
      </c>
      <c r="D51" s="9" t="s">
        <v>55</v>
      </c>
      <c r="E51" s="335">
        <v>54000</v>
      </c>
      <c r="F51" s="12"/>
    </row>
    <row r="52" spans="1:6" ht="25.5" customHeight="1">
      <c r="A52" s="9"/>
      <c r="B52" s="19" t="s">
        <v>42</v>
      </c>
      <c r="C52" s="20">
        <v>12</v>
      </c>
      <c r="D52" s="20"/>
      <c r="E52" s="341">
        <f>SUM(E40:E51)</f>
        <v>1350000</v>
      </c>
      <c r="F52" s="12"/>
    </row>
    <row r="53" spans="1:6" ht="20.100000000000001" customHeight="1">
      <c r="A53" s="9"/>
      <c r="B53" s="21"/>
      <c r="C53" s="20"/>
      <c r="D53" s="20"/>
      <c r="E53" s="342"/>
      <c r="F53" s="12"/>
    </row>
    <row r="54" spans="1:6" ht="20.100000000000001" customHeight="1">
      <c r="A54" s="9"/>
      <c r="B54" s="19" t="s">
        <v>426</v>
      </c>
      <c r="C54" s="20"/>
      <c r="D54" s="20"/>
      <c r="E54" s="342"/>
      <c r="F54" s="12"/>
    </row>
    <row r="55" spans="1:6" ht="20.100000000000001" customHeight="1">
      <c r="A55" s="9">
        <v>1</v>
      </c>
      <c r="B55" s="10" t="s">
        <v>427</v>
      </c>
      <c r="C55" s="11" t="s">
        <v>428</v>
      </c>
      <c r="D55" s="14" t="s">
        <v>405</v>
      </c>
      <c r="E55" s="335">
        <v>270000</v>
      </c>
      <c r="F55" s="12"/>
    </row>
    <row r="56" spans="1:6" ht="20.100000000000001" customHeight="1">
      <c r="A56" s="9">
        <v>2</v>
      </c>
      <c r="B56" s="10" t="s">
        <v>429</v>
      </c>
      <c r="C56" s="11" t="s">
        <v>430</v>
      </c>
      <c r="D56" s="14" t="s">
        <v>332</v>
      </c>
      <c r="E56" s="335">
        <v>126000</v>
      </c>
      <c r="F56" s="12"/>
    </row>
    <row r="57" spans="1:6" ht="20.100000000000001" customHeight="1">
      <c r="A57" s="9"/>
      <c r="B57" s="19" t="s">
        <v>42</v>
      </c>
      <c r="C57" s="20">
        <v>2</v>
      </c>
      <c r="D57" s="20"/>
      <c r="E57" s="341">
        <f>SUM(E55:E56)</f>
        <v>396000</v>
      </c>
      <c r="F57" s="12"/>
    </row>
    <row r="58" spans="1:6" ht="20.100000000000001" customHeight="1">
      <c r="A58" s="9"/>
      <c r="B58" s="19"/>
      <c r="C58" s="20"/>
      <c r="D58" s="20"/>
      <c r="E58" s="342"/>
      <c r="F58" s="12"/>
    </row>
    <row r="59" spans="1:6" ht="20.100000000000001" customHeight="1">
      <c r="A59" s="9"/>
      <c r="B59" s="19" t="s">
        <v>60</v>
      </c>
      <c r="C59" s="20"/>
      <c r="D59" s="20"/>
      <c r="E59" s="342"/>
      <c r="F59" s="12"/>
    </row>
    <row r="60" spans="1:6" ht="20.100000000000001" customHeight="1">
      <c r="A60" s="9">
        <v>1</v>
      </c>
      <c r="B60" s="10" t="s">
        <v>431</v>
      </c>
      <c r="C60" s="16" t="s">
        <v>432</v>
      </c>
      <c r="D60" s="9" t="s">
        <v>405</v>
      </c>
      <c r="E60" s="335">
        <v>270000</v>
      </c>
      <c r="F60" s="12"/>
    </row>
    <row r="61" spans="1:6" ht="20.100000000000001" customHeight="1">
      <c r="A61" s="9">
        <v>2</v>
      </c>
      <c r="B61" s="330" t="s">
        <v>433</v>
      </c>
      <c r="C61" s="16" t="s">
        <v>434</v>
      </c>
      <c r="D61" s="14" t="s">
        <v>1054</v>
      </c>
      <c r="E61" s="335">
        <v>126000</v>
      </c>
      <c r="F61" s="12"/>
    </row>
    <row r="62" spans="1:6" ht="20.100000000000001" customHeight="1">
      <c r="A62" s="9">
        <v>3</v>
      </c>
      <c r="B62" s="10" t="s">
        <v>436</v>
      </c>
      <c r="C62" s="3" t="s">
        <v>365</v>
      </c>
      <c r="D62" s="9" t="s">
        <v>369</v>
      </c>
      <c r="E62" s="335">
        <v>90000</v>
      </c>
      <c r="F62" s="12"/>
    </row>
    <row r="63" spans="1:6" ht="20.100000000000001" customHeight="1">
      <c r="A63" s="9">
        <v>4</v>
      </c>
      <c r="B63" s="17" t="s">
        <v>437</v>
      </c>
      <c r="C63" s="16" t="s">
        <v>231</v>
      </c>
      <c r="D63" s="14" t="s">
        <v>1052</v>
      </c>
      <c r="E63" s="335">
        <v>90000</v>
      </c>
      <c r="F63" s="12"/>
    </row>
    <row r="64" spans="1:6" ht="20.100000000000001" customHeight="1">
      <c r="A64" s="9">
        <v>5</v>
      </c>
      <c r="B64" s="13" t="s">
        <v>438</v>
      </c>
      <c r="C64" s="16" t="s">
        <v>365</v>
      </c>
      <c r="D64" s="14" t="s">
        <v>366</v>
      </c>
      <c r="E64" s="335">
        <v>90000</v>
      </c>
      <c r="F64" s="12"/>
    </row>
    <row r="65" spans="1:6" ht="20.100000000000001" customHeight="1">
      <c r="A65" s="9">
        <v>7</v>
      </c>
      <c r="B65" s="10" t="s">
        <v>439</v>
      </c>
      <c r="C65" s="3" t="s">
        <v>64</v>
      </c>
      <c r="D65" s="9" t="s">
        <v>32</v>
      </c>
      <c r="E65" s="335">
        <v>54000</v>
      </c>
      <c r="F65" s="12"/>
    </row>
    <row r="66" spans="1:6" ht="20.100000000000001" customHeight="1">
      <c r="A66" s="9">
        <v>8</v>
      </c>
      <c r="B66" s="10" t="s">
        <v>441</v>
      </c>
      <c r="C66" s="16" t="s">
        <v>34</v>
      </c>
      <c r="D66" s="14" t="s">
        <v>32</v>
      </c>
      <c r="E66" s="335">
        <v>54000</v>
      </c>
      <c r="F66" s="12"/>
    </row>
    <row r="67" spans="1:6" ht="20.100000000000001" customHeight="1">
      <c r="A67" s="9">
        <v>9</v>
      </c>
      <c r="B67" s="10" t="s">
        <v>442</v>
      </c>
      <c r="C67" s="16" t="s">
        <v>34</v>
      </c>
      <c r="D67" s="14" t="s">
        <v>32</v>
      </c>
      <c r="E67" s="335">
        <v>54000</v>
      </c>
      <c r="F67" s="12"/>
    </row>
    <row r="68" spans="1:6" ht="20.100000000000001" customHeight="1">
      <c r="A68" s="9">
        <v>10</v>
      </c>
      <c r="B68" s="10" t="s">
        <v>443</v>
      </c>
      <c r="C68" s="3" t="s">
        <v>444</v>
      </c>
      <c r="D68" s="9" t="s">
        <v>440</v>
      </c>
      <c r="E68" s="335">
        <v>54000</v>
      </c>
      <c r="F68" s="12"/>
    </row>
    <row r="69" spans="1:6" ht="21.6" customHeight="1">
      <c r="A69" s="9">
        <v>11</v>
      </c>
      <c r="B69" s="10" t="s">
        <v>445</v>
      </c>
      <c r="C69" s="3" t="s">
        <v>64</v>
      </c>
      <c r="D69" s="9" t="s">
        <v>37</v>
      </c>
      <c r="E69" s="335">
        <v>54000</v>
      </c>
    </row>
    <row r="70" spans="1:6" ht="20.100000000000001" customHeight="1">
      <c r="A70" s="9">
        <v>12</v>
      </c>
      <c r="B70" s="10" t="s">
        <v>389</v>
      </c>
      <c r="C70" s="16" t="s">
        <v>382</v>
      </c>
      <c r="D70" s="9" t="s">
        <v>391</v>
      </c>
      <c r="E70" s="335">
        <v>54000</v>
      </c>
      <c r="F70" s="12"/>
    </row>
    <row r="71" spans="1:6" ht="27" customHeight="1">
      <c r="A71" s="9"/>
      <c r="B71" s="19" t="s">
        <v>42</v>
      </c>
      <c r="C71" s="20">
        <v>12</v>
      </c>
      <c r="D71" s="20"/>
      <c r="E71" s="341">
        <f>SUM(E60:E70)</f>
        <v>990000</v>
      </c>
      <c r="F71" s="12"/>
    </row>
    <row r="72" spans="1:6" ht="20.100000000000001" customHeight="1">
      <c r="A72" s="9"/>
      <c r="B72" s="21"/>
      <c r="C72" s="20"/>
      <c r="D72" s="20"/>
      <c r="E72" s="342"/>
      <c r="F72" s="12"/>
    </row>
    <row r="73" spans="1:6" ht="20.100000000000001" customHeight="1">
      <c r="A73" s="9"/>
      <c r="B73" s="19" t="s">
        <v>65</v>
      </c>
      <c r="C73" s="20"/>
      <c r="D73" s="20"/>
      <c r="E73" s="342"/>
      <c r="F73" s="12"/>
    </row>
    <row r="74" spans="1:6" ht="20.100000000000001" customHeight="1">
      <c r="A74" s="9">
        <v>1</v>
      </c>
      <c r="B74" s="10" t="s">
        <v>446</v>
      </c>
      <c r="C74" s="3" t="s">
        <v>447</v>
      </c>
      <c r="D74" s="9" t="s">
        <v>405</v>
      </c>
      <c r="E74" s="335">
        <v>270000</v>
      </c>
      <c r="F74" s="12"/>
    </row>
    <row r="75" spans="1:6" ht="20.100000000000001" customHeight="1">
      <c r="A75" s="9">
        <v>2</v>
      </c>
      <c r="B75" s="13" t="s">
        <v>331</v>
      </c>
      <c r="C75" s="3" t="s">
        <v>76</v>
      </c>
      <c r="D75" s="14" t="s">
        <v>1054</v>
      </c>
      <c r="E75" s="335">
        <v>126000</v>
      </c>
      <c r="F75" s="12"/>
    </row>
    <row r="76" spans="1:6" ht="20.100000000000001" customHeight="1">
      <c r="A76" s="9">
        <v>3</v>
      </c>
      <c r="B76" s="17" t="s">
        <v>333</v>
      </c>
      <c r="C76" s="11" t="s">
        <v>334</v>
      </c>
      <c r="D76" s="9" t="s">
        <v>332</v>
      </c>
      <c r="E76" s="335">
        <v>126000</v>
      </c>
      <c r="F76" s="12"/>
    </row>
    <row r="77" spans="1:6" ht="20.100000000000001" customHeight="1">
      <c r="A77" s="9">
        <v>4</v>
      </c>
      <c r="B77" s="10" t="s">
        <v>448</v>
      </c>
      <c r="C77" s="3" t="s">
        <v>449</v>
      </c>
      <c r="D77" s="14" t="s">
        <v>369</v>
      </c>
      <c r="E77" s="335">
        <v>90000</v>
      </c>
      <c r="F77" s="12"/>
    </row>
    <row r="78" spans="1:6" ht="20.100000000000001" customHeight="1">
      <c r="A78" s="9">
        <v>5</v>
      </c>
      <c r="B78" s="10" t="s">
        <v>451</v>
      </c>
      <c r="C78" s="3" t="s">
        <v>452</v>
      </c>
      <c r="D78" s="9" t="s">
        <v>409</v>
      </c>
      <c r="E78" s="335">
        <v>54000</v>
      </c>
      <c r="F78" s="12"/>
    </row>
    <row r="79" spans="1:6" ht="20.100000000000001" customHeight="1">
      <c r="A79" s="9">
        <v>6</v>
      </c>
      <c r="B79" s="10" t="s">
        <v>454</v>
      </c>
      <c r="C79" s="3" t="s">
        <v>452</v>
      </c>
      <c r="D79" s="9" t="s">
        <v>55</v>
      </c>
      <c r="E79" s="335">
        <v>54000</v>
      </c>
      <c r="F79" s="12"/>
    </row>
    <row r="80" spans="1:6" ht="20.100000000000001" customHeight="1">
      <c r="A80" s="9">
        <v>7</v>
      </c>
      <c r="B80" s="10" t="s">
        <v>455</v>
      </c>
      <c r="C80" s="3" t="s">
        <v>456</v>
      </c>
      <c r="D80" s="9" t="s">
        <v>72</v>
      </c>
      <c r="E80" s="335">
        <v>54000</v>
      </c>
      <c r="F80" s="12"/>
    </row>
    <row r="81" spans="1:6" ht="20.100000000000001" customHeight="1">
      <c r="A81" s="9"/>
      <c r="B81" s="19" t="s">
        <v>42</v>
      </c>
      <c r="C81" s="20">
        <v>7</v>
      </c>
      <c r="D81" s="20"/>
      <c r="E81" s="341">
        <f>SUM(E74:E80)</f>
        <v>774000</v>
      </c>
      <c r="F81" s="12"/>
    </row>
    <row r="82" spans="1:6" ht="20.100000000000001" customHeight="1">
      <c r="A82" s="9"/>
      <c r="B82" s="19"/>
      <c r="C82" s="20"/>
      <c r="D82" s="20"/>
      <c r="E82" s="342"/>
      <c r="F82" s="12"/>
    </row>
    <row r="83" spans="1:6" ht="20.100000000000001" customHeight="1">
      <c r="A83" s="9"/>
      <c r="B83" s="19" t="s">
        <v>74</v>
      </c>
      <c r="C83" s="24"/>
      <c r="D83" s="20"/>
      <c r="E83" s="342"/>
      <c r="F83" s="12"/>
    </row>
    <row r="84" spans="1:6" ht="20.100000000000001" customHeight="1">
      <c r="A84" s="9">
        <v>1</v>
      </c>
      <c r="B84" s="10" t="s">
        <v>457</v>
      </c>
      <c r="C84" s="3" t="s">
        <v>418</v>
      </c>
      <c r="D84" s="9" t="s">
        <v>358</v>
      </c>
      <c r="E84" s="335">
        <v>126000</v>
      </c>
      <c r="F84" s="12"/>
    </row>
    <row r="85" spans="1:6" ht="20.100000000000001" customHeight="1">
      <c r="A85" s="9">
        <v>2</v>
      </c>
      <c r="B85" s="10" t="s">
        <v>458</v>
      </c>
      <c r="C85" s="3" t="s">
        <v>418</v>
      </c>
      <c r="D85" s="9" t="s">
        <v>358</v>
      </c>
      <c r="E85" s="335">
        <v>126000</v>
      </c>
      <c r="F85" s="12"/>
    </row>
    <row r="86" spans="1:6" ht="20.100000000000001" customHeight="1">
      <c r="A86" s="9">
        <v>3</v>
      </c>
      <c r="B86" s="13" t="s">
        <v>493</v>
      </c>
      <c r="C86" s="3" t="s">
        <v>418</v>
      </c>
      <c r="D86" s="9" t="s">
        <v>99</v>
      </c>
      <c r="E86" s="335">
        <v>126000</v>
      </c>
      <c r="F86" s="12"/>
    </row>
    <row r="87" spans="1:6" ht="20.100000000000001" customHeight="1">
      <c r="A87" s="9">
        <v>4</v>
      </c>
      <c r="B87" s="10" t="s">
        <v>459</v>
      </c>
      <c r="C87" s="3" t="s">
        <v>418</v>
      </c>
      <c r="D87" s="9" t="s">
        <v>99</v>
      </c>
      <c r="E87" s="335">
        <v>126000</v>
      </c>
      <c r="F87" s="12"/>
    </row>
    <row r="88" spans="1:6" ht="21.6" customHeight="1">
      <c r="A88" s="9">
        <v>5</v>
      </c>
      <c r="B88" s="10" t="s">
        <v>460</v>
      </c>
      <c r="C88" s="3" t="s">
        <v>461</v>
      </c>
      <c r="D88" s="14" t="s">
        <v>375</v>
      </c>
      <c r="E88" s="335">
        <v>90000</v>
      </c>
      <c r="F88" s="12"/>
    </row>
    <row r="89" spans="1:6" ht="21.6" customHeight="1">
      <c r="A89" s="9">
        <v>6</v>
      </c>
      <c r="B89" s="10" t="s">
        <v>462</v>
      </c>
      <c r="C89" s="11" t="s">
        <v>231</v>
      </c>
      <c r="D89" s="14" t="s">
        <v>1052</v>
      </c>
      <c r="E89" s="335">
        <v>90000</v>
      </c>
      <c r="F89" s="12"/>
    </row>
    <row r="90" spans="1:6" ht="21.6" customHeight="1">
      <c r="A90" s="9">
        <v>7</v>
      </c>
      <c r="B90" s="10" t="s">
        <v>463</v>
      </c>
      <c r="C90" s="11" t="s">
        <v>365</v>
      </c>
      <c r="D90" s="14" t="s">
        <v>29</v>
      </c>
      <c r="E90" s="335">
        <v>90000</v>
      </c>
      <c r="F90" s="12"/>
    </row>
    <row r="91" spans="1:6" ht="21.6" customHeight="1">
      <c r="A91" s="9">
        <v>8</v>
      </c>
      <c r="B91" s="10" t="s">
        <v>464</v>
      </c>
      <c r="C91" s="16" t="s">
        <v>34</v>
      </c>
      <c r="D91" s="14" t="s">
        <v>32</v>
      </c>
      <c r="E91" s="335">
        <v>54000</v>
      </c>
      <c r="F91" s="12"/>
    </row>
    <row r="92" spans="1:6" ht="21.6" customHeight="1">
      <c r="A92" s="9">
        <v>9</v>
      </c>
      <c r="B92" s="10" t="s">
        <v>465</v>
      </c>
      <c r="C92" s="16" t="s">
        <v>34</v>
      </c>
      <c r="D92" s="14" t="s">
        <v>32</v>
      </c>
      <c r="E92" s="335">
        <v>54000</v>
      </c>
      <c r="F92" s="12"/>
    </row>
    <row r="93" spans="1:6" ht="21.6" customHeight="1">
      <c r="A93" s="9">
        <v>10</v>
      </c>
      <c r="B93" s="10" t="s">
        <v>466</v>
      </c>
      <c r="C93" s="3" t="s">
        <v>467</v>
      </c>
      <c r="D93" s="9" t="s">
        <v>37</v>
      </c>
      <c r="E93" s="335">
        <v>54000</v>
      </c>
      <c r="F93" s="12"/>
    </row>
    <row r="94" spans="1:6" ht="21.6" customHeight="1">
      <c r="A94" s="9">
        <v>11</v>
      </c>
      <c r="B94" s="10" t="s">
        <v>468</v>
      </c>
      <c r="C94" s="16" t="s">
        <v>469</v>
      </c>
      <c r="D94" s="14" t="s">
        <v>402</v>
      </c>
      <c r="E94" s="335">
        <v>54000</v>
      </c>
      <c r="F94" s="12"/>
    </row>
    <row r="95" spans="1:6" ht="20.100000000000001" customHeight="1">
      <c r="A95" s="9"/>
      <c r="B95" s="19" t="s">
        <v>42</v>
      </c>
      <c r="C95" s="20">
        <v>11</v>
      </c>
      <c r="D95" s="20"/>
      <c r="E95" s="341">
        <f>SUM(E84:E94)</f>
        <v>990000</v>
      </c>
      <c r="F95" s="12"/>
    </row>
    <row r="96" spans="1:6" ht="20.100000000000001" customHeight="1">
      <c r="A96" s="9"/>
      <c r="B96" s="21"/>
      <c r="C96" s="20"/>
      <c r="D96" s="20"/>
      <c r="E96" s="342"/>
      <c r="F96" s="12"/>
    </row>
    <row r="97" spans="1:6" ht="20.100000000000001" customHeight="1">
      <c r="A97" s="9"/>
      <c r="B97" s="19" t="s">
        <v>84</v>
      </c>
      <c r="C97" s="20"/>
      <c r="D97" s="20"/>
      <c r="E97" s="342"/>
      <c r="F97" s="12"/>
    </row>
    <row r="98" spans="1:6" ht="20.100000000000001" customHeight="1">
      <c r="A98" s="9">
        <v>1</v>
      </c>
      <c r="B98" s="13" t="s">
        <v>470</v>
      </c>
      <c r="C98" s="3" t="s">
        <v>471</v>
      </c>
      <c r="D98" s="15" t="s">
        <v>416</v>
      </c>
      <c r="E98" s="335">
        <f>180000</f>
        <v>180000</v>
      </c>
      <c r="F98" s="12"/>
    </row>
    <row r="99" spans="1:6" ht="20.100000000000001" customHeight="1">
      <c r="A99" s="9">
        <v>2</v>
      </c>
      <c r="B99" s="10" t="s">
        <v>473</v>
      </c>
      <c r="C99" s="3" t="s">
        <v>474</v>
      </c>
      <c r="D99" s="14" t="s">
        <v>369</v>
      </c>
      <c r="E99" s="335">
        <v>90000</v>
      </c>
      <c r="F99" s="12"/>
    </row>
    <row r="100" spans="1:6" ht="20.100000000000001" customHeight="1">
      <c r="A100" s="9">
        <v>3</v>
      </c>
      <c r="B100" s="10" t="s">
        <v>475</v>
      </c>
      <c r="C100" s="3" t="s">
        <v>476</v>
      </c>
      <c r="D100" s="14" t="s">
        <v>440</v>
      </c>
      <c r="E100" s="335">
        <v>54000</v>
      </c>
      <c r="F100" s="12"/>
    </row>
    <row r="101" spans="1:6" ht="20.100000000000001" customHeight="1">
      <c r="A101" s="9">
        <v>4</v>
      </c>
      <c r="B101" s="10" t="s">
        <v>477</v>
      </c>
      <c r="C101" s="3" t="s">
        <v>478</v>
      </c>
      <c r="D101" s="14" t="s">
        <v>37</v>
      </c>
      <c r="E101" s="335">
        <v>54000</v>
      </c>
      <c r="F101" s="12"/>
    </row>
    <row r="102" spans="1:6" ht="20.100000000000001" customHeight="1">
      <c r="A102" s="3"/>
      <c r="B102" s="19" t="s">
        <v>42</v>
      </c>
      <c r="C102" s="20">
        <v>4</v>
      </c>
      <c r="D102" s="25"/>
      <c r="E102" s="341">
        <f>SUM(E98:E101)</f>
        <v>378000</v>
      </c>
      <c r="F102" s="12"/>
    </row>
    <row r="103" spans="1:6" ht="20.100000000000001" customHeight="1">
      <c r="A103" s="3"/>
      <c r="B103" s="21"/>
      <c r="C103" s="20"/>
      <c r="D103" s="25"/>
      <c r="E103" s="342"/>
      <c r="F103" s="12"/>
    </row>
    <row r="104" spans="1:6" ht="20.100000000000001" customHeight="1">
      <c r="A104" s="3"/>
      <c r="B104" s="19" t="s">
        <v>479</v>
      </c>
      <c r="C104" s="3"/>
      <c r="D104" s="3"/>
      <c r="E104" s="343"/>
      <c r="F104" s="12"/>
    </row>
    <row r="105" spans="1:6" ht="20.100000000000001" customHeight="1">
      <c r="A105" s="3">
        <v>1</v>
      </c>
      <c r="B105" s="10" t="s">
        <v>480</v>
      </c>
      <c r="C105" s="11" t="s">
        <v>481</v>
      </c>
      <c r="D105" s="14" t="s">
        <v>405</v>
      </c>
      <c r="E105" s="335">
        <v>270000</v>
      </c>
      <c r="F105" s="12"/>
    </row>
    <row r="106" spans="1:6" ht="20.100000000000001" customHeight="1">
      <c r="A106" s="3">
        <v>2</v>
      </c>
      <c r="B106" s="10" t="s">
        <v>482</v>
      </c>
      <c r="C106" s="3" t="s">
        <v>483</v>
      </c>
      <c r="D106" s="15" t="s">
        <v>416</v>
      </c>
      <c r="E106" s="335">
        <v>180000</v>
      </c>
      <c r="F106" s="12"/>
    </row>
    <row r="107" spans="1:6" ht="20.100000000000001" customHeight="1">
      <c r="A107" s="3">
        <v>3</v>
      </c>
      <c r="B107" s="10" t="s">
        <v>484</v>
      </c>
      <c r="C107" s="3" t="s">
        <v>485</v>
      </c>
      <c r="D107" s="9" t="s">
        <v>372</v>
      </c>
      <c r="E107" s="335">
        <v>90000</v>
      </c>
      <c r="F107" s="12"/>
    </row>
    <row r="108" spans="1:6" ht="20.100000000000001" customHeight="1">
      <c r="A108" s="3">
        <v>4</v>
      </c>
      <c r="B108" s="10" t="s">
        <v>486</v>
      </c>
      <c r="C108" s="3" t="s">
        <v>485</v>
      </c>
      <c r="D108" s="9" t="s">
        <v>372</v>
      </c>
      <c r="E108" s="335">
        <v>90000</v>
      </c>
      <c r="F108" s="12"/>
    </row>
    <row r="109" spans="1:6" ht="20.100000000000001" customHeight="1">
      <c r="A109" s="3">
        <v>5</v>
      </c>
      <c r="B109" s="10" t="s">
        <v>487</v>
      </c>
      <c r="C109" s="3" t="s">
        <v>488</v>
      </c>
      <c r="D109" s="14" t="s">
        <v>491</v>
      </c>
      <c r="E109" s="344">
        <v>54000</v>
      </c>
      <c r="F109" s="12"/>
    </row>
    <row r="110" spans="1:6" ht="20.100000000000001" customHeight="1">
      <c r="A110" s="3">
        <v>6</v>
      </c>
      <c r="B110" s="17" t="s">
        <v>490</v>
      </c>
      <c r="C110" s="3" t="s">
        <v>488</v>
      </c>
      <c r="D110" s="9" t="s">
        <v>1048</v>
      </c>
      <c r="E110" s="344">
        <v>54000</v>
      </c>
      <c r="F110" s="12"/>
    </row>
    <row r="111" spans="1:6" ht="20.100000000000001" customHeight="1">
      <c r="A111" s="3">
        <v>7</v>
      </c>
      <c r="B111" s="17" t="s">
        <v>492</v>
      </c>
      <c r="C111" s="3" t="s">
        <v>488</v>
      </c>
      <c r="D111" s="14" t="s">
        <v>402</v>
      </c>
      <c r="E111" s="344">
        <v>54000</v>
      </c>
      <c r="F111" s="12"/>
    </row>
    <row r="112" spans="1:6" ht="25.5" customHeight="1">
      <c r="A112" s="3"/>
      <c r="B112" s="19" t="s">
        <v>42</v>
      </c>
      <c r="C112" s="20">
        <v>7</v>
      </c>
      <c r="D112" s="3"/>
      <c r="E112" s="345">
        <f>SUM(E105:E111)</f>
        <v>792000</v>
      </c>
      <c r="F112" s="12"/>
    </row>
    <row r="113" spans="1:6" ht="20.100000000000001" customHeight="1">
      <c r="A113" s="3"/>
      <c r="B113" s="19"/>
      <c r="C113" s="20"/>
      <c r="D113" s="3"/>
      <c r="E113" s="345"/>
      <c r="F113" s="12"/>
    </row>
    <row r="114" spans="1:6" ht="20.100000000000001" customHeight="1">
      <c r="A114" s="9"/>
      <c r="B114" s="19" t="s">
        <v>242</v>
      </c>
      <c r="C114" s="20"/>
      <c r="D114" s="20"/>
      <c r="E114" s="342"/>
      <c r="F114" s="12"/>
    </row>
    <row r="115" spans="1:6" ht="18.75" customHeight="1">
      <c r="A115" s="9">
        <v>1</v>
      </c>
      <c r="B115" s="10" t="s">
        <v>494</v>
      </c>
      <c r="C115" s="3" t="s">
        <v>495</v>
      </c>
      <c r="D115" s="14" t="s">
        <v>440</v>
      </c>
      <c r="E115" s="335">
        <v>54000</v>
      </c>
      <c r="F115" s="12"/>
    </row>
    <row r="116" spans="1:6" ht="20.100000000000001" customHeight="1">
      <c r="A116" s="9">
        <v>2</v>
      </c>
      <c r="B116" s="10" t="s">
        <v>496</v>
      </c>
      <c r="C116" s="11" t="s">
        <v>497</v>
      </c>
      <c r="D116" s="14" t="s">
        <v>380</v>
      </c>
      <c r="E116" s="335">
        <v>54000</v>
      </c>
      <c r="F116" s="12"/>
    </row>
    <row r="117" spans="1:6" ht="24.75" customHeight="1">
      <c r="A117" s="3"/>
      <c r="B117" s="19" t="s">
        <v>42</v>
      </c>
      <c r="C117" s="20">
        <v>2</v>
      </c>
      <c r="D117" s="25"/>
      <c r="E117" s="341">
        <f>SUM(E115:E116)</f>
        <v>108000</v>
      </c>
      <c r="F117" s="12"/>
    </row>
    <row r="118" spans="1:6" ht="20.100000000000001" customHeight="1">
      <c r="A118" s="3"/>
      <c r="B118" s="21"/>
      <c r="C118" s="9"/>
      <c r="D118" s="3"/>
      <c r="E118" s="346"/>
      <c r="F118" s="12"/>
    </row>
    <row r="119" spans="1:6" ht="20.100000000000001" customHeight="1">
      <c r="A119" s="3"/>
      <c r="B119" s="19" t="s">
        <v>97</v>
      </c>
      <c r="C119" s="20"/>
      <c r="D119" s="20"/>
      <c r="E119" s="342"/>
      <c r="F119" s="12"/>
    </row>
    <row r="120" spans="1:6" ht="20.100000000000001" customHeight="1">
      <c r="A120" s="3">
        <v>1</v>
      </c>
      <c r="B120" s="10" t="s">
        <v>499</v>
      </c>
      <c r="C120" s="11" t="s">
        <v>500</v>
      </c>
      <c r="D120" s="14" t="s">
        <v>405</v>
      </c>
      <c r="E120" s="335">
        <f>270000</f>
        <v>270000</v>
      </c>
      <c r="F120" s="12"/>
    </row>
    <row r="121" spans="1:6" ht="20.100000000000001" customHeight="1">
      <c r="A121" s="3">
        <v>2</v>
      </c>
      <c r="B121" s="10" t="s">
        <v>178</v>
      </c>
      <c r="C121" s="11" t="s">
        <v>501</v>
      </c>
      <c r="D121" s="14" t="s">
        <v>106</v>
      </c>
      <c r="E121" s="335">
        <v>180000</v>
      </c>
      <c r="F121" s="12"/>
    </row>
    <row r="122" spans="1:6" ht="20.100000000000001" customHeight="1">
      <c r="A122" s="3">
        <v>3</v>
      </c>
      <c r="B122" s="13" t="s">
        <v>502</v>
      </c>
      <c r="C122" s="11" t="s">
        <v>337</v>
      </c>
      <c r="D122" s="14" t="s">
        <v>358</v>
      </c>
      <c r="E122" s="335">
        <v>126000</v>
      </c>
      <c r="F122" s="12"/>
    </row>
    <row r="123" spans="1:6" ht="20.100000000000001" customHeight="1">
      <c r="A123" s="3">
        <v>4</v>
      </c>
      <c r="B123" s="13" t="s">
        <v>336</v>
      </c>
      <c r="C123" s="11" t="s">
        <v>337</v>
      </c>
      <c r="D123" s="14" t="s">
        <v>99</v>
      </c>
      <c r="E123" s="335">
        <v>126000</v>
      </c>
      <c r="F123" s="12"/>
    </row>
    <row r="124" spans="1:6" ht="20.100000000000001" customHeight="1">
      <c r="A124" s="3">
        <v>5</v>
      </c>
      <c r="B124" s="10" t="s">
        <v>503</v>
      </c>
      <c r="C124" s="11" t="s">
        <v>504</v>
      </c>
      <c r="D124" s="14" t="s">
        <v>450</v>
      </c>
      <c r="E124" s="335">
        <v>90000</v>
      </c>
      <c r="F124" s="12"/>
    </row>
    <row r="125" spans="1:6" ht="20.100000000000001" customHeight="1">
      <c r="A125" s="3">
        <v>6</v>
      </c>
      <c r="B125" s="10" t="s">
        <v>505</v>
      </c>
      <c r="C125" s="11" t="s">
        <v>506</v>
      </c>
      <c r="D125" s="14" t="s">
        <v>369</v>
      </c>
      <c r="E125" s="335">
        <v>90000</v>
      </c>
      <c r="F125" s="12"/>
    </row>
    <row r="126" spans="1:6" ht="20.100000000000001" customHeight="1">
      <c r="A126" s="3">
        <v>7</v>
      </c>
      <c r="B126" s="10" t="s">
        <v>507</v>
      </c>
      <c r="C126" s="11" t="s">
        <v>504</v>
      </c>
      <c r="D126" s="14" t="s">
        <v>369</v>
      </c>
      <c r="E126" s="335">
        <v>90000</v>
      </c>
      <c r="F126" s="12"/>
    </row>
    <row r="127" spans="1:6" ht="20.100000000000001" customHeight="1">
      <c r="A127" s="3">
        <v>8</v>
      </c>
      <c r="B127" s="10" t="s">
        <v>508</v>
      </c>
      <c r="C127" s="11" t="s">
        <v>509</v>
      </c>
      <c r="D127" s="9" t="s">
        <v>391</v>
      </c>
      <c r="E127" s="335">
        <v>54000</v>
      </c>
      <c r="F127" s="12"/>
    </row>
    <row r="128" spans="1:6" ht="20.100000000000001" customHeight="1">
      <c r="A128" s="3">
        <v>9</v>
      </c>
      <c r="B128" s="17" t="s">
        <v>510</v>
      </c>
      <c r="C128" s="11" t="s">
        <v>511</v>
      </c>
      <c r="D128" s="14" t="s">
        <v>72</v>
      </c>
      <c r="E128" s="335">
        <v>54000</v>
      </c>
      <c r="F128" s="12"/>
    </row>
    <row r="129" spans="1:6" ht="20.100000000000001" customHeight="1">
      <c r="A129" s="3">
        <v>10</v>
      </c>
      <c r="B129" s="17" t="s">
        <v>512</v>
      </c>
      <c r="C129" s="11" t="s">
        <v>248</v>
      </c>
      <c r="D129" s="14" t="s">
        <v>72</v>
      </c>
      <c r="E129" s="335">
        <v>54000</v>
      </c>
      <c r="F129" s="12"/>
    </row>
    <row r="130" spans="1:6" ht="28.5" customHeight="1">
      <c r="A130" s="3"/>
      <c r="B130" s="19" t="s">
        <v>42</v>
      </c>
      <c r="C130" s="25" t="s">
        <v>513</v>
      </c>
      <c r="D130" s="14"/>
      <c r="E130" s="342">
        <f>SUM(E120:E129)</f>
        <v>1134000</v>
      </c>
      <c r="F130" s="12"/>
    </row>
    <row r="131" spans="1:6" ht="20.100000000000001" customHeight="1">
      <c r="A131" s="3"/>
      <c r="B131" s="21"/>
      <c r="C131" s="25"/>
      <c r="D131" s="14"/>
      <c r="E131" s="342"/>
      <c r="F131" s="12"/>
    </row>
    <row r="132" spans="1:6" ht="20.100000000000001" customHeight="1">
      <c r="A132" s="3"/>
      <c r="B132" s="19" t="s">
        <v>103</v>
      </c>
      <c r="C132" s="11"/>
      <c r="D132" s="14"/>
      <c r="E132" s="335"/>
      <c r="F132" s="12"/>
    </row>
    <row r="133" spans="1:6" ht="20.100000000000001" customHeight="1">
      <c r="A133" s="26">
        <v>1</v>
      </c>
      <c r="B133" s="10" t="s">
        <v>514</v>
      </c>
      <c r="C133" s="11" t="s">
        <v>515</v>
      </c>
      <c r="D133" s="14" t="s">
        <v>405</v>
      </c>
      <c r="E133" s="335">
        <f>270000</f>
        <v>270000</v>
      </c>
      <c r="F133" s="12"/>
    </row>
    <row r="134" spans="1:6" ht="20.100000000000001" customHeight="1">
      <c r="A134" s="26">
        <v>2</v>
      </c>
      <c r="B134" s="10" t="s">
        <v>338</v>
      </c>
      <c r="C134" s="11" t="s">
        <v>339</v>
      </c>
      <c r="D134" s="14" t="s">
        <v>340</v>
      </c>
      <c r="E134" s="335">
        <v>180000</v>
      </c>
      <c r="F134" s="12"/>
    </row>
    <row r="135" spans="1:6" ht="20.100000000000001" customHeight="1">
      <c r="A135" s="26">
        <v>3</v>
      </c>
      <c r="B135" s="13" t="s">
        <v>516</v>
      </c>
      <c r="C135" s="3" t="s">
        <v>517</v>
      </c>
      <c r="D135" s="15" t="s">
        <v>416</v>
      </c>
      <c r="E135" s="335">
        <v>180000</v>
      </c>
      <c r="F135" s="12"/>
    </row>
    <row r="136" spans="1:6" ht="20.100000000000001" customHeight="1">
      <c r="A136" s="26">
        <v>4</v>
      </c>
      <c r="B136" s="10" t="s">
        <v>518</v>
      </c>
      <c r="C136" s="11" t="s">
        <v>519</v>
      </c>
      <c r="D136" s="14" t="s">
        <v>366</v>
      </c>
      <c r="E136" s="335">
        <v>90000</v>
      </c>
      <c r="F136" s="12"/>
    </row>
    <row r="137" spans="1:6" ht="20.100000000000001" customHeight="1">
      <c r="A137" s="26">
        <v>5</v>
      </c>
      <c r="B137" s="10" t="s">
        <v>520</v>
      </c>
      <c r="C137" s="3" t="s">
        <v>521</v>
      </c>
      <c r="D137" s="14" t="s">
        <v>366</v>
      </c>
      <c r="E137" s="335">
        <v>90000</v>
      </c>
      <c r="F137" s="12"/>
    </row>
    <row r="138" spans="1:6" ht="20.100000000000001" customHeight="1">
      <c r="A138" s="26">
        <v>6</v>
      </c>
      <c r="B138" s="10" t="s">
        <v>522</v>
      </c>
      <c r="C138" s="3" t="s">
        <v>521</v>
      </c>
      <c r="D138" s="14" t="s">
        <v>366</v>
      </c>
      <c r="E138" s="335">
        <v>90000</v>
      </c>
      <c r="F138" s="12"/>
    </row>
    <row r="139" spans="1:6" ht="20.100000000000001" customHeight="1">
      <c r="A139" s="26">
        <v>7</v>
      </c>
      <c r="B139" s="10" t="s">
        <v>523</v>
      </c>
      <c r="C139" s="11" t="s">
        <v>524</v>
      </c>
      <c r="D139" s="14" t="s">
        <v>380</v>
      </c>
      <c r="E139" s="335">
        <v>54000</v>
      </c>
      <c r="F139" s="12"/>
    </row>
    <row r="140" spans="1:6" ht="20.100000000000001" customHeight="1">
      <c r="A140" s="26">
        <v>8</v>
      </c>
      <c r="B140" s="10" t="s">
        <v>525</v>
      </c>
      <c r="C140" s="11" t="s">
        <v>524</v>
      </c>
      <c r="D140" s="14" t="s">
        <v>380</v>
      </c>
      <c r="E140" s="335">
        <v>54000</v>
      </c>
      <c r="F140" s="12"/>
    </row>
    <row r="141" spans="1:6" ht="20.100000000000001" customHeight="1">
      <c r="A141" s="26">
        <v>9</v>
      </c>
      <c r="B141" s="10" t="s">
        <v>526</v>
      </c>
      <c r="C141" s="3" t="s">
        <v>527</v>
      </c>
      <c r="D141" s="14" t="s">
        <v>380</v>
      </c>
      <c r="E141" s="335">
        <v>54000</v>
      </c>
      <c r="F141" s="12"/>
    </row>
    <row r="142" spans="1:6" ht="20.100000000000001" customHeight="1">
      <c r="A142" s="26">
        <v>10</v>
      </c>
      <c r="B142" s="10" t="s">
        <v>528</v>
      </c>
      <c r="C142" s="11" t="s">
        <v>529</v>
      </c>
      <c r="D142" s="14" t="s">
        <v>440</v>
      </c>
      <c r="E142" s="335">
        <v>54000</v>
      </c>
      <c r="F142" s="12"/>
    </row>
    <row r="143" spans="1:6" ht="20.100000000000001" customHeight="1">
      <c r="A143" s="26">
        <v>11</v>
      </c>
      <c r="B143" s="10" t="s">
        <v>530</v>
      </c>
      <c r="C143" s="11" t="s">
        <v>531</v>
      </c>
      <c r="D143" s="14" t="s">
        <v>32</v>
      </c>
      <c r="E143" s="335">
        <v>54000</v>
      </c>
      <c r="F143" s="12"/>
    </row>
    <row r="144" spans="1:6" ht="20.100000000000001" customHeight="1">
      <c r="A144" s="26">
        <v>12</v>
      </c>
      <c r="B144" s="10" t="s">
        <v>532</v>
      </c>
      <c r="C144" s="11" t="s">
        <v>533</v>
      </c>
      <c r="D144" s="14" t="s">
        <v>380</v>
      </c>
      <c r="E144" s="335">
        <v>54000</v>
      </c>
      <c r="F144" s="12"/>
    </row>
    <row r="145" spans="1:6" ht="20.100000000000001" customHeight="1">
      <c r="A145" s="26">
        <v>13</v>
      </c>
      <c r="B145" s="17" t="s">
        <v>534</v>
      </c>
      <c r="C145" s="3" t="s">
        <v>535</v>
      </c>
      <c r="D145" s="14" t="s">
        <v>32</v>
      </c>
      <c r="E145" s="335">
        <v>54000</v>
      </c>
      <c r="F145" s="12"/>
    </row>
    <row r="146" spans="1:6" ht="20.100000000000001" customHeight="1">
      <c r="A146" s="26">
        <v>14</v>
      </c>
      <c r="B146" s="10" t="s">
        <v>536</v>
      </c>
      <c r="C146" s="3" t="s">
        <v>537</v>
      </c>
      <c r="D146" s="14" t="s">
        <v>409</v>
      </c>
      <c r="E146" s="335">
        <v>54000</v>
      </c>
      <c r="F146" s="12"/>
    </row>
    <row r="147" spans="1:6" ht="20.100000000000001" customHeight="1">
      <c r="A147" s="26">
        <v>15</v>
      </c>
      <c r="B147" s="10" t="s">
        <v>538</v>
      </c>
      <c r="C147" s="3" t="s">
        <v>537</v>
      </c>
      <c r="D147" s="14" t="s">
        <v>453</v>
      </c>
      <c r="E147" s="335">
        <v>54000</v>
      </c>
      <c r="F147" s="12"/>
    </row>
    <row r="148" spans="1:6" ht="20.100000000000001" customHeight="1">
      <c r="A148" s="26">
        <v>16</v>
      </c>
      <c r="B148" s="10" t="s">
        <v>540</v>
      </c>
      <c r="C148" s="3" t="s">
        <v>537</v>
      </c>
      <c r="D148" s="14" t="s">
        <v>453</v>
      </c>
      <c r="E148" s="335">
        <v>54000</v>
      </c>
      <c r="F148" s="12"/>
    </row>
    <row r="149" spans="1:6" ht="20.100000000000001" customHeight="1">
      <c r="A149" s="26">
        <v>17</v>
      </c>
      <c r="B149" s="10" t="s">
        <v>541</v>
      </c>
      <c r="C149" s="11" t="s">
        <v>542</v>
      </c>
      <c r="D149" s="14" t="s">
        <v>37</v>
      </c>
      <c r="E149" s="335">
        <v>54000</v>
      </c>
      <c r="F149" s="12"/>
    </row>
    <row r="150" spans="1:6" ht="20.100000000000001" customHeight="1">
      <c r="A150" s="26">
        <v>18</v>
      </c>
      <c r="B150" s="10" t="s">
        <v>1055</v>
      </c>
      <c r="C150" s="11" t="s">
        <v>544</v>
      </c>
      <c r="D150" s="9" t="s">
        <v>55</v>
      </c>
      <c r="E150" s="335">
        <v>54000</v>
      </c>
      <c r="F150" s="12"/>
    </row>
    <row r="151" spans="1:6" ht="20.100000000000001" customHeight="1">
      <c r="A151" s="26">
        <v>19</v>
      </c>
      <c r="B151" s="10" t="s">
        <v>545</v>
      </c>
      <c r="C151" s="11" t="s">
        <v>546</v>
      </c>
      <c r="D151" s="14" t="s">
        <v>409</v>
      </c>
      <c r="E151" s="335">
        <v>54000</v>
      </c>
      <c r="F151" s="12"/>
    </row>
    <row r="152" spans="1:6" ht="20.100000000000001" customHeight="1">
      <c r="A152" s="26">
        <v>20</v>
      </c>
      <c r="B152" s="10" t="s">
        <v>547</v>
      </c>
      <c r="C152" s="11" t="s">
        <v>548</v>
      </c>
      <c r="D152" s="14" t="s">
        <v>391</v>
      </c>
      <c r="E152" s="335">
        <v>54000</v>
      </c>
      <c r="F152" s="12"/>
    </row>
    <row r="153" spans="1:6" ht="20.100000000000001" customHeight="1">
      <c r="A153" s="26">
        <v>21</v>
      </c>
      <c r="B153" s="10" t="s">
        <v>549</v>
      </c>
      <c r="C153" s="11" t="s">
        <v>550</v>
      </c>
      <c r="D153" s="14" t="s">
        <v>409</v>
      </c>
      <c r="E153" s="335">
        <v>54000</v>
      </c>
      <c r="F153" s="12"/>
    </row>
    <row r="154" spans="1:6" ht="20.100000000000001" customHeight="1">
      <c r="A154" s="26">
        <v>22</v>
      </c>
      <c r="B154" s="10" t="s">
        <v>551</v>
      </c>
      <c r="C154" s="11" t="s">
        <v>552</v>
      </c>
      <c r="D154" s="14" t="s">
        <v>391</v>
      </c>
      <c r="E154" s="335">
        <v>54000</v>
      </c>
      <c r="F154" s="12"/>
    </row>
    <row r="155" spans="1:6" ht="20.100000000000001" customHeight="1">
      <c r="A155" s="26">
        <v>23</v>
      </c>
      <c r="B155" s="17" t="s">
        <v>553</v>
      </c>
      <c r="C155" s="11" t="s">
        <v>554</v>
      </c>
      <c r="D155" s="14" t="s">
        <v>55</v>
      </c>
      <c r="E155" s="335">
        <v>54000</v>
      </c>
      <c r="F155" s="12"/>
    </row>
    <row r="156" spans="1:6" ht="20.100000000000001" customHeight="1">
      <c r="A156" s="26">
        <v>24</v>
      </c>
      <c r="B156" s="17" t="s">
        <v>555</v>
      </c>
      <c r="C156" s="11" t="s">
        <v>556</v>
      </c>
      <c r="D156" s="14" t="s">
        <v>72</v>
      </c>
      <c r="E156" s="335">
        <v>54000</v>
      </c>
      <c r="F156" s="12"/>
    </row>
    <row r="157" spans="1:6" ht="20.100000000000001" customHeight="1">
      <c r="A157" s="26">
        <v>25</v>
      </c>
      <c r="B157" s="17" t="s">
        <v>557</v>
      </c>
      <c r="C157" s="11" t="s">
        <v>558</v>
      </c>
      <c r="D157" s="14" t="s">
        <v>72</v>
      </c>
      <c r="E157" s="335">
        <v>54000</v>
      </c>
      <c r="F157" s="12"/>
    </row>
    <row r="158" spans="1:6" ht="20.100000000000001" customHeight="1">
      <c r="A158" s="26">
        <v>26</v>
      </c>
      <c r="B158" s="17" t="s">
        <v>559</v>
      </c>
      <c r="C158" s="11" t="s">
        <v>560</v>
      </c>
      <c r="D158" s="14" t="s">
        <v>72</v>
      </c>
      <c r="E158" s="335">
        <v>54000</v>
      </c>
      <c r="F158" s="12"/>
    </row>
    <row r="159" spans="1:6" ht="20.100000000000001" customHeight="1">
      <c r="A159" s="26">
        <v>27</v>
      </c>
      <c r="B159" s="17" t="s">
        <v>561</v>
      </c>
      <c r="C159" s="11" t="s">
        <v>562</v>
      </c>
      <c r="D159" s="14" t="s">
        <v>402</v>
      </c>
      <c r="E159" s="335">
        <v>54000</v>
      </c>
      <c r="F159" s="12"/>
    </row>
    <row r="160" spans="1:6" ht="20.100000000000001" customHeight="1">
      <c r="A160" s="26">
        <v>28</v>
      </c>
      <c r="B160" s="17" t="s">
        <v>563</v>
      </c>
      <c r="C160" s="11" t="s">
        <v>558</v>
      </c>
      <c r="D160" s="14" t="s">
        <v>72</v>
      </c>
      <c r="E160" s="335">
        <v>54000</v>
      </c>
      <c r="F160" s="12"/>
    </row>
    <row r="161" spans="1:6" ht="20.100000000000001" customHeight="1">
      <c r="A161" s="26">
        <v>29</v>
      </c>
      <c r="B161" s="10" t="s">
        <v>564</v>
      </c>
      <c r="C161" s="11" t="s">
        <v>565</v>
      </c>
      <c r="D161" s="14" t="s">
        <v>572</v>
      </c>
      <c r="E161" s="347">
        <v>36000</v>
      </c>
      <c r="F161" s="12"/>
    </row>
    <row r="162" spans="1:6" ht="20.100000000000001" customHeight="1">
      <c r="A162" s="26">
        <v>30</v>
      </c>
      <c r="B162" s="10" t="s">
        <v>567</v>
      </c>
      <c r="C162" s="11" t="s">
        <v>565</v>
      </c>
      <c r="D162" s="14" t="s">
        <v>572</v>
      </c>
      <c r="E162" s="347">
        <v>36000</v>
      </c>
      <c r="F162" s="12"/>
    </row>
    <row r="163" spans="1:6" ht="20.100000000000001" customHeight="1">
      <c r="A163" s="26">
        <v>31</v>
      </c>
      <c r="B163" s="10" t="s">
        <v>568</v>
      </c>
      <c r="C163" s="11" t="s">
        <v>565</v>
      </c>
      <c r="D163" s="14" t="s">
        <v>572</v>
      </c>
      <c r="E163" s="347">
        <v>36000</v>
      </c>
      <c r="F163" s="12"/>
    </row>
    <row r="164" spans="1:6" ht="20.100000000000001" customHeight="1">
      <c r="A164" s="26">
        <v>32</v>
      </c>
      <c r="B164" s="10" t="s">
        <v>569</v>
      </c>
      <c r="C164" s="11" t="s">
        <v>565</v>
      </c>
      <c r="D164" s="14" t="s">
        <v>572</v>
      </c>
      <c r="E164" s="347">
        <v>36000</v>
      </c>
      <c r="F164" s="12"/>
    </row>
    <row r="165" spans="1:6" ht="20.100000000000001" customHeight="1">
      <c r="A165" s="26">
        <v>33</v>
      </c>
      <c r="B165" s="10" t="s">
        <v>570</v>
      </c>
      <c r="C165" s="11" t="s">
        <v>565</v>
      </c>
      <c r="D165" s="14" t="s">
        <v>572</v>
      </c>
      <c r="E165" s="347">
        <v>36000</v>
      </c>
      <c r="F165" s="12"/>
    </row>
    <row r="166" spans="1:6" ht="20.100000000000001" customHeight="1">
      <c r="A166" s="26">
        <v>34</v>
      </c>
      <c r="B166" s="10" t="s">
        <v>571</v>
      </c>
      <c r="C166" s="11" t="s">
        <v>565</v>
      </c>
      <c r="D166" s="14" t="s">
        <v>583</v>
      </c>
      <c r="E166" s="347">
        <v>36000</v>
      </c>
      <c r="F166" s="12"/>
    </row>
    <row r="167" spans="1:6" ht="20.100000000000001" customHeight="1">
      <c r="A167" s="26">
        <v>35</v>
      </c>
      <c r="B167" s="10" t="s">
        <v>573</v>
      </c>
      <c r="C167" s="11" t="s">
        <v>565</v>
      </c>
      <c r="D167" s="14" t="s">
        <v>583</v>
      </c>
      <c r="E167" s="347">
        <v>36000</v>
      </c>
      <c r="F167" s="12"/>
    </row>
    <row r="168" spans="1:6" ht="20.100000000000001" customHeight="1">
      <c r="A168" s="26">
        <v>36</v>
      </c>
      <c r="B168" s="13" t="s">
        <v>574</v>
      </c>
      <c r="C168" s="11" t="s">
        <v>565</v>
      </c>
      <c r="D168" s="14" t="s">
        <v>583</v>
      </c>
      <c r="E168" s="347">
        <v>36000</v>
      </c>
      <c r="F168" s="12"/>
    </row>
    <row r="169" spans="1:6" ht="20.100000000000001" customHeight="1">
      <c r="A169" s="26">
        <v>37</v>
      </c>
      <c r="B169" s="10" t="s">
        <v>575</v>
      </c>
      <c r="C169" s="11" t="s">
        <v>565</v>
      </c>
      <c r="D169" s="14" t="s">
        <v>583</v>
      </c>
      <c r="E169" s="347">
        <v>36000</v>
      </c>
      <c r="F169" s="12"/>
    </row>
    <row r="170" spans="1:6" ht="20.100000000000001" customHeight="1">
      <c r="A170" s="26">
        <v>38</v>
      </c>
      <c r="B170" s="17" t="s">
        <v>576</v>
      </c>
      <c r="C170" s="11" t="s">
        <v>565</v>
      </c>
      <c r="D170" s="14" t="s">
        <v>583</v>
      </c>
      <c r="E170" s="347">
        <v>36000</v>
      </c>
      <c r="F170" s="12"/>
    </row>
    <row r="171" spans="1:6" ht="20.100000000000001" customHeight="1">
      <c r="A171" s="26">
        <v>39</v>
      </c>
      <c r="B171" s="17" t="s">
        <v>577</v>
      </c>
      <c r="C171" s="11" t="s">
        <v>565</v>
      </c>
      <c r="D171" s="14" t="s">
        <v>583</v>
      </c>
      <c r="E171" s="347">
        <v>36000</v>
      </c>
      <c r="F171" s="12"/>
    </row>
    <row r="172" spans="1:6" ht="20.100000000000001" customHeight="1">
      <c r="A172" s="26">
        <v>40</v>
      </c>
      <c r="B172" s="10" t="s">
        <v>578</v>
      </c>
      <c r="C172" s="11" t="s">
        <v>579</v>
      </c>
      <c r="D172" s="14" t="s">
        <v>580</v>
      </c>
      <c r="E172" s="347">
        <v>36000</v>
      </c>
      <c r="F172" s="12"/>
    </row>
    <row r="173" spans="1:6" ht="20.100000000000001" customHeight="1">
      <c r="A173" s="26">
        <v>41</v>
      </c>
      <c r="B173" s="10" t="s">
        <v>581</v>
      </c>
      <c r="C173" s="11" t="s">
        <v>579</v>
      </c>
      <c r="D173" s="14" t="s">
        <v>580</v>
      </c>
      <c r="E173" s="347">
        <v>36000</v>
      </c>
      <c r="F173" s="12"/>
    </row>
    <row r="174" spans="1:6" ht="20.100000000000001" customHeight="1">
      <c r="A174" s="26">
        <v>42</v>
      </c>
      <c r="B174" s="17" t="s">
        <v>582</v>
      </c>
      <c r="C174" s="11" t="s">
        <v>579</v>
      </c>
      <c r="D174" s="14" t="s">
        <v>580</v>
      </c>
      <c r="E174" s="347">
        <v>36000</v>
      </c>
      <c r="F174" s="12"/>
    </row>
    <row r="175" spans="1:6" ht="20.100000000000001" customHeight="1">
      <c r="A175" s="26">
        <v>43</v>
      </c>
      <c r="B175" s="10" t="s">
        <v>584</v>
      </c>
      <c r="C175" s="11" t="s">
        <v>585</v>
      </c>
      <c r="D175" s="14" t="s">
        <v>1056</v>
      </c>
      <c r="E175" s="347">
        <v>36000</v>
      </c>
      <c r="F175" s="12"/>
    </row>
    <row r="176" spans="1:6" ht="20.100000000000001" customHeight="1">
      <c r="A176" s="26">
        <v>44</v>
      </c>
      <c r="B176" s="10" t="s">
        <v>587</v>
      </c>
      <c r="C176" s="11" t="s">
        <v>588</v>
      </c>
      <c r="D176" s="14" t="s">
        <v>1057</v>
      </c>
      <c r="E176" s="347">
        <v>36000</v>
      </c>
      <c r="F176" s="12"/>
    </row>
    <row r="177" spans="1:6" ht="20.100000000000001" customHeight="1">
      <c r="A177" s="26">
        <v>45</v>
      </c>
      <c r="B177" s="10" t="s">
        <v>590</v>
      </c>
      <c r="C177" s="11" t="s">
        <v>588</v>
      </c>
      <c r="D177" s="14" t="s">
        <v>1057</v>
      </c>
      <c r="E177" s="347">
        <v>36000</v>
      </c>
      <c r="F177" s="12"/>
    </row>
    <row r="178" spans="1:6" ht="20.100000000000001" customHeight="1">
      <c r="A178" s="26">
        <v>46</v>
      </c>
      <c r="B178" s="10" t="s">
        <v>591</v>
      </c>
      <c r="C178" s="11" t="s">
        <v>588</v>
      </c>
      <c r="D178" s="14" t="s">
        <v>1057</v>
      </c>
      <c r="E178" s="347">
        <v>36000</v>
      </c>
      <c r="F178" s="12"/>
    </row>
    <row r="179" spans="1:6" ht="20.100000000000001" customHeight="1">
      <c r="A179" s="26">
        <v>47</v>
      </c>
      <c r="B179" s="10" t="s">
        <v>592</v>
      </c>
      <c r="C179" s="11" t="s">
        <v>588</v>
      </c>
      <c r="D179" s="14" t="s">
        <v>1057</v>
      </c>
      <c r="E179" s="347">
        <v>36000</v>
      </c>
      <c r="F179" s="12"/>
    </row>
    <row r="180" spans="1:6" ht="20.100000000000001" customHeight="1">
      <c r="A180" s="26">
        <v>48</v>
      </c>
      <c r="B180" s="10" t="s">
        <v>593</v>
      </c>
      <c r="C180" s="11" t="s">
        <v>588</v>
      </c>
      <c r="D180" s="14" t="s">
        <v>1057</v>
      </c>
      <c r="E180" s="347">
        <v>36000</v>
      </c>
      <c r="F180" s="12"/>
    </row>
    <row r="181" spans="1:6" ht="20.100000000000001" customHeight="1">
      <c r="A181" s="26">
        <v>49</v>
      </c>
      <c r="B181" s="17" t="s">
        <v>594</v>
      </c>
      <c r="C181" s="11" t="s">
        <v>588</v>
      </c>
      <c r="D181" s="14" t="s">
        <v>1057</v>
      </c>
      <c r="E181" s="347">
        <v>36000</v>
      </c>
      <c r="F181" s="12"/>
    </row>
    <row r="182" spans="1:6" ht="20.100000000000001" customHeight="1">
      <c r="A182" s="26">
        <v>50</v>
      </c>
      <c r="B182" s="17" t="s">
        <v>595</v>
      </c>
      <c r="C182" s="11" t="s">
        <v>588</v>
      </c>
      <c r="D182" s="14" t="s">
        <v>1057</v>
      </c>
      <c r="E182" s="347">
        <v>36000</v>
      </c>
      <c r="F182" s="12"/>
    </row>
    <row r="183" spans="1:6" ht="20.100000000000001" customHeight="1">
      <c r="A183" s="26">
        <v>51</v>
      </c>
      <c r="B183" s="10" t="s">
        <v>596</v>
      </c>
      <c r="C183" s="11" t="s">
        <v>585</v>
      </c>
      <c r="D183" s="14" t="s">
        <v>1057</v>
      </c>
      <c r="E183" s="347">
        <v>36000</v>
      </c>
      <c r="F183" s="12"/>
    </row>
    <row r="184" spans="1:6" ht="20.100000000000001" customHeight="1">
      <c r="A184" s="26">
        <v>52</v>
      </c>
      <c r="B184" s="10" t="s">
        <v>597</v>
      </c>
      <c r="C184" s="11" t="s">
        <v>585</v>
      </c>
      <c r="D184" s="14" t="s">
        <v>1057</v>
      </c>
      <c r="E184" s="347">
        <v>36000</v>
      </c>
      <c r="F184" s="12"/>
    </row>
    <row r="185" spans="1:6" ht="20.100000000000001" customHeight="1">
      <c r="A185" s="26">
        <v>53</v>
      </c>
      <c r="B185" s="17" t="s">
        <v>598</v>
      </c>
      <c r="C185" s="11" t="s">
        <v>286</v>
      </c>
      <c r="D185" s="14" t="s">
        <v>609</v>
      </c>
      <c r="E185" s="347">
        <v>36000</v>
      </c>
      <c r="F185" s="12"/>
    </row>
    <row r="186" spans="1:6" ht="20.100000000000001" customHeight="1">
      <c r="A186" s="26">
        <v>54</v>
      </c>
      <c r="B186" s="17" t="s">
        <v>600</v>
      </c>
      <c r="C186" s="11" t="s">
        <v>588</v>
      </c>
      <c r="D186" s="14" t="s">
        <v>1058</v>
      </c>
      <c r="E186" s="347">
        <v>36000</v>
      </c>
      <c r="F186" s="12"/>
    </row>
    <row r="187" spans="1:6" ht="20.100000000000001" customHeight="1">
      <c r="A187" s="26">
        <v>55</v>
      </c>
      <c r="B187" s="17" t="s">
        <v>602</v>
      </c>
      <c r="C187" s="11" t="s">
        <v>603</v>
      </c>
      <c r="D187" s="14" t="s">
        <v>122</v>
      </c>
      <c r="E187" s="347">
        <v>36000</v>
      </c>
      <c r="F187" s="12"/>
    </row>
    <row r="188" spans="1:6" ht="20.100000000000001" customHeight="1">
      <c r="A188" s="26">
        <v>56</v>
      </c>
      <c r="B188" s="17" t="s">
        <v>605</v>
      </c>
      <c r="C188" s="11" t="s">
        <v>603</v>
      </c>
      <c r="D188" s="14" t="s">
        <v>122</v>
      </c>
      <c r="E188" s="347">
        <v>36000</v>
      </c>
      <c r="F188" s="12"/>
    </row>
    <row r="189" spans="1:6" ht="20.100000000000001" customHeight="1">
      <c r="A189" s="26">
        <v>57</v>
      </c>
      <c r="B189" s="17" t="s">
        <v>606</v>
      </c>
      <c r="C189" s="11" t="s">
        <v>603</v>
      </c>
      <c r="D189" s="14" t="s">
        <v>122</v>
      </c>
      <c r="E189" s="347">
        <v>36000</v>
      </c>
      <c r="F189" s="12"/>
    </row>
    <row r="190" spans="1:6" ht="20.100000000000001" customHeight="1">
      <c r="A190" s="26">
        <v>58</v>
      </c>
      <c r="B190" s="17" t="s">
        <v>607</v>
      </c>
      <c r="C190" s="11" t="s">
        <v>608</v>
      </c>
      <c r="D190" s="14" t="s">
        <v>119</v>
      </c>
      <c r="E190" s="347">
        <v>36000</v>
      </c>
      <c r="F190" s="12"/>
    </row>
    <row r="191" spans="1:6" ht="20.100000000000001" customHeight="1">
      <c r="A191" s="26">
        <v>59</v>
      </c>
      <c r="B191" s="17" t="s">
        <v>610</v>
      </c>
      <c r="C191" s="11" t="s">
        <v>608</v>
      </c>
      <c r="D191" s="14" t="s">
        <v>119</v>
      </c>
      <c r="E191" s="347">
        <v>36000</v>
      </c>
      <c r="F191" s="12"/>
    </row>
    <row r="192" spans="1:6" ht="24.75" customHeight="1">
      <c r="A192" s="26"/>
      <c r="B192" s="7" t="s">
        <v>42</v>
      </c>
      <c r="C192" s="27" t="s">
        <v>611</v>
      </c>
      <c r="D192" s="28"/>
      <c r="E192" s="341">
        <f>SUM(E133:E191)</f>
        <v>3204000</v>
      </c>
      <c r="F192" s="12"/>
    </row>
    <row r="193" spans="1:6" ht="20.100000000000001" customHeight="1">
      <c r="A193" s="863"/>
      <c r="B193" s="863"/>
      <c r="C193" s="863"/>
      <c r="D193" s="863"/>
      <c r="E193" s="863"/>
      <c r="F193" s="12"/>
    </row>
    <row r="194" spans="1:6" ht="29.25" customHeight="1">
      <c r="A194" s="3"/>
      <c r="B194" s="29" t="s">
        <v>125</v>
      </c>
      <c r="C194" s="30">
        <f>C31+C37+C52+C57+C71+C81+C95+C102+C112+C130+C192</f>
        <v>151</v>
      </c>
      <c r="D194" s="31"/>
      <c r="E194" s="348">
        <f>E192+E130+E117+E112+E102+E95+E81+E71+E57+E52+E37+E31</f>
        <v>13230000</v>
      </c>
      <c r="F194" s="12"/>
    </row>
    <row r="195" spans="1:6" ht="20.100000000000001" customHeight="1">
      <c r="A195" s="2"/>
      <c r="B195" s="32"/>
      <c r="C195" s="2"/>
      <c r="D195" s="33"/>
      <c r="E195" s="33"/>
      <c r="F195" s="34"/>
    </row>
    <row r="196" spans="1:6" ht="36.75" customHeight="1">
      <c r="A196" s="2"/>
      <c r="B196" s="32"/>
      <c r="C196" s="33"/>
      <c r="D196" s="33"/>
      <c r="E196" s="315"/>
    </row>
    <row r="197" spans="1:6" ht="20.100000000000001" customHeight="1">
      <c r="E197" s="315"/>
    </row>
    <row r="198" spans="1:6" ht="20.100000000000001" customHeight="1">
      <c r="E198" s="315"/>
    </row>
    <row r="199" spans="1:6" ht="20.100000000000001" customHeight="1">
      <c r="E199" s="315"/>
    </row>
    <row r="200" spans="1:6" ht="20.100000000000001" customHeight="1">
      <c r="E200" s="34"/>
    </row>
  </sheetData>
  <mergeCells count="2">
    <mergeCell ref="A1:E1"/>
    <mergeCell ref="A193:E193"/>
  </mergeCells>
  <pageMargins left="0.23622047244094499" right="0.23622047244094499" top="0.98425196850393704" bottom="0.98425196850393704" header="0.511811023622047" footer="0.511811023622047"/>
  <pageSetup paperSize="9" scale="80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" workbookViewId="0">
      <selection activeCell="K22" sqref="K22"/>
    </sheetView>
  </sheetViews>
  <sheetFormatPr defaultColWidth="9" defaultRowHeight="12.7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8"/>
  <sheetViews>
    <sheetView zoomScaleSheetLayoutView="50" workbookViewId="0">
      <pane xSplit="3" ySplit="7" topLeftCell="D8" activePane="bottomRight" state="frozen"/>
      <selection pane="topRight"/>
      <selection pane="bottomLeft"/>
      <selection pane="bottomRight" activeCell="D118" sqref="D118"/>
    </sheetView>
  </sheetViews>
  <sheetFormatPr defaultColWidth="9.140625" defaultRowHeight="20.100000000000001" customHeight="1"/>
  <cols>
    <col min="1" max="1" width="5.42578125" style="1" customWidth="1"/>
    <col min="2" max="2" width="43.42578125" style="1" customWidth="1"/>
    <col min="3" max="3" width="40.42578125" style="1" customWidth="1"/>
    <col min="4" max="4" width="11.5703125" style="1" customWidth="1"/>
    <col min="5" max="6" width="19.28515625" style="1" customWidth="1"/>
    <col min="7" max="7" width="21.7109375" style="1" customWidth="1"/>
    <col min="8" max="16384" width="9.140625" style="1"/>
  </cols>
  <sheetData>
    <row r="1" spans="1:7" ht="27" customHeight="1">
      <c r="A1" s="63" t="s">
        <v>0</v>
      </c>
      <c r="B1" s="63"/>
      <c r="C1" s="63"/>
      <c r="D1" s="63"/>
    </row>
    <row r="2" spans="1:7" ht="33.75" customHeight="1">
      <c r="A2" s="864" t="s">
        <v>1059</v>
      </c>
      <c r="B2" s="864"/>
      <c r="C2" s="864"/>
      <c r="D2" s="864"/>
      <c r="E2" s="864"/>
      <c r="F2" s="864"/>
    </row>
    <row r="3" spans="1:7" ht="9.75" customHeight="1">
      <c r="A3" s="2"/>
      <c r="B3" s="2"/>
      <c r="C3" s="2"/>
      <c r="D3" s="2"/>
    </row>
    <row r="4" spans="1:7" ht="49.5" customHeight="1">
      <c r="A4" s="3"/>
      <c r="B4" s="4" t="s">
        <v>2</v>
      </c>
      <c r="C4" s="5" t="s">
        <v>3</v>
      </c>
      <c r="D4" s="6" t="s">
        <v>4</v>
      </c>
      <c r="E4" s="286" t="s">
        <v>1060</v>
      </c>
      <c r="F4" s="301" t="s">
        <v>259</v>
      </c>
    </row>
    <row r="5" spans="1:7" ht="17.25" customHeight="1">
      <c r="C5" s="7"/>
      <c r="D5" s="7"/>
      <c r="E5" s="287" t="s">
        <v>20</v>
      </c>
      <c r="F5" s="212" t="s">
        <v>20</v>
      </c>
    </row>
    <row r="6" spans="1:7" ht="20.100000000000001" customHeight="1">
      <c r="A6" s="8" t="s">
        <v>21</v>
      </c>
      <c r="B6" s="7" t="s">
        <v>22</v>
      </c>
      <c r="C6" s="7"/>
      <c r="D6" s="7"/>
      <c r="E6" s="287"/>
      <c r="F6" s="212"/>
    </row>
    <row r="7" spans="1:7" ht="20.100000000000001" customHeight="1">
      <c r="A7" s="9">
        <v>1</v>
      </c>
      <c r="B7" s="10" t="s">
        <v>345</v>
      </c>
      <c r="C7" s="11" t="s">
        <v>346</v>
      </c>
      <c r="D7" s="11" t="s">
        <v>347</v>
      </c>
      <c r="E7" s="201">
        <v>1158849.8400000001</v>
      </c>
      <c r="F7" s="213">
        <f>E7/2</f>
        <v>579424.92000000004</v>
      </c>
      <c r="G7" s="12"/>
    </row>
    <row r="8" spans="1:7" ht="20.100000000000001" customHeight="1">
      <c r="A8" s="9">
        <v>2</v>
      </c>
      <c r="B8" s="10" t="s">
        <v>348</v>
      </c>
      <c r="C8" s="11" t="s">
        <v>349</v>
      </c>
      <c r="D8" s="9" t="s">
        <v>343</v>
      </c>
      <c r="E8" s="201">
        <v>541465.02474999998</v>
      </c>
      <c r="F8" s="213">
        <f t="shared" ref="F8:F30" si="0">E8/2</f>
        <v>270732.51237499999</v>
      </c>
      <c r="G8" s="12"/>
    </row>
    <row r="9" spans="1:7" ht="20.100000000000001" customHeight="1">
      <c r="A9" s="9">
        <v>3</v>
      </c>
      <c r="B9" s="13" t="s">
        <v>350</v>
      </c>
      <c r="C9" s="3" t="s">
        <v>351</v>
      </c>
      <c r="D9" s="14" t="s">
        <v>416</v>
      </c>
      <c r="E9" s="201">
        <v>727743.99575</v>
      </c>
      <c r="F9" s="213">
        <f t="shared" si="0"/>
        <v>363871.997875</v>
      </c>
      <c r="G9" s="12"/>
    </row>
    <row r="10" spans="1:7" ht="20.100000000000001" customHeight="1">
      <c r="A10" s="9">
        <v>4</v>
      </c>
      <c r="B10" s="10" t="s">
        <v>352</v>
      </c>
      <c r="C10" s="16" t="s">
        <v>353</v>
      </c>
      <c r="D10" s="15" t="s">
        <v>416</v>
      </c>
      <c r="E10" s="201">
        <v>617743.99575</v>
      </c>
      <c r="F10" s="213">
        <f t="shared" si="0"/>
        <v>308871.997875</v>
      </c>
      <c r="G10" s="12"/>
    </row>
    <row r="11" spans="1:7" ht="20.100000000000001" customHeight="1">
      <c r="A11" s="9">
        <v>5</v>
      </c>
      <c r="B11" s="13" t="s">
        <v>354</v>
      </c>
      <c r="C11" s="3" t="s">
        <v>355</v>
      </c>
      <c r="D11" s="15" t="s">
        <v>416</v>
      </c>
      <c r="E11" s="201">
        <v>677743.99575</v>
      </c>
      <c r="F11" s="213">
        <f t="shared" si="0"/>
        <v>338871.997875</v>
      </c>
      <c r="G11" s="12"/>
    </row>
    <row r="12" spans="1:7" ht="20.100000000000001" customHeight="1">
      <c r="A12" s="9">
        <v>6</v>
      </c>
      <c r="B12" s="17" t="s">
        <v>341</v>
      </c>
      <c r="C12" s="9" t="s">
        <v>342</v>
      </c>
      <c r="D12" s="14" t="s">
        <v>416</v>
      </c>
      <c r="E12" s="201">
        <v>627743.99575</v>
      </c>
      <c r="F12" s="213">
        <f t="shared" si="0"/>
        <v>313871.997875</v>
      </c>
      <c r="G12" s="12"/>
    </row>
    <row r="13" spans="1:7" ht="20.100000000000001" customHeight="1">
      <c r="A13" s="9">
        <v>7</v>
      </c>
      <c r="B13" s="10" t="s">
        <v>356</v>
      </c>
      <c r="C13" s="11" t="s">
        <v>357</v>
      </c>
      <c r="D13" s="14" t="s">
        <v>358</v>
      </c>
      <c r="E13" s="201">
        <v>497553.5025</v>
      </c>
      <c r="F13" s="213">
        <f t="shared" si="0"/>
        <v>248776.75125</v>
      </c>
      <c r="G13" s="12"/>
    </row>
    <row r="14" spans="1:7" ht="20.100000000000001" customHeight="1">
      <c r="A14" s="9">
        <v>8</v>
      </c>
      <c r="B14" s="10" t="s">
        <v>359</v>
      </c>
      <c r="C14" s="3" t="s">
        <v>360</v>
      </c>
      <c r="D14" s="9" t="s">
        <v>99</v>
      </c>
      <c r="E14" s="72">
        <v>604729.22199999995</v>
      </c>
      <c r="F14" s="213">
        <f t="shared" si="0"/>
        <v>302364.61099999998</v>
      </c>
      <c r="G14" s="12"/>
    </row>
    <row r="15" spans="1:7" ht="20.100000000000001" customHeight="1">
      <c r="A15" s="9">
        <v>9</v>
      </c>
      <c r="B15" s="10" t="s">
        <v>361</v>
      </c>
      <c r="C15" s="3" t="s">
        <v>362</v>
      </c>
      <c r="D15" s="14" t="s">
        <v>366</v>
      </c>
      <c r="E15" s="201">
        <v>343333.03525000002</v>
      </c>
      <c r="F15" s="213">
        <f t="shared" si="0"/>
        <v>171666.51762500001</v>
      </c>
      <c r="G15" s="12"/>
    </row>
    <row r="16" spans="1:7" ht="20.100000000000001" customHeight="1">
      <c r="A16" s="9">
        <v>10</v>
      </c>
      <c r="B16" s="13" t="s">
        <v>364</v>
      </c>
      <c r="C16" s="16" t="s">
        <v>365</v>
      </c>
      <c r="D16" s="14" t="s">
        <v>450</v>
      </c>
      <c r="E16" s="201">
        <v>455272.06374999997</v>
      </c>
      <c r="F16" s="213">
        <f t="shared" si="0"/>
        <v>227636.03187499999</v>
      </c>
      <c r="G16" s="12"/>
    </row>
    <row r="17" spans="1:7" ht="20.100000000000001" customHeight="1">
      <c r="A17" s="9">
        <v>11</v>
      </c>
      <c r="B17" s="10" t="s">
        <v>370</v>
      </c>
      <c r="C17" s="3" t="s">
        <v>371</v>
      </c>
      <c r="D17" s="9" t="s">
        <v>372</v>
      </c>
      <c r="E17" s="201">
        <v>326663.07750000001</v>
      </c>
      <c r="F17" s="213">
        <f t="shared" si="0"/>
        <v>163331.53875000001</v>
      </c>
    </row>
    <row r="18" spans="1:7" ht="20.100000000000001" customHeight="1">
      <c r="A18" s="9">
        <v>12</v>
      </c>
      <c r="B18" s="10" t="s">
        <v>373</v>
      </c>
      <c r="C18" s="11" t="s">
        <v>374</v>
      </c>
      <c r="D18" s="14" t="s">
        <v>1052</v>
      </c>
      <c r="E18" s="201">
        <v>362001.06050000002</v>
      </c>
      <c r="F18" s="213">
        <f t="shared" si="0"/>
        <v>181000.53025000001</v>
      </c>
      <c r="G18" s="12"/>
    </row>
    <row r="19" spans="1:7" ht="20.100000000000001" customHeight="1">
      <c r="A19" s="9">
        <v>13</v>
      </c>
      <c r="B19" s="17" t="s">
        <v>376</v>
      </c>
      <c r="C19" s="3" t="s">
        <v>377</v>
      </c>
      <c r="D19" s="14" t="s">
        <v>1053</v>
      </c>
      <c r="E19" s="201">
        <v>454201.02600000001</v>
      </c>
      <c r="F19" s="213">
        <f t="shared" si="0"/>
        <v>227100.51300000001</v>
      </c>
      <c r="G19" s="12"/>
    </row>
    <row r="20" spans="1:7" ht="18.75" customHeight="1">
      <c r="A20" s="9">
        <v>14</v>
      </c>
      <c r="B20" s="10" t="s">
        <v>379</v>
      </c>
      <c r="C20" s="11" t="s">
        <v>233</v>
      </c>
      <c r="D20" s="14" t="s">
        <v>440</v>
      </c>
      <c r="E20" s="201">
        <v>372454.07400000002</v>
      </c>
      <c r="F20" s="213">
        <f t="shared" si="0"/>
        <v>186227.03700000001</v>
      </c>
      <c r="G20" s="12"/>
    </row>
    <row r="21" spans="1:7" ht="20.100000000000001" customHeight="1">
      <c r="A21" s="9">
        <v>15</v>
      </c>
      <c r="B21" s="13" t="s">
        <v>381</v>
      </c>
      <c r="C21" s="16" t="s">
        <v>382</v>
      </c>
      <c r="D21" s="9" t="s">
        <v>32</v>
      </c>
      <c r="E21" s="201">
        <v>400372.07500000001</v>
      </c>
      <c r="F21" s="213">
        <f t="shared" si="0"/>
        <v>200186.03750000001</v>
      </c>
      <c r="G21" s="12"/>
    </row>
    <row r="22" spans="1:7" ht="20.100000000000001" customHeight="1">
      <c r="A22" s="9">
        <v>16</v>
      </c>
      <c r="B22" s="13" t="s">
        <v>384</v>
      </c>
      <c r="C22" s="16" t="s">
        <v>385</v>
      </c>
      <c r="D22" s="9" t="s">
        <v>37</v>
      </c>
      <c r="E22" s="201">
        <v>328602.07775</v>
      </c>
      <c r="F22" s="213">
        <f t="shared" si="0"/>
        <v>164301.038875</v>
      </c>
      <c r="G22" s="12"/>
    </row>
    <row r="23" spans="1:7" ht="18.75" customHeight="1">
      <c r="A23" s="9">
        <v>17</v>
      </c>
      <c r="B23" s="3" t="s">
        <v>386</v>
      </c>
      <c r="C23" s="3" t="s">
        <v>289</v>
      </c>
      <c r="D23" s="9" t="s">
        <v>391</v>
      </c>
      <c r="E23" s="201">
        <v>205204.0845</v>
      </c>
      <c r="F23" s="213">
        <f t="shared" si="0"/>
        <v>102602.04225</v>
      </c>
      <c r="G23" s="12"/>
    </row>
    <row r="24" spans="1:7" ht="18.75" customHeight="1">
      <c r="A24" s="9">
        <v>18</v>
      </c>
      <c r="B24" s="17" t="s">
        <v>388</v>
      </c>
      <c r="C24" s="11" t="s">
        <v>289</v>
      </c>
      <c r="D24" s="14" t="s">
        <v>391</v>
      </c>
      <c r="E24" s="201">
        <v>209356.04725</v>
      </c>
      <c r="F24" s="213">
        <f t="shared" si="0"/>
        <v>104678.023625</v>
      </c>
      <c r="G24" s="12"/>
    </row>
    <row r="25" spans="1:7" ht="18.75" customHeight="1">
      <c r="A25" s="9">
        <v>19</v>
      </c>
      <c r="B25" s="17" t="s">
        <v>390</v>
      </c>
      <c r="C25" s="11" t="s">
        <v>220</v>
      </c>
      <c r="D25" s="14" t="s">
        <v>55</v>
      </c>
      <c r="E25" s="72">
        <v>205204.0845</v>
      </c>
      <c r="F25" s="213">
        <f t="shared" si="0"/>
        <v>102602.04225</v>
      </c>
      <c r="G25" s="12"/>
    </row>
    <row r="26" spans="1:7" ht="18.75" customHeight="1">
      <c r="A26" s="9">
        <v>20</v>
      </c>
      <c r="B26" s="17" t="s">
        <v>392</v>
      </c>
      <c r="C26" s="3" t="s">
        <v>393</v>
      </c>
      <c r="D26" s="9" t="s">
        <v>55</v>
      </c>
      <c r="E26" s="201">
        <v>205204.08</v>
      </c>
      <c r="F26" s="213">
        <f t="shared" si="0"/>
        <v>102602.04</v>
      </c>
      <c r="G26" s="12"/>
    </row>
    <row r="27" spans="1:7" ht="18.75" customHeight="1">
      <c r="A27" s="9">
        <v>21</v>
      </c>
      <c r="B27" s="17" t="s">
        <v>395</v>
      </c>
      <c r="C27" s="16" t="s">
        <v>396</v>
      </c>
      <c r="D27" s="14" t="s">
        <v>391</v>
      </c>
      <c r="E27" s="201">
        <v>209356.04725</v>
      </c>
      <c r="F27" s="213">
        <f t="shared" si="0"/>
        <v>104678.023625</v>
      </c>
      <c r="G27" s="12"/>
    </row>
    <row r="28" spans="1:7" ht="18.75" customHeight="1">
      <c r="A28" s="9">
        <v>22</v>
      </c>
      <c r="B28" s="17" t="s">
        <v>397</v>
      </c>
      <c r="C28" s="3" t="s">
        <v>398</v>
      </c>
      <c r="D28" s="9" t="s">
        <v>402</v>
      </c>
      <c r="E28" s="201">
        <v>176816.1</v>
      </c>
      <c r="F28" s="213">
        <f t="shared" si="0"/>
        <v>88408.05</v>
      </c>
      <c r="G28" s="12"/>
    </row>
    <row r="29" spans="1:7" ht="18.75" customHeight="1">
      <c r="A29" s="9">
        <v>23</v>
      </c>
      <c r="B29" s="17" t="s">
        <v>1036</v>
      </c>
      <c r="C29" s="11" t="s">
        <v>401</v>
      </c>
      <c r="D29" s="14" t="s">
        <v>402</v>
      </c>
      <c r="E29" s="201">
        <v>176816.1</v>
      </c>
      <c r="F29" s="213">
        <f t="shared" si="0"/>
        <v>88408.05</v>
      </c>
      <c r="G29" s="12"/>
    </row>
    <row r="30" spans="1:7" ht="18.75" customHeight="1">
      <c r="A30" s="9">
        <v>24</v>
      </c>
      <c r="B30" s="17" t="s">
        <v>400</v>
      </c>
      <c r="C30" s="11" t="s">
        <v>401</v>
      </c>
      <c r="D30" s="14" t="s">
        <v>72</v>
      </c>
      <c r="E30" s="201">
        <v>173329.04949999999</v>
      </c>
      <c r="F30" s="213">
        <f t="shared" si="0"/>
        <v>86664.524749999997</v>
      </c>
      <c r="G30" s="12"/>
    </row>
    <row r="31" spans="1:7" ht="26.25" customHeight="1">
      <c r="A31" s="9"/>
      <c r="B31" s="19" t="s">
        <v>42</v>
      </c>
      <c r="C31" s="20">
        <v>24</v>
      </c>
      <c r="D31" s="14"/>
      <c r="E31" s="203">
        <v>10062524.3495</v>
      </c>
      <c r="F31" s="203">
        <f>SUM(F7:F30)</f>
        <v>5028878.8274999997</v>
      </c>
      <c r="G31" s="12"/>
    </row>
    <row r="32" spans="1:7" ht="18.75" customHeight="1">
      <c r="A32" s="9"/>
      <c r="B32" s="21"/>
      <c r="C32" s="3"/>
      <c r="D32" s="14"/>
      <c r="E32" s="290"/>
      <c r="F32" s="214"/>
      <c r="G32" s="12"/>
    </row>
    <row r="33" spans="1:7" ht="18.75" customHeight="1">
      <c r="A33" s="9"/>
      <c r="B33" s="19" t="s">
        <v>225</v>
      </c>
      <c r="C33" s="3"/>
      <c r="D33" s="14"/>
      <c r="E33" s="201"/>
      <c r="F33" s="213"/>
      <c r="G33" s="12"/>
    </row>
    <row r="34" spans="1:7" ht="18.75" customHeight="1">
      <c r="A34" s="9">
        <v>1</v>
      </c>
      <c r="B34" s="17" t="s">
        <v>403</v>
      </c>
      <c r="C34" s="3" t="s">
        <v>404</v>
      </c>
      <c r="D34" s="9" t="s">
        <v>405</v>
      </c>
      <c r="E34" s="201">
        <v>950209.06350000005</v>
      </c>
      <c r="F34" s="213">
        <f>E34/2</f>
        <v>475104.53175000002</v>
      </c>
      <c r="G34" s="12"/>
    </row>
    <row r="35" spans="1:7" ht="18.75" customHeight="1">
      <c r="A35" s="9">
        <v>2</v>
      </c>
      <c r="B35" s="17" t="s">
        <v>406</v>
      </c>
      <c r="C35" s="3" t="s">
        <v>642</v>
      </c>
      <c r="D35" s="9" t="s">
        <v>72</v>
      </c>
      <c r="E35" s="201">
        <v>173329.04949999999</v>
      </c>
      <c r="F35" s="213">
        <f t="shared" ref="F35:F36" si="1">E35/2</f>
        <v>86664.524749999997</v>
      </c>
      <c r="G35" s="12"/>
    </row>
    <row r="36" spans="1:7" ht="18.75" customHeight="1">
      <c r="A36" s="9">
        <v>3</v>
      </c>
      <c r="B36" s="10" t="s">
        <v>408</v>
      </c>
      <c r="C36" s="11" t="s">
        <v>639</v>
      </c>
      <c r="D36" s="14" t="s">
        <v>37</v>
      </c>
      <c r="E36" s="201">
        <v>228602.07775</v>
      </c>
      <c r="F36" s="213">
        <f t="shared" si="1"/>
        <v>114301.038875</v>
      </c>
      <c r="G36" s="12"/>
    </row>
    <row r="37" spans="1:7" ht="19.5" customHeight="1">
      <c r="A37" s="9"/>
      <c r="B37" s="13"/>
      <c r="C37" s="20">
        <v>3</v>
      </c>
      <c r="D37" s="9"/>
      <c r="E37" s="203">
        <v>1352140.1907500001</v>
      </c>
      <c r="F37" s="203">
        <f>SUM(F34:F36)</f>
        <v>676070.09537500003</v>
      </c>
      <c r="G37" s="12"/>
    </row>
    <row r="38" spans="1:7" ht="20.100000000000001" customHeight="1">
      <c r="A38" s="9"/>
      <c r="B38" s="13"/>
      <c r="C38" s="3"/>
      <c r="D38" s="9"/>
      <c r="E38" s="290"/>
      <c r="F38" s="213"/>
      <c r="G38" s="12"/>
    </row>
    <row r="39" spans="1:7" ht="20.100000000000001" customHeight="1">
      <c r="A39" s="9"/>
      <c r="B39" s="22" t="s">
        <v>43</v>
      </c>
      <c r="C39" s="4"/>
      <c r="D39" s="23"/>
      <c r="E39" s="201"/>
      <c r="F39" s="213"/>
      <c r="G39" s="12"/>
    </row>
    <row r="40" spans="1:7" ht="20.100000000000001" customHeight="1">
      <c r="A40" s="9">
        <v>1</v>
      </c>
      <c r="B40" s="10" t="s">
        <v>410</v>
      </c>
      <c r="C40" s="3" t="s">
        <v>411</v>
      </c>
      <c r="D40" s="9" t="s">
        <v>405</v>
      </c>
      <c r="E40" s="201">
        <v>1050209.0634999999</v>
      </c>
      <c r="F40" s="213">
        <f>E40/2</f>
        <v>525104.53174999997</v>
      </c>
      <c r="G40" s="12"/>
    </row>
    <row r="41" spans="1:7" ht="20.100000000000001" customHeight="1">
      <c r="A41" s="9">
        <v>2</v>
      </c>
      <c r="B41" s="10" t="s">
        <v>412</v>
      </c>
      <c r="C41" s="3" t="s">
        <v>413</v>
      </c>
      <c r="D41" s="9" t="s">
        <v>358</v>
      </c>
      <c r="E41" s="201">
        <v>527553.50249999994</v>
      </c>
      <c r="F41" s="213">
        <f t="shared" ref="F41:F51" si="2">E41/2</f>
        <v>263776.75124999997</v>
      </c>
      <c r="G41" s="12"/>
    </row>
    <row r="42" spans="1:7" ht="20.100000000000001" customHeight="1">
      <c r="A42" s="9">
        <v>3</v>
      </c>
      <c r="B42" s="10" t="s">
        <v>414</v>
      </c>
      <c r="C42" s="3" t="s">
        <v>415</v>
      </c>
      <c r="D42" s="9" t="s">
        <v>106</v>
      </c>
      <c r="E42" s="201">
        <v>604023.32999999996</v>
      </c>
      <c r="F42" s="213">
        <f t="shared" si="2"/>
        <v>302011.66499999998</v>
      </c>
      <c r="G42" s="12"/>
    </row>
    <row r="43" spans="1:7" ht="20.100000000000001" customHeight="1">
      <c r="A43" s="9">
        <v>4</v>
      </c>
      <c r="B43" s="10" t="s">
        <v>417</v>
      </c>
      <c r="C43" s="3" t="s">
        <v>418</v>
      </c>
      <c r="D43" s="9" t="s">
        <v>358</v>
      </c>
      <c r="E43" s="201">
        <v>527553.50249999994</v>
      </c>
      <c r="F43" s="213">
        <f t="shared" si="2"/>
        <v>263776.75124999997</v>
      </c>
      <c r="G43" s="12"/>
    </row>
    <row r="44" spans="1:7" ht="20.100000000000001" customHeight="1">
      <c r="A44" s="9">
        <v>5</v>
      </c>
      <c r="B44" s="10" t="s">
        <v>419</v>
      </c>
      <c r="C44" s="3" t="s">
        <v>418</v>
      </c>
      <c r="D44" s="9" t="s">
        <v>435</v>
      </c>
      <c r="E44" s="201">
        <v>516137.05</v>
      </c>
      <c r="F44" s="213">
        <f t="shared" si="2"/>
        <v>258068.52499999999</v>
      </c>
      <c r="G44" s="12"/>
    </row>
    <row r="45" spans="1:7" ht="20.100000000000001" customHeight="1">
      <c r="A45" s="9">
        <v>6</v>
      </c>
      <c r="B45" s="10" t="s">
        <v>420</v>
      </c>
      <c r="C45" s="3" t="s">
        <v>418</v>
      </c>
      <c r="D45" s="9" t="s">
        <v>99</v>
      </c>
      <c r="E45" s="201">
        <v>504720.04700000002</v>
      </c>
      <c r="F45" s="213">
        <f t="shared" si="2"/>
        <v>252360.02350000001</v>
      </c>
      <c r="G45" s="12"/>
    </row>
    <row r="46" spans="1:7" ht="20.100000000000001" customHeight="1">
      <c r="A46" s="9">
        <v>7</v>
      </c>
      <c r="B46" s="13" t="s">
        <v>421</v>
      </c>
      <c r="C46" s="3" t="s">
        <v>365</v>
      </c>
      <c r="D46" s="15" t="s">
        <v>366</v>
      </c>
      <c r="E46" s="201">
        <v>413333.03525000002</v>
      </c>
      <c r="F46" s="213">
        <f t="shared" si="2"/>
        <v>206666.51762500001</v>
      </c>
      <c r="G46" s="12"/>
    </row>
    <row r="47" spans="1:7" ht="20.100000000000001" customHeight="1">
      <c r="A47" s="9">
        <v>8</v>
      </c>
      <c r="B47" s="10" t="s">
        <v>367</v>
      </c>
      <c r="C47" s="3" t="s">
        <v>368</v>
      </c>
      <c r="D47" s="9" t="s">
        <v>369</v>
      </c>
      <c r="E47" s="72">
        <v>397211.36749999999</v>
      </c>
      <c r="F47" s="213">
        <f t="shared" si="2"/>
        <v>198605.68375</v>
      </c>
      <c r="G47" s="12"/>
    </row>
    <row r="48" spans="1:7" ht="20.100000000000001" customHeight="1">
      <c r="A48" s="9">
        <v>9</v>
      </c>
      <c r="B48" s="10" t="s">
        <v>422</v>
      </c>
      <c r="C48" s="3" t="s">
        <v>64</v>
      </c>
      <c r="D48" s="9" t="s">
        <v>37</v>
      </c>
      <c r="E48" s="201">
        <v>268602.07775</v>
      </c>
      <c r="F48" s="213">
        <f t="shared" si="2"/>
        <v>134301.038875</v>
      </c>
      <c r="G48" s="12"/>
    </row>
    <row r="49" spans="1:7" ht="20.100000000000001" customHeight="1">
      <c r="A49" s="9">
        <v>10</v>
      </c>
      <c r="B49" s="10" t="s">
        <v>423</v>
      </c>
      <c r="C49" s="3" t="s">
        <v>64</v>
      </c>
      <c r="D49" s="9" t="s">
        <v>55</v>
      </c>
      <c r="E49" s="201">
        <v>245204.0845</v>
      </c>
      <c r="F49" s="213">
        <f t="shared" si="2"/>
        <v>122602.04225</v>
      </c>
      <c r="G49" s="12"/>
    </row>
    <row r="50" spans="1:7" ht="20.100000000000001" customHeight="1">
      <c r="A50" s="9">
        <v>11</v>
      </c>
      <c r="B50" s="10" t="s">
        <v>424</v>
      </c>
      <c r="C50" s="3" t="s">
        <v>64</v>
      </c>
      <c r="D50" s="9" t="s">
        <v>55</v>
      </c>
      <c r="E50" s="201">
        <v>245204.0845</v>
      </c>
      <c r="F50" s="213">
        <f t="shared" si="2"/>
        <v>122602.04225</v>
      </c>
      <c r="G50" s="12"/>
    </row>
    <row r="51" spans="1:7" ht="20.100000000000001" customHeight="1">
      <c r="A51" s="9">
        <v>12</v>
      </c>
      <c r="B51" s="10" t="s">
        <v>425</v>
      </c>
      <c r="C51" s="3" t="s">
        <v>64</v>
      </c>
      <c r="D51" s="9" t="s">
        <v>55</v>
      </c>
      <c r="E51" s="201">
        <v>245204.0845</v>
      </c>
      <c r="F51" s="213">
        <f t="shared" si="2"/>
        <v>122602.04225</v>
      </c>
      <c r="G51" s="12"/>
    </row>
    <row r="52" spans="1:7" ht="25.5" customHeight="1">
      <c r="A52" s="9"/>
      <c r="B52" s="19" t="s">
        <v>42</v>
      </c>
      <c r="C52" s="20">
        <v>12</v>
      </c>
      <c r="D52" s="20"/>
      <c r="E52" s="80">
        <v>6101043.8132499997</v>
      </c>
      <c r="F52" s="302">
        <f>SUM(F40:F51)</f>
        <v>2772477.6147500002</v>
      </c>
      <c r="G52" s="12"/>
    </row>
    <row r="53" spans="1:7" ht="20.100000000000001" customHeight="1">
      <c r="A53" s="9"/>
      <c r="B53" s="21"/>
      <c r="C53" s="20"/>
      <c r="D53" s="20"/>
      <c r="E53" s="292"/>
      <c r="F53" s="215"/>
      <c r="G53" s="12"/>
    </row>
    <row r="54" spans="1:7" ht="20.100000000000001" customHeight="1">
      <c r="A54" s="9"/>
      <c r="B54" s="19" t="s">
        <v>426</v>
      </c>
      <c r="C54" s="20"/>
      <c r="D54" s="20"/>
      <c r="E54" s="292"/>
      <c r="F54" s="215"/>
      <c r="G54" s="12"/>
    </row>
    <row r="55" spans="1:7" ht="20.100000000000001" customHeight="1">
      <c r="A55" s="9">
        <v>1</v>
      </c>
      <c r="B55" s="10" t="s">
        <v>427</v>
      </c>
      <c r="C55" s="11" t="s">
        <v>428</v>
      </c>
      <c r="D55" s="14" t="s">
        <v>405</v>
      </c>
      <c r="E55" s="201">
        <v>1050209.0634999999</v>
      </c>
      <c r="F55" s="213">
        <f>E55/2</f>
        <v>525104.53174999997</v>
      </c>
      <c r="G55" s="12"/>
    </row>
    <row r="56" spans="1:7" ht="20.100000000000001" customHeight="1">
      <c r="A56" s="9">
        <v>2</v>
      </c>
      <c r="B56" s="10" t="s">
        <v>429</v>
      </c>
      <c r="C56" s="11" t="s">
        <v>430</v>
      </c>
      <c r="D56" s="14" t="s">
        <v>332</v>
      </c>
      <c r="E56" s="201">
        <v>436137.05</v>
      </c>
      <c r="F56" s="213">
        <f>E56/2</f>
        <v>218068.52499999999</v>
      </c>
      <c r="G56" s="12"/>
    </row>
    <row r="57" spans="1:7" ht="20.100000000000001" customHeight="1">
      <c r="A57" s="9"/>
      <c r="B57" s="19" t="s">
        <v>42</v>
      </c>
      <c r="C57" s="20">
        <v>2</v>
      </c>
      <c r="D57" s="20"/>
      <c r="E57" s="80">
        <v>1486346.1135</v>
      </c>
      <c r="F57" s="302">
        <f>SUM(F55:F56)</f>
        <v>743173.05674999999</v>
      </c>
      <c r="G57" s="12"/>
    </row>
    <row r="58" spans="1:7" ht="20.100000000000001" customHeight="1">
      <c r="A58" s="9"/>
      <c r="B58" s="19"/>
      <c r="C58" s="20"/>
      <c r="D58" s="20"/>
      <c r="E58" s="292"/>
      <c r="F58" s="215"/>
      <c r="G58" s="12"/>
    </row>
    <row r="59" spans="1:7" ht="20.100000000000001" customHeight="1">
      <c r="A59" s="9"/>
      <c r="B59" s="19" t="s">
        <v>60</v>
      </c>
      <c r="C59" s="20"/>
      <c r="D59" s="20"/>
      <c r="E59" s="292"/>
      <c r="F59" s="215"/>
      <c r="G59" s="12"/>
    </row>
    <row r="60" spans="1:7" ht="20.100000000000001" customHeight="1">
      <c r="A60" s="9">
        <v>1</v>
      </c>
      <c r="B60" s="10" t="s">
        <v>431</v>
      </c>
      <c r="C60" s="16" t="s">
        <v>432</v>
      </c>
      <c r="D60" s="9" t="s">
        <v>405</v>
      </c>
      <c r="E60" s="201">
        <v>1050209.0634999999</v>
      </c>
      <c r="F60" s="213">
        <f>E60/2</f>
        <v>525104.53174999997</v>
      </c>
      <c r="G60" s="12"/>
    </row>
    <row r="61" spans="1:7" ht="20.100000000000001" customHeight="1">
      <c r="A61" s="9">
        <v>2</v>
      </c>
      <c r="B61" s="330" t="s">
        <v>433</v>
      </c>
      <c r="C61" s="16" t="s">
        <v>434</v>
      </c>
      <c r="D61" s="14" t="s">
        <v>1054</v>
      </c>
      <c r="E61" s="201">
        <v>504720.04700000002</v>
      </c>
      <c r="F61" s="213">
        <f t="shared" ref="F61:F70" si="3">E61/2</f>
        <v>252360.02350000001</v>
      </c>
      <c r="G61" s="12"/>
    </row>
    <row r="62" spans="1:7" ht="20.100000000000001" customHeight="1">
      <c r="A62" s="9">
        <v>3</v>
      </c>
      <c r="B62" s="10" t="s">
        <v>436</v>
      </c>
      <c r="C62" s="3" t="s">
        <v>365</v>
      </c>
      <c r="D62" s="9" t="s">
        <v>369</v>
      </c>
      <c r="E62" s="72">
        <v>397211.36749999999</v>
      </c>
      <c r="F62" s="213">
        <f t="shared" si="3"/>
        <v>198605.68375</v>
      </c>
      <c r="G62" s="12"/>
    </row>
    <row r="63" spans="1:7" ht="20.100000000000001" customHeight="1">
      <c r="A63" s="9">
        <v>4</v>
      </c>
      <c r="B63" s="17" t="s">
        <v>437</v>
      </c>
      <c r="C63" s="16" t="s">
        <v>231</v>
      </c>
      <c r="D63" s="14" t="s">
        <v>1052</v>
      </c>
      <c r="E63" s="201">
        <v>362001.06050000002</v>
      </c>
      <c r="F63" s="213">
        <f t="shared" si="3"/>
        <v>181000.53025000001</v>
      </c>
      <c r="G63" s="12"/>
    </row>
    <row r="64" spans="1:7" ht="20.100000000000001" customHeight="1">
      <c r="A64" s="9">
        <v>5</v>
      </c>
      <c r="B64" s="13" t="s">
        <v>438</v>
      </c>
      <c r="C64" s="16" t="s">
        <v>365</v>
      </c>
      <c r="D64" s="14" t="s">
        <v>366</v>
      </c>
      <c r="E64" s="201">
        <v>413333.03525000002</v>
      </c>
      <c r="F64" s="213">
        <f t="shared" si="3"/>
        <v>206666.51762500001</v>
      </c>
      <c r="G64" s="12"/>
    </row>
    <row r="65" spans="1:7" ht="20.100000000000001" customHeight="1">
      <c r="A65" s="9">
        <v>7</v>
      </c>
      <c r="B65" s="10" t="s">
        <v>439</v>
      </c>
      <c r="C65" s="3" t="s">
        <v>64</v>
      </c>
      <c r="D65" s="9" t="s">
        <v>32</v>
      </c>
      <c r="E65" s="201">
        <v>315372.07500000001</v>
      </c>
      <c r="F65" s="213">
        <f t="shared" si="3"/>
        <v>157686.03750000001</v>
      </c>
      <c r="G65" s="12"/>
    </row>
    <row r="66" spans="1:7" ht="20.100000000000001" customHeight="1">
      <c r="A66" s="9">
        <v>8</v>
      </c>
      <c r="B66" s="10" t="s">
        <v>441</v>
      </c>
      <c r="C66" s="16" t="s">
        <v>34</v>
      </c>
      <c r="D66" s="14" t="s">
        <v>32</v>
      </c>
      <c r="E66" s="201">
        <v>315372.07500000001</v>
      </c>
      <c r="F66" s="213">
        <f t="shared" si="3"/>
        <v>157686.03750000001</v>
      </c>
      <c r="G66" s="12"/>
    </row>
    <row r="67" spans="1:7" ht="20.100000000000001" customHeight="1">
      <c r="A67" s="9">
        <v>9</v>
      </c>
      <c r="B67" s="10" t="s">
        <v>442</v>
      </c>
      <c r="C67" s="16" t="s">
        <v>34</v>
      </c>
      <c r="D67" s="14" t="s">
        <v>32</v>
      </c>
      <c r="E67" s="201">
        <v>315372.07500000001</v>
      </c>
      <c r="F67" s="213">
        <f t="shared" si="3"/>
        <v>157686.03750000001</v>
      </c>
      <c r="G67" s="12"/>
    </row>
    <row r="68" spans="1:7" ht="20.100000000000001" customHeight="1">
      <c r="A68" s="9">
        <v>10</v>
      </c>
      <c r="B68" s="10" t="s">
        <v>443</v>
      </c>
      <c r="C68" s="3" t="s">
        <v>444</v>
      </c>
      <c r="D68" s="9" t="s">
        <v>440</v>
      </c>
      <c r="E68" s="201">
        <v>322454.07400000002</v>
      </c>
      <c r="F68" s="213">
        <f t="shared" si="3"/>
        <v>161227.03700000001</v>
      </c>
      <c r="G68" s="12"/>
    </row>
    <row r="69" spans="1:7" ht="21.6" customHeight="1">
      <c r="A69" s="9">
        <v>11</v>
      </c>
      <c r="B69" s="10" t="s">
        <v>445</v>
      </c>
      <c r="C69" s="3" t="s">
        <v>64</v>
      </c>
      <c r="D69" s="9" t="s">
        <v>37</v>
      </c>
      <c r="E69" s="201">
        <v>268602.07775</v>
      </c>
      <c r="F69" s="213">
        <f t="shared" si="3"/>
        <v>134301.038875</v>
      </c>
    </row>
    <row r="70" spans="1:7" ht="20.100000000000001" customHeight="1">
      <c r="A70" s="9">
        <v>12</v>
      </c>
      <c r="B70" s="10" t="s">
        <v>389</v>
      </c>
      <c r="C70" s="16" t="s">
        <v>382</v>
      </c>
      <c r="D70" s="9" t="s">
        <v>391</v>
      </c>
      <c r="E70" s="201">
        <v>249356.04725</v>
      </c>
      <c r="F70" s="213">
        <f t="shared" si="3"/>
        <v>124678.023625</v>
      </c>
      <c r="G70" s="12"/>
    </row>
    <row r="71" spans="1:7" ht="27" customHeight="1">
      <c r="A71" s="9"/>
      <c r="B71" s="19" t="s">
        <v>42</v>
      </c>
      <c r="C71" s="20">
        <v>12</v>
      </c>
      <c r="D71" s="20"/>
      <c r="E71" s="80">
        <v>4514002.9977500001</v>
      </c>
      <c r="F71" s="80">
        <f>SUM(F60:F70)</f>
        <v>2257001.498875</v>
      </c>
      <c r="G71" s="12"/>
    </row>
    <row r="72" spans="1:7" ht="20.100000000000001" customHeight="1">
      <c r="A72" s="9"/>
      <c r="B72" s="21"/>
      <c r="C72" s="20"/>
      <c r="D72" s="20"/>
      <c r="E72" s="292"/>
      <c r="F72" s="215"/>
      <c r="G72" s="12"/>
    </row>
    <row r="73" spans="1:7" ht="20.100000000000001" customHeight="1">
      <c r="A73" s="9"/>
      <c r="B73" s="19" t="s">
        <v>65</v>
      </c>
      <c r="C73" s="20"/>
      <c r="D73" s="20"/>
      <c r="E73" s="292"/>
      <c r="F73" s="215"/>
      <c r="G73" s="12"/>
    </row>
    <row r="74" spans="1:7" ht="20.100000000000001" customHeight="1">
      <c r="A74" s="9">
        <v>1</v>
      </c>
      <c r="B74" s="10" t="s">
        <v>446</v>
      </c>
      <c r="C74" s="3" t="s">
        <v>447</v>
      </c>
      <c r="D74" s="9" t="s">
        <v>405</v>
      </c>
      <c r="E74" s="201">
        <v>1050209.0634999999</v>
      </c>
      <c r="F74" s="213">
        <f>E74/2</f>
        <v>525104.53174999997</v>
      </c>
      <c r="G74" s="12"/>
    </row>
    <row r="75" spans="1:7" ht="20.100000000000001" customHeight="1">
      <c r="A75" s="9">
        <v>2</v>
      </c>
      <c r="B75" s="13" t="s">
        <v>331</v>
      </c>
      <c r="C75" s="3" t="s">
        <v>76</v>
      </c>
      <c r="D75" s="14" t="s">
        <v>1054</v>
      </c>
      <c r="E75" s="201">
        <v>504720.04700000002</v>
      </c>
      <c r="F75" s="213">
        <f t="shared" ref="F75:F80" si="4">E75/2</f>
        <v>252360.02350000001</v>
      </c>
      <c r="G75" s="12"/>
    </row>
    <row r="76" spans="1:7" ht="20.100000000000001" customHeight="1">
      <c r="A76" s="9">
        <v>3</v>
      </c>
      <c r="B76" s="17" t="s">
        <v>333</v>
      </c>
      <c r="C76" s="11" t="s">
        <v>334</v>
      </c>
      <c r="D76" s="9" t="s">
        <v>332</v>
      </c>
      <c r="E76" s="201">
        <v>436137.05</v>
      </c>
      <c r="F76" s="213">
        <f t="shared" si="4"/>
        <v>218068.52499999999</v>
      </c>
      <c r="G76" s="12"/>
    </row>
    <row r="77" spans="1:7" ht="20.100000000000001" customHeight="1">
      <c r="A77" s="9">
        <v>4</v>
      </c>
      <c r="B77" s="10" t="s">
        <v>448</v>
      </c>
      <c r="C77" s="3" t="s">
        <v>449</v>
      </c>
      <c r="D77" s="14" t="s">
        <v>369</v>
      </c>
      <c r="E77" s="72">
        <v>397211.36749999999</v>
      </c>
      <c r="F77" s="213">
        <f t="shared" si="4"/>
        <v>198605.68375</v>
      </c>
      <c r="G77" s="12"/>
    </row>
    <row r="78" spans="1:7" ht="20.100000000000001" customHeight="1">
      <c r="A78" s="9">
        <v>5</v>
      </c>
      <c r="B78" s="10" t="s">
        <v>451</v>
      </c>
      <c r="C78" s="3" t="s">
        <v>452</v>
      </c>
      <c r="D78" s="9" t="s">
        <v>409</v>
      </c>
      <c r="E78" s="201">
        <v>273169.11749999999</v>
      </c>
      <c r="F78" s="213">
        <f t="shared" si="4"/>
        <v>136584.55875</v>
      </c>
      <c r="G78" s="12"/>
    </row>
    <row r="79" spans="1:7" ht="20.100000000000001" customHeight="1">
      <c r="A79" s="9">
        <v>6</v>
      </c>
      <c r="B79" s="10" t="s">
        <v>454</v>
      </c>
      <c r="C79" s="3" t="s">
        <v>452</v>
      </c>
      <c r="D79" s="9" t="s">
        <v>55</v>
      </c>
      <c r="E79" s="201">
        <v>245204.0845</v>
      </c>
      <c r="F79" s="213">
        <f t="shared" si="4"/>
        <v>122602.04225</v>
      </c>
      <c r="G79" s="12"/>
    </row>
    <row r="80" spans="1:7" ht="20.100000000000001" customHeight="1">
      <c r="A80" s="9">
        <v>7</v>
      </c>
      <c r="B80" s="10" t="s">
        <v>455</v>
      </c>
      <c r="C80" s="3" t="s">
        <v>456</v>
      </c>
      <c r="D80" s="9" t="s">
        <v>72</v>
      </c>
      <c r="E80" s="201">
        <v>223338.22450000001</v>
      </c>
      <c r="F80" s="213">
        <f t="shared" si="4"/>
        <v>111669.11225000001</v>
      </c>
      <c r="G80" s="12"/>
    </row>
    <row r="81" spans="1:7" ht="20.100000000000001" customHeight="1">
      <c r="A81" s="9"/>
      <c r="B81" s="19" t="s">
        <v>42</v>
      </c>
      <c r="C81" s="20">
        <v>7</v>
      </c>
      <c r="D81" s="20"/>
      <c r="E81" s="80">
        <v>3129988.9545</v>
      </c>
      <c r="F81" s="302">
        <f>SUM(F74:F80)</f>
        <v>1564994.47725</v>
      </c>
      <c r="G81" s="12"/>
    </row>
    <row r="82" spans="1:7" ht="20.100000000000001" customHeight="1">
      <c r="A82" s="9"/>
      <c r="B82" s="19"/>
      <c r="C82" s="20"/>
      <c r="D82" s="20"/>
      <c r="E82" s="292"/>
      <c r="F82" s="213"/>
      <c r="G82" s="12"/>
    </row>
    <row r="83" spans="1:7" ht="20.100000000000001" customHeight="1">
      <c r="A83" s="9"/>
      <c r="B83" s="19" t="s">
        <v>74</v>
      </c>
      <c r="C83" s="24"/>
      <c r="D83" s="20"/>
      <c r="E83" s="292"/>
      <c r="F83" s="213"/>
      <c r="G83" s="12"/>
    </row>
    <row r="84" spans="1:7" ht="20.100000000000001" customHeight="1">
      <c r="A84" s="9">
        <v>1</v>
      </c>
      <c r="B84" s="10" t="s">
        <v>457</v>
      </c>
      <c r="C84" s="3" t="s">
        <v>418</v>
      </c>
      <c r="D84" s="9" t="s">
        <v>358</v>
      </c>
      <c r="E84" s="201">
        <v>627553.50249999994</v>
      </c>
      <c r="F84" s="213">
        <f>E84/2</f>
        <v>313776.75124999997</v>
      </c>
      <c r="G84" s="12"/>
    </row>
    <row r="85" spans="1:7" ht="20.100000000000001" customHeight="1">
      <c r="A85" s="9">
        <v>2</v>
      </c>
      <c r="B85" s="10" t="s">
        <v>458</v>
      </c>
      <c r="C85" s="3" t="s">
        <v>418</v>
      </c>
      <c r="D85" s="9" t="s">
        <v>358</v>
      </c>
      <c r="E85" s="201">
        <v>527553.50249999994</v>
      </c>
      <c r="F85" s="213">
        <f t="shared" ref="F85:F94" si="5">E85/2</f>
        <v>263776.75124999997</v>
      </c>
      <c r="G85" s="12"/>
    </row>
    <row r="86" spans="1:7" ht="20.100000000000001" customHeight="1">
      <c r="A86" s="9">
        <v>3</v>
      </c>
      <c r="B86" s="13" t="s">
        <v>493</v>
      </c>
      <c r="C86" s="3" t="s">
        <v>418</v>
      </c>
      <c r="D86" s="9" t="s">
        <v>99</v>
      </c>
      <c r="E86" s="72">
        <v>504720.04700000002</v>
      </c>
      <c r="F86" s="213">
        <f t="shared" si="5"/>
        <v>252360.02350000001</v>
      </c>
      <c r="G86" s="12"/>
    </row>
    <row r="87" spans="1:7" ht="20.100000000000001" customHeight="1">
      <c r="A87" s="9">
        <v>4</v>
      </c>
      <c r="B87" s="10" t="s">
        <v>459</v>
      </c>
      <c r="C87" s="3" t="s">
        <v>418</v>
      </c>
      <c r="D87" s="9" t="s">
        <v>99</v>
      </c>
      <c r="E87" s="72">
        <v>504729.22200000001</v>
      </c>
      <c r="F87" s="213">
        <f t="shared" si="5"/>
        <v>252364.611</v>
      </c>
      <c r="G87" s="12"/>
    </row>
    <row r="88" spans="1:7" ht="21.6" customHeight="1">
      <c r="A88" s="9">
        <v>5</v>
      </c>
      <c r="B88" s="10" t="s">
        <v>460</v>
      </c>
      <c r="C88" s="3" t="s">
        <v>461</v>
      </c>
      <c r="D88" s="14" t="s">
        <v>375</v>
      </c>
      <c r="E88" s="201">
        <v>369177.65375</v>
      </c>
      <c r="F88" s="213">
        <f t="shared" si="5"/>
        <v>184588.826875</v>
      </c>
      <c r="G88" s="12"/>
    </row>
    <row r="89" spans="1:7" ht="21.6" customHeight="1">
      <c r="A89" s="9">
        <v>6</v>
      </c>
      <c r="B89" s="10" t="s">
        <v>462</v>
      </c>
      <c r="C89" s="11" t="s">
        <v>231</v>
      </c>
      <c r="D89" s="14" t="s">
        <v>1052</v>
      </c>
      <c r="E89" s="201">
        <v>362001.06050000002</v>
      </c>
      <c r="F89" s="213">
        <f t="shared" si="5"/>
        <v>181000.53025000001</v>
      </c>
      <c r="G89" s="12"/>
    </row>
    <row r="90" spans="1:7" ht="21.6" customHeight="1">
      <c r="A90" s="9">
        <v>7</v>
      </c>
      <c r="B90" s="10" t="s">
        <v>463</v>
      </c>
      <c r="C90" s="11" t="s">
        <v>365</v>
      </c>
      <c r="D90" s="14" t="s">
        <v>29</v>
      </c>
      <c r="E90" s="72">
        <v>389153.05674999999</v>
      </c>
      <c r="F90" s="213">
        <f t="shared" si="5"/>
        <v>194576.52837499999</v>
      </c>
      <c r="G90" s="12"/>
    </row>
    <row r="91" spans="1:7" ht="21.6" customHeight="1">
      <c r="A91" s="9">
        <v>8</v>
      </c>
      <c r="B91" s="10" t="s">
        <v>464</v>
      </c>
      <c r="C91" s="16" t="s">
        <v>34</v>
      </c>
      <c r="D91" s="14" t="s">
        <v>32</v>
      </c>
      <c r="E91" s="201">
        <v>315372.07500000001</v>
      </c>
      <c r="F91" s="213">
        <f t="shared" si="5"/>
        <v>157686.03750000001</v>
      </c>
      <c r="G91" s="12"/>
    </row>
    <row r="92" spans="1:7" ht="21.6" customHeight="1">
      <c r="A92" s="9">
        <v>9</v>
      </c>
      <c r="B92" s="10" t="s">
        <v>465</v>
      </c>
      <c r="C92" s="16" t="s">
        <v>34</v>
      </c>
      <c r="D92" s="14" t="s">
        <v>32</v>
      </c>
      <c r="E92" s="201">
        <v>315372.07500000001</v>
      </c>
      <c r="F92" s="213">
        <f t="shared" si="5"/>
        <v>157686.03750000001</v>
      </c>
      <c r="G92" s="12"/>
    </row>
    <row r="93" spans="1:7" ht="21.6" customHeight="1">
      <c r="A93" s="9">
        <v>10</v>
      </c>
      <c r="B93" s="10" t="s">
        <v>466</v>
      </c>
      <c r="C93" s="3" t="s">
        <v>467</v>
      </c>
      <c r="D93" s="9" t="s">
        <v>37</v>
      </c>
      <c r="E93" s="201">
        <v>268602.07775</v>
      </c>
      <c r="F93" s="213">
        <f t="shared" si="5"/>
        <v>134301.038875</v>
      </c>
      <c r="G93" s="12"/>
    </row>
    <row r="94" spans="1:7" ht="21.6" customHeight="1">
      <c r="A94" s="9">
        <v>11</v>
      </c>
      <c r="B94" s="10" t="s">
        <v>468</v>
      </c>
      <c r="C94" s="16" t="s">
        <v>469</v>
      </c>
      <c r="D94" s="14" t="s">
        <v>402</v>
      </c>
      <c r="E94" s="201">
        <v>223709.10949999999</v>
      </c>
      <c r="F94" s="213">
        <f t="shared" si="5"/>
        <v>111854.55475</v>
      </c>
      <c r="G94" s="12"/>
    </row>
    <row r="95" spans="1:7" ht="20.100000000000001" customHeight="1">
      <c r="A95" s="9"/>
      <c r="B95" s="19" t="s">
        <v>42</v>
      </c>
      <c r="C95" s="20">
        <v>11</v>
      </c>
      <c r="D95" s="20"/>
      <c r="E95" s="80">
        <v>4407943.3822499998</v>
      </c>
      <c r="F95" s="302">
        <f>SUM(F84:F94)</f>
        <v>2203971.6911249999</v>
      </c>
      <c r="G95" s="12"/>
    </row>
    <row r="96" spans="1:7" ht="20.100000000000001" customHeight="1">
      <c r="A96" s="9"/>
      <c r="B96" s="21"/>
      <c r="C96" s="20"/>
      <c r="D96" s="20"/>
      <c r="E96" s="292"/>
      <c r="F96" s="215"/>
      <c r="G96" s="12"/>
    </row>
    <row r="97" spans="1:7" ht="20.100000000000001" customHeight="1">
      <c r="A97" s="9"/>
      <c r="B97" s="19" t="s">
        <v>84</v>
      </c>
      <c r="C97" s="20"/>
      <c r="D97" s="20"/>
      <c r="E97" s="292"/>
      <c r="F97" s="215"/>
      <c r="G97" s="12"/>
    </row>
    <row r="98" spans="1:7" ht="20.100000000000001" customHeight="1">
      <c r="A98" s="9">
        <v>1</v>
      </c>
      <c r="B98" s="13" t="s">
        <v>470</v>
      </c>
      <c r="C98" s="3" t="s">
        <v>471</v>
      </c>
      <c r="D98" s="15" t="s">
        <v>416</v>
      </c>
      <c r="E98" s="201">
        <v>527744</v>
      </c>
      <c r="F98" s="213">
        <f>E98/2</f>
        <v>263872</v>
      </c>
      <c r="G98" s="12"/>
    </row>
    <row r="99" spans="1:7" ht="20.100000000000001" customHeight="1">
      <c r="A99" s="9">
        <v>2</v>
      </c>
      <c r="B99" s="10" t="s">
        <v>473</v>
      </c>
      <c r="C99" s="3" t="s">
        <v>474</v>
      </c>
      <c r="D99" s="14" t="s">
        <v>369</v>
      </c>
      <c r="E99" s="72">
        <v>327211.36749999999</v>
      </c>
      <c r="F99" s="213">
        <f t="shared" ref="F99:F101" si="6">E99/2</f>
        <v>163605.68375</v>
      </c>
      <c r="G99" s="12"/>
    </row>
    <row r="100" spans="1:7" ht="20.100000000000001" customHeight="1">
      <c r="A100" s="9">
        <v>3</v>
      </c>
      <c r="B100" s="10" t="s">
        <v>475</v>
      </c>
      <c r="C100" s="3" t="s">
        <v>476</v>
      </c>
      <c r="D100" s="14" t="s">
        <v>440</v>
      </c>
      <c r="E100" s="201">
        <v>272454.07400000002</v>
      </c>
      <c r="F100" s="213">
        <f t="shared" si="6"/>
        <v>136227.03700000001</v>
      </c>
      <c r="G100" s="12"/>
    </row>
    <row r="101" spans="1:7" ht="20.100000000000001" customHeight="1">
      <c r="A101" s="9">
        <v>4</v>
      </c>
      <c r="B101" s="10" t="s">
        <v>477</v>
      </c>
      <c r="C101" s="3" t="s">
        <v>478</v>
      </c>
      <c r="D101" s="14" t="s">
        <v>37</v>
      </c>
      <c r="E101" s="72">
        <v>228602.07775</v>
      </c>
      <c r="F101" s="213">
        <f t="shared" si="6"/>
        <v>114301.038875</v>
      </c>
      <c r="G101" s="12"/>
    </row>
    <row r="102" spans="1:7" ht="20.100000000000001" customHeight="1">
      <c r="A102" s="3"/>
      <c r="B102" s="19" t="s">
        <v>42</v>
      </c>
      <c r="C102" s="20">
        <v>4</v>
      </c>
      <c r="D102" s="25"/>
      <c r="E102" s="80">
        <v>1813825.6850000001</v>
      </c>
      <c r="F102" s="80">
        <f>SUM(F98:F101)</f>
        <v>678005.75962499995</v>
      </c>
      <c r="G102" s="12"/>
    </row>
    <row r="103" spans="1:7" ht="20.100000000000001" customHeight="1">
      <c r="A103" s="3"/>
      <c r="B103" s="21"/>
      <c r="C103" s="20"/>
      <c r="D103" s="25"/>
      <c r="E103" s="292"/>
      <c r="F103" s="215"/>
      <c r="G103" s="12"/>
    </row>
    <row r="104" spans="1:7" ht="20.100000000000001" customHeight="1">
      <c r="A104" s="3"/>
      <c r="B104" s="19" t="s">
        <v>479</v>
      </c>
      <c r="C104" s="3"/>
      <c r="D104" s="3"/>
      <c r="E104" s="331"/>
      <c r="F104" s="216"/>
      <c r="G104" s="12"/>
    </row>
    <row r="105" spans="1:7" ht="20.100000000000001" customHeight="1">
      <c r="A105" s="3">
        <v>1</v>
      </c>
      <c r="B105" s="10" t="s">
        <v>480</v>
      </c>
      <c r="C105" s="11" t="s">
        <v>481</v>
      </c>
      <c r="D105" s="14" t="s">
        <v>405</v>
      </c>
      <c r="E105" s="201">
        <v>1050209.0634999999</v>
      </c>
      <c r="F105" s="213">
        <f>E105/2</f>
        <v>525104.53174999997</v>
      </c>
      <c r="G105" s="12"/>
    </row>
    <row r="106" spans="1:7" ht="20.100000000000001" customHeight="1">
      <c r="A106" s="3">
        <v>2</v>
      </c>
      <c r="B106" s="10" t="s">
        <v>482</v>
      </c>
      <c r="C106" s="3" t="s">
        <v>483</v>
      </c>
      <c r="D106" s="15" t="s">
        <v>416</v>
      </c>
      <c r="E106" s="201">
        <v>617743.99575</v>
      </c>
      <c r="F106" s="213">
        <f t="shared" ref="F106:F111" si="7">E106/2</f>
        <v>308871.997875</v>
      </c>
      <c r="G106" s="12"/>
    </row>
    <row r="107" spans="1:7" ht="20.100000000000001" customHeight="1">
      <c r="A107" s="3">
        <v>3</v>
      </c>
      <c r="B107" s="10" t="s">
        <v>484</v>
      </c>
      <c r="C107" s="3" t="s">
        <v>485</v>
      </c>
      <c r="D107" s="9" t="s">
        <v>372</v>
      </c>
      <c r="E107" s="201">
        <v>418096.01602500002</v>
      </c>
      <c r="F107" s="213">
        <f t="shared" si="7"/>
        <v>209048.00801250001</v>
      </c>
      <c r="G107" s="12"/>
    </row>
    <row r="108" spans="1:7" ht="20.100000000000001" customHeight="1">
      <c r="A108" s="3">
        <v>4</v>
      </c>
      <c r="B108" s="10" t="s">
        <v>486</v>
      </c>
      <c r="C108" s="3" t="s">
        <v>485</v>
      </c>
      <c r="D108" s="9" t="s">
        <v>372</v>
      </c>
      <c r="E108" s="201">
        <v>416483.19415499998</v>
      </c>
      <c r="F108" s="213">
        <f t="shared" si="7"/>
        <v>208241.59707749999</v>
      </c>
      <c r="G108" s="12"/>
    </row>
    <row r="109" spans="1:7" ht="20.100000000000001" customHeight="1">
      <c r="A109" s="3">
        <v>5</v>
      </c>
      <c r="B109" s="10" t="s">
        <v>487</v>
      </c>
      <c r="C109" s="3" t="s">
        <v>488</v>
      </c>
      <c r="D109" s="14" t="s">
        <v>491</v>
      </c>
      <c r="E109" s="201">
        <v>262612.71747999999</v>
      </c>
      <c r="F109" s="213">
        <f t="shared" si="7"/>
        <v>131306.35874</v>
      </c>
      <c r="G109" s="12"/>
    </row>
    <row r="110" spans="1:7" ht="20.100000000000001" customHeight="1">
      <c r="A110" s="3">
        <v>6</v>
      </c>
      <c r="B110" s="17" t="s">
        <v>490</v>
      </c>
      <c r="C110" s="3" t="s">
        <v>488</v>
      </c>
      <c r="D110" s="9" t="s">
        <v>1048</v>
      </c>
      <c r="E110" s="201">
        <v>258740.79775</v>
      </c>
      <c r="F110" s="213">
        <f t="shared" si="7"/>
        <v>129370.398875</v>
      </c>
      <c r="G110" s="12"/>
    </row>
    <row r="111" spans="1:7" ht="20.100000000000001" customHeight="1">
      <c r="A111" s="3">
        <v>7</v>
      </c>
      <c r="B111" s="17" t="s">
        <v>492</v>
      </c>
      <c r="C111" s="3" t="s">
        <v>488</v>
      </c>
      <c r="D111" s="14" t="s">
        <v>402</v>
      </c>
      <c r="E111" s="201">
        <v>251382.295445</v>
      </c>
      <c r="F111" s="213">
        <f t="shared" si="7"/>
        <v>125691.1477225</v>
      </c>
      <c r="G111" s="12"/>
    </row>
    <row r="112" spans="1:7" ht="25.5" customHeight="1">
      <c r="A112" s="3"/>
      <c r="B112" s="19" t="s">
        <v>42</v>
      </c>
      <c r="C112" s="20">
        <v>7</v>
      </c>
      <c r="D112" s="3"/>
      <c r="E112" s="332">
        <v>3275268.0801050002</v>
      </c>
      <c r="F112" s="333">
        <f>SUM(F105:F111)</f>
        <v>1637634.0400525001</v>
      </c>
      <c r="G112" s="12"/>
    </row>
    <row r="113" spans="1:7" ht="20.100000000000001" customHeight="1">
      <c r="A113" s="3"/>
      <c r="B113" s="19"/>
      <c r="C113" s="20"/>
      <c r="D113" s="3"/>
      <c r="E113" s="332"/>
      <c r="F113" s="333"/>
      <c r="G113" s="12"/>
    </row>
    <row r="114" spans="1:7" ht="20.100000000000001" customHeight="1">
      <c r="A114" s="9"/>
      <c r="B114" s="19" t="s">
        <v>242</v>
      </c>
      <c r="C114" s="20"/>
      <c r="D114" s="20"/>
      <c r="E114" s="292"/>
      <c r="F114" s="215"/>
      <c r="G114" s="12"/>
    </row>
    <row r="115" spans="1:7" ht="18.75" customHeight="1">
      <c r="A115" s="9">
        <v>1</v>
      </c>
      <c r="B115" s="10" t="s">
        <v>494</v>
      </c>
      <c r="C115" s="3" t="s">
        <v>495</v>
      </c>
      <c r="D115" s="14" t="s">
        <v>440</v>
      </c>
      <c r="E115" s="201">
        <v>322454.07400000002</v>
      </c>
      <c r="F115" s="334">
        <f t="shared" ref="F115:F116" si="8">E115/2</f>
        <v>161227.03700000001</v>
      </c>
      <c r="G115" s="12"/>
    </row>
    <row r="116" spans="1:7" ht="20.100000000000001" customHeight="1">
      <c r="A116" s="9">
        <v>2</v>
      </c>
      <c r="B116" s="10" t="s">
        <v>496</v>
      </c>
      <c r="C116" s="11" t="s">
        <v>497</v>
      </c>
      <c r="D116" s="14" t="s">
        <v>380</v>
      </c>
      <c r="E116" s="201">
        <v>284536.99849999999</v>
      </c>
      <c r="F116" s="334">
        <f t="shared" si="8"/>
        <v>142268.49924999999</v>
      </c>
      <c r="G116" s="12"/>
    </row>
    <row r="117" spans="1:7" ht="24.75" customHeight="1">
      <c r="A117" s="3"/>
      <c r="B117" s="19" t="s">
        <v>42</v>
      </c>
      <c r="C117" s="20">
        <v>2</v>
      </c>
      <c r="D117" s="25"/>
      <c r="E117" s="80">
        <v>790446.84587096795</v>
      </c>
      <c r="F117" s="302">
        <f>SUM(F115:F116)</f>
        <v>303495.53625</v>
      </c>
      <c r="G117" s="12"/>
    </row>
    <row r="118" spans="1:7" ht="20.100000000000001" customHeight="1">
      <c r="A118" s="3"/>
      <c r="B118" s="21"/>
      <c r="C118" s="9"/>
      <c r="D118" s="3"/>
      <c r="E118" s="295"/>
      <c r="F118" s="217"/>
      <c r="G118" s="12"/>
    </row>
    <row r="119" spans="1:7" ht="20.100000000000001" customHeight="1">
      <c r="A119" s="3"/>
      <c r="B119" s="19" t="s">
        <v>97</v>
      </c>
      <c r="C119" s="20"/>
      <c r="D119" s="20"/>
      <c r="E119" s="292"/>
      <c r="F119" s="213"/>
      <c r="G119" s="12"/>
    </row>
    <row r="120" spans="1:7" ht="20.100000000000001" customHeight="1">
      <c r="A120" s="3">
        <v>1</v>
      </c>
      <c r="B120" s="10" t="s">
        <v>499</v>
      </c>
      <c r="C120" s="11" t="s">
        <v>500</v>
      </c>
      <c r="D120" s="14" t="s">
        <v>405</v>
      </c>
      <c r="E120" s="201">
        <v>1050209.0634999999</v>
      </c>
      <c r="F120" s="213">
        <f>E120/2</f>
        <v>525104.53174999997</v>
      </c>
      <c r="G120" s="12"/>
    </row>
    <row r="121" spans="1:7" ht="20.100000000000001" customHeight="1">
      <c r="A121" s="3">
        <v>2</v>
      </c>
      <c r="B121" s="10" t="s">
        <v>178</v>
      </c>
      <c r="C121" s="11" t="s">
        <v>501</v>
      </c>
      <c r="D121" s="14" t="s">
        <v>106</v>
      </c>
      <c r="E121" s="201">
        <v>614023.32999999996</v>
      </c>
      <c r="F121" s="213">
        <f t="shared" ref="F121:F129" si="9">E121/2</f>
        <v>307011.66499999998</v>
      </c>
      <c r="G121" s="12"/>
    </row>
    <row r="122" spans="1:7" ht="20.100000000000001" customHeight="1">
      <c r="A122" s="3">
        <v>3</v>
      </c>
      <c r="B122" s="13" t="s">
        <v>502</v>
      </c>
      <c r="C122" s="11" t="s">
        <v>337</v>
      </c>
      <c r="D122" s="14" t="s">
        <v>358</v>
      </c>
      <c r="E122" s="201">
        <v>577553.50249999994</v>
      </c>
      <c r="F122" s="213">
        <f t="shared" si="9"/>
        <v>288776.75124999997</v>
      </c>
      <c r="G122" s="12"/>
    </row>
    <row r="123" spans="1:7" ht="20.100000000000001" customHeight="1">
      <c r="A123" s="3">
        <v>4</v>
      </c>
      <c r="B123" s="13" t="s">
        <v>336</v>
      </c>
      <c r="C123" s="11" t="s">
        <v>337</v>
      </c>
      <c r="D123" s="14" t="s">
        <v>99</v>
      </c>
      <c r="E123" s="201">
        <v>424720.04700000002</v>
      </c>
      <c r="F123" s="213">
        <f t="shared" si="9"/>
        <v>212360.02350000001</v>
      </c>
      <c r="G123" s="12"/>
    </row>
    <row r="124" spans="1:7" ht="20.100000000000001" customHeight="1">
      <c r="A124" s="3">
        <v>5</v>
      </c>
      <c r="B124" s="10" t="s">
        <v>503</v>
      </c>
      <c r="C124" s="11" t="s">
        <v>504</v>
      </c>
      <c r="D124" s="14" t="s">
        <v>450</v>
      </c>
      <c r="E124" s="201">
        <v>335272.06374999997</v>
      </c>
      <c r="F124" s="213">
        <f t="shared" si="9"/>
        <v>167636.03187499999</v>
      </c>
      <c r="G124" s="12"/>
    </row>
    <row r="125" spans="1:7" ht="20.100000000000001" customHeight="1">
      <c r="A125" s="3">
        <v>6</v>
      </c>
      <c r="B125" s="10" t="s">
        <v>505</v>
      </c>
      <c r="C125" s="11" t="s">
        <v>506</v>
      </c>
      <c r="D125" s="14" t="s">
        <v>369</v>
      </c>
      <c r="E125" s="201">
        <v>327211.36749999999</v>
      </c>
      <c r="F125" s="213">
        <f t="shared" si="9"/>
        <v>163605.68375</v>
      </c>
      <c r="G125" s="12"/>
    </row>
    <row r="126" spans="1:7" ht="20.100000000000001" customHeight="1">
      <c r="A126" s="3">
        <v>7</v>
      </c>
      <c r="B126" s="10" t="s">
        <v>507</v>
      </c>
      <c r="C126" s="11" t="s">
        <v>504</v>
      </c>
      <c r="D126" s="14" t="s">
        <v>369</v>
      </c>
      <c r="E126" s="72">
        <v>327211.36749999999</v>
      </c>
      <c r="F126" s="213">
        <f t="shared" si="9"/>
        <v>163605.68375</v>
      </c>
      <c r="G126" s="12"/>
    </row>
    <row r="127" spans="1:7" ht="20.100000000000001" customHeight="1">
      <c r="A127" s="3">
        <v>8</v>
      </c>
      <c r="B127" s="10" t="s">
        <v>508</v>
      </c>
      <c r="C127" s="11" t="s">
        <v>509</v>
      </c>
      <c r="D127" s="9" t="s">
        <v>391</v>
      </c>
      <c r="E127" s="201">
        <v>209356.04725</v>
      </c>
      <c r="F127" s="213">
        <f t="shared" si="9"/>
        <v>104678.023625</v>
      </c>
      <c r="G127" s="12"/>
    </row>
    <row r="128" spans="1:7" ht="20.100000000000001" customHeight="1">
      <c r="A128" s="3">
        <v>9</v>
      </c>
      <c r="B128" s="17" t="s">
        <v>510</v>
      </c>
      <c r="C128" s="11" t="s">
        <v>511</v>
      </c>
      <c r="D128" s="14" t="s">
        <v>72</v>
      </c>
      <c r="E128" s="201">
        <v>173338.22450000001</v>
      </c>
      <c r="F128" s="213">
        <f t="shared" si="9"/>
        <v>86669.112250000006</v>
      </c>
      <c r="G128" s="12"/>
    </row>
    <row r="129" spans="1:7" ht="20.100000000000001" customHeight="1">
      <c r="A129" s="3">
        <v>10</v>
      </c>
      <c r="B129" s="17" t="s">
        <v>512</v>
      </c>
      <c r="C129" s="11" t="s">
        <v>248</v>
      </c>
      <c r="D129" s="14" t="s">
        <v>72</v>
      </c>
      <c r="E129" s="201">
        <v>173329.04949999999</v>
      </c>
      <c r="F129" s="213">
        <f t="shared" si="9"/>
        <v>86664.524749999997</v>
      </c>
      <c r="G129" s="12"/>
    </row>
    <row r="130" spans="1:7" ht="28.5" customHeight="1">
      <c r="A130" s="3"/>
      <c r="B130" s="19" t="s">
        <v>42</v>
      </c>
      <c r="C130" s="25" t="s">
        <v>513</v>
      </c>
      <c r="D130" s="14"/>
      <c r="E130" s="134">
        <v>4802897.8959166696</v>
      </c>
      <c r="F130" s="215">
        <f>SUM(F120:F129)</f>
        <v>2106112.0315</v>
      </c>
      <c r="G130" s="12"/>
    </row>
    <row r="131" spans="1:7" ht="20.100000000000001" customHeight="1">
      <c r="A131" s="3"/>
      <c r="B131" s="21"/>
      <c r="C131" s="25"/>
      <c r="D131" s="14"/>
      <c r="E131" s="292"/>
      <c r="F131" s="215"/>
      <c r="G131" s="12"/>
    </row>
    <row r="132" spans="1:7" ht="20.100000000000001" customHeight="1">
      <c r="A132" s="3"/>
      <c r="B132" s="19" t="s">
        <v>103</v>
      </c>
      <c r="C132" s="11"/>
      <c r="D132" s="14"/>
      <c r="E132" s="201"/>
      <c r="F132" s="213"/>
      <c r="G132" s="12"/>
    </row>
    <row r="133" spans="1:7" ht="20.100000000000001" customHeight="1">
      <c r="A133" s="26">
        <v>1</v>
      </c>
      <c r="B133" s="10" t="s">
        <v>514</v>
      </c>
      <c r="C133" s="11" t="s">
        <v>515</v>
      </c>
      <c r="D133" s="14" t="s">
        <v>405</v>
      </c>
      <c r="E133" s="201">
        <v>950209.06350000005</v>
      </c>
      <c r="F133" s="213">
        <f>E133/2</f>
        <v>475104.53175000002</v>
      </c>
      <c r="G133" s="12"/>
    </row>
    <row r="134" spans="1:7" ht="20.100000000000001" customHeight="1">
      <c r="A134" s="26">
        <v>2</v>
      </c>
      <c r="B134" s="10" t="s">
        <v>338</v>
      </c>
      <c r="C134" s="11" t="s">
        <v>339</v>
      </c>
      <c r="D134" s="14" t="s">
        <v>340</v>
      </c>
      <c r="E134" s="201">
        <v>541465.02474999998</v>
      </c>
      <c r="F134" s="213">
        <f t="shared" ref="F134:F191" si="10">E134/2</f>
        <v>270732.51237499999</v>
      </c>
      <c r="G134" s="12"/>
    </row>
    <row r="135" spans="1:7" ht="20.100000000000001" customHeight="1">
      <c r="A135" s="26">
        <v>3</v>
      </c>
      <c r="B135" s="13" t="s">
        <v>516</v>
      </c>
      <c r="C135" s="3" t="s">
        <v>517</v>
      </c>
      <c r="D135" s="15" t="s">
        <v>416</v>
      </c>
      <c r="E135" s="201">
        <v>577743.99575</v>
      </c>
      <c r="F135" s="213">
        <f t="shared" si="10"/>
        <v>288871.997875</v>
      </c>
      <c r="G135" s="12"/>
    </row>
    <row r="136" spans="1:7" ht="20.100000000000001" customHeight="1">
      <c r="A136" s="26">
        <v>4</v>
      </c>
      <c r="B136" s="10" t="s">
        <v>518</v>
      </c>
      <c r="C136" s="11" t="s">
        <v>519</v>
      </c>
      <c r="D136" s="14" t="s">
        <v>366</v>
      </c>
      <c r="E136" s="201">
        <v>343333.03525000002</v>
      </c>
      <c r="F136" s="213">
        <f t="shared" si="10"/>
        <v>171666.51762500001</v>
      </c>
      <c r="G136" s="12"/>
    </row>
    <row r="137" spans="1:7" ht="20.100000000000001" customHeight="1">
      <c r="A137" s="26">
        <v>5</v>
      </c>
      <c r="B137" s="10" t="s">
        <v>520</v>
      </c>
      <c r="C137" s="3" t="s">
        <v>521</v>
      </c>
      <c r="D137" s="14" t="s">
        <v>366</v>
      </c>
      <c r="E137" s="201">
        <v>343333.03525000002</v>
      </c>
      <c r="F137" s="213">
        <f t="shared" si="10"/>
        <v>171666.51762500001</v>
      </c>
      <c r="G137" s="12"/>
    </row>
    <row r="138" spans="1:7" ht="20.100000000000001" customHeight="1">
      <c r="A138" s="26">
        <v>6</v>
      </c>
      <c r="B138" s="10" t="s">
        <v>522</v>
      </c>
      <c r="C138" s="3" t="s">
        <v>521</v>
      </c>
      <c r="D138" s="14" t="s">
        <v>366</v>
      </c>
      <c r="E138" s="201">
        <v>343333.03525000002</v>
      </c>
      <c r="F138" s="213">
        <f t="shared" si="10"/>
        <v>171666.51762500001</v>
      </c>
      <c r="G138" s="12"/>
    </row>
    <row r="139" spans="1:7" ht="20.100000000000001" customHeight="1">
      <c r="A139" s="26">
        <v>7</v>
      </c>
      <c r="B139" s="10" t="s">
        <v>523</v>
      </c>
      <c r="C139" s="11" t="s">
        <v>524</v>
      </c>
      <c r="D139" s="14" t="s">
        <v>380</v>
      </c>
      <c r="E139" s="201">
        <v>284536.99849999999</v>
      </c>
      <c r="F139" s="213">
        <f t="shared" si="10"/>
        <v>142268.49924999999</v>
      </c>
      <c r="G139" s="12"/>
    </row>
    <row r="140" spans="1:7" ht="20.100000000000001" customHeight="1">
      <c r="A140" s="26">
        <v>8</v>
      </c>
      <c r="B140" s="10" t="s">
        <v>525</v>
      </c>
      <c r="C140" s="11" t="s">
        <v>524</v>
      </c>
      <c r="D140" s="14" t="s">
        <v>380</v>
      </c>
      <c r="E140" s="201">
        <v>284536.99849999999</v>
      </c>
      <c r="F140" s="213">
        <f t="shared" si="10"/>
        <v>142268.49924999999</v>
      </c>
      <c r="G140" s="12"/>
    </row>
    <row r="141" spans="1:7" ht="20.100000000000001" customHeight="1">
      <c r="A141" s="26">
        <v>9</v>
      </c>
      <c r="B141" s="10" t="s">
        <v>526</v>
      </c>
      <c r="C141" s="3" t="s">
        <v>527</v>
      </c>
      <c r="D141" s="14" t="s">
        <v>380</v>
      </c>
      <c r="E141" s="201">
        <v>284536.99849999999</v>
      </c>
      <c r="F141" s="213">
        <f t="shared" si="10"/>
        <v>142268.49924999999</v>
      </c>
      <c r="G141" s="12"/>
    </row>
    <row r="142" spans="1:7" ht="20.100000000000001" customHeight="1">
      <c r="A142" s="26">
        <v>10</v>
      </c>
      <c r="B142" s="10" t="s">
        <v>528</v>
      </c>
      <c r="C142" s="11" t="s">
        <v>529</v>
      </c>
      <c r="D142" s="14" t="s">
        <v>440</v>
      </c>
      <c r="E142" s="201">
        <v>272454.07400000002</v>
      </c>
      <c r="F142" s="213">
        <f t="shared" si="10"/>
        <v>136227.03700000001</v>
      </c>
      <c r="G142" s="12"/>
    </row>
    <row r="143" spans="1:7" ht="20.100000000000001" customHeight="1">
      <c r="A143" s="26">
        <v>11</v>
      </c>
      <c r="B143" s="10" t="s">
        <v>530</v>
      </c>
      <c r="C143" s="11" t="s">
        <v>531</v>
      </c>
      <c r="D143" s="14" t="s">
        <v>32</v>
      </c>
      <c r="E143" s="72">
        <v>265372.07500000001</v>
      </c>
      <c r="F143" s="213">
        <f t="shared" si="10"/>
        <v>132686.03750000001</v>
      </c>
      <c r="G143" s="12"/>
    </row>
    <row r="144" spans="1:7" ht="20.100000000000001" customHeight="1">
      <c r="A144" s="26">
        <v>12</v>
      </c>
      <c r="B144" s="10" t="s">
        <v>532</v>
      </c>
      <c r="C144" s="11" t="s">
        <v>533</v>
      </c>
      <c r="D144" s="14" t="s">
        <v>380</v>
      </c>
      <c r="E144" s="201">
        <v>284536.99849999999</v>
      </c>
      <c r="F144" s="213">
        <f t="shared" si="10"/>
        <v>142268.49924999999</v>
      </c>
      <c r="G144" s="12"/>
    </row>
    <row r="145" spans="1:7" ht="20.100000000000001" customHeight="1">
      <c r="A145" s="26">
        <v>13</v>
      </c>
      <c r="B145" s="17" t="s">
        <v>534</v>
      </c>
      <c r="C145" s="3" t="s">
        <v>535</v>
      </c>
      <c r="D145" s="14" t="s">
        <v>32</v>
      </c>
      <c r="E145" s="72">
        <v>265372.07500000001</v>
      </c>
      <c r="F145" s="213">
        <f t="shared" si="10"/>
        <v>132686.03750000001</v>
      </c>
      <c r="G145" s="12"/>
    </row>
    <row r="146" spans="1:7" ht="20.100000000000001" customHeight="1">
      <c r="A146" s="26">
        <v>14</v>
      </c>
      <c r="B146" s="10" t="s">
        <v>536</v>
      </c>
      <c r="C146" s="3" t="s">
        <v>537</v>
      </c>
      <c r="D146" s="14" t="s">
        <v>409</v>
      </c>
      <c r="E146" s="201">
        <v>237734.04699999999</v>
      </c>
      <c r="F146" s="213">
        <f t="shared" si="10"/>
        <v>118867.0235</v>
      </c>
      <c r="G146" s="12"/>
    </row>
    <row r="147" spans="1:7" ht="20.100000000000001" customHeight="1">
      <c r="A147" s="26">
        <v>15</v>
      </c>
      <c r="B147" s="10" t="s">
        <v>538</v>
      </c>
      <c r="C147" s="3" t="s">
        <v>537</v>
      </c>
      <c r="D147" s="14" t="s">
        <v>453</v>
      </c>
      <c r="E147" s="201">
        <v>237734.04699999999</v>
      </c>
      <c r="F147" s="213">
        <f t="shared" si="10"/>
        <v>118867.0235</v>
      </c>
      <c r="G147" s="12"/>
    </row>
    <row r="148" spans="1:7" ht="20.100000000000001" customHeight="1">
      <c r="A148" s="26">
        <v>16</v>
      </c>
      <c r="B148" s="10" t="s">
        <v>540</v>
      </c>
      <c r="C148" s="3" t="s">
        <v>537</v>
      </c>
      <c r="D148" s="14" t="s">
        <v>453</v>
      </c>
      <c r="E148" s="201">
        <v>237734.04699999999</v>
      </c>
      <c r="F148" s="213">
        <f t="shared" si="10"/>
        <v>118867.0235</v>
      </c>
      <c r="G148" s="12"/>
    </row>
    <row r="149" spans="1:7" ht="20.100000000000001" customHeight="1">
      <c r="A149" s="26">
        <v>17</v>
      </c>
      <c r="B149" s="10" t="s">
        <v>541</v>
      </c>
      <c r="C149" s="11" t="s">
        <v>542</v>
      </c>
      <c r="D149" s="14" t="s">
        <v>37</v>
      </c>
      <c r="E149" s="201">
        <v>228602.07775</v>
      </c>
      <c r="F149" s="213">
        <f t="shared" si="10"/>
        <v>114301.038875</v>
      </c>
      <c r="G149" s="12"/>
    </row>
    <row r="150" spans="1:7" ht="20.100000000000001" customHeight="1">
      <c r="A150" s="26">
        <v>18</v>
      </c>
      <c r="B150" s="10" t="s">
        <v>1055</v>
      </c>
      <c r="C150" s="11" t="s">
        <v>544</v>
      </c>
      <c r="D150" s="9" t="s">
        <v>55</v>
      </c>
      <c r="E150" s="201">
        <v>205204.0845</v>
      </c>
      <c r="F150" s="213">
        <f t="shared" si="10"/>
        <v>102602.04225</v>
      </c>
      <c r="G150" s="12"/>
    </row>
    <row r="151" spans="1:7" ht="20.100000000000001" customHeight="1">
      <c r="A151" s="26">
        <v>19</v>
      </c>
      <c r="B151" s="10" t="s">
        <v>545</v>
      </c>
      <c r="C151" s="11" t="s">
        <v>546</v>
      </c>
      <c r="D151" s="14" t="s">
        <v>409</v>
      </c>
      <c r="E151" s="201">
        <v>237734.04699999999</v>
      </c>
      <c r="F151" s="213">
        <f t="shared" si="10"/>
        <v>118867.0235</v>
      </c>
      <c r="G151" s="12"/>
    </row>
    <row r="152" spans="1:7" ht="20.100000000000001" customHeight="1">
      <c r="A152" s="26">
        <v>20</v>
      </c>
      <c r="B152" s="10" t="s">
        <v>547</v>
      </c>
      <c r="C152" s="11" t="s">
        <v>548</v>
      </c>
      <c r="D152" s="14" t="s">
        <v>391</v>
      </c>
      <c r="E152" s="201">
        <v>209356.04725</v>
      </c>
      <c r="F152" s="213">
        <f t="shared" si="10"/>
        <v>104678.023625</v>
      </c>
      <c r="G152" s="12"/>
    </row>
    <row r="153" spans="1:7" ht="20.100000000000001" customHeight="1">
      <c r="A153" s="26">
        <v>21</v>
      </c>
      <c r="B153" s="10" t="s">
        <v>549</v>
      </c>
      <c r="C153" s="11" t="s">
        <v>550</v>
      </c>
      <c r="D153" s="14" t="s">
        <v>409</v>
      </c>
      <c r="E153" s="201">
        <v>237734.04699999999</v>
      </c>
      <c r="F153" s="213">
        <f t="shared" si="10"/>
        <v>118867.0235</v>
      </c>
      <c r="G153" s="12"/>
    </row>
    <row r="154" spans="1:7" ht="20.100000000000001" customHeight="1">
      <c r="A154" s="26">
        <v>22</v>
      </c>
      <c r="B154" s="10" t="s">
        <v>551</v>
      </c>
      <c r="C154" s="11" t="s">
        <v>552</v>
      </c>
      <c r="D154" s="14" t="s">
        <v>391</v>
      </c>
      <c r="E154" s="201">
        <v>209356.04725</v>
      </c>
      <c r="F154" s="213">
        <f t="shared" si="10"/>
        <v>104678.023625</v>
      </c>
      <c r="G154" s="12"/>
    </row>
    <row r="155" spans="1:7" ht="20.100000000000001" customHeight="1">
      <c r="A155" s="26">
        <v>23</v>
      </c>
      <c r="B155" s="17" t="s">
        <v>553</v>
      </c>
      <c r="C155" s="11" t="s">
        <v>554</v>
      </c>
      <c r="D155" s="14" t="s">
        <v>55</v>
      </c>
      <c r="E155" s="72">
        <v>205204.0845</v>
      </c>
      <c r="F155" s="213">
        <f t="shared" si="10"/>
        <v>102602.04225</v>
      </c>
      <c r="G155" s="12"/>
    </row>
    <row r="156" spans="1:7" ht="20.100000000000001" customHeight="1">
      <c r="A156" s="26">
        <v>24</v>
      </c>
      <c r="B156" s="17" t="s">
        <v>555</v>
      </c>
      <c r="C156" s="11" t="s">
        <v>556</v>
      </c>
      <c r="D156" s="14" t="s">
        <v>72</v>
      </c>
      <c r="E156" s="201">
        <v>173329.04949999999</v>
      </c>
      <c r="F156" s="213">
        <f t="shared" si="10"/>
        <v>86664.524749999997</v>
      </c>
      <c r="G156" s="12"/>
    </row>
    <row r="157" spans="1:7" ht="20.100000000000001" customHeight="1">
      <c r="A157" s="26">
        <v>25</v>
      </c>
      <c r="B157" s="17" t="s">
        <v>557</v>
      </c>
      <c r="C157" s="11" t="s">
        <v>558</v>
      </c>
      <c r="D157" s="14" t="s">
        <v>72</v>
      </c>
      <c r="E157" s="201">
        <v>173338.22450000001</v>
      </c>
      <c r="F157" s="213">
        <f t="shared" si="10"/>
        <v>86669.112250000006</v>
      </c>
      <c r="G157" s="12"/>
    </row>
    <row r="158" spans="1:7" ht="20.100000000000001" customHeight="1">
      <c r="A158" s="26">
        <v>26</v>
      </c>
      <c r="B158" s="17" t="s">
        <v>559</v>
      </c>
      <c r="C158" s="11" t="s">
        <v>560</v>
      </c>
      <c r="D158" s="14" t="s">
        <v>72</v>
      </c>
      <c r="E158" s="201">
        <v>173338.22450000001</v>
      </c>
      <c r="F158" s="213">
        <f t="shared" si="10"/>
        <v>86669.112250000006</v>
      </c>
      <c r="G158" s="12"/>
    </row>
    <row r="159" spans="1:7" ht="20.100000000000001" customHeight="1">
      <c r="A159" s="26">
        <v>27</v>
      </c>
      <c r="B159" s="17" t="s">
        <v>561</v>
      </c>
      <c r="C159" s="11" t="s">
        <v>562</v>
      </c>
      <c r="D159" s="14" t="s">
        <v>402</v>
      </c>
      <c r="E159" s="201">
        <v>176816.1</v>
      </c>
      <c r="F159" s="213">
        <f t="shared" si="10"/>
        <v>88408.05</v>
      </c>
      <c r="G159" s="12"/>
    </row>
    <row r="160" spans="1:7" ht="20.100000000000001" customHeight="1">
      <c r="A160" s="26">
        <v>28</v>
      </c>
      <c r="B160" s="17" t="s">
        <v>563</v>
      </c>
      <c r="C160" s="11" t="s">
        <v>558</v>
      </c>
      <c r="D160" s="14" t="s">
        <v>72</v>
      </c>
      <c r="E160" s="201">
        <v>173339.22450000001</v>
      </c>
      <c r="F160" s="213">
        <f t="shared" si="10"/>
        <v>86669.612250000006</v>
      </c>
      <c r="G160" s="12"/>
    </row>
    <row r="161" spans="1:7" ht="20.100000000000001" customHeight="1">
      <c r="A161" s="26">
        <v>29</v>
      </c>
      <c r="B161" s="10" t="s">
        <v>564</v>
      </c>
      <c r="C161" s="11" t="s">
        <v>565</v>
      </c>
      <c r="D161" s="14" t="s">
        <v>572</v>
      </c>
      <c r="E161" s="201">
        <v>135590.73000000001</v>
      </c>
      <c r="F161" s="213">
        <f t="shared" si="10"/>
        <v>67795.365000000005</v>
      </c>
      <c r="G161" s="12"/>
    </row>
    <row r="162" spans="1:7" ht="20.100000000000001" customHeight="1">
      <c r="A162" s="26">
        <v>30</v>
      </c>
      <c r="B162" s="10" t="s">
        <v>567</v>
      </c>
      <c r="C162" s="11" t="s">
        <v>565</v>
      </c>
      <c r="D162" s="14" t="s">
        <v>572</v>
      </c>
      <c r="E162" s="201">
        <v>138590.73000000001</v>
      </c>
      <c r="F162" s="213">
        <f t="shared" si="10"/>
        <v>69295.365000000005</v>
      </c>
      <c r="G162" s="12"/>
    </row>
    <row r="163" spans="1:7" ht="20.100000000000001" customHeight="1">
      <c r="A163" s="26">
        <v>31</v>
      </c>
      <c r="B163" s="10" t="s">
        <v>568</v>
      </c>
      <c r="C163" s="11" t="s">
        <v>565</v>
      </c>
      <c r="D163" s="14" t="s">
        <v>572</v>
      </c>
      <c r="E163" s="201">
        <v>135590.73000000001</v>
      </c>
      <c r="F163" s="213">
        <f t="shared" si="10"/>
        <v>67795.365000000005</v>
      </c>
      <c r="G163" s="12"/>
    </row>
    <row r="164" spans="1:7" ht="20.100000000000001" customHeight="1">
      <c r="A164" s="26">
        <v>32</v>
      </c>
      <c r="B164" s="10" t="s">
        <v>569</v>
      </c>
      <c r="C164" s="11" t="s">
        <v>565</v>
      </c>
      <c r="D164" s="14" t="s">
        <v>572</v>
      </c>
      <c r="E164" s="201">
        <v>135590.73000000001</v>
      </c>
      <c r="F164" s="213">
        <f t="shared" si="10"/>
        <v>67795.365000000005</v>
      </c>
      <c r="G164" s="12"/>
    </row>
    <row r="165" spans="1:7" ht="20.100000000000001" customHeight="1">
      <c r="A165" s="26">
        <v>33</v>
      </c>
      <c r="B165" s="10" t="s">
        <v>570</v>
      </c>
      <c r="C165" s="11" t="s">
        <v>565</v>
      </c>
      <c r="D165" s="14" t="s">
        <v>572</v>
      </c>
      <c r="E165" s="201">
        <v>135590.73000000001</v>
      </c>
      <c r="F165" s="213">
        <f t="shared" si="10"/>
        <v>67795.365000000005</v>
      </c>
      <c r="G165" s="12"/>
    </row>
    <row r="166" spans="1:7" ht="20.100000000000001" customHeight="1">
      <c r="A166" s="26">
        <v>34</v>
      </c>
      <c r="B166" s="10" t="s">
        <v>571</v>
      </c>
      <c r="C166" s="11" t="s">
        <v>565</v>
      </c>
      <c r="D166" s="14" t="s">
        <v>583</v>
      </c>
      <c r="E166" s="201">
        <v>125035.03449999999</v>
      </c>
      <c r="F166" s="213">
        <f t="shared" si="10"/>
        <v>62517.517249999997</v>
      </c>
      <c r="G166" s="12"/>
    </row>
    <row r="167" spans="1:7" ht="20.100000000000001" customHeight="1">
      <c r="A167" s="26">
        <v>35</v>
      </c>
      <c r="B167" s="10" t="s">
        <v>573</v>
      </c>
      <c r="C167" s="11" t="s">
        <v>565</v>
      </c>
      <c r="D167" s="14" t="s">
        <v>583</v>
      </c>
      <c r="E167" s="201">
        <v>122035.03449999999</v>
      </c>
      <c r="F167" s="213">
        <f t="shared" si="10"/>
        <v>61017.517249999997</v>
      </c>
      <c r="G167" s="12"/>
    </row>
    <row r="168" spans="1:7" ht="20.100000000000001" customHeight="1">
      <c r="A168" s="26">
        <v>36</v>
      </c>
      <c r="B168" s="13" t="s">
        <v>574</v>
      </c>
      <c r="C168" s="11" t="s">
        <v>565</v>
      </c>
      <c r="D168" s="14" t="s">
        <v>583</v>
      </c>
      <c r="E168" s="201">
        <v>125035.03449999999</v>
      </c>
      <c r="F168" s="213">
        <f t="shared" si="10"/>
        <v>62517.517249999997</v>
      </c>
      <c r="G168" s="12"/>
    </row>
    <row r="169" spans="1:7" ht="20.100000000000001" customHeight="1">
      <c r="A169" s="26">
        <v>37</v>
      </c>
      <c r="B169" s="10" t="s">
        <v>575</v>
      </c>
      <c r="C169" s="11" t="s">
        <v>565</v>
      </c>
      <c r="D169" s="14" t="s">
        <v>583</v>
      </c>
      <c r="E169" s="201">
        <v>122035.03449999999</v>
      </c>
      <c r="F169" s="213">
        <f t="shared" si="10"/>
        <v>61017.517249999997</v>
      </c>
      <c r="G169" s="12"/>
    </row>
    <row r="170" spans="1:7" ht="20.100000000000001" customHeight="1">
      <c r="A170" s="26">
        <v>38</v>
      </c>
      <c r="B170" s="17" t="s">
        <v>576</v>
      </c>
      <c r="C170" s="11" t="s">
        <v>565</v>
      </c>
      <c r="D170" s="14" t="s">
        <v>583</v>
      </c>
      <c r="E170" s="201">
        <v>122035.03449999999</v>
      </c>
      <c r="F170" s="213">
        <f t="shared" si="10"/>
        <v>61017.517249999997</v>
      </c>
      <c r="G170" s="12"/>
    </row>
    <row r="171" spans="1:7" ht="20.100000000000001" customHeight="1">
      <c r="A171" s="26">
        <v>39</v>
      </c>
      <c r="B171" s="17" t="s">
        <v>577</v>
      </c>
      <c r="C171" s="11" t="s">
        <v>565</v>
      </c>
      <c r="D171" s="14" t="s">
        <v>583</v>
      </c>
      <c r="E171" s="201">
        <v>125035.03449999999</v>
      </c>
      <c r="F171" s="213">
        <f t="shared" si="10"/>
        <v>62517.517249999997</v>
      </c>
      <c r="G171" s="12"/>
    </row>
    <row r="172" spans="1:7" ht="20.100000000000001" customHeight="1">
      <c r="A172" s="26">
        <v>40</v>
      </c>
      <c r="B172" s="10" t="s">
        <v>578</v>
      </c>
      <c r="C172" s="11" t="s">
        <v>579</v>
      </c>
      <c r="D172" s="14" t="s">
        <v>580</v>
      </c>
      <c r="E172" s="72">
        <v>122104.99825</v>
      </c>
      <c r="F172" s="213">
        <f t="shared" si="10"/>
        <v>61052.499125000002</v>
      </c>
      <c r="G172" s="12"/>
    </row>
    <row r="173" spans="1:7" ht="20.100000000000001" customHeight="1">
      <c r="A173" s="26">
        <v>41</v>
      </c>
      <c r="B173" s="10" t="s">
        <v>581</v>
      </c>
      <c r="C173" s="11" t="s">
        <v>579</v>
      </c>
      <c r="D173" s="14" t="s">
        <v>580</v>
      </c>
      <c r="E173" s="72">
        <v>122104.99825</v>
      </c>
      <c r="F173" s="213">
        <f t="shared" si="10"/>
        <v>61052.499125000002</v>
      </c>
      <c r="G173" s="12"/>
    </row>
    <row r="174" spans="1:7" ht="20.100000000000001" customHeight="1">
      <c r="A174" s="26">
        <v>42</v>
      </c>
      <c r="B174" s="17" t="s">
        <v>582</v>
      </c>
      <c r="C174" s="11" t="s">
        <v>579</v>
      </c>
      <c r="D174" s="14" t="s">
        <v>580</v>
      </c>
      <c r="E174" s="72">
        <v>122104.99825</v>
      </c>
      <c r="F174" s="213">
        <f t="shared" si="10"/>
        <v>61052.499125000002</v>
      </c>
      <c r="G174" s="12"/>
    </row>
    <row r="175" spans="1:7" ht="20.100000000000001" customHeight="1">
      <c r="A175" s="26">
        <v>43</v>
      </c>
      <c r="B175" s="10" t="s">
        <v>584</v>
      </c>
      <c r="C175" s="11" t="s">
        <v>585</v>
      </c>
      <c r="D175" s="14" t="s">
        <v>1056</v>
      </c>
      <c r="E175" s="201">
        <v>80237.012000000002</v>
      </c>
      <c r="F175" s="213">
        <f t="shared" si="10"/>
        <v>40118.506000000001</v>
      </c>
      <c r="G175" s="12"/>
    </row>
    <row r="176" spans="1:7" ht="20.100000000000001" customHeight="1">
      <c r="A176" s="26">
        <v>44</v>
      </c>
      <c r="B176" s="10" t="s">
        <v>587</v>
      </c>
      <c r="C176" s="11" t="s">
        <v>588</v>
      </c>
      <c r="D176" s="14" t="s">
        <v>1057</v>
      </c>
      <c r="E176" s="201">
        <v>78671.023000000001</v>
      </c>
      <c r="F176" s="213">
        <f t="shared" si="10"/>
        <v>39335.511500000001</v>
      </c>
      <c r="G176" s="12"/>
    </row>
    <row r="177" spans="1:7" ht="20.100000000000001" customHeight="1">
      <c r="A177" s="26">
        <v>45</v>
      </c>
      <c r="B177" s="10" t="s">
        <v>590</v>
      </c>
      <c r="C177" s="11" t="s">
        <v>588</v>
      </c>
      <c r="D177" s="14" t="s">
        <v>1057</v>
      </c>
      <c r="E177" s="201">
        <v>75671.023000000001</v>
      </c>
      <c r="F177" s="213">
        <f t="shared" si="10"/>
        <v>37835.511500000001</v>
      </c>
      <c r="G177" s="12"/>
    </row>
    <row r="178" spans="1:7" ht="20.100000000000001" customHeight="1">
      <c r="A178" s="26">
        <v>46</v>
      </c>
      <c r="B178" s="10" t="s">
        <v>591</v>
      </c>
      <c r="C178" s="11" t="s">
        <v>588</v>
      </c>
      <c r="D178" s="14" t="s">
        <v>1057</v>
      </c>
      <c r="E178" s="201">
        <v>78671.023000000001</v>
      </c>
      <c r="F178" s="213">
        <f t="shared" si="10"/>
        <v>39335.511500000001</v>
      </c>
      <c r="G178" s="12"/>
    </row>
    <row r="179" spans="1:7" ht="20.100000000000001" customHeight="1">
      <c r="A179" s="26">
        <v>47</v>
      </c>
      <c r="B179" s="10" t="s">
        <v>592</v>
      </c>
      <c r="C179" s="11" t="s">
        <v>588</v>
      </c>
      <c r="D179" s="14" t="s">
        <v>1057</v>
      </c>
      <c r="E179" s="201">
        <v>75671.023000000001</v>
      </c>
      <c r="F179" s="213">
        <f t="shared" si="10"/>
        <v>37835.511500000001</v>
      </c>
      <c r="G179" s="12"/>
    </row>
    <row r="180" spans="1:7" ht="20.100000000000001" customHeight="1">
      <c r="A180" s="26">
        <v>48</v>
      </c>
      <c r="B180" s="10" t="s">
        <v>593</v>
      </c>
      <c r="C180" s="11" t="s">
        <v>588</v>
      </c>
      <c r="D180" s="14" t="s">
        <v>1057</v>
      </c>
      <c r="E180" s="201">
        <v>78671.023000000001</v>
      </c>
      <c r="F180" s="213">
        <f t="shared" si="10"/>
        <v>39335.511500000001</v>
      </c>
      <c r="G180" s="12"/>
    </row>
    <row r="181" spans="1:7" ht="20.100000000000001" customHeight="1">
      <c r="A181" s="26">
        <v>49</v>
      </c>
      <c r="B181" s="17" t="s">
        <v>594</v>
      </c>
      <c r="C181" s="11" t="s">
        <v>588</v>
      </c>
      <c r="D181" s="14" t="s">
        <v>1057</v>
      </c>
      <c r="E181" s="201">
        <v>75671.023000000001</v>
      </c>
      <c r="F181" s="213">
        <f t="shared" si="10"/>
        <v>37835.511500000001</v>
      </c>
      <c r="G181" s="12"/>
    </row>
    <row r="182" spans="1:7" ht="20.100000000000001" customHeight="1">
      <c r="A182" s="26">
        <v>50</v>
      </c>
      <c r="B182" s="17" t="s">
        <v>595</v>
      </c>
      <c r="C182" s="11" t="s">
        <v>588</v>
      </c>
      <c r="D182" s="14" t="s">
        <v>1057</v>
      </c>
      <c r="E182" s="201">
        <v>78671.023000000001</v>
      </c>
      <c r="F182" s="213">
        <f t="shared" si="10"/>
        <v>39335.511500000001</v>
      </c>
      <c r="G182" s="12"/>
    </row>
    <row r="183" spans="1:7" ht="20.100000000000001" customHeight="1">
      <c r="A183" s="26">
        <v>51</v>
      </c>
      <c r="B183" s="10" t="s">
        <v>596</v>
      </c>
      <c r="C183" s="11" t="s">
        <v>585</v>
      </c>
      <c r="D183" s="14" t="s">
        <v>1057</v>
      </c>
      <c r="E183" s="201">
        <v>78671.023000000001</v>
      </c>
      <c r="F183" s="213">
        <f t="shared" si="10"/>
        <v>39335.511500000001</v>
      </c>
      <c r="G183" s="12"/>
    </row>
    <row r="184" spans="1:7" ht="20.100000000000001" customHeight="1">
      <c r="A184" s="26">
        <v>52</v>
      </c>
      <c r="B184" s="10" t="s">
        <v>597</v>
      </c>
      <c r="C184" s="11" t="s">
        <v>585</v>
      </c>
      <c r="D184" s="14" t="s">
        <v>1057</v>
      </c>
      <c r="E184" s="201">
        <v>78671.023000000001</v>
      </c>
      <c r="F184" s="213">
        <f t="shared" si="10"/>
        <v>39335.511500000001</v>
      </c>
      <c r="G184" s="12"/>
    </row>
    <row r="185" spans="1:7" ht="20.100000000000001" customHeight="1">
      <c r="A185" s="26">
        <v>53</v>
      </c>
      <c r="B185" s="17" t="s">
        <v>598</v>
      </c>
      <c r="C185" s="11" t="s">
        <v>286</v>
      </c>
      <c r="D185" s="14" t="s">
        <v>609</v>
      </c>
      <c r="E185" s="72">
        <v>77103.749500000005</v>
      </c>
      <c r="F185" s="213">
        <f t="shared" si="10"/>
        <v>38551.874750000003</v>
      </c>
      <c r="G185" s="12"/>
    </row>
    <row r="186" spans="1:7" ht="20.100000000000001" customHeight="1">
      <c r="A186" s="26">
        <v>54</v>
      </c>
      <c r="B186" s="17" t="s">
        <v>600</v>
      </c>
      <c r="C186" s="11" t="s">
        <v>588</v>
      </c>
      <c r="D186" s="14" t="s">
        <v>1058</v>
      </c>
      <c r="E186" s="201">
        <v>67328.070250000004</v>
      </c>
      <c r="F186" s="213">
        <f t="shared" si="10"/>
        <v>33664.035125000002</v>
      </c>
      <c r="G186" s="12"/>
    </row>
    <row r="187" spans="1:7" ht="20.100000000000001" customHeight="1">
      <c r="A187" s="26">
        <v>55</v>
      </c>
      <c r="B187" s="17" t="s">
        <v>602</v>
      </c>
      <c r="C187" s="11" t="s">
        <v>603</v>
      </c>
      <c r="D187" s="14" t="s">
        <v>122</v>
      </c>
      <c r="E187" s="335">
        <v>61631.996500000001</v>
      </c>
      <c r="F187" s="213">
        <f t="shared" si="10"/>
        <v>30815.998250000001</v>
      </c>
      <c r="G187" s="12"/>
    </row>
    <row r="188" spans="1:7" ht="20.100000000000001" customHeight="1">
      <c r="A188" s="26">
        <v>56</v>
      </c>
      <c r="B188" s="17" t="s">
        <v>605</v>
      </c>
      <c r="C188" s="11" t="s">
        <v>603</v>
      </c>
      <c r="D188" s="14" t="s">
        <v>122</v>
      </c>
      <c r="E188" s="335">
        <v>61631.996500000001</v>
      </c>
      <c r="F188" s="213">
        <f t="shared" si="10"/>
        <v>30815.998250000001</v>
      </c>
      <c r="G188" s="12"/>
    </row>
    <row r="189" spans="1:7" ht="20.100000000000001" customHeight="1">
      <c r="A189" s="26">
        <v>57</v>
      </c>
      <c r="B189" s="17" t="s">
        <v>606</v>
      </c>
      <c r="C189" s="11" t="s">
        <v>603</v>
      </c>
      <c r="D189" s="14" t="s">
        <v>122</v>
      </c>
      <c r="E189" s="335">
        <v>61631.996500000001</v>
      </c>
      <c r="F189" s="213">
        <f t="shared" si="10"/>
        <v>30815.998250000001</v>
      </c>
      <c r="G189" s="12"/>
    </row>
    <row r="190" spans="1:7" ht="20.100000000000001" customHeight="1">
      <c r="A190" s="26">
        <v>58</v>
      </c>
      <c r="B190" s="17" t="s">
        <v>607</v>
      </c>
      <c r="C190" s="11" t="s">
        <v>608</v>
      </c>
      <c r="D190" s="14" t="s">
        <v>119</v>
      </c>
      <c r="E190" s="201">
        <v>70538.035749999995</v>
      </c>
      <c r="F190" s="213">
        <f t="shared" si="10"/>
        <v>35269.017874999998</v>
      </c>
      <c r="G190" s="12"/>
    </row>
    <row r="191" spans="1:7" ht="20.100000000000001" customHeight="1">
      <c r="A191" s="26">
        <v>59</v>
      </c>
      <c r="B191" s="17" t="s">
        <v>610</v>
      </c>
      <c r="C191" s="11" t="s">
        <v>608</v>
      </c>
      <c r="D191" s="14" t="s">
        <v>119</v>
      </c>
      <c r="E191" s="201">
        <v>70538.035749999995</v>
      </c>
      <c r="F191" s="213">
        <f t="shared" si="10"/>
        <v>35269.017874999998</v>
      </c>
      <c r="G191" s="12"/>
    </row>
    <row r="192" spans="1:7" ht="20.100000000000001" customHeight="1">
      <c r="A192" s="26"/>
      <c r="B192" s="7" t="s">
        <v>42</v>
      </c>
      <c r="C192" s="27" t="s">
        <v>611</v>
      </c>
      <c r="D192" s="28"/>
      <c r="E192" s="80">
        <v>11195475.7585</v>
      </c>
      <c r="F192" s="302">
        <f>SUM(F133:F191)</f>
        <v>5597737.8792500002</v>
      </c>
      <c r="G192" s="12"/>
    </row>
    <row r="193" spans="1:7" ht="19.5" customHeight="1">
      <c r="A193" s="3"/>
      <c r="B193" s="29" t="s">
        <v>125</v>
      </c>
      <c r="C193" s="30">
        <f>C31+C37+C52+C57+C71+C81+C95+C102+C112+C130+C192</f>
        <v>151</v>
      </c>
      <c r="D193" s="31"/>
      <c r="E193" s="209">
        <v>52931904.066892602</v>
      </c>
      <c r="F193" s="209">
        <f>F192+F130+F117+F112+F102+F95+F81+F71+F57+F52+F37+F31</f>
        <v>25569552.508302499</v>
      </c>
      <c r="G193" s="12"/>
    </row>
    <row r="194" spans="1:7" ht="20.100000000000001" customHeight="1">
      <c r="A194" s="2"/>
      <c r="B194" s="32"/>
      <c r="C194" s="2"/>
      <c r="D194" s="33"/>
      <c r="E194" s="210"/>
      <c r="F194" s="211"/>
      <c r="G194" s="34"/>
    </row>
    <row r="195" spans="1:7" ht="36.75" customHeight="1">
      <c r="A195" s="2"/>
      <c r="B195" s="32"/>
      <c r="C195" s="33"/>
      <c r="D195" s="33"/>
      <c r="E195" s="210"/>
      <c r="F195" s="34"/>
    </row>
    <row r="198" spans="1:7" ht="20.100000000000001" customHeight="1">
      <c r="E198" s="34"/>
    </row>
  </sheetData>
  <mergeCells count="1">
    <mergeCell ref="A2:F2"/>
  </mergeCells>
  <pageMargins left="0.23622047244094499" right="0.23622047244094499" top="0.98425196850393704" bottom="0.98425196850393704" header="0.511811023622047" footer="0.511811023622047"/>
  <pageSetup paperSize="9" scale="71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25" sqref="G25"/>
    </sheetView>
  </sheetViews>
  <sheetFormatPr defaultColWidth="9" defaultRowHeight="12.7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zoomScaleSheetLayoutView="50" workbookViewId="0">
      <pane xSplit="3" ySplit="6" topLeftCell="T7" activePane="bottomRight" state="frozen"/>
      <selection pane="topRight"/>
      <selection pane="bottomLeft"/>
      <selection pane="bottomRight" activeCell="B16" sqref="B16"/>
    </sheetView>
  </sheetViews>
  <sheetFormatPr defaultColWidth="9.140625" defaultRowHeight="20.100000000000001" customHeight="1"/>
  <cols>
    <col min="1" max="1" width="5.42578125" style="1" customWidth="1"/>
    <col min="2" max="2" width="39.42578125" style="1" customWidth="1"/>
    <col min="3" max="3" width="26.57031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18" width="19.28515625" style="1" customWidth="1"/>
    <col min="19" max="19" width="20.42578125" style="278" customWidth="1"/>
    <col min="20" max="20" width="16.42578125" style="1" customWidth="1"/>
    <col min="21" max="22" width="17.7109375" style="1" customWidth="1"/>
    <col min="23" max="23" width="14.5703125" style="1" customWidth="1"/>
    <col min="24" max="24" width="17.85546875" style="1" customWidth="1"/>
    <col min="25" max="25" width="21.7109375" style="1" customWidth="1"/>
    <col min="26" max="16384" width="9.140625" style="1"/>
  </cols>
  <sheetData>
    <row r="1" spans="1:25" ht="27" customHeight="1">
      <c r="A1" s="838" t="s">
        <v>0</v>
      </c>
      <c r="B1" s="838"/>
      <c r="C1" s="838"/>
      <c r="D1" s="838"/>
      <c r="E1" s="838"/>
      <c r="F1" s="838"/>
      <c r="G1" s="199">
        <f>'[1]FEB 08'!F8/'[1]FEB 08'!Q8</f>
        <v>0.3</v>
      </c>
      <c r="H1" s="199"/>
      <c r="I1" s="199"/>
      <c r="J1" s="199"/>
      <c r="K1" s="199"/>
      <c r="L1" s="199"/>
      <c r="M1" s="199"/>
      <c r="N1" s="199"/>
      <c r="O1" s="199"/>
      <c r="P1" s="199"/>
    </row>
    <row r="2" spans="1:25" ht="33.75" customHeight="1">
      <c r="A2" s="63" t="s">
        <v>1037</v>
      </c>
      <c r="B2" s="64"/>
      <c r="C2" s="63"/>
      <c r="D2" s="63"/>
      <c r="E2" s="198"/>
      <c r="F2" s="198"/>
      <c r="G2" s="279"/>
      <c r="H2" s="279"/>
      <c r="I2" s="279"/>
      <c r="J2" s="279"/>
      <c r="K2" s="279"/>
      <c r="L2" s="279"/>
      <c r="M2" s="279"/>
      <c r="N2" s="279"/>
      <c r="O2" s="279"/>
      <c r="P2" s="279"/>
      <c r="Q2" s="65"/>
      <c r="R2" s="65"/>
      <c r="S2" s="285"/>
      <c r="T2" s="65"/>
      <c r="U2" s="65"/>
      <c r="V2" s="65"/>
      <c r="W2" s="65"/>
      <c r="X2" s="65"/>
    </row>
    <row r="3" spans="1:25" ht="9.75" customHeight="1">
      <c r="A3" s="2"/>
      <c r="B3" s="2"/>
      <c r="C3" s="2"/>
      <c r="D3" s="2"/>
      <c r="E3" s="199" t="e">
        <f>'[1]FEB 08'!E11/'[1]FEB 08'!M11</f>
        <v>#REF!</v>
      </c>
      <c r="F3" s="199"/>
      <c r="G3" s="199" t="e">
        <f>'[1]FEB 08'!F11/'[1]FEB 08'!Q11</f>
        <v>#REF!</v>
      </c>
      <c r="H3" s="199"/>
      <c r="I3" s="199"/>
      <c r="J3" s="199"/>
      <c r="K3" s="199"/>
      <c r="L3" s="199"/>
      <c r="M3" s="199"/>
      <c r="N3" s="199"/>
      <c r="O3" s="199"/>
      <c r="P3" s="199"/>
    </row>
    <row r="4" spans="1:25" ht="60" customHeight="1">
      <c r="A4" s="3"/>
      <c r="B4" s="5" t="s">
        <v>2</v>
      </c>
      <c r="C4" s="5" t="s">
        <v>3</v>
      </c>
      <c r="D4" s="6" t="s">
        <v>4</v>
      </c>
      <c r="E4" s="200" t="s">
        <v>5</v>
      </c>
      <c r="F4" s="200" t="s">
        <v>6</v>
      </c>
      <c r="G4" s="23" t="s">
        <v>671</v>
      </c>
      <c r="H4" s="23" t="s">
        <v>672</v>
      </c>
      <c r="I4" s="200" t="s">
        <v>673</v>
      </c>
      <c r="J4" s="23" t="s">
        <v>674</v>
      </c>
      <c r="K4" s="23" t="s">
        <v>675</v>
      </c>
      <c r="L4" s="23" t="s">
        <v>676</v>
      </c>
      <c r="M4" s="200" t="s">
        <v>7</v>
      </c>
      <c r="N4" s="200" t="s">
        <v>7</v>
      </c>
      <c r="O4" s="23" t="s">
        <v>677</v>
      </c>
      <c r="P4" s="23" t="s">
        <v>677</v>
      </c>
      <c r="Q4" s="200" t="s">
        <v>8</v>
      </c>
      <c r="R4" s="314" t="s">
        <v>9</v>
      </c>
      <c r="S4" s="23" t="s">
        <v>15</v>
      </c>
      <c r="T4" s="327" t="s">
        <v>17</v>
      </c>
      <c r="U4" s="67" t="s">
        <v>1061</v>
      </c>
      <c r="V4" s="301" t="s">
        <v>1062</v>
      </c>
      <c r="W4" s="67" t="s">
        <v>183</v>
      </c>
      <c r="X4" s="301" t="s">
        <v>194</v>
      </c>
    </row>
    <row r="5" spans="1:25" ht="17.25" customHeight="1">
      <c r="C5" s="7"/>
      <c r="D5" s="7"/>
      <c r="E5" s="69" t="s">
        <v>20</v>
      </c>
      <c r="F5" s="69" t="s">
        <v>20</v>
      </c>
      <c r="G5" s="69" t="s">
        <v>20</v>
      </c>
      <c r="H5" s="69" t="s">
        <v>20</v>
      </c>
      <c r="I5" s="69" t="s">
        <v>20</v>
      </c>
      <c r="J5" s="69" t="s">
        <v>20</v>
      </c>
      <c r="K5" s="69" t="s">
        <v>20</v>
      </c>
      <c r="L5" s="69" t="s">
        <v>20</v>
      </c>
      <c r="M5" s="69" t="s">
        <v>20</v>
      </c>
      <c r="N5" s="69" t="s">
        <v>20</v>
      </c>
      <c r="O5" s="69" t="s">
        <v>20</v>
      </c>
      <c r="P5" s="69" t="s">
        <v>20</v>
      </c>
      <c r="Q5" s="287" t="s">
        <v>20</v>
      </c>
      <c r="R5" s="7"/>
      <c r="S5" s="288" t="s">
        <v>20</v>
      </c>
      <c r="T5" s="69"/>
      <c r="U5" s="69"/>
      <c r="V5" s="212"/>
      <c r="W5" s="69"/>
      <c r="X5" s="212"/>
    </row>
    <row r="6" spans="1:25" ht="20.100000000000001" customHeight="1">
      <c r="A6" s="8" t="s">
        <v>21</v>
      </c>
      <c r="B6" s="7" t="s">
        <v>22</v>
      </c>
      <c r="C6" s="7"/>
      <c r="D6" s="7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287"/>
      <c r="R6" s="7"/>
      <c r="S6" s="288"/>
      <c r="T6" s="69"/>
      <c r="U6" s="69"/>
      <c r="V6" s="212"/>
      <c r="W6" s="69"/>
      <c r="X6" s="212"/>
    </row>
    <row r="7" spans="1:25" ht="20.100000000000001" customHeight="1">
      <c r="A7" s="3">
        <v>3</v>
      </c>
      <c r="B7" s="10" t="s">
        <v>370</v>
      </c>
      <c r="C7" s="3" t="s">
        <v>371</v>
      </c>
      <c r="D7" s="9" t="s">
        <v>372</v>
      </c>
      <c r="E7" s="72">
        <v>26339.3</v>
      </c>
      <c r="F7" s="72"/>
      <c r="G7" s="72">
        <f>E7*300%</f>
        <v>79017.899999999994</v>
      </c>
      <c r="H7" s="72">
        <f>E7*7.5%</f>
        <v>1975.4475</v>
      </c>
      <c r="I7" s="72">
        <v>0</v>
      </c>
      <c r="J7" s="72">
        <f>E7*50%</f>
        <v>13169.65</v>
      </c>
      <c r="K7" s="72">
        <f>E7*350%</f>
        <v>92187.55</v>
      </c>
      <c r="L7" s="72">
        <f>E7*100%</f>
        <v>26339.3</v>
      </c>
      <c r="M7" s="202">
        <v>70000</v>
      </c>
      <c r="N7" s="202"/>
      <c r="O7" s="72">
        <f>E7*10%</f>
        <v>2633.93</v>
      </c>
      <c r="P7" s="72">
        <v>15000</v>
      </c>
      <c r="Q7" s="72"/>
      <c r="R7" s="201">
        <f>SUM(E7:Q7)</f>
        <v>326663.07750000001</v>
      </c>
      <c r="S7" s="72">
        <f>42046.06</f>
        <v>42046.06</v>
      </c>
      <c r="T7" s="72">
        <f>42046.06</f>
        <v>42046.06</v>
      </c>
      <c r="U7" s="72"/>
      <c r="V7" s="213">
        <f>R7-T7</f>
        <v>284617.01750000002</v>
      </c>
      <c r="W7" s="12">
        <v>1</v>
      </c>
      <c r="X7" s="315">
        <f>V7*W7</f>
        <v>284617.01750000002</v>
      </c>
    </row>
    <row r="8" spans="1:25" ht="26.25" customHeight="1">
      <c r="A8" s="9"/>
      <c r="B8" s="19" t="s">
        <v>42</v>
      </c>
      <c r="C8" s="20"/>
      <c r="D8" s="14"/>
      <c r="E8" s="203">
        <f t="shared" ref="E8:P8" si="0">SUM(E7:E7)</f>
        <v>26339.3</v>
      </c>
      <c r="F8" s="203">
        <f t="shared" si="0"/>
        <v>0</v>
      </c>
      <c r="G8" s="203">
        <f t="shared" si="0"/>
        <v>79017.899999999994</v>
      </c>
      <c r="H8" s="203">
        <f t="shared" si="0"/>
        <v>1975.4475</v>
      </c>
      <c r="I8" s="203">
        <f t="shared" si="0"/>
        <v>0</v>
      </c>
      <c r="J8" s="203">
        <f t="shared" si="0"/>
        <v>13169.65</v>
      </c>
      <c r="K8" s="203">
        <f t="shared" si="0"/>
        <v>92187.55</v>
      </c>
      <c r="L8" s="203">
        <f t="shared" si="0"/>
        <v>26339.3</v>
      </c>
      <c r="M8" s="203">
        <f t="shared" si="0"/>
        <v>70000</v>
      </c>
      <c r="N8" s="203">
        <f t="shared" si="0"/>
        <v>0</v>
      </c>
      <c r="O8" s="203">
        <f t="shared" si="0"/>
        <v>2633.93</v>
      </c>
      <c r="P8" s="203">
        <f t="shared" si="0"/>
        <v>15000</v>
      </c>
      <c r="R8" s="328">
        <f>SUM(R7)</f>
        <v>326663.07750000001</v>
      </c>
      <c r="S8" s="203">
        <f>SUM(S7:S7)</f>
        <v>42046.06</v>
      </c>
      <c r="T8" s="203">
        <f>SUM(T7:T7)</f>
        <v>42046.06</v>
      </c>
      <c r="U8" s="203">
        <f>SUM(U7:U7)</f>
        <v>0</v>
      </c>
      <c r="V8" s="214">
        <f>SUM(V7:V7)</f>
        <v>284617.01750000002</v>
      </c>
      <c r="W8" s="203"/>
      <c r="X8" s="214">
        <f>SUM(X7:X7)</f>
        <v>284617.01750000002</v>
      </c>
      <c r="Y8" s="12"/>
    </row>
    <row r="9" spans="1:25" ht="20.100000000000001" customHeight="1">
      <c r="A9" s="9"/>
      <c r="B9" s="13"/>
      <c r="C9" s="3"/>
      <c r="D9" s="9"/>
      <c r="E9" s="203"/>
      <c r="F9" s="203"/>
      <c r="G9" s="203"/>
      <c r="H9" s="203"/>
      <c r="I9" s="203"/>
      <c r="J9" s="203"/>
      <c r="K9" s="203"/>
      <c r="L9" s="202"/>
      <c r="M9" s="202"/>
      <c r="N9" s="203"/>
      <c r="O9" s="203"/>
      <c r="P9" s="203"/>
      <c r="Q9" s="290"/>
      <c r="R9" s="329"/>
      <c r="S9" s="291"/>
      <c r="T9" s="203"/>
      <c r="U9" s="72"/>
      <c r="V9" s="213"/>
      <c r="W9" s="203"/>
      <c r="X9" s="213"/>
      <c r="Y9" s="12"/>
    </row>
    <row r="10" spans="1:25" ht="20.100000000000001" customHeight="1">
      <c r="A10" s="9"/>
      <c r="B10" s="22" t="s">
        <v>1063</v>
      </c>
      <c r="C10" s="4"/>
      <c r="D10" s="23"/>
      <c r="E10" s="203"/>
      <c r="F10" s="203"/>
      <c r="G10" s="72"/>
      <c r="H10" s="72"/>
      <c r="I10" s="72"/>
      <c r="J10" s="72"/>
      <c r="K10" s="72"/>
      <c r="L10" s="202"/>
      <c r="M10" s="202"/>
      <c r="N10" s="72"/>
      <c r="O10" s="72"/>
      <c r="P10" s="72"/>
      <c r="Q10" s="201"/>
      <c r="R10" s="23"/>
      <c r="S10" s="289"/>
      <c r="T10" s="72"/>
      <c r="U10" s="72"/>
      <c r="V10" s="213"/>
      <c r="W10" s="72"/>
      <c r="X10" s="213"/>
      <c r="Y10" s="12"/>
    </row>
    <row r="11" spans="1:25" ht="21.6" customHeight="1">
      <c r="A11" s="9">
        <v>10</v>
      </c>
      <c r="B11" s="10" t="s">
        <v>445</v>
      </c>
      <c r="C11" s="3" t="s">
        <v>64</v>
      </c>
      <c r="D11" s="9" t="s">
        <v>37</v>
      </c>
      <c r="E11" s="72">
        <v>17286.330000000002</v>
      </c>
      <c r="F11" s="72"/>
      <c r="G11" s="72">
        <f t="shared" ref="G11" si="1">E11*300%</f>
        <v>51858.99</v>
      </c>
      <c r="H11" s="72">
        <f t="shared" ref="H11" si="2">E11*7.5%</f>
        <v>1296.4747500000001</v>
      </c>
      <c r="I11" s="72"/>
      <c r="J11" s="72">
        <f t="shared" ref="J11" si="3">E11*50%</f>
        <v>8643.1650000000009</v>
      </c>
      <c r="K11" s="72">
        <f t="shared" ref="K11" si="4">E11*350%</f>
        <v>60502.154999999999</v>
      </c>
      <c r="L11" s="72">
        <f t="shared" ref="L11" si="5">E11*100%</f>
        <v>17286.330000000002</v>
      </c>
      <c r="M11" s="202">
        <v>100000</v>
      </c>
      <c r="N11" s="202"/>
      <c r="O11" s="72">
        <f t="shared" ref="O11" si="6">E11*10%</f>
        <v>1728.633</v>
      </c>
      <c r="P11" s="72">
        <v>10000</v>
      </c>
      <c r="Q11" s="72"/>
      <c r="R11" s="201">
        <f t="shared" ref="R11" si="7">SUM(E11:Q11)</f>
        <v>268602.07775</v>
      </c>
      <c r="S11" s="72">
        <f>32291.82</f>
        <v>32291.82</v>
      </c>
      <c r="T11" s="72">
        <f>32291.82</f>
        <v>32291.82</v>
      </c>
      <c r="U11" s="72"/>
      <c r="V11" s="213">
        <f>R11-T11</f>
        <v>236310.25774999999</v>
      </c>
      <c r="W11" s="12">
        <f>(25/31)+2</f>
        <v>2.80645161290323</v>
      </c>
      <c r="X11" s="1">
        <f>V11*W11</f>
        <v>663193.30400806502</v>
      </c>
    </row>
    <row r="12" spans="1:25" ht="25.5" customHeight="1">
      <c r="A12" s="9"/>
      <c r="B12" s="19" t="s">
        <v>42</v>
      </c>
      <c r="C12" s="20"/>
      <c r="D12" s="20"/>
      <c r="E12" s="80">
        <f t="shared" ref="E12:X12" si="8">SUM(E11:E11)</f>
        <v>17286.330000000002</v>
      </c>
      <c r="F12" s="80">
        <f t="shared" si="8"/>
        <v>0</v>
      </c>
      <c r="G12" s="80">
        <f t="shared" si="8"/>
        <v>51858.99</v>
      </c>
      <c r="H12" s="80">
        <f t="shared" si="8"/>
        <v>1296.4747500000001</v>
      </c>
      <c r="I12" s="80">
        <f t="shared" si="8"/>
        <v>0</v>
      </c>
      <c r="J12" s="80">
        <f t="shared" si="8"/>
        <v>8643.1650000000009</v>
      </c>
      <c r="K12" s="80">
        <f t="shared" si="8"/>
        <v>60502.154999999999</v>
      </c>
      <c r="L12" s="80">
        <f t="shared" si="8"/>
        <v>17286.330000000002</v>
      </c>
      <c r="M12" s="80">
        <f t="shared" si="8"/>
        <v>100000</v>
      </c>
      <c r="N12" s="80">
        <f t="shared" si="8"/>
        <v>0</v>
      </c>
      <c r="O12" s="80">
        <f t="shared" si="8"/>
        <v>1728.633</v>
      </c>
      <c r="P12" s="80">
        <f t="shared" si="8"/>
        <v>10000</v>
      </c>
      <c r="Q12" s="80">
        <f t="shared" si="8"/>
        <v>0</v>
      </c>
      <c r="R12" s="80">
        <f t="shared" si="8"/>
        <v>268602.07775</v>
      </c>
      <c r="S12" s="80">
        <f t="shared" si="8"/>
        <v>32291.82</v>
      </c>
      <c r="T12" s="80">
        <f t="shared" si="8"/>
        <v>32291.82</v>
      </c>
      <c r="U12" s="80">
        <f t="shared" si="8"/>
        <v>0</v>
      </c>
      <c r="V12" s="80">
        <f t="shared" si="8"/>
        <v>236310.25774999999</v>
      </c>
      <c r="W12" s="80">
        <f t="shared" si="8"/>
        <v>2.80645161290323</v>
      </c>
      <c r="X12" s="80">
        <f t="shared" si="8"/>
        <v>663193.30400806502</v>
      </c>
      <c r="Y12" s="12"/>
    </row>
    <row r="13" spans="1:25" ht="20.100000000000001" customHeight="1">
      <c r="A13" s="9"/>
      <c r="B13" s="19"/>
      <c r="C13" s="20"/>
      <c r="D13" s="20"/>
      <c r="E13" s="134"/>
      <c r="F13" s="134"/>
      <c r="G13" s="134"/>
      <c r="H13" s="134"/>
      <c r="I13" s="134"/>
      <c r="J13" s="134"/>
      <c r="K13" s="134"/>
      <c r="L13" s="202"/>
      <c r="M13" s="202"/>
      <c r="N13" s="134"/>
      <c r="O13" s="134"/>
      <c r="P13" s="134"/>
      <c r="Q13" s="292"/>
      <c r="R13" s="20"/>
      <c r="S13" s="293"/>
      <c r="T13" s="134"/>
      <c r="U13" s="72"/>
      <c r="V13" s="213"/>
      <c r="W13" s="134"/>
      <c r="X13" s="213"/>
      <c r="Y13" s="12"/>
    </row>
    <row r="14" spans="1:25" ht="19.5" customHeight="1">
      <c r="A14" s="3"/>
      <c r="B14" s="29" t="s">
        <v>125</v>
      </c>
      <c r="C14" s="30"/>
      <c r="D14" s="31"/>
      <c r="E14" s="209">
        <f>E8+E12</f>
        <v>43625.63</v>
      </c>
      <c r="F14" s="209">
        <f t="shared" ref="F14:X14" si="9">F8+F12</f>
        <v>0</v>
      </c>
      <c r="G14" s="209">
        <f t="shared" si="9"/>
        <v>130876.89</v>
      </c>
      <c r="H14" s="209">
        <f t="shared" si="9"/>
        <v>3271.9222500000001</v>
      </c>
      <c r="I14" s="209">
        <f t="shared" si="9"/>
        <v>0</v>
      </c>
      <c r="J14" s="209">
        <f t="shared" si="9"/>
        <v>21812.814999999999</v>
      </c>
      <c r="K14" s="209">
        <f t="shared" si="9"/>
        <v>152689.70499999999</v>
      </c>
      <c r="L14" s="209">
        <f t="shared" si="9"/>
        <v>43625.63</v>
      </c>
      <c r="M14" s="209">
        <f t="shared" si="9"/>
        <v>170000</v>
      </c>
      <c r="N14" s="209">
        <f t="shared" si="9"/>
        <v>0</v>
      </c>
      <c r="O14" s="209">
        <f t="shared" si="9"/>
        <v>4362.5630000000001</v>
      </c>
      <c r="P14" s="209">
        <f t="shared" si="9"/>
        <v>25000</v>
      </c>
      <c r="Q14" s="209">
        <f t="shared" si="9"/>
        <v>0</v>
      </c>
      <c r="R14" s="209">
        <f t="shared" si="9"/>
        <v>595265.15524999995</v>
      </c>
      <c r="S14" s="209">
        <f t="shared" si="9"/>
        <v>74337.88</v>
      </c>
      <c r="T14" s="209">
        <f t="shared" si="9"/>
        <v>74337.88</v>
      </c>
      <c r="U14" s="209">
        <f t="shared" si="9"/>
        <v>0</v>
      </c>
      <c r="V14" s="209">
        <f t="shared" si="9"/>
        <v>520927.27525000001</v>
      </c>
      <c r="W14" s="209"/>
      <c r="X14" s="209">
        <f t="shared" si="9"/>
        <v>947810.32150806498</v>
      </c>
      <c r="Y14" s="12"/>
    </row>
    <row r="15" spans="1:25" ht="20.100000000000001" customHeight="1">
      <c r="A15" s="2"/>
      <c r="B15" s="32"/>
      <c r="C15" s="2"/>
      <c r="D15" s="33"/>
      <c r="E15" s="33"/>
      <c r="F15" s="33"/>
      <c r="G15" s="33"/>
      <c r="H15" s="33"/>
      <c r="I15" s="210"/>
      <c r="J15" s="210"/>
      <c r="K15" s="210"/>
      <c r="L15" s="210"/>
      <c r="M15" s="210"/>
      <c r="N15" s="210"/>
      <c r="O15" s="210"/>
      <c r="P15" s="210"/>
      <c r="Q15" s="210"/>
      <c r="R15" s="210"/>
      <c r="S15" s="298"/>
      <c r="T15" s="211"/>
      <c r="U15" s="211"/>
      <c r="V15" s="211"/>
      <c r="W15" s="211"/>
      <c r="X15" s="211"/>
      <c r="Y15" s="34"/>
    </row>
    <row r="16" spans="1:25" ht="36.75" customHeight="1">
      <c r="A16" s="2"/>
      <c r="B16" s="32"/>
      <c r="C16" s="33"/>
      <c r="D16" s="33"/>
      <c r="E16" s="33"/>
      <c r="F16" s="33"/>
      <c r="G16" s="33"/>
      <c r="H16" s="33"/>
      <c r="I16" s="210"/>
      <c r="J16" s="210"/>
      <c r="K16" s="210"/>
      <c r="L16" s="210"/>
      <c r="M16" s="210"/>
      <c r="N16" s="210"/>
      <c r="O16" s="210"/>
      <c r="Q16" s="210"/>
      <c r="R16" s="210"/>
      <c r="S16" s="298"/>
      <c r="T16" s="211"/>
      <c r="U16" s="211"/>
      <c r="V16" s="211"/>
      <c r="W16" s="211"/>
      <c r="X16" s="211"/>
    </row>
    <row r="19" spans="17:18" ht="20.100000000000001" customHeight="1">
      <c r="Q19" s="34"/>
      <c r="R19" s="34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14" max="27" man="1"/>
  </rowBreaks>
  <colBreaks count="1" manualBreakCount="1">
    <brk id="13" max="46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1"/>
  <sheetViews>
    <sheetView zoomScale="90" zoomScaleNormal="90" zoomScaleSheetLayoutView="50" workbookViewId="0">
      <pane xSplit="3" ySplit="6" topLeftCell="Z7" activePane="bottomRight" state="frozen"/>
      <selection pane="topRight"/>
      <selection pane="bottomLeft"/>
      <selection pane="bottomRight" activeCell="AE8" sqref="AE8:AE10"/>
    </sheetView>
  </sheetViews>
  <sheetFormatPr defaultColWidth="9.140625" defaultRowHeight="20.100000000000001" customHeight="1"/>
  <cols>
    <col min="1" max="1" width="5.42578125" style="1" customWidth="1"/>
    <col min="2" max="2" width="37.140625" style="1" customWidth="1"/>
    <col min="3" max="3" width="37.285156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18" width="19.28515625" style="1" customWidth="1"/>
    <col min="19" max="19" width="20.42578125" style="278" customWidth="1"/>
    <col min="20" max="20" width="16.42578125" style="1" customWidth="1"/>
    <col min="21" max="22" width="17.7109375" style="1" customWidth="1"/>
    <col min="23" max="23" width="14.5703125" style="1" customWidth="1"/>
    <col min="24" max="24" width="17.85546875" style="1" customWidth="1"/>
    <col min="25" max="25" width="21.7109375" style="1" customWidth="1"/>
    <col min="26" max="26" width="18.85546875" style="1" customWidth="1"/>
    <col min="27" max="27" width="17.7109375" style="1" customWidth="1"/>
    <col min="28" max="28" width="15.7109375" style="1" customWidth="1"/>
    <col min="29" max="29" width="18.28515625" style="1" customWidth="1"/>
    <col min="30" max="30" width="17.7109375" style="1" customWidth="1"/>
    <col min="31" max="31" width="19.85546875" style="1" customWidth="1"/>
    <col min="32" max="16384" width="9.140625" style="1"/>
  </cols>
  <sheetData>
    <row r="1" spans="1:31" ht="27" customHeight="1">
      <c r="A1" s="838" t="s">
        <v>0</v>
      </c>
      <c r="B1" s="838"/>
      <c r="C1" s="838"/>
      <c r="D1" s="838"/>
      <c r="E1" s="838"/>
      <c r="F1" s="838"/>
      <c r="G1" s="199">
        <f>'[1]FEB 08'!F8/'[1]FEB 08'!Q8</f>
        <v>0.3</v>
      </c>
      <c r="H1" s="199"/>
      <c r="I1" s="199"/>
      <c r="J1" s="199"/>
      <c r="K1" s="199"/>
      <c r="L1" s="199"/>
      <c r="M1" s="199"/>
      <c r="N1" s="199"/>
      <c r="O1" s="199"/>
      <c r="P1" s="199"/>
    </row>
    <row r="2" spans="1:31" ht="33.75" customHeight="1">
      <c r="A2" s="63" t="s">
        <v>1037</v>
      </c>
      <c r="B2" s="64"/>
      <c r="C2" s="63"/>
      <c r="D2" s="63"/>
      <c r="E2" s="198"/>
      <c r="F2" s="198"/>
      <c r="G2" s="279"/>
      <c r="H2" s="279"/>
      <c r="I2" s="279"/>
      <c r="J2" s="279"/>
      <c r="K2" s="279"/>
      <c r="L2" s="279"/>
      <c r="M2" s="279"/>
      <c r="N2" s="279"/>
      <c r="O2" s="279"/>
      <c r="P2" s="279"/>
      <c r="Q2" s="65"/>
      <c r="R2" s="65"/>
      <c r="S2" s="285"/>
      <c r="T2" s="65"/>
      <c r="U2" s="65"/>
      <c r="V2" s="65"/>
      <c r="W2" s="65"/>
      <c r="X2" s="65"/>
    </row>
    <row r="3" spans="1:31" ht="9.75" customHeight="1">
      <c r="A3" s="2"/>
      <c r="B3" s="2"/>
      <c r="C3" s="2"/>
      <c r="D3" s="2"/>
      <c r="E3" s="199" t="e">
        <f>'[1]FEB 08'!E11/'[1]FEB 08'!M11</f>
        <v>#REF!</v>
      </c>
      <c r="F3" s="199"/>
      <c r="G3" s="199" t="e">
        <f>'[1]FEB 08'!F11/'[1]FEB 08'!Q11</f>
        <v>#REF!</v>
      </c>
      <c r="H3" s="199"/>
      <c r="I3" s="199"/>
      <c r="J3" s="199"/>
      <c r="K3" s="199"/>
      <c r="L3" s="199"/>
      <c r="M3" s="199"/>
      <c r="N3" s="199"/>
      <c r="O3" s="199"/>
      <c r="P3" s="199"/>
    </row>
    <row r="4" spans="1:31" ht="62.25" customHeight="1">
      <c r="A4" s="3"/>
      <c r="B4" s="4" t="s">
        <v>2</v>
      </c>
      <c r="C4" s="5" t="s">
        <v>3</v>
      </c>
      <c r="D4" s="6" t="s">
        <v>4</v>
      </c>
      <c r="E4" s="200" t="s">
        <v>5</v>
      </c>
      <c r="F4" s="200" t="s">
        <v>6</v>
      </c>
      <c r="G4" s="23" t="s">
        <v>671</v>
      </c>
      <c r="H4" s="23" t="s">
        <v>672</v>
      </c>
      <c r="I4" s="200" t="s">
        <v>673</v>
      </c>
      <c r="J4" s="23" t="s">
        <v>674</v>
      </c>
      <c r="K4" s="23" t="s">
        <v>675</v>
      </c>
      <c r="L4" s="23" t="s">
        <v>676</v>
      </c>
      <c r="M4" s="200" t="s">
        <v>7</v>
      </c>
      <c r="N4" s="200" t="s">
        <v>7</v>
      </c>
      <c r="O4" s="23" t="s">
        <v>677</v>
      </c>
      <c r="P4" s="23" t="s">
        <v>677</v>
      </c>
      <c r="Q4" s="200" t="s">
        <v>8</v>
      </c>
      <c r="R4" s="314" t="s">
        <v>9</v>
      </c>
      <c r="S4" s="6" t="s">
        <v>1039</v>
      </c>
      <c r="T4" s="286" t="s">
        <v>647</v>
      </c>
      <c r="U4" s="67" t="s">
        <v>1040</v>
      </c>
      <c r="V4" s="67" t="s">
        <v>1041</v>
      </c>
      <c r="W4" s="67" t="s">
        <v>1042</v>
      </c>
      <c r="X4" s="67" t="s">
        <v>1043</v>
      </c>
      <c r="Y4" s="67" t="s">
        <v>621</v>
      </c>
      <c r="Z4" s="299" t="s">
        <v>1044</v>
      </c>
      <c r="AA4" s="300" t="s">
        <v>1045</v>
      </c>
      <c r="AB4" s="67" t="s">
        <v>183</v>
      </c>
      <c r="AC4" s="301" t="s">
        <v>194</v>
      </c>
      <c r="AD4" s="301" t="s">
        <v>1064</v>
      </c>
      <c r="AE4" s="301" t="s">
        <v>1065</v>
      </c>
    </row>
    <row r="5" spans="1:31" ht="17.25" customHeight="1">
      <c r="C5" s="7"/>
      <c r="D5" s="7"/>
      <c r="E5" s="69" t="s">
        <v>20</v>
      </c>
      <c r="F5" s="69" t="s">
        <v>20</v>
      </c>
      <c r="G5" s="69" t="s">
        <v>20</v>
      </c>
      <c r="H5" s="69" t="s">
        <v>20</v>
      </c>
      <c r="I5" s="69" t="s">
        <v>20</v>
      </c>
      <c r="J5" s="69" t="s">
        <v>20</v>
      </c>
      <c r="K5" s="69" t="s">
        <v>20</v>
      </c>
      <c r="L5" s="69" t="s">
        <v>20</v>
      </c>
      <c r="M5" s="69" t="s">
        <v>20</v>
      </c>
      <c r="N5" s="69" t="s">
        <v>20</v>
      </c>
      <c r="O5" s="69" t="s">
        <v>20</v>
      </c>
      <c r="P5" s="69" t="s">
        <v>20</v>
      </c>
      <c r="Q5" s="287" t="s">
        <v>20</v>
      </c>
      <c r="R5" s="7"/>
      <c r="S5" s="288" t="s">
        <v>20</v>
      </c>
      <c r="T5" s="69"/>
      <c r="U5" s="69"/>
      <c r="V5" s="212"/>
      <c r="W5" s="69"/>
      <c r="X5" s="212"/>
    </row>
    <row r="6" spans="1:31" ht="20.100000000000001" customHeight="1">
      <c r="A6" s="8" t="s">
        <v>21</v>
      </c>
      <c r="B6" s="7" t="s">
        <v>1066</v>
      </c>
      <c r="C6" s="7"/>
      <c r="D6" s="7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287"/>
      <c r="R6" s="7"/>
      <c r="S6" s="288"/>
      <c r="T6" s="69"/>
      <c r="U6" s="69"/>
      <c r="V6" s="212"/>
      <c r="W6" s="69"/>
      <c r="X6" s="212"/>
    </row>
    <row r="7" spans="1:31" ht="20.100000000000001" customHeight="1">
      <c r="A7" s="3"/>
      <c r="B7" s="10"/>
      <c r="C7" s="3"/>
      <c r="D7" s="9"/>
      <c r="E7" s="72"/>
      <c r="F7" s="72"/>
      <c r="G7" s="72"/>
      <c r="H7" s="72"/>
      <c r="I7" s="72"/>
      <c r="J7" s="72"/>
      <c r="K7" s="72"/>
      <c r="L7" s="72"/>
      <c r="M7" s="202"/>
      <c r="N7" s="202"/>
      <c r="O7" s="72"/>
      <c r="P7" s="72"/>
      <c r="Q7" s="72"/>
      <c r="R7" s="201"/>
      <c r="S7" s="72"/>
      <c r="T7" s="72"/>
      <c r="U7" s="72"/>
      <c r="V7" s="213"/>
      <c r="W7" s="12"/>
      <c r="X7" s="315"/>
    </row>
    <row r="8" spans="1:31" s="306" customFormat="1" ht="20.100000000000001" customHeight="1">
      <c r="A8" s="307">
        <v>40</v>
      </c>
      <c r="B8" s="308" t="s">
        <v>578</v>
      </c>
      <c r="C8" s="309" t="s">
        <v>579</v>
      </c>
      <c r="D8" s="310" t="s">
        <v>580</v>
      </c>
      <c r="E8" s="311">
        <v>5428.12</v>
      </c>
      <c r="F8" s="312"/>
      <c r="G8" s="311">
        <f t="shared" ref="G8:G10" si="0">E8*300%</f>
        <v>16284.36</v>
      </c>
      <c r="H8" s="311">
        <f t="shared" ref="H8:H10" si="1">E8*7.5%</f>
        <v>407.10899999999998</v>
      </c>
      <c r="I8" s="311"/>
      <c r="J8" s="311">
        <f t="shared" ref="J8:J10" si="2">E8*50%</f>
        <v>2714.06</v>
      </c>
      <c r="K8" s="311">
        <f t="shared" ref="K8:K10" si="3">E8*350%</f>
        <v>18998.419999999998</v>
      </c>
      <c r="L8" s="311">
        <f t="shared" ref="L8:L10" si="4">E8*100%</f>
        <v>5428.12</v>
      </c>
      <c r="M8" s="312"/>
      <c r="N8" s="312">
        <f>20000</f>
        <v>20000</v>
      </c>
      <c r="O8" s="311">
        <f t="shared" ref="O8:O10" si="5">E8*10%</f>
        <v>542.81200000000001</v>
      </c>
      <c r="P8" s="311">
        <v>5000</v>
      </c>
      <c r="Q8" s="311">
        <f>7000</f>
        <v>7000</v>
      </c>
      <c r="R8" s="311">
        <f t="shared" ref="R8:R10" si="6">SUM(E8:Q8)</f>
        <v>81803.001000000004</v>
      </c>
      <c r="S8" s="316" t="s">
        <v>580</v>
      </c>
      <c r="T8" s="311">
        <f>122105</f>
        <v>122105</v>
      </c>
      <c r="U8" s="311">
        <f>T8-R8</f>
        <v>40301.999000000003</v>
      </c>
      <c r="V8" s="311"/>
      <c r="W8" s="311"/>
      <c r="X8" s="72">
        <v>4365.3307546666701</v>
      </c>
      <c r="Y8" s="311">
        <f>9152.6</f>
        <v>9152.6</v>
      </c>
      <c r="Z8" s="213">
        <f>Y8-X8</f>
        <v>4787.2692453333302</v>
      </c>
      <c r="AA8" s="320">
        <f>U8-Z8</f>
        <v>35514.729754666703</v>
      </c>
      <c r="AB8" s="321">
        <f>(11/31)+3</f>
        <v>3.3548387096774199</v>
      </c>
      <c r="AC8" s="322">
        <f>AA8*AB8</f>
        <v>119146.19014468799</v>
      </c>
      <c r="AD8" s="54">
        <f>66227.57</f>
        <v>66227.570000000007</v>
      </c>
      <c r="AE8" s="323">
        <f>AC8-AD8</f>
        <v>52918.620144688102</v>
      </c>
    </row>
    <row r="9" spans="1:31" s="306" customFormat="1" ht="20.100000000000001" customHeight="1">
      <c r="A9" s="307">
        <v>41</v>
      </c>
      <c r="B9" s="308" t="s">
        <v>581</v>
      </c>
      <c r="C9" s="309" t="s">
        <v>579</v>
      </c>
      <c r="D9" s="310" t="s">
        <v>580</v>
      </c>
      <c r="E9" s="311">
        <v>5428.12</v>
      </c>
      <c r="F9" s="312"/>
      <c r="G9" s="311">
        <f t="shared" si="0"/>
        <v>16284.36</v>
      </c>
      <c r="H9" s="311">
        <f t="shared" si="1"/>
        <v>407.10899999999998</v>
      </c>
      <c r="I9" s="311"/>
      <c r="J9" s="311">
        <f t="shared" si="2"/>
        <v>2714.06</v>
      </c>
      <c r="K9" s="311">
        <f t="shared" si="3"/>
        <v>18998.419999999998</v>
      </c>
      <c r="L9" s="311">
        <f t="shared" si="4"/>
        <v>5428.12</v>
      </c>
      <c r="M9" s="312"/>
      <c r="N9" s="312">
        <f>20000</f>
        <v>20000</v>
      </c>
      <c r="O9" s="311">
        <f t="shared" si="5"/>
        <v>542.81200000000001</v>
      </c>
      <c r="P9" s="311">
        <v>5000</v>
      </c>
      <c r="Q9" s="311">
        <f>7000</f>
        <v>7000</v>
      </c>
      <c r="R9" s="311">
        <f t="shared" si="6"/>
        <v>81803.001000000004</v>
      </c>
      <c r="S9" s="316" t="s">
        <v>580</v>
      </c>
      <c r="T9" s="311">
        <f t="shared" ref="T9:T10" si="7">122105</f>
        <v>122105</v>
      </c>
      <c r="U9" s="311">
        <f t="shared" ref="U9:U10" si="8">T9-R9</f>
        <v>40301.999000000003</v>
      </c>
      <c r="V9" s="311"/>
      <c r="W9" s="311"/>
      <c r="X9" s="72">
        <f>4365.33075466667</f>
        <v>4365.3307546666701</v>
      </c>
      <c r="Y9" s="311">
        <f t="shared" ref="Y9:Y10" si="9">9152.6</f>
        <v>9152.6</v>
      </c>
      <c r="Z9" s="213">
        <f t="shared" ref="Z9:Z10" si="10">Y9-X9</f>
        <v>4787.2692453333302</v>
      </c>
      <c r="AA9" s="320">
        <f t="shared" ref="AA9:AA10" si="11">U9-Z9</f>
        <v>35514.729754666703</v>
      </c>
      <c r="AB9" s="321">
        <f>(17/31)+2</f>
        <v>2.54838709677419</v>
      </c>
      <c r="AC9" s="322">
        <f t="shared" ref="AC9:AC10" si="12">AA9*AB9</f>
        <v>90505.279052215003</v>
      </c>
      <c r="AD9" s="213">
        <v>44151.71</v>
      </c>
      <c r="AE9" s="323">
        <f t="shared" ref="AE9:AE10" si="13">AC9-AD9</f>
        <v>46353.569052215003</v>
      </c>
    </row>
    <row r="10" spans="1:31" s="306" customFormat="1" ht="20.100000000000001" customHeight="1">
      <c r="A10" s="307">
        <v>42</v>
      </c>
      <c r="B10" s="313" t="s">
        <v>582</v>
      </c>
      <c r="C10" s="309" t="s">
        <v>579</v>
      </c>
      <c r="D10" s="310" t="s">
        <v>580</v>
      </c>
      <c r="E10" s="311">
        <v>5598.92</v>
      </c>
      <c r="F10" s="312"/>
      <c r="G10" s="311">
        <f t="shared" si="0"/>
        <v>16796.759999999998</v>
      </c>
      <c r="H10" s="311">
        <f t="shared" si="1"/>
        <v>419.91899999999998</v>
      </c>
      <c r="I10" s="311"/>
      <c r="J10" s="311">
        <f t="shared" si="2"/>
        <v>2799.46</v>
      </c>
      <c r="K10" s="311">
        <f t="shared" si="3"/>
        <v>19596.22</v>
      </c>
      <c r="L10" s="311">
        <f t="shared" si="4"/>
        <v>5598.92</v>
      </c>
      <c r="M10" s="312"/>
      <c r="N10" s="312">
        <f>20000</f>
        <v>20000</v>
      </c>
      <c r="O10" s="311">
        <f t="shared" si="5"/>
        <v>559.89200000000005</v>
      </c>
      <c r="P10" s="311">
        <v>5000</v>
      </c>
      <c r="Q10" s="311">
        <f>7000</f>
        <v>7000</v>
      </c>
      <c r="R10" s="311">
        <f t="shared" si="6"/>
        <v>83370.091</v>
      </c>
      <c r="S10" s="316" t="s">
        <v>580</v>
      </c>
      <c r="T10" s="311">
        <f t="shared" si="7"/>
        <v>122105</v>
      </c>
      <c r="U10" s="311">
        <f t="shared" si="8"/>
        <v>38734.909</v>
      </c>
      <c r="V10" s="311"/>
      <c r="W10" s="311"/>
      <c r="X10" s="72">
        <v>4504.4109200000003</v>
      </c>
      <c r="Y10" s="311">
        <f t="shared" si="9"/>
        <v>9152.6</v>
      </c>
      <c r="Z10" s="213">
        <f t="shared" si="10"/>
        <v>4648.1890800000001</v>
      </c>
      <c r="AA10" s="320">
        <f t="shared" si="11"/>
        <v>34086.719920000003</v>
      </c>
      <c r="AB10" s="321">
        <v>9</v>
      </c>
      <c r="AC10" s="322">
        <f t="shared" si="12"/>
        <v>306780.47928000003</v>
      </c>
      <c r="AD10" s="213">
        <v>216693.09</v>
      </c>
      <c r="AE10" s="323">
        <f t="shared" si="13"/>
        <v>90087.389280000003</v>
      </c>
    </row>
    <row r="11" spans="1:31" s="306" customFormat="1" ht="20.100000000000001" customHeight="1">
      <c r="A11" s="307"/>
      <c r="B11" s="313"/>
      <c r="C11" s="309"/>
      <c r="D11" s="310"/>
      <c r="E11" s="311"/>
      <c r="F11" s="312"/>
      <c r="G11" s="311"/>
      <c r="H11" s="311"/>
      <c r="I11" s="311"/>
      <c r="J11" s="311"/>
      <c r="K11" s="311"/>
      <c r="L11" s="311"/>
      <c r="M11" s="312"/>
      <c r="N11" s="312"/>
      <c r="O11" s="311"/>
      <c r="P11" s="311"/>
      <c r="Q11" s="311"/>
      <c r="R11" s="311"/>
      <c r="S11" s="311"/>
      <c r="T11" s="311"/>
      <c r="U11" s="311"/>
      <c r="V11" s="311"/>
      <c r="W11" s="317"/>
      <c r="X11" s="318"/>
      <c r="Y11" s="317"/>
      <c r="Z11" s="324"/>
      <c r="AA11" s="325"/>
      <c r="AE11" s="326">
        <f>SUM(AE8:AE10)</f>
        <v>189359.578476903</v>
      </c>
    </row>
    <row r="12" spans="1:31" ht="21.6" customHeight="1">
      <c r="A12" s="9"/>
      <c r="B12" s="10"/>
      <c r="C12" s="3"/>
      <c r="D12" s="9"/>
      <c r="E12" s="72"/>
      <c r="F12" s="72"/>
      <c r="G12" s="72"/>
      <c r="H12" s="72"/>
      <c r="I12" s="72"/>
      <c r="J12" s="72"/>
      <c r="K12" s="72"/>
      <c r="L12" s="72"/>
      <c r="M12" s="202"/>
      <c r="N12" s="202"/>
      <c r="O12" s="72"/>
      <c r="P12" s="72"/>
      <c r="Q12" s="72"/>
      <c r="R12" s="201"/>
      <c r="S12" s="72"/>
      <c r="T12" s="72"/>
      <c r="U12" s="72"/>
      <c r="V12" s="213"/>
      <c r="W12" s="12"/>
    </row>
    <row r="13" spans="1:31" s="306" customFormat="1" ht="20.100000000000001" customHeight="1">
      <c r="A13" s="307">
        <v>40</v>
      </c>
      <c r="B13" s="308" t="s">
        <v>578</v>
      </c>
      <c r="C13" s="309" t="s">
        <v>579</v>
      </c>
      <c r="D13" s="310" t="s">
        <v>580</v>
      </c>
      <c r="E13" s="311">
        <f>8730.79</f>
        <v>8730.7900000000009</v>
      </c>
      <c r="F13" s="312"/>
      <c r="G13" s="311">
        <f t="shared" ref="G13:G15" si="14">E13*300%</f>
        <v>26192.37</v>
      </c>
      <c r="H13" s="311">
        <f t="shared" ref="H13:H15" si="15">E13*7.5%</f>
        <v>654.80925000000002</v>
      </c>
      <c r="I13" s="311"/>
      <c r="J13" s="311">
        <f t="shared" ref="J13:J15" si="16">E13*50%</f>
        <v>4365.3950000000004</v>
      </c>
      <c r="K13" s="311">
        <f t="shared" ref="K13:K15" si="17">E13*350%</f>
        <v>30557.764999999999</v>
      </c>
      <c r="L13" s="311">
        <f t="shared" ref="L13:L15" si="18">E13*100%</f>
        <v>8730.7900000000009</v>
      </c>
      <c r="M13" s="312"/>
      <c r="N13" s="312">
        <v>30000</v>
      </c>
      <c r="O13" s="311">
        <f t="shared" ref="O13:O15" si="19">E13*10%</f>
        <v>873.07899999999995</v>
      </c>
      <c r="P13" s="311">
        <v>5000</v>
      </c>
      <c r="Q13" s="311">
        <f>7000</f>
        <v>7000</v>
      </c>
      <c r="R13" s="311">
        <f t="shared" ref="R13:R14" si="20">SUM(E13:Q13)</f>
        <v>122104.99825</v>
      </c>
      <c r="S13" s="311"/>
      <c r="T13" s="311">
        <f>10000+5000+5000</f>
        <v>20000</v>
      </c>
      <c r="U13" s="311">
        <f>15625</f>
        <v>15625</v>
      </c>
      <c r="V13" s="311"/>
      <c r="W13" s="311">
        <f>[12]PROMOTIONS!$X$42</f>
        <v>8312.59</v>
      </c>
      <c r="X13" s="319">
        <f t="shared" ref="X13:X15" si="21">W13+V13+U13+T13+S13</f>
        <v>43937.59</v>
      </c>
      <c r="Y13" s="311">
        <v>106043.967849548</v>
      </c>
      <c r="Z13" s="213">
        <f t="shared" ref="Z13:Z15" si="22">R13-X13</f>
        <v>78167.408249999993</v>
      </c>
      <c r="AA13" s="325"/>
    </row>
    <row r="14" spans="1:31" s="306" customFormat="1" ht="20.100000000000001" customHeight="1">
      <c r="A14" s="307">
        <v>41</v>
      </c>
      <c r="B14" s="308" t="s">
        <v>581</v>
      </c>
      <c r="C14" s="309" t="s">
        <v>579</v>
      </c>
      <c r="D14" s="310" t="s">
        <v>580</v>
      </c>
      <c r="E14" s="311">
        <f t="shared" ref="E14:E15" si="23">8730.79</f>
        <v>8730.7900000000009</v>
      </c>
      <c r="F14" s="312"/>
      <c r="G14" s="311">
        <f t="shared" si="14"/>
        <v>26192.37</v>
      </c>
      <c r="H14" s="311">
        <f t="shared" si="15"/>
        <v>654.80925000000002</v>
      </c>
      <c r="I14" s="311"/>
      <c r="J14" s="311">
        <f t="shared" si="16"/>
        <v>4365.3950000000004</v>
      </c>
      <c r="K14" s="311">
        <f t="shared" si="17"/>
        <v>30557.764999999999</v>
      </c>
      <c r="L14" s="311">
        <f t="shared" si="18"/>
        <v>8730.7900000000009</v>
      </c>
      <c r="M14" s="312"/>
      <c r="N14" s="312">
        <v>30000</v>
      </c>
      <c r="O14" s="311">
        <f t="shared" si="19"/>
        <v>873.07899999999995</v>
      </c>
      <c r="P14" s="311">
        <v>5000</v>
      </c>
      <c r="Q14" s="311">
        <f>7000</f>
        <v>7000</v>
      </c>
      <c r="R14" s="311">
        <f t="shared" si="20"/>
        <v>122104.99825</v>
      </c>
      <c r="S14" s="311"/>
      <c r="T14" s="311">
        <v>20000</v>
      </c>
      <c r="U14" s="311">
        <v>18333.330000000002</v>
      </c>
      <c r="V14" s="311"/>
      <c r="W14" s="311">
        <f>[12]PROMOTIONS!$X$42</f>
        <v>8312.59</v>
      </c>
      <c r="X14" s="319">
        <f t="shared" si="21"/>
        <v>46645.919999999998</v>
      </c>
      <c r="Y14" s="311">
        <v>80609.452233032207</v>
      </c>
      <c r="Z14" s="213">
        <f t="shared" si="22"/>
        <v>75459.078250000006</v>
      </c>
      <c r="AA14" s="325"/>
    </row>
    <row r="15" spans="1:31" s="306" customFormat="1" ht="20.100000000000001" customHeight="1">
      <c r="A15" s="307">
        <v>42</v>
      </c>
      <c r="B15" s="313" t="s">
        <v>582</v>
      </c>
      <c r="C15" s="309" t="s">
        <v>579</v>
      </c>
      <c r="D15" s="310" t="s">
        <v>580</v>
      </c>
      <c r="E15" s="311">
        <f t="shared" si="23"/>
        <v>8730.7900000000009</v>
      </c>
      <c r="F15" s="312"/>
      <c r="G15" s="311">
        <f t="shared" si="14"/>
        <v>26192.37</v>
      </c>
      <c r="H15" s="311">
        <f t="shared" si="15"/>
        <v>654.80925000000002</v>
      </c>
      <c r="I15" s="311"/>
      <c r="J15" s="311">
        <f t="shared" si="16"/>
        <v>4365.3950000000004</v>
      </c>
      <c r="K15" s="311">
        <f t="shared" si="17"/>
        <v>30557.764999999999</v>
      </c>
      <c r="L15" s="311">
        <f t="shared" si="18"/>
        <v>8730.7900000000009</v>
      </c>
      <c r="M15" s="312"/>
      <c r="N15" s="312">
        <v>30000</v>
      </c>
      <c r="O15" s="311">
        <f t="shared" si="19"/>
        <v>873.07899999999995</v>
      </c>
      <c r="P15" s="311">
        <v>5000</v>
      </c>
      <c r="Q15" s="311">
        <f>7000</f>
        <v>7000</v>
      </c>
      <c r="R15" s="311">
        <f t="shared" ref="R15" si="24">SUM(E15:Q15)</f>
        <v>122104.99825</v>
      </c>
      <c r="S15" s="311"/>
      <c r="T15" s="311">
        <f>3000+5000+5000</f>
        <v>13000</v>
      </c>
      <c r="U15" s="311">
        <f>44000</f>
        <v>44000</v>
      </c>
      <c r="V15" s="311"/>
      <c r="W15" s="311">
        <f>[12]PROMOTIONS!$X$42</f>
        <v>8312.59</v>
      </c>
      <c r="X15" s="319">
        <f t="shared" si="21"/>
        <v>65312.59</v>
      </c>
      <c r="Y15" s="311">
        <v>239903.583693333</v>
      </c>
      <c r="Z15" s="213">
        <f t="shared" si="22"/>
        <v>56792.40825</v>
      </c>
      <c r="AA15" s="325"/>
    </row>
    <row r="16" spans="1:31" ht="19.5" customHeight="1">
      <c r="A16" s="3"/>
      <c r="B16" s="29" t="s">
        <v>125</v>
      </c>
      <c r="C16" s="30"/>
      <c r="D16" s="31"/>
      <c r="E16" s="209">
        <f t="shared" ref="E16:V16" si="25">E8+E14</f>
        <v>14158.91</v>
      </c>
      <c r="F16" s="209">
        <f t="shared" si="25"/>
        <v>0</v>
      </c>
      <c r="G16" s="209">
        <f t="shared" si="25"/>
        <v>42476.73</v>
      </c>
      <c r="H16" s="209">
        <f t="shared" si="25"/>
        <v>1061.9182499999999</v>
      </c>
      <c r="I16" s="209">
        <f t="shared" si="25"/>
        <v>0</v>
      </c>
      <c r="J16" s="209">
        <f t="shared" si="25"/>
        <v>7079.4549999999999</v>
      </c>
      <c r="K16" s="209">
        <f t="shared" si="25"/>
        <v>49556.184999999998</v>
      </c>
      <c r="L16" s="209">
        <f t="shared" si="25"/>
        <v>14158.91</v>
      </c>
      <c r="M16" s="209">
        <f t="shared" si="25"/>
        <v>0</v>
      </c>
      <c r="N16" s="209">
        <f t="shared" si="25"/>
        <v>50000</v>
      </c>
      <c r="O16" s="209">
        <f t="shared" si="25"/>
        <v>1415.8910000000001</v>
      </c>
      <c r="P16" s="209">
        <f t="shared" si="25"/>
        <v>10000</v>
      </c>
      <c r="Q16" s="209">
        <f t="shared" si="25"/>
        <v>14000</v>
      </c>
      <c r="R16" s="209">
        <f t="shared" si="25"/>
        <v>203907.99924999999</v>
      </c>
      <c r="S16" s="209" t="e">
        <f t="shared" si="25"/>
        <v>#VALUE!</v>
      </c>
      <c r="T16" s="209">
        <f t="shared" si="25"/>
        <v>142105</v>
      </c>
      <c r="U16" s="209">
        <f t="shared" si="25"/>
        <v>58635.328999999998</v>
      </c>
      <c r="V16" s="209">
        <f t="shared" si="25"/>
        <v>0</v>
      </c>
      <c r="W16" s="209"/>
      <c r="X16" s="209">
        <f>X8+X14</f>
        <v>51011.250754666697</v>
      </c>
      <c r="Y16" s="12"/>
    </row>
    <row r="17" spans="1:27" ht="20.100000000000001" customHeight="1">
      <c r="A17" s="2"/>
      <c r="B17" s="32"/>
      <c r="C17" s="2"/>
      <c r="D17" s="33"/>
      <c r="E17" s="33"/>
      <c r="F17" s="33"/>
      <c r="G17" s="33"/>
      <c r="H17" s="33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98"/>
      <c r="T17" s="211"/>
      <c r="U17" s="211"/>
      <c r="V17" s="211"/>
      <c r="W17" s="211"/>
      <c r="X17" s="211"/>
      <c r="Y17" s="34"/>
    </row>
    <row r="18" spans="1:27" ht="36.75" customHeight="1">
      <c r="A18" s="2"/>
      <c r="B18" s="32"/>
      <c r="C18" s="33"/>
      <c r="D18" s="33"/>
      <c r="E18" s="33"/>
      <c r="F18" s="33"/>
      <c r="G18" s="33"/>
      <c r="H18" s="33"/>
      <c r="I18" s="210"/>
      <c r="J18" s="210"/>
      <c r="K18" s="210"/>
      <c r="L18" s="210"/>
      <c r="M18" s="210"/>
      <c r="N18" s="210"/>
      <c r="O18" s="210"/>
      <c r="Q18" s="210"/>
      <c r="R18" s="210"/>
      <c r="S18" s="298"/>
      <c r="T18" s="211"/>
      <c r="U18" s="211"/>
      <c r="V18" s="211"/>
      <c r="W18" s="211"/>
      <c r="X18" s="211"/>
    </row>
    <row r="21" spans="1:27" s="278" customFormat="1" ht="20.10000000000000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34"/>
      <c r="R21" s="34"/>
      <c r="T21" s="1"/>
      <c r="U21" s="1"/>
      <c r="V21" s="1"/>
      <c r="W21" s="1"/>
      <c r="X21" s="1"/>
      <c r="Y21" s="1"/>
      <c r="Z21" s="1"/>
      <c r="AA21" s="1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16" max="27" man="1"/>
  </rowBreaks>
  <colBreaks count="1" manualBreakCount="1">
    <brk id="13" max="46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22" sqref="K22"/>
    </sheetView>
  </sheetViews>
  <sheetFormatPr defaultColWidth="9" defaultRowHeight="12.7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2"/>
  <sheetViews>
    <sheetView view="pageBreakPreview" zoomScale="50" zoomScaleNormal="100" workbookViewId="0">
      <pane xSplit="3" ySplit="6" topLeftCell="D24" activePane="bottomRight" state="frozen"/>
      <selection pane="topRight"/>
      <selection pane="bottomLeft"/>
      <selection pane="bottomRight" activeCell="A42" sqref="A42:XFD44"/>
    </sheetView>
  </sheetViews>
  <sheetFormatPr defaultColWidth="9.140625" defaultRowHeight="20.100000000000001" customHeight="1"/>
  <cols>
    <col min="1" max="1" width="5.42578125" style="1" customWidth="1"/>
    <col min="2" max="2" width="39.42578125" style="1" customWidth="1"/>
    <col min="3" max="3" width="26.57031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20" width="19.28515625" style="1" customWidth="1"/>
    <col min="21" max="21" width="14.85546875" style="1" customWidth="1"/>
    <col min="22" max="22" width="13.5703125" style="1" customWidth="1"/>
    <col min="23" max="23" width="20.42578125" style="278" customWidth="1"/>
    <col min="24" max="24" width="16.42578125" style="1" customWidth="1"/>
    <col min="25" max="26" width="17.7109375" style="1" customWidth="1"/>
    <col min="27" max="27" width="11.140625" style="1" customWidth="1"/>
    <col min="28" max="28" width="17.85546875" style="1" customWidth="1"/>
    <col min="29" max="29" width="21.7109375" style="1" customWidth="1"/>
    <col min="30" max="16384" width="9.140625" style="1"/>
  </cols>
  <sheetData>
    <row r="1" spans="1:29" ht="27" customHeight="1">
      <c r="A1" s="838" t="s">
        <v>0</v>
      </c>
      <c r="B1" s="838"/>
      <c r="C1" s="838"/>
      <c r="D1" s="838"/>
      <c r="E1" s="838"/>
      <c r="F1" s="838"/>
      <c r="G1" s="199">
        <f>'[1]FEB 08'!F8/'[1]FEB 08'!Q8</f>
        <v>0.3</v>
      </c>
      <c r="H1" s="199"/>
      <c r="I1" s="199"/>
      <c r="J1" s="199"/>
      <c r="K1" s="199"/>
      <c r="L1" s="199"/>
      <c r="M1" s="199"/>
      <c r="N1" s="199"/>
      <c r="O1" s="199"/>
      <c r="P1" s="199"/>
    </row>
    <row r="2" spans="1:29" ht="33.75" customHeight="1">
      <c r="A2" s="63" t="s">
        <v>1067</v>
      </c>
      <c r="B2" s="64"/>
      <c r="C2" s="63"/>
      <c r="D2" s="63"/>
      <c r="E2" s="198"/>
      <c r="F2" s="198"/>
      <c r="G2" s="279"/>
      <c r="H2" s="279"/>
      <c r="I2" s="279"/>
      <c r="J2" s="279"/>
      <c r="K2" s="279"/>
      <c r="L2" s="279"/>
      <c r="M2" s="279"/>
      <c r="N2" s="279"/>
      <c r="O2" s="279"/>
      <c r="P2" s="279"/>
      <c r="Q2" s="65"/>
      <c r="R2" s="65"/>
      <c r="S2" s="65"/>
      <c r="T2" s="65"/>
      <c r="U2" s="65"/>
      <c r="V2" s="65"/>
      <c r="W2" s="285"/>
      <c r="X2" s="65"/>
      <c r="Y2" s="65"/>
      <c r="Z2" s="65"/>
      <c r="AA2" s="65"/>
      <c r="AB2" s="65"/>
    </row>
    <row r="3" spans="1:29" ht="9.75" customHeight="1">
      <c r="A3" s="2"/>
      <c r="B3" s="2"/>
      <c r="C3" s="2"/>
      <c r="D3" s="2"/>
      <c r="E3" s="199" t="e">
        <f>'[1]FEB 08'!E11/'[1]FEB 08'!M11</f>
        <v>#REF!</v>
      </c>
      <c r="F3" s="199"/>
      <c r="G3" s="199" t="e">
        <f>'[1]FEB 08'!F11/'[1]FEB 08'!Q11</f>
        <v>#REF!</v>
      </c>
      <c r="H3" s="199"/>
      <c r="I3" s="199"/>
      <c r="J3" s="199"/>
      <c r="K3" s="199"/>
      <c r="L3" s="199"/>
      <c r="M3" s="199"/>
      <c r="N3" s="199"/>
      <c r="O3" s="199"/>
      <c r="P3" s="199"/>
    </row>
    <row r="4" spans="1:29" ht="60" customHeight="1">
      <c r="A4" s="3"/>
      <c r="B4" s="5" t="s">
        <v>2</v>
      </c>
      <c r="C4" s="5" t="s">
        <v>3</v>
      </c>
      <c r="D4" s="6" t="s">
        <v>1038</v>
      </c>
      <c r="E4" s="67" t="s">
        <v>5</v>
      </c>
      <c r="F4" s="20" t="s">
        <v>671</v>
      </c>
      <c r="G4" s="20" t="s">
        <v>672</v>
      </c>
      <c r="H4" s="67" t="s">
        <v>673</v>
      </c>
      <c r="I4" s="20" t="s">
        <v>674</v>
      </c>
      <c r="J4" s="20" t="s">
        <v>675</v>
      </c>
      <c r="K4" s="20" t="s">
        <v>676</v>
      </c>
      <c r="L4" s="67" t="s">
        <v>7</v>
      </c>
      <c r="M4" s="67" t="s">
        <v>7</v>
      </c>
      <c r="N4" s="20" t="s">
        <v>677</v>
      </c>
      <c r="O4" s="20" t="s">
        <v>677</v>
      </c>
      <c r="P4" s="67" t="s">
        <v>8</v>
      </c>
      <c r="Q4" s="286" t="s">
        <v>263</v>
      </c>
      <c r="R4" s="6" t="s">
        <v>1039</v>
      </c>
      <c r="S4" s="286" t="s">
        <v>647</v>
      </c>
      <c r="T4" s="67" t="s">
        <v>1040</v>
      </c>
      <c r="U4" s="67" t="s">
        <v>1041</v>
      </c>
      <c r="V4" s="67" t="s">
        <v>1042</v>
      </c>
      <c r="W4" s="67" t="s">
        <v>1043</v>
      </c>
      <c r="X4" s="67" t="s">
        <v>621</v>
      </c>
      <c r="Y4" s="299" t="s">
        <v>1044</v>
      </c>
      <c r="Z4" s="300" t="s">
        <v>1045</v>
      </c>
      <c r="AA4" s="67" t="s">
        <v>183</v>
      </c>
      <c r="AB4" s="301" t="s">
        <v>194</v>
      </c>
    </row>
    <row r="5" spans="1:29" ht="17.25" customHeight="1">
      <c r="C5" s="7"/>
      <c r="D5" s="7"/>
      <c r="E5" s="69" t="s">
        <v>20</v>
      </c>
      <c r="F5" s="69" t="s">
        <v>20</v>
      </c>
      <c r="G5" s="69" t="s">
        <v>20</v>
      </c>
      <c r="H5" s="69" t="s">
        <v>20</v>
      </c>
      <c r="I5" s="69" t="s">
        <v>20</v>
      </c>
      <c r="J5" s="69" t="s">
        <v>20</v>
      </c>
      <c r="K5" s="69" t="s">
        <v>20</v>
      </c>
      <c r="L5" s="69" t="s">
        <v>20</v>
      </c>
      <c r="M5" s="69" t="s">
        <v>20</v>
      </c>
      <c r="N5" s="69" t="s">
        <v>20</v>
      </c>
      <c r="O5" s="69" t="s">
        <v>20</v>
      </c>
      <c r="P5" s="69" t="s">
        <v>20</v>
      </c>
      <c r="Q5" s="287" t="s">
        <v>20</v>
      </c>
      <c r="R5" s="7"/>
      <c r="S5" s="287" t="s">
        <v>20</v>
      </c>
      <c r="T5" s="69"/>
      <c r="U5" s="69" t="s">
        <v>20</v>
      </c>
      <c r="V5" s="69"/>
      <c r="W5" s="288" t="s">
        <v>20</v>
      </c>
      <c r="X5" s="69"/>
      <c r="Y5" s="69"/>
      <c r="Z5" s="212"/>
      <c r="AA5" s="69"/>
      <c r="AB5" s="212"/>
    </row>
    <row r="6" spans="1:29" ht="20.100000000000001" customHeight="1">
      <c r="A6" s="8" t="s">
        <v>21</v>
      </c>
      <c r="B6" s="7" t="s">
        <v>22</v>
      </c>
      <c r="C6" s="7"/>
      <c r="D6" s="7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287"/>
      <c r="R6" s="7"/>
      <c r="S6" s="287"/>
      <c r="T6" s="69"/>
      <c r="U6" s="69"/>
      <c r="V6" s="69"/>
      <c r="W6" s="288"/>
      <c r="X6" s="69"/>
      <c r="Y6" s="69"/>
      <c r="Z6" s="212"/>
      <c r="AA6" s="69"/>
      <c r="AB6" s="212"/>
    </row>
    <row r="7" spans="1:29" ht="18.75" customHeight="1">
      <c r="A7" s="9">
        <v>1</v>
      </c>
      <c r="B7" s="17" t="s">
        <v>390</v>
      </c>
      <c r="C7" s="11" t="s">
        <v>1068</v>
      </c>
      <c r="D7" s="14" t="s">
        <v>1048</v>
      </c>
      <c r="E7" s="202">
        <v>13492.21</v>
      </c>
      <c r="F7" s="72">
        <f>E7*300%</f>
        <v>40476.629999999997</v>
      </c>
      <c r="G7" s="72">
        <f>E7*7.5%</f>
        <v>1011.91575</v>
      </c>
      <c r="H7" s="72"/>
      <c r="I7" s="72">
        <f>E7*50%</f>
        <v>6746.1049999999996</v>
      </c>
      <c r="J7" s="72">
        <f>E7*350%</f>
        <v>47222.735000000001</v>
      </c>
      <c r="K7" s="72">
        <f>E7*100%</f>
        <v>13492.21</v>
      </c>
      <c r="L7" s="202"/>
      <c r="M7" s="202">
        <f>50000</f>
        <v>50000</v>
      </c>
      <c r="N7" s="72">
        <f>E7*10%</f>
        <v>1349.221</v>
      </c>
      <c r="O7" s="72">
        <v>10000</v>
      </c>
      <c r="P7" s="3"/>
      <c r="Q7" s="201">
        <f>SUM(E7:P7)</f>
        <v>183791.02674999999</v>
      </c>
      <c r="R7" s="14" t="s">
        <v>55</v>
      </c>
      <c r="S7" s="201">
        <f>'SALARY STRUCTURE'!H13+60000</f>
        <v>205203.66666666701</v>
      </c>
      <c r="T7" s="72">
        <f t="shared" ref="T7:T45" si="0">S7-Q7</f>
        <v>21412.639916667002</v>
      </c>
      <c r="U7" s="72"/>
      <c r="V7" s="72"/>
      <c r="W7" s="289">
        <v>18102.902732666698</v>
      </c>
      <c r="X7" s="72">
        <f>'[11]October 2023'!$Z$29</f>
        <v>21640.882666666701</v>
      </c>
      <c r="Y7" s="72">
        <f>X7-W7</f>
        <v>3537.979934</v>
      </c>
      <c r="Z7" s="213">
        <f>T7-Y7</f>
        <v>17874.659982666999</v>
      </c>
      <c r="AA7" s="72">
        <f>(19/31)+4</f>
        <v>4.6129032258064502</v>
      </c>
      <c r="AB7" s="213">
        <f>Z7*AA7</f>
        <v>82454.076694238203</v>
      </c>
      <c r="AC7" s="12"/>
    </row>
    <row r="8" spans="1:29" ht="26.25" customHeight="1">
      <c r="A8" s="9"/>
      <c r="B8" s="19" t="s">
        <v>42</v>
      </c>
      <c r="C8" s="20">
        <v>1</v>
      </c>
      <c r="D8" s="14"/>
      <c r="E8" s="203">
        <f t="shared" ref="E8:Q8" si="1">SUM(E7:E7)</f>
        <v>13492.21</v>
      </c>
      <c r="F8" s="203">
        <f t="shared" si="1"/>
        <v>40476.629999999997</v>
      </c>
      <c r="G8" s="203">
        <f t="shared" si="1"/>
        <v>1011.91575</v>
      </c>
      <c r="H8" s="203">
        <f t="shared" si="1"/>
        <v>0</v>
      </c>
      <c r="I8" s="203">
        <f t="shared" si="1"/>
        <v>6746.1049999999996</v>
      </c>
      <c r="J8" s="203">
        <f t="shared" si="1"/>
        <v>47222.735000000001</v>
      </c>
      <c r="K8" s="203">
        <f t="shared" si="1"/>
        <v>13492.21</v>
      </c>
      <c r="L8" s="203">
        <f t="shared" si="1"/>
        <v>0</v>
      </c>
      <c r="M8" s="203">
        <f t="shared" si="1"/>
        <v>50000</v>
      </c>
      <c r="N8" s="203">
        <f t="shared" si="1"/>
        <v>1349.221</v>
      </c>
      <c r="O8" s="203">
        <f t="shared" si="1"/>
        <v>10000</v>
      </c>
      <c r="P8" s="203">
        <f t="shared" si="1"/>
        <v>0</v>
      </c>
      <c r="Q8" s="203">
        <f t="shared" si="1"/>
        <v>183791.02674999999</v>
      </c>
      <c r="R8" s="14"/>
      <c r="S8" s="203">
        <f t="shared" ref="S8:Z8" si="2">SUM(S7:S7)</f>
        <v>205203.66666666701</v>
      </c>
      <c r="T8" s="203">
        <f t="shared" si="2"/>
        <v>21412.639916667002</v>
      </c>
      <c r="U8" s="203">
        <f t="shared" si="2"/>
        <v>0</v>
      </c>
      <c r="V8" s="203">
        <f t="shared" si="2"/>
        <v>0</v>
      </c>
      <c r="W8" s="203">
        <f t="shared" si="2"/>
        <v>18102.902732666698</v>
      </c>
      <c r="X8" s="203">
        <f t="shared" si="2"/>
        <v>21640.882666666701</v>
      </c>
      <c r="Y8" s="203">
        <f t="shared" si="2"/>
        <v>3537.979934</v>
      </c>
      <c r="Z8" s="214">
        <f t="shared" si="2"/>
        <v>17874.659982666999</v>
      </c>
      <c r="AA8" s="203"/>
      <c r="AB8" s="214">
        <f>SUM(AB7:AB7)</f>
        <v>82454.076694238203</v>
      </c>
      <c r="AC8" s="12"/>
    </row>
    <row r="9" spans="1:29" ht="20.100000000000001" customHeight="1">
      <c r="A9" s="9"/>
      <c r="B9" s="13"/>
      <c r="C9" s="3"/>
      <c r="D9" s="9"/>
      <c r="E9" s="203"/>
      <c r="F9" s="203"/>
      <c r="G9" s="203"/>
      <c r="H9" s="203"/>
      <c r="I9" s="203"/>
      <c r="J9" s="203"/>
      <c r="K9" s="203"/>
      <c r="L9" s="202"/>
      <c r="M9" s="202"/>
      <c r="N9" s="203"/>
      <c r="O9" s="203"/>
      <c r="P9" s="203"/>
      <c r="Q9" s="290"/>
      <c r="R9" s="9"/>
      <c r="S9" s="290"/>
      <c r="T9" s="72"/>
      <c r="U9" s="203"/>
      <c r="V9" s="203"/>
      <c r="W9" s="291"/>
      <c r="X9" s="203"/>
      <c r="Y9" s="72"/>
      <c r="Z9" s="213"/>
      <c r="AA9" s="203"/>
      <c r="AB9" s="213"/>
      <c r="AC9" s="12"/>
    </row>
    <row r="10" spans="1:29" ht="20.100000000000001" customHeight="1">
      <c r="A10" s="9"/>
      <c r="B10" s="22" t="s">
        <v>43</v>
      </c>
      <c r="C10" s="4"/>
      <c r="D10" s="23"/>
      <c r="E10" s="203"/>
      <c r="F10" s="203"/>
      <c r="G10" s="72"/>
      <c r="H10" s="72"/>
      <c r="I10" s="72"/>
      <c r="J10" s="72"/>
      <c r="K10" s="72"/>
      <c r="L10" s="202"/>
      <c r="M10" s="202"/>
      <c r="N10" s="72"/>
      <c r="O10" s="72"/>
      <c r="P10" s="72"/>
      <c r="Q10" s="201"/>
      <c r="R10" s="23"/>
      <c r="S10" s="201"/>
      <c r="T10" s="72"/>
      <c r="U10" s="72"/>
      <c r="V10" s="72"/>
      <c r="W10" s="289"/>
      <c r="X10" s="72"/>
      <c r="Y10" s="72"/>
      <c r="Z10" s="213"/>
      <c r="AA10" s="72"/>
      <c r="AB10" s="213"/>
      <c r="AC10" s="12"/>
    </row>
    <row r="11" spans="1:29" ht="20.100000000000001" customHeight="1">
      <c r="A11" s="9">
        <v>2</v>
      </c>
      <c r="B11" s="10" t="s">
        <v>367</v>
      </c>
      <c r="C11" s="3" t="s">
        <v>461</v>
      </c>
      <c r="D11" s="9" t="s">
        <v>375</v>
      </c>
      <c r="E11" s="72">
        <v>25523.45</v>
      </c>
      <c r="F11" s="72">
        <f>E11*300%</f>
        <v>76570.350000000006</v>
      </c>
      <c r="G11" s="72">
        <f>E11*7.5%</f>
        <v>1914.25875</v>
      </c>
      <c r="H11" s="72"/>
      <c r="I11" s="72">
        <f>E11*50%</f>
        <v>12761.725</v>
      </c>
      <c r="J11" s="72">
        <f>E11*350%</f>
        <v>89332.074999999997</v>
      </c>
      <c r="K11" s="72">
        <f>E11*100%</f>
        <v>25523.45</v>
      </c>
      <c r="L11" s="202">
        <f t="shared" ref="L11" si="3">120000</f>
        <v>120000</v>
      </c>
      <c r="M11" s="202"/>
      <c r="N11" s="72">
        <f>E11*10%</f>
        <v>2552.3449999999998</v>
      </c>
      <c r="O11" s="72">
        <v>15000</v>
      </c>
      <c r="P11" s="72"/>
      <c r="Q11" s="201">
        <f>SUM(E11:P11)</f>
        <v>369177.65375</v>
      </c>
      <c r="R11" s="9" t="s">
        <v>369</v>
      </c>
      <c r="S11" s="201">
        <f>'SALARY STRUCTURE'!I17+140000</f>
        <v>397211.25</v>
      </c>
      <c r="T11" s="72">
        <f t="shared" si="0"/>
        <v>28033.596249999999</v>
      </c>
      <c r="U11" s="72">
        <v>638.08624999999995</v>
      </c>
      <c r="V11" s="72">
        <f>690.28</f>
        <v>690.28</v>
      </c>
      <c r="W11" s="289">
        <v>49548.776186666699</v>
      </c>
      <c r="X11" s="72">
        <f>'[11]October 2023'!$Z$50</f>
        <v>54812.468586666699</v>
      </c>
      <c r="Y11" s="72">
        <f t="shared" ref="Y11:Y45" si="4">X11-W11</f>
        <v>5263.6923999999999</v>
      </c>
      <c r="Z11" s="213">
        <f t="shared" ref="Z11:Z45" si="5">T11-Y11</f>
        <v>22769.903849999999</v>
      </c>
      <c r="AA11" s="72">
        <f>(18/31)+1</f>
        <v>1.5806451612903201</v>
      </c>
      <c r="AB11" s="213">
        <f t="shared" ref="AB11:AB45" si="6">Z11*AA11</f>
        <v>35991.138343548402</v>
      </c>
      <c r="AC11" s="12"/>
    </row>
    <row r="12" spans="1:29" ht="25.5" customHeight="1">
      <c r="A12" s="9"/>
      <c r="B12" s="19" t="s">
        <v>42</v>
      </c>
      <c r="C12" s="20">
        <v>1</v>
      </c>
      <c r="D12" s="20"/>
      <c r="E12" s="80">
        <f t="shared" ref="E12:Q12" si="7">SUM(E11:E11)</f>
        <v>25523.45</v>
      </c>
      <c r="F12" s="80">
        <f t="shared" si="7"/>
        <v>76570.350000000006</v>
      </c>
      <c r="G12" s="80">
        <f t="shared" si="7"/>
        <v>1914.25875</v>
      </c>
      <c r="H12" s="80">
        <f t="shared" si="7"/>
        <v>0</v>
      </c>
      <c r="I12" s="80">
        <f t="shared" si="7"/>
        <v>12761.725</v>
      </c>
      <c r="J12" s="80">
        <f t="shared" si="7"/>
        <v>89332.074999999997</v>
      </c>
      <c r="K12" s="80">
        <f t="shared" si="7"/>
        <v>25523.45</v>
      </c>
      <c r="L12" s="80">
        <f t="shared" si="7"/>
        <v>120000</v>
      </c>
      <c r="M12" s="80">
        <f t="shared" si="7"/>
        <v>0</v>
      </c>
      <c r="N12" s="80">
        <f t="shared" si="7"/>
        <v>2552.3449999999998</v>
      </c>
      <c r="O12" s="80">
        <f t="shared" si="7"/>
        <v>15000</v>
      </c>
      <c r="P12" s="80">
        <f t="shared" si="7"/>
        <v>0</v>
      </c>
      <c r="Q12" s="80">
        <f t="shared" si="7"/>
        <v>369177.65375</v>
      </c>
      <c r="R12" s="20"/>
      <c r="S12" s="80">
        <f t="shared" ref="S12:Z12" si="8">SUM(S11:S11)</f>
        <v>397211.25</v>
      </c>
      <c r="T12" s="80">
        <f t="shared" si="8"/>
        <v>28033.596249999999</v>
      </c>
      <c r="U12" s="80">
        <f t="shared" si="8"/>
        <v>638.08624999999995</v>
      </c>
      <c r="V12" s="80">
        <f t="shared" si="8"/>
        <v>690.28</v>
      </c>
      <c r="W12" s="80">
        <f t="shared" si="8"/>
        <v>49548.776186666699</v>
      </c>
      <c r="X12" s="80">
        <f t="shared" si="8"/>
        <v>54812.468586666699</v>
      </c>
      <c r="Y12" s="80">
        <f t="shared" si="8"/>
        <v>5263.6923999999999</v>
      </c>
      <c r="Z12" s="302">
        <f t="shared" si="8"/>
        <v>22769.903849999999</v>
      </c>
      <c r="AA12" s="80"/>
      <c r="AB12" s="302">
        <f>SUM(AB11:AB11)</f>
        <v>35991.138343548402</v>
      </c>
      <c r="AC12" s="12"/>
    </row>
    <row r="13" spans="1:29" ht="20.100000000000001" customHeight="1">
      <c r="A13" s="9"/>
      <c r="B13" s="19"/>
      <c r="C13" s="20"/>
      <c r="D13" s="20"/>
      <c r="E13" s="134"/>
      <c r="F13" s="134"/>
      <c r="G13" s="134"/>
      <c r="H13" s="134"/>
      <c r="I13" s="134"/>
      <c r="J13" s="134"/>
      <c r="K13" s="134"/>
      <c r="L13" s="202"/>
      <c r="M13" s="202"/>
      <c r="N13" s="134"/>
      <c r="O13" s="134"/>
      <c r="P13" s="134"/>
      <c r="Q13" s="292"/>
      <c r="R13" s="20"/>
      <c r="S13" s="292"/>
      <c r="T13" s="72">
        <f t="shared" si="0"/>
        <v>0</v>
      </c>
      <c r="U13" s="134"/>
      <c r="V13" s="134"/>
      <c r="W13" s="293"/>
      <c r="X13" s="134"/>
      <c r="Y13" s="72"/>
      <c r="Z13" s="213"/>
      <c r="AA13" s="134"/>
      <c r="AB13" s="213"/>
      <c r="AC13" s="12"/>
    </row>
    <row r="14" spans="1:29" ht="20.100000000000001" customHeight="1">
      <c r="A14" s="9"/>
      <c r="B14" s="19" t="s">
        <v>60</v>
      </c>
      <c r="C14" s="20"/>
      <c r="D14" s="20"/>
      <c r="E14" s="134"/>
      <c r="F14" s="134"/>
      <c r="G14" s="134"/>
      <c r="H14" s="134"/>
      <c r="I14" s="134"/>
      <c r="J14" s="134"/>
      <c r="K14" s="134"/>
      <c r="L14" s="202"/>
      <c r="M14" s="202"/>
      <c r="N14" s="134"/>
      <c r="O14" s="134"/>
      <c r="P14" s="134"/>
      <c r="Q14" s="292"/>
      <c r="R14" s="20"/>
      <c r="S14" s="292"/>
      <c r="T14" s="72">
        <f t="shared" si="0"/>
        <v>0</v>
      </c>
      <c r="U14" s="134"/>
      <c r="V14" s="134"/>
      <c r="W14" s="293"/>
      <c r="X14" s="134"/>
      <c r="Y14" s="72"/>
      <c r="Z14" s="213"/>
      <c r="AA14" s="134"/>
      <c r="AB14" s="213"/>
      <c r="AC14" s="12"/>
    </row>
    <row r="15" spans="1:29" ht="20.100000000000001" customHeight="1">
      <c r="A15" s="9">
        <v>3</v>
      </c>
      <c r="B15" s="13" t="s">
        <v>493</v>
      </c>
      <c r="C15" s="3" t="s">
        <v>365</v>
      </c>
      <c r="D15" s="9" t="s">
        <v>363</v>
      </c>
      <c r="E15" s="72">
        <f>28489.81</f>
        <v>28489.81</v>
      </c>
      <c r="F15" s="72">
        <f>E15*300%</f>
        <v>85469.43</v>
      </c>
      <c r="G15" s="72">
        <f>E15*7.5%</f>
        <v>2136.7357499999998</v>
      </c>
      <c r="H15" s="72"/>
      <c r="I15" s="72">
        <f>E15*50%</f>
        <v>14244.905000000001</v>
      </c>
      <c r="J15" s="72">
        <f>E15*350%</f>
        <v>99714.335000000006</v>
      </c>
      <c r="K15" s="72">
        <f>E15*100%</f>
        <v>28489.81</v>
      </c>
      <c r="L15" s="202">
        <v>140000</v>
      </c>
      <c r="M15" s="202"/>
      <c r="N15" s="72">
        <f>E15*10%</f>
        <v>2848.9810000000002</v>
      </c>
      <c r="O15" s="72">
        <v>20000</v>
      </c>
      <c r="P15" s="72">
        <v>0</v>
      </c>
      <c r="Q15" s="201">
        <f>SUM(E15:P15)</f>
        <v>421394.00675</v>
      </c>
      <c r="R15" s="9" t="s">
        <v>99</v>
      </c>
      <c r="S15" s="201">
        <f>'SALARY STRUCTURE'!H18+160000</f>
        <v>504720.16666666698</v>
      </c>
      <c r="T15" s="72">
        <f t="shared" si="0"/>
        <v>83326.159916666904</v>
      </c>
      <c r="U15" s="72">
        <v>712.24525000000006</v>
      </c>
      <c r="V15" s="72">
        <f>837.69</f>
        <v>837.69</v>
      </c>
      <c r="W15" s="289">
        <v>59441.782042666702</v>
      </c>
      <c r="X15" s="72">
        <f>'[11]October 2023'!$Z$85</f>
        <v>75440.404746666696</v>
      </c>
      <c r="Y15" s="72">
        <f t="shared" si="4"/>
        <v>15998.622703999999</v>
      </c>
      <c r="Z15" s="213">
        <f t="shared" si="5"/>
        <v>67327.537212666895</v>
      </c>
      <c r="AA15" s="72">
        <f>9</f>
        <v>9</v>
      </c>
      <c r="AB15" s="213">
        <f t="shared" si="6"/>
        <v>605947.83491400199</v>
      </c>
      <c r="AC15" s="12"/>
    </row>
    <row r="16" spans="1:29" ht="20.100000000000001" customHeight="1">
      <c r="A16" s="9">
        <v>4</v>
      </c>
      <c r="B16" s="10" t="s">
        <v>436</v>
      </c>
      <c r="C16" s="3" t="s">
        <v>231</v>
      </c>
      <c r="D16" s="9" t="s">
        <v>375</v>
      </c>
      <c r="E16" s="72">
        <v>25523.45</v>
      </c>
      <c r="F16" s="72">
        <f>E16*300%</f>
        <v>76570.350000000006</v>
      </c>
      <c r="G16" s="72">
        <f>E16*7.5%</f>
        <v>1914.25875</v>
      </c>
      <c r="H16" s="72"/>
      <c r="I16" s="72">
        <f>E16*50%</f>
        <v>12761.725</v>
      </c>
      <c r="J16" s="72">
        <f>E16*350%</f>
        <v>89332.074999999997</v>
      </c>
      <c r="K16" s="72">
        <f>E16*100%</f>
        <v>25523.45</v>
      </c>
      <c r="L16" s="202">
        <f t="shared" ref="L16" si="9">120000</f>
        <v>120000</v>
      </c>
      <c r="M16" s="202"/>
      <c r="N16" s="72">
        <f>E16*10%</f>
        <v>2552.3449999999998</v>
      </c>
      <c r="O16" s="72">
        <v>15000</v>
      </c>
      <c r="P16" s="72"/>
      <c r="Q16" s="201">
        <f>SUM(E16:P16)</f>
        <v>369177.65375</v>
      </c>
      <c r="R16" s="9" t="s">
        <v>369</v>
      </c>
      <c r="S16" s="201">
        <f>'SALARY STRUCTURE'!I17+140000</f>
        <v>397211.25</v>
      </c>
      <c r="T16" s="72">
        <f t="shared" si="0"/>
        <v>28033.596249999999</v>
      </c>
      <c r="U16" s="72"/>
      <c r="V16" s="72"/>
      <c r="W16" s="289">
        <v>49548.776186666699</v>
      </c>
      <c r="X16" s="72">
        <f>'[11]October 2023'!$Z$62</f>
        <v>54931.226666666698</v>
      </c>
      <c r="Y16" s="72">
        <f t="shared" si="4"/>
        <v>5382.4504800000004</v>
      </c>
      <c r="Z16" s="213">
        <f t="shared" si="5"/>
        <v>22651.145769999999</v>
      </c>
      <c r="AA16" s="72">
        <f>(7/31)+2</f>
        <v>2.2258064516128999</v>
      </c>
      <c r="AB16" s="213">
        <f t="shared" si="6"/>
        <v>50417.066391290296</v>
      </c>
      <c r="AC16" s="12"/>
    </row>
    <row r="17" spans="1:29" ht="20.100000000000001" customHeight="1">
      <c r="A17" s="9"/>
      <c r="B17" s="19" t="s">
        <v>42</v>
      </c>
      <c r="C17" s="20">
        <v>2</v>
      </c>
      <c r="D17" s="20"/>
      <c r="E17" s="80">
        <f t="shared" ref="E17:Q17" si="10">SUM(E15:E16)</f>
        <v>54013.26</v>
      </c>
      <c r="F17" s="80">
        <f t="shared" si="10"/>
        <v>162039.78</v>
      </c>
      <c r="G17" s="80">
        <f t="shared" si="10"/>
        <v>4050.9944999999998</v>
      </c>
      <c r="H17" s="80">
        <f t="shared" si="10"/>
        <v>0</v>
      </c>
      <c r="I17" s="80">
        <f t="shared" si="10"/>
        <v>27006.63</v>
      </c>
      <c r="J17" s="80">
        <f t="shared" si="10"/>
        <v>189046.41</v>
      </c>
      <c r="K17" s="80">
        <f t="shared" si="10"/>
        <v>54013.26</v>
      </c>
      <c r="L17" s="80">
        <f t="shared" si="10"/>
        <v>260000</v>
      </c>
      <c r="M17" s="80">
        <f t="shared" si="10"/>
        <v>0</v>
      </c>
      <c r="N17" s="80">
        <f t="shared" si="10"/>
        <v>5401.326</v>
      </c>
      <c r="O17" s="80">
        <f t="shared" si="10"/>
        <v>35000</v>
      </c>
      <c r="P17" s="80">
        <f t="shared" si="10"/>
        <v>0</v>
      </c>
      <c r="Q17" s="80">
        <f t="shared" si="10"/>
        <v>790571.6605</v>
      </c>
      <c r="R17" s="20"/>
      <c r="S17" s="80">
        <f>SUM(S15:S16)</f>
        <v>901931.41666666698</v>
      </c>
      <c r="T17" s="80">
        <f t="shared" ref="T17:AB17" si="11">SUM(T15:T16)</f>
        <v>111359.75616666699</v>
      </c>
      <c r="U17" s="80">
        <f t="shared" si="11"/>
        <v>712.24525000000006</v>
      </c>
      <c r="V17" s="80">
        <f t="shared" si="11"/>
        <v>837.69</v>
      </c>
      <c r="W17" s="80">
        <f t="shared" si="11"/>
        <v>108990.55822933299</v>
      </c>
      <c r="X17" s="80">
        <f t="shared" si="11"/>
        <v>130371.631413333</v>
      </c>
      <c r="Y17" s="80">
        <f t="shared" si="11"/>
        <v>21381.073184000001</v>
      </c>
      <c r="Z17" s="302">
        <f t="shared" si="11"/>
        <v>89978.682982666898</v>
      </c>
      <c r="AA17" s="80"/>
      <c r="AB17" s="302">
        <f t="shared" si="11"/>
        <v>656364.90130529297</v>
      </c>
      <c r="AC17" s="12"/>
    </row>
    <row r="18" spans="1:29" ht="20.100000000000001" customHeight="1">
      <c r="A18" s="9"/>
      <c r="B18" s="21"/>
      <c r="C18" s="20"/>
      <c r="D18" s="20"/>
      <c r="E18" s="134"/>
      <c r="F18" s="134"/>
      <c r="G18" s="134"/>
      <c r="H18" s="134"/>
      <c r="I18" s="134"/>
      <c r="J18" s="134"/>
      <c r="K18" s="134"/>
      <c r="L18" s="202"/>
      <c r="M18" s="202"/>
      <c r="N18" s="134"/>
      <c r="O18" s="134"/>
      <c r="P18" s="134"/>
      <c r="Q18" s="292"/>
      <c r="R18" s="20"/>
      <c r="S18" s="292"/>
      <c r="T18" s="72"/>
      <c r="U18" s="134"/>
      <c r="V18" s="134"/>
      <c r="W18" s="293"/>
      <c r="X18" s="134"/>
      <c r="Y18" s="72">
        <f t="shared" si="4"/>
        <v>0</v>
      </c>
      <c r="Z18" s="213">
        <f t="shared" si="5"/>
        <v>0</v>
      </c>
      <c r="AA18" s="134"/>
      <c r="AB18" s="213">
        <f t="shared" si="6"/>
        <v>0</v>
      </c>
      <c r="AC18" s="12"/>
    </row>
    <row r="19" spans="1:29" ht="20.100000000000001" customHeight="1">
      <c r="A19" s="9"/>
      <c r="B19" s="19" t="s">
        <v>65</v>
      </c>
      <c r="C19" s="20"/>
      <c r="D19" s="20"/>
      <c r="E19" s="134"/>
      <c r="F19" s="134"/>
      <c r="G19" s="134"/>
      <c r="H19" s="134"/>
      <c r="I19" s="134"/>
      <c r="J19" s="134"/>
      <c r="K19" s="134"/>
      <c r="L19" s="202"/>
      <c r="M19" s="202"/>
      <c r="N19" s="134"/>
      <c r="O19" s="134"/>
      <c r="P19" s="134"/>
      <c r="Q19" s="292"/>
      <c r="R19" s="20"/>
      <c r="S19" s="292"/>
      <c r="T19" s="72"/>
      <c r="U19" s="134"/>
      <c r="V19" s="134"/>
      <c r="W19" s="293"/>
      <c r="X19" s="134"/>
      <c r="Y19" s="72">
        <f t="shared" si="4"/>
        <v>0</v>
      </c>
      <c r="Z19" s="213">
        <f t="shared" si="5"/>
        <v>0</v>
      </c>
      <c r="AA19" s="134"/>
      <c r="AB19" s="213">
        <f t="shared" si="6"/>
        <v>0</v>
      </c>
      <c r="AC19" s="12"/>
    </row>
    <row r="20" spans="1:29" ht="20.100000000000001" customHeight="1">
      <c r="A20" s="9">
        <v>5</v>
      </c>
      <c r="B20" s="10" t="s">
        <v>448</v>
      </c>
      <c r="C20" s="3" t="s">
        <v>1069</v>
      </c>
      <c r="D20" s="14" t="s">
        <v>375</v>
      </c>
      <c r="E20" s="72">
        <v>25523.45</v>
      </c>
      <c r="F20" s="72">
        <f>E20*300%</f>
        <v>76570.350000000006</v>
      </c>
      <c r="G20" s="72">
        <f>E20*7.5%</f>
        <v>1914.25875</v>
      </c>
      <c r="H20" s="72">
        <v>0</v>
      </c>
      <c r="I20" s="72">
        <f>E20*50%</f>
        <v>12761.725</v>
      </c>
      <c r="J20" s="72">
        <f>E20*350%</f>
        <v>89332.074999999997</v>
      </c>
      <c r="K20" s="72">
        <f>E20*100%</f>
        <v>25523.45</v>
      </c>
      <c r="L20" s="202">
        <f>120000</f>
        <v>120000</v>
      </c>
      <c r="M20" s="202"/>
      <c r="N20" s="72">
        <f>E20*10%</f>
        <v>2552.3449999999998</v>
      </c>
      <c r="O20" s="72">
        <v>15000</v>
      </c>
      <c r="P20" s="72">
        <v>0</v>
      </c>
      <c r="Q20" s="201">
        <f>SUM(E20:P20)</f>
        <v>369177.65375</v>
      </c>
      <c r="R20" s="14" t="s">
        <v>369</v>
      </c>
      <c r="S20" s="201">
        <f>'SALARY STRUCTURE'!I17+140000</f>
        <v>397211.25</v>
      </c>
      <c r="T20" s="72">
        <f t="shared" si="0"/>
        <v>28033.596249999999</v>
      </c>
      <c r="U20" s="72">
        <v>638.08624999999995</v>
      </c>
      <c r="V20" s="72"/>
      <c r="W20" s="289">
        <v>49548.776186666699</v>
      </c>
      <c r="X20" s="72">
        <f>'[11]October 2023'!$Z$78</f>
        <v>54931.226666666698</v>
      </c>
      <c r="Y20" s="72">
        <f t="shared" si="4"/>
        <v>5382.4504800000004</v>
      </c>
      <c r="Z20" s="213">
        <f t="shared" si="5"/>
        <v>22651.145769999999</v>
      </c>
      <c r="AA20" s="72">
        <f>9</f>
        <v>9</v>
      </c>
      <c r="AB20" s="213">
        <f t="shared" si="6"/>
        <v>203860.31193</v>
      </c>
      <c r="AC20" s="12"/>
    </row>
    <row r="21" spans="1:29" ht="20.100000000000001" customHeight="1">
      <c r="A21" s="9"/>
      <c r="B21" s="19" t="s">
        <v>42</v>
      </c>
      <c r="C21" s="20">
        <v>1</v>
      </c>
      <c r="D21" s="20"/>
      <c r="E21" s="80">
        <f t="shared" ref="E21:Q21" si="12">SUM(E20:E20)</f>
        <v>25523.45</v>
      </c>
      <c r="F21" s="80">
        <f t="shared" si="12"/>
        <v>76570.350000000006</v>
      </c>
      <c r="G21" s="80">
        <f t="shared" si="12"/>
        <v>1914.25875</v>
      </c>
      <c r="H21" s="80">
        <f t="shared" si="12"/>
        <v>0</v>
      </c>
      <c r="I21" s="80">
        <f t="shared" si="12"/>
        <v>12761.725</v>
      </c>
      <c r="J21" s="80">
        <f t="shared" si="12"/>
        <v>89332.074999999997</v>
      </c>
      <c r="K21" s="80">
        <f t="shared" si="12"/>
        <v>25523.45</v>
      </c>
      <c r="L21" s="80">
        <f t="shared" si="12"/>
        <v>120000</v>
      </c>
      <c r="M21" s="80">
        <f t="shared" si="12"/>
        <v>0</v>
      </c>
      <c r="N21" s="80">
        <f t="shared" si="12"/>
        <v>2552.3449999999998</v>
      </c>
      <c r="O21" s="80">
        <f t="shared" si="12"/>
        <v>15000</v>
      </c>
      <c r="P21" s="80">
        <f t="shared" si="12"/>
        <v>0</v>
      </c>
      <c r="Q21" s="80">
        <f t="shared" si="12"/>
        <v>369177.65375</v>
      </c>
      <c r="R21" s="20"/>
      <c r="S21" s="80">
        <f>SUM(S20:S20)</f>
        <v>397211.25</v>
      </c>
      <c r="T21" s="72"/>
      <c r="U21" s="80">
        <f>SUM(U20:U20)</f>
        <v>638.08624999999995</v>
      </c>
      <c r="V21" s="80"/>
      <c r="W21" s="294">
        <f>SUM(W20:W20)</f>
        <v>49548.776186666699</v>
      </c>
      <c r="X21" s="294">
        <f t="shared" ref="X21:AB21" si="13">SUM(X20:X20)</f>
        <v>54931.226666666698</v>
      </c>
      <c r="Y21" s="294">
        <f t="shared" si="13"/>
        <v>5382.4504800000004</v>
      </c>
      <c r="Z21" s="303">
        <f t="shared" si="13"/>
        <v>22651.145769999999</v>
      </c>
      <c r="AA21" s="294"/>
      <c r="AB21" s="303">
        <f t="shared" si="13"/>
        <v>203860.31193</v>
      </c>
      <c r="AC21" s="12"/>
    </row>
    <row r="22" spans="1:29" ht="20.100000000000001" customHeight="1">
      <c r="A22" s="9"/>
      <c r="B22" s="19"/>
      <c r="C22" s="20"/>
      <c r="D22" s="20"/>
      <c r="E22" s="134"/>
      <c r="F22" s="134"/>
      <c r="G22" s="134"/>
      <c r="H22" s="134"/>
      <c r="I22" s="134"/>
      <c r="J22" s="134"/>
      <c r="K22" s="134"/>
      <c r="L22" s="202"/>
      <c r="M22" s="202"/>
      <c r="N22" s="134"/>
      <c r="O22" s="134"/>
      <c r="P22" s="134"/>
      <c r="Q22" s="292"/>
      <c r="R22" s="20"/>
      <c r="S22" s="292"/>
      <c r="T22" s="72"/>
      <c r="U22" s="134"/>
      <c r="V22" s="134"/>
      <c r="W22" s="293"/>
      <c r="X22" s="134"/>
      <c r="Y22" s="72">
        <f t="shared" si="4"/>
        <v>0</v>
      </c>
      <c r="Z22" s="213">
        <f t="shared" si="5"/>
        <v>0</v>
      </c>
      <c r="AA22" s="134"/>
      <c r="AB22" s="213">
        <f t="shared" si="6"/>
        <v>0</v>
      </c>
      <c r="AC22" s="12"/>
    </row>
    <row r="23" spans="1:29" ht="20.100000000000001" customHeight="1">
      <c r="A23" s="9"/>
      <c r="B23" s="19" t="s">
        <v>74</v>
      </c>
      <c r="C23" s="24"/>
      <c r="D23" s="20"/>
      <c r="E23" s="134"/>
      <c r="F23" s="134"/>
      <c r="G23" s="134"/>
      <c r="H23" s="134"/>
      <c r="I23" s="134"/>
      <c r="J23" s="134"/>
      <c r="K23" s="134"/>
      <c r="L23" s="202"/>
      <c r="M23" s="202"/>
      <c r="N23" s="134"/>
      <c r="O23" s="134"/>
      <c r="P23" s="134"/>
      <c r="Q23" s="292"/>
      <c r="R23" s="20"/>
      <c r="S23" s="292"/>
      <c r="T23" s="72"/>
      <c r="U23" s="134"/>
      <c r="V23" s="134"/>
      <c r="W23" s="293"/>
      <c r="X23" s="134"/>
      <c r="Y23" s="72">
        <f t="shared" si="4"/>
        <v>0</v>
      </c>
      <c r="Z23" s="213">
        <f t="shared" si="5"/>
        <v>0</v>
      </c>
      <c r="AA23" s="134"/>
      <c r="AB23" s="213">
        <f t="shared" si="6"/>
        <v>0</v>
      </c>
      <c r="AC23" s="12"/>
    </row>
    <row r="24" spans="1:29" ht="20.100000000000001" customHeight="1">
      <c r="A24" s="9">
        <v>6</v>
      </c>
      <c r="B24" s="10" t="s">
        <v>459</v>
      </c>
      <c r="C24" s="3" t="s">
        <v>368</v>
      </c>
      <c r="D24" s="9" t="s">
        <v>366</v>
      </c>
      <c r="E24" s="72">
        <v>27611.23</v>
      </c>
      <c r="F24" s="72">
        <f>E24*300%</f>
        <v>82833.69</v>
      </c>
      <c r="G24" s="72">
        <f>E24*7.5%</f>
        <v>2070.8422500000001</v>
      </c>
      <c r="H24" s="72"/>
      <c r="I24" s="72">
        <f>E24*50%</f>
        <v>13805.615</v>
      </c>
      <c r="J24" s="72">
        <f>E24*350%</f>
        <v>96639.304999999993</v>
      </c>
      <c r="K24" s="72">
        <f>E24*100%</f>
        <v>27611.23</v>
      </c>
      <c r="L24" s="202">
        <v>140000</v>
      </c>
      <c r="M24" s="202"/>
      <c r="N24" s="72">
        <f>E24*10%</f>
        <v>2761.123</v>
      </c>
      <c r="O24" s="72">
        <v>20000</v>
      </c>
      <c r="P24" s="72"/>
      <c r="Q24" s="201">
        <f>SUM(E24:P24)</f>
        <v>413333.03525000002</v>
      </c>
      <c r="R24" s="9" t="s">
        <v>99</v>
      </c>
      <c r="S24" s="201">
        <f>'SALARY STRUCTURE'!H18+160000</f>
        <v>504720.16666666698</v>
      </c>
      <c r="T24" s="72">
        <f t="shared" si="0"/>
        <v>91387.131416666904</v>
      </c>
      <c r="U24" s="72"/>
      <c r="V24" s="72"/>
      <c r="W24" s="289">
        <v>58026.609434666701</v>
      </c>
      <c r="X24" s="72">
        <f>'[11]October 2023'!$Z$86</f>
        <v>75572.938666666698</v>
      </c>
      <c r="Y24" s="72">
        <f t="shared" si="4"/>
        <v>17546.329232</v>
      </c>
      <c r="Z24" s="213">
        <f t="shared" si="5"/>
        <v>73840.8021846669</v>
      </c>
      <c r="AA24" s="72">
        <v>1</v>
      </c>
      <c r="AB24" s="213">
        <f t="shared" si="6"/>
        <v>73840.8021846669</v>
      </c>
      <c r="AC24" s="12"/>
    </row>
    <row r="25" spans="1:29" ht="21.6" customHeight="1">
      <c r="A25" s="9">
        <v>7</v>
      </c>
      <c r="B25" s="10" t="s">
        <v>463</v>
      </c>
      <c r="C25" s="11" t="s">
        <v>231</v>
      </c>
      <c r="D25" s="14" t="s">
        <v>1052</v>
      </c>
      <c r="E25" s="72">
        <v>24741.26</v>
      </c>
      <c r="F25" s="72">
        <f>E25*300%</f>
        <v>74223.78</v>
      </c>
      <c r="G25" s="72">
        <f>E25*7.5%</f>
        <v>1855.5944999999999</v>
      </c>
      <c r="H25" s="72">
        <v>0</v>
      </c>
      <c r="I25" s="72">
        <f>E25*50%</f>
        <v>12370.63</v>
      </c>
      <c r="J25" s="72">
        <f>E25*350%</f>
        <v>86594.41</v>
      </c>
      <c r="K25" s="72">
        <f>E25*100%</f>
        <v>24741.26</v>
      </c>
      <c r="L25" s="202">
        <f t="shared" ref="L25" si="14">120000</f>
        <v>120000</v>
      </c>
      <c r="M25" s="202"/>
      <c r="N25" s="72">
        <f>E25*10%</f>
        <v>2474.1260000000002</v>
      </c>
      <c r="O25" s="72">
        <v>15000</v>
      </c>
      <c r="P25" s="72">
        <v>0</v>
      </c>
      <c r="Q25" s="201">
        <f>SUM(E25:P25)</f>
        <v>362001.06050000002</v>
      </c>
      <c r="R25" s="14" t="s">
        <v>29</v>
      </c>
      <c r="S25" s="201">
        <f>'SALARY STRUCTURE'!H17+140000</f>
        <v>389153.41666666698</v>
      </c>
      <c r="T25" s="72">
        <f t="shared" si="0"/>
        <v>27152.356166666999</v>
      </c>
      <c r="U25" s="72"/>
      <c r="V25" s="72"/>
      <c r="W25" s="289">
        <v>48170.870282666699</v>
      </c>
      <c r="X25" s="72">
        <f>'[11]October 2023'!$Z$89</f>
        <v>53384.122666666699</v>
      </c>
      <c r="Y25" s="72">
        <f t="shared" si="4"/>
        <v>5213.2523840000003</v>
      </c>
      <c r="Z25" s="213">
        <f t="shared" si="5"/>
        <v>21939.103782667</v>
      </c>
      <c r="AA25" s="72">
        <f>(19/31)+2</f>
        <v>2.6129032258064502</v>
      </c>
      <c r="AB25" s="213">
        <f t="shared" si="6"/>
        <v>57324.755045033198</v>
      </c>
      <c r="AC25" s="12"/>
    </row>
    <row r="26" spans="1:29" ht="20.100000000000001" customHeight="1">
      <c r="A26" s="9"/>
      <c r="B26" s="19" t="s">
        <v>42</v>
      </c>
      <c r="C26" s="20">
        <v>2</v>
      </c>
      <c r="D26" s="20"/>
      <c r="E26" s="80">
        <f t="shared" ref="E26:Q26" si="15">SUM(E24:E25)</f>
        <v>52352.49</v>
      </c>
      <c r="F26" s="80">
        <f t="shared" si="15"/>
        <v>157057.47</v>
      </c>
      <c r="G26" s="80">
        <f t="shared" si="15"/>
        <v>3926.4367499999998</v>
      </c>
      <c r="H26" s="80">
        <f t="shared" si="15"/>
        <v>0</v>
      </c>
      <c r="I26" s="80">
        <f t="shared" si="15"/>
        <v>26176.244999999999</v>
      </c>
      <c r="J26" s="80">
        <f t="shared" si="15"/>
        <v>183233.715</v>
      </c>
      <c r="K26" s="80">
        <f t="shared" si="15"/>
        <v>52352.49</v>
      </c>
      <c r="L26" s="80">
        <f t="shared" si="15"/>
        <v>260000</v>
      </c>
      <c r="M26" s="80">
        <f t="shared" si="15"/>
        <v>0</v>
      </c>
      <c r="N26" s="80">
        <f t="shared" si="15"/>
        <v>5235.2489999999998</v>
      </c>
      <c r="O26" s="80">
        <f t="shared" si="15"/>
        <v>35000</v>
      </c>
      <c r="P26" s="80">
        <f t="shared" si="15"/>
        <v>0</v>
      </c>
      <c r="Q26" s="80">
        <f t="shared" si="15"/>
        <v>775334.09574999998</v>
      </c>
      <c r="R26" s="20"/>
      <c r="S26" s="80">
        <f>SUM(S24:S25)</f>
        <v>893873.58333333395</v>
      </c>
      <c r="T26" s="80">
        <f t="shared" ref="T26:AB26" si="16">SUM(T24:T25)</f>
        <v>118539.487583334</v>
      </c>
      <c r="U26" s="80">
        <f t="shared" si="16"/>
        <v>0</v>
      </c>
      <c r="V26" s="80">
        <f t="shared" si="16"/>
        <v>0</v>
      </c>
      <c r="W26" s="80">
        <f t="shared" si="16"/>
        <v>106197.479717333</v>
      </c>
      <c r="X26" s="80">
        <f t="shared" si="16"/>
        <v>128957.061333333</v>
      </c>
      <c r="Y26" s="80">
        <f t="shared" si="16"/>
        <v>22759.581615999999</v>
      </c>
      <c r="Z26" s="302">
        <f t="shared" si="16"/>
        <v>95779.905967333907</v>
      </c>
      <c r="AA26" s="80"/>
      <c r="AB26" s="302">
        <f t="shared" si="16"/>
        <v>131165.5572297</v>
      </c>
      <c r="AC26" s="12"/>
    </row>
    <row r="27" spans="1:29" ht="20.100000000000001" customHeight="1">
      <c r="A27" s="9"/>
      <c r="B27" s="21"/>
      <c r="C27" s="20"/>
      <c r="D27" s="20"/>
      <c r="E27" s="134"/>
      <c r="F27" s="134"/>
      <c r="G27" s="134"/>
      <c r="H27" s="134"/>
      <c r="I27" s="134"/>
      <c r="J27" s="134"/>
      <c r="K27" s="134"/>
      <c r="L27" s="202"/>
      <c r="M27" s="202"/>
      <c r="N27" s="134"/>
      <c r="O27" s="134"/>
      <c r="P27" s="134"/>
      <c r="Q27" s="292"/>
      <c r="R27" s="20"/>
      <c r="S27" s="292"/>
      <c r="T27" s="72">
        <f t="shared" si="0"/>
        <v>0</v>
      </c>
      <c r="U27" s="134"/>
      <c r="V27" s="134"/>
      <c r="W27" s="293"/>
      <c r="X27" s="134"/>
      <c r="Y27" s="72">
        <f t="shared" si="4"/>
        <v>0</v>
      </c>
      <c r="Z27" s="213">
        <f t="shared" si="5"/>
        <v>0</v>
      </c>
      <c r="AA27" s="134"/>
      <c r="AB27" s="213">
        <f t="shared" si="6"/>
        <v>0</v>
      </c>
      <c r="AC27" s="12"/>
    </row>
    <row r="28" spans="1:29" ht="20.100000000000001" customHeight="1">
      <c r="A28" s="9"/>
      <c r="B28" s="19" t="s">
        <v>84</v>
      </c>
      <c r="C28" s="20"/>
      <c r="D28" s="20"/>
      <c r="E28" s="134"/>
      <c r="F28" s="134"/>
      <c r="G28" s="134"/>
      <c r="H28" s="134"/>
      <c r="I28" s="134"/>
      <c r="J28" s="134"/>
      <c r="K28" s="134"/>
      <c r="L28" s="202"/>
      <c r="M28" s="202"/>
      <c r="N28" s="134"/>
      <c r="O28" s="134"/>
      <c r="P28" s="134"/>
      <c r="Q28" s="292"/>
      <c r="R28" s="20"/>
      <c r="S28" s="292"/>
      <c r="T28" s="72">
        <f t="shared" si="0"/>
        <v>0</v>
      </c>
      <c r="U28" s="134"/>
      <c r="V28" s="134"/>
      <c r="W28" s="293"/>
      <c r="X28" s="134"/>
      <c r="Y28" s="72">
        <f t="shared" si="4"/>
        <v>0</v>
      </c>
      <c r="Z28" s="213">
        <f t="shared" si="5"/>
        <v>0</v>
      </c>
      <c r="AA28" s="134"/>
      <c r="AB28" s="213">
        <f t="shared" si="6"/>
        <v>0</v>
      </c>
      <c r="AC28" s="12"/>
    </row>
    <row r="29" spans="1:29" ht="20.100000000000001" customHeight="1">
      <c r="A29" s="9">
        <v>8</v>
      </c>
      <c r="B29" s="10" t="s">
        <v>359</v>
      </c>
      <c r="C29" s="3" t="s">
        <v>474</v>
      </c>
      <c r="D29" s="9" t="s">
        <v>366</v>
      </c>
      <c r="E29" s="72">
        <v>27611.23</v>
      </c>
      <c r="F29" s="72">
        <f>E29*300%</f>
        <v>82833.69</v>
      </c>
      <c r="G29" s="72">
        <f>E29*7.5%</f>
        <v>2070.8422500000001</v>
      </c>
      <c r="H29" s="72"/>
      <c r="I29" s="72">
        <f>E29*50%</f>
        <v>13805.615</v>
      </c>
      <c r="J29" s="72">
        <f>E29*350%</f>
        <v>96639.304999999993</v>
      </c>
      <c r="K29" s="72">
        <f>E29*100%</f>
        <v>27611.23</v>
      </c>
      <c r="L29" s="202">
        <v>140000</v>
      </c>
      <c r="M29" s="202"/>
      <c r="N29" s="72">
        <f>E29*10%</f>
        <v>2761.123</v>
      </c>
      <c r="O29" s="72">
        <v>20000</v>
      </c>
      <c r="P29" s="72">
        <f>100000</f>
        <v>100000</v>
      </c>
      <c r="Q29" s="201">
        <f>SUM(E29:P29)</f>
        <v>513333.03525000002</v>
      </c>
      <c r="R29" s="9" t="s">
        <v>99</v>
      </c>
      <c r="S29" s="201">
        <f>'SALARY STRUCTURE'!H18+160000+100000</f>
        <v>604720.16666666698</v>
      </c>
      <c r="T29" s="72">
        <f t="shared" si="0"/>
        <v>91387.131416666904</v>
      </c>
      <c r="U29" s="72">
        <v>690.28075000000001</v>
      </c>
      <c r="V29" s="72">
        <f>837.69</f>
        <v>837.69</v>
      </c>
      <c r="W29" s="289">
        <f>77098.29</f>
        <v>77098.289999999994</v>
      </c>
      <c r="X29" s="72">
        <f>'[11]October 2023'!$Z$97</f>
        <v>94644.621866666697</v>
      </c>
      <c r="Y29" s="72">
        <f t="shared" si="4"/>
        <v>17546.3318666667</v>
      </c>
      <c r="Z29" s="213">
        <f t="shared" si="5"/>
        <v>73840.7995500002</v>
      </c>
      <c r="AA29" s="72">
        <f>3</f>
        <v>3</v>
      </c>
      <c r="AB29" s="213">
        <f t="shared" si="6"/>
        <v>221522.39865000101</v>
      </c>
      <c r="AC29" s="12"/>
    </row>
    <row r="30" spans="1:29" ht="20.100000000000001" customHeight="1">
      <c r="A30" s="9">
        <v>9</v>
      </c>
      <c r="B30" s="10" t="s">
        <v>473</v>
      </c>
      <c r="C30" s="3" t="s">
        <v>527</v>
      </c>
      <c r="D30" s="14" t="s">
        <v>375</v>
      </c>
      <c r="E30" s="72">
        <v>25523.45</v>
      </c>
      <c r="F30" s="72">
        <f>E30*300%</f>
        <v>76570.350000000006</v>
      </c>
      <c r="G30" s="72">
        <f>E30*7.5%</f>
        <v>1914.25875</v>
      </c>
      <c r="H30" s="72">
        <v>0</v>
      </c>
      <c r="I30" s="72">
        <f>E30*50%</f>
        <v>12761.725</v>
      </c>
      <c r="J30" s="72">
        <f>E30*350%</f>
        <v>89332.074999999997</v>
      </c>
      <c r="K30" s="72">
        <f>E30*100%</f>
        <v>25523.45</v>
      </c>
      <c r="L30" s="202"/>
      <c r="M30" s="202">
        <v>70000</v>
      </c>
      <c r="N30" s="72">
        <f>E30*10%</f>
        <v>2552.3449999999998</v>
      </c>
      <c r="O30" s="72">
        <v>15000</v>
      </c>
      <c r="P30" s="72">
        <v>0</v>
      </c>
      <c r="Q30" s="201">
        <f>SUM(E30:P30)</f>
        <v>319177.65375</v>
      </c>
      <c r="R30" s="14" t="s">
        <v>369</v>
      </c>
      <c r="S30" s="201">
        <f>'SALARY STRUCTURE'!I17+70000</f>
        <v>327211.25</v>
      </c>
      <c r="T30" s="72">
        <f t="shared" si="0"/>
        <v>8033.5962499999996</v>
      </c>
      <c r="U30" s="72"/>
      <c r="V30" s="72"/>
      <c r="W30" s="289">
        <v>40698.124856666698</v>
      </c>
      <c r="X30" s="72">
        <f>'[11]October 2023'!$Z$129</f>
        <v>42047.769026666698</v>
      </c>
      <c r="Y30" s="72">
        <f t="shared" si="4"/>
        <v>1349.64417</v>
      </c>
      <c r="Z30" s="213">
        <f t="shared" si="5"/>
        <v>6683.95208</v>
      </c>
      <c r="AA30" s="72">
        <v>7</v>
      </c>
      <c r="AB30" s="213">
        <f t="shared" si="6"/>
        <v>46787.664559999997</v>
      </c>
      <c r="AC30" s="12"/>
    </row>
    <row r="31" spans="1:29" ht="20.100000000000001" customHeight="1">
      <c r="A31" s="9">
        <v>10</v>
      </c>
      <c r="B31" s="10" t="s">
        <v>477</v>
      </c>
      <c r="C31" s="3" t="s">
        <v>1070</v>
      </c>
      <c r="D31" s="14" t="s">
        <v>1048</v>
      </c>
      <c r="E31" s="72">
        <v>13492.21</v>
      </c>
      <c r="F31" s="72">
        <v>40476.629999999997</v>
      </c>
      <c r="G31" s="72">
        <v>1011.91575</v>
      </c>
      <c r="H31" s="72"/>
      <c r="I31" s="72">
        <v>6746.1049999999996</v>
      </c>
      <c r="J31" s="72">
        <v>47222.735000000001</v>
      </c>
      <c r="K31" s="72">
        <v>13492.21</v>
      </c>
      <c r="L31" s="202"/>
      <c r="M31" s="202">
        <v>50000</v>
      </c>
      <c r="N31" s="72">
        <v>1349.221</v>
      </c>
      <c r="O31" s="72">
        <v>10000</v>
      </c>
      <c r="P31" s="72"/>
      <c r="Q31" s="201">
        <v>183791.02674999999</v>
      </c>
      <c r="R31" s="14" t="s">
        <v>37</v>
      </c>
      <c r="S31" s="201">
        <f>'SALARY STRUCTURE'!H14+60000</f>
        <v>228601.58333333299</v>
      </c>
      <c r="T31" s="72">
        <f t="shared" si="0"/>
        <v>44810.556583332997</v>
      </c>
      <c r="U31" s="72"/>
      <c r="V31" s="72"/>
      <c r="W31" s="289">
        <v>18102.902732666698</v>
      </c>
      <c r="X31" s="72">
        <f>'[11]October 2023'!$Z$30</f>
        <v>25571.7326666667</v>
      </c>
      <c r="Y31" s="72">
        <f t="shared" si="4"/>
        <v>7468.8299340000003</v>
      </c>
      <c r="Z31" s="213">
        <f t="shared" si="5"/>
        <v>37341.726649333003</v>
      </c>
      <c r="AA31" s="72">
        <v>1</v>
      </c>
      <c r="AB31" s="213">
        <f t="shared" si="6"/>
        <v>37341.726649333003</v>
      </c>
      <c r="AC31" s="12"/>
    </row>
    <row r="32" spans="1:29" ht="20.100000000000001" customHeight="1">
      <c r="A32" s="3"/>
      <c r="B32" s="19" t="s">
        <v>42</v>
      </c>
      <c r="C32" s="20">
        <v>3</v>
      </c>
      <c r="D32" s="25"/>
      <c r="E32" s="80">
        <f t="shared" ref="E32:Q32" si="17">SUM(E29:E31)</f>
        <v>66626.89</v>
      </c>
      <c r="F32" s="80">
        <f t="shared" si="17"/>
        <v>199880.67</v>
      </c>
      <c r="G32" s="80">
        <f t="shared" si="17"/>
        <v>4997.0167499999998</v>
      </c>
      <c r="H32" s="80">
        <f t="shared" si="17"/>
        <v>0</v>
      </c>
      <c r="I32" s="80">
        <f t="shared" si="17"/>
        <v>33313.445</v>
      </c>
      <c r="J32" s="80">
        <f t="shared" si="17"/>
        <v>233194.11499999999</v>
      </c>
      <c r="K32" s="80">
        <f t="shared" si="17"/>
        <v>66626.89</v>
      </c>
      <c r="L32" s="80">
        <f t="shared" si="17"/>
        <v>140000</v>
      </c>
      <c r="M32" s="80">
        <f t="shared" si="17"/>
        <v>120000</v>
      </c>
      <c r="N32" s="80">
        <f t="shared" si="17"/>
        <v>6662.6890000000003</v>
      </c>
      <c r="O32" s="80">
        <f t="shared" si="17"/>
        <v>45000</v>
      </c>
      <c r="P32" s="80">
        <f t="shared" si="17"/>
        <v>100000</v>
      </c>
      <c r="Q32" s="80">
        <f t="shared" si="17"/>
        <v>1016301.71575</v>
      </c>
      <c r="R32" s="25"/>
      <c r="S32" s="80">
        <f>SUM(S29:S31)</f>
        <v>1160533</v>
      </c>
      <c r="T32" s="72">
        <f t="shared" si="0"/>
        <v>144231.28425</v>
      </c>
      <c r="U32" s="80">
        <f>SUM(U29:U31)</f>
        <v>690.28075000000001</v>
      </c>
      <c r="V32" s="80"/>
      <c r="W32" s="294">
        <f>SUM(W29:W31)</f>
        <v>135899.31758933299</v>
      </c>
      <c r="X32" s="294">
        <f t="shared" ref="X32:AB32" si="18">SUM(X29:X31)</f>
        <v>162264.12356000001</v>
      </c>
      <c r="Y32" s="294">
        <f t="shared" si="18"/>
        <v>26364.805970666701</v>
      </c>
      <c r="Z32" s="303">
        <f t="shared" si="18"/>
        <v>117866.47827933299</v>
      </c>
      <c r="AA32" s="294"/>
      <c r="AB32" s="303">
        <f t="shared" si="18"/>
        <v>305651.78985933401</v>
      </c>
      <c r="AC32" s="12"/>
    </row>
    <row r="33" spans="1:29" ht="20.100000000000001" customHeight="1">
      <c r="A33" s="3"/>
      <c r="B33" s="21"/>
      <c r="C33" s="9"/>
      <c r="D33" s="3"/>
      <c r="E33" s="206"/>
      <c r="F33" s="206"/>
      <c r="G33" s="206"/>
      <c r="H33" s="206"/>
      <c r="I33" s="206"/>
      <c r="J33" s="206"/>
      <c r="K33" s="206"/>
      <c r="L33" s="202"/>
      <c r="M33" s="202"/>
      <c r="N33" s="206"/>
      <c r="O33" s="206"/>
      <c r="P33" s="206"/>
      <c r="Q33" s="295"/>
      <c r="R33" s="3"/>
      <c r="S33" s="295"/>
      <c r="T33" s="72"/>
      <c r="U33" s="206"/>
      <c r="V33" s="206"/>
      <c r="W33" s="296"/>
      <c r="X33" s="206"/>
      <c r="Y33" s="72">
        <f t="shared" si="4"/>
        <v>0</v>
      </c>
      <c r="Z33" s="213">
        <f t="shared" si="5"/>
        <v>0</v>
      </c>
      <c r="AA33" s="206"/>
      <c r="AB33" s="213">
        <f t="shared" si="6"/>
        <v>0</v>
      </c>
      <c r="AC33" s="12"/>
    </row>
    <row r="34" spans="1:29" ht="20.100000000000001" customHeight="1">
      <c r="A34" s="3"/>
      <c r="B34" s="19" t="s">
        <v>97</v>
      </c>
      <c r="C34" s="20"/>
      <c r="D34" s="20"/>
      <c r="E34" s="134"/>
      <c r="F34" s="134"/>
      <c r="G34" s="134"/>
      <c r="H34" s="134"/>
      <c r="I34" s="134"/>
      <c r="J34" s="134"/>
      <c r="K34" s="134"/>
      <c r="L34" s="202"/>
      <c r="M34" s="202"/>
      <c r="N34" s="134"/>
      <c r="O34" s="134"/>
      <c r="P34" s="134"/>
      <c r="Q34" s="292"/>
      <c r="R34" s="20"/>
      <c r="S34" s="292"/>
      <c r="T34" s="72"/>
      <c r="U34" s="134"/>
      <c r="V34" s="134"/>
      <c r="W34" s="293"/>
      <c r="X34" s="134"/>
      <c r="Y34" s="72">
        <f t="shared" si="4"/>
        <v>0</v>
      </c>
      <c r="Z34" s="213">
        <f t="shared" si="5"/>
        <v>0</v>
      </c>
      <c r="AA34" s="134"/>
      <c r="AB34" s="213">
        <f t="shared" si="6"/>
        <v>0</v>
      </c>
      <c r="AC34" s="12"/>
    </row>
    <row r="35" spans="1:29" ht="20.100000000000001" customHeight="1">
      <c r="A35" s="3">
        <v>11</v>
      </c>
      <c r="B35" s="10" t="s">
        <v>507</v>
      </c>
      <c r="C35" s="11" t="s">
        <v>1071</v>
      </c>
      <c r="D35" s="14" t="s">
        <v>375</v>
      </c>
      <c r="E35" s="72">
        <v>25523.45</v>
      </c>
      <c r="F35" s="72">
        <f>E35*300%</f>
        <v>76570.350000000006</v>
      </c>
      <c r="G35" s="72">
        <f>E35*7.5%</f>
        <v>1914.25875</v>
      </c>
      <c r="H35" s="72"/>
      <c r="I35" s="72">
        <f>E35*50%</f>
        <v>12761.725</v>
      </c>
      <c r="J35" s="72">
        <f>E35*350%</f>
        <v>89332.074999999997</v>
      </c>
      <c r="K35" s="72">
        <f>E35*100%</f>
        <v>25523.45</v>
      </c>
      <c r="L35" s="202"/>
      <c r="M35" s="202">
        <f t="shared" ref="M35" si="19">70000</f>
        <v>70000</v>
      </c>
      <c r="N35" s="72">
        <f>E35*10%</f>
        <v>2552.3449999999998</v>
      </c>
      <c r="O35" s="72">
        <v>15000</v>
      </c>
      <c r="P35" s="72"/>
      <c r="Q35" s="201">
        <f>SUM(E35:P35)</f>
        <v>319177.65375</v>
      </c>
      <c r="R35" s="14" t="s">
        <v>369</v>
      </c>
      <c r="S35" s="201">
        <f>'SALARY STRUCTURE'!I17+70000</f>
        <v>327211.25</v>
      </c>
      <c r="T35" s="72">
        <f t="shared" si="0"/>
        <v>8033.5962499999996</v>
      </c>
      <c r="U35" s="72">
        <v>638.08624999999995</v>
      </c>
      <c r="V35" s="72">
        <f>690.28</f>
        <v>690.28</v>
      </c>
      <c r="W35" s="289">
        <v>40684.599176666699</v>
      </c>
      <c r="X35" s="72">
        <f>'[11]October 2023'!$Z$118</f>
        <v>42034.243346666699</v>
      </c>
      <c r="Y35" s="72">
        <f t="shared" si="4"/>
        <v>1349.64417</v>
      </c>
      <c r="Z35" s="213">
        <f t="shared" si="5"/>
        <v>6683.95208</v>
      </c>
      <c r="AA35" s="72">
        <f>9</f>
        <v>9</v>
      </c>
      <c r="AB35" s="213">
        <f t="shared" si="6"/>
        <v>60155.568720000003</v>
      </c>
      <c r="AC35" s="12"/>
    </row>
    <row r="36" spans="1:29" ht="28.5" customHeight="1">
      <c r="A36" s="3"/>
      <c r="B36" s="19" t="s">
        <v>42</v>
      </c>
      <c r="C36" s="25" t="s">
        <v>249</v>
      </c>
      <c r="D36" s="14"/>
      <c r="E36" s="134">
        <f t="shared" ref="E36:Q36" si="20">SUM(E35:E35)</f>
        <v>25523.45</v>
      </c>
      <c r="F36" s="134">
        <f t="shared" si="20"/>
        <v>76570.350000000006</v>
      </c>
      <c r="G36" s="134">
        <f t="shared" si="20"/>
        <v>1914.25875</v>
      </c>
      <c r="H36" s="134">
        <f t="shared" si="20"/>
        <v>0</v>
      </c>
      <c r="I36" s="134">
        <f t="shared" si="20"/>
        <v>12761.725</v>
      </c>
      <c r="J36" s="134">
        <f t="shared" si="20"/>
        <v>89332.074999999997</v>
      </c>
      <c r="K36" s="134">
        <f t="shared" si="20"/>
        <v>25523.45</v>
      </c>
      <c r="L36" s="134">
        <f t="shared" si="20"/>
        <v>0</v>
      </c>
      <c r="M36" s="134">
        <f t="shared" si="20"/>
        <v>70000</v>
      </c>
      <c r="N36" s="134">
        <f t="shared" si="20"/>
        <v>2552.3449999999998</v>
      </c>
      <c r="O36" s="134">
        <f t="shared" si="20"/>
        <v>15000</v>
      </c>
      <c r="P36" s="134">
        <f t="shared" si="20"/>
        <v>0</v>
      </c>
      <c r="Q36" s="134">
        <f t="shared" si="20"/>
        <v>319177.65375</v>
      </c>
      <c r="R36" s="14"/>
      <c r="S36" s="134">
        <f t="shared" ref="S36:Z36" si="21">SUM(S35:S35)</f>
        <v>327211.25</v>
      </c>
      <c r="T36" s="134">
        <f t="shared" si="21"/>
        <v>8033.5962499999996</v>
      </c>
      <c r="U36" s="134">
        <f t="shared" si="21"/>
        <v>638.08624999999995</v>
      </c>
      <c r="V36" s="134">
        <f t="shared" si="21"/>
        <v>690.28</v>
      </c>
      <c r="W36" s="134">
        <f t="shared" si="21"/>
        <v>40684.599176666699</v>
      </c>
      <c r="X36" s="134">
        <f t="shared" si="21"/>
        <v>42034.243346666699</v>
      </c>
      <c r="Y36" s="134">
        <f t="shared" si="21"/>
        <v>1349.64417</v>
      </c>
      <c r="Z36" s="215">
        <f t="shared" si="21"/>
        <v>6683.95208</v>
      </c>
      <c r="AA36" s="134"/>
      <c r="AB36" s="215">
        <f>SUM(AB35:AB35)</f>
        <v>60155.568720000003</v>
      </c>
      <c r="AC36" s="12"/>
    </row>
    <row r="37" spans="1:29" ht="20.100000000000001" customHeight="1">
      <c r="A37" s="3"/>
      <c r="B37" s="21"/>
      <c r="C37" s="25"/>
      <c r="D37" s="14"/>
      <c r="E37" s="134"/>
      <c r="F37" s="134"/>
      <c r="G37" s="134"/>
      <c r="H37" s="134"/>
      <c r="I37" s="134"/>
      <c r="J37" s="134"/>
      <c r="K37" s="134"/>
      <c r="L37" s="202">
        <f>226713.38+70000</f>
        <v>296713.38</v>
      </c>
      <c r="M37" s="202"/>
      <c r="N37" s="134"/>
      <c r="O37" s="134"/>
      <c r="P37" s="134"/>
      <c r="Q37" s="292"/>
      <c r="R37" s="14"/>
      <c r="S37" s="292"/>
      <c r="T37" s="72"/>
      <c r="U37" s="134"/>
      <c r="V37" s="134"/>
      <c r="W37" s="293"/>
      <c r="X37" s="134"/>
      <c r="Y37" s="72"/>
      <c r="Z37" s="213"/>
      <c r="AA37" s="134"/>
      <c r="AB37" s="213"/>
      <c r="AC37" s="12"/>
    </row>
    <row r="38" spans="1:29" ht="20.100000000000001" customHeight="1">
      <c r="A38" s="3"/>
      <c r="B38" s="19" t="s">
        <v>103</v>
      </c>
      <c r="C38" s="11"/>
      <c r="D38" s="14"/>
      <c r="E38" s="72"/>
      <c r="F38" s="72"/>
      <c r="G38" s="72"/>
      <c r="H38" s="72"/>
      <c r="I38" s="72"/>
      <c r="J38" s="72"/>
      <c r="K38" s="72"/>
      <c r="L38" s="202"/>
      <c r="M38" s="202"/>
      <c r="N38" s="72"/>
      <c r="O38" s="72"/>
      <c r="P38" s="72"/>
      <c r="Q38" s="201"/>
      <c r="R38" s="14"/>
      <c r="S38" s="201"/>
      <c r="T38" s="72"/>
      <c r="U38" s="72"/>
      <c r="V38" s="72"/>
      <c r="W38" s="289"/>
      <c r="X38" s="72"/>
      <c r="Y38" s="72"/>
      <c r="Z38" s="213"/>
      <c r="AA38" s="72"/>
      <c r="AB38" s="213"/>
      <c r="AC38" s="12"/>
    </row>
    <row r="39" spans="1:29" ht="20.100000000000001" customHeight="1">
      <c r="A39" s="26">
        <v>12</v>
      </c>
      <c r="B39" s="10" t="s">
        <v>530</v>
      </c>
      <c r="C39" s="11" t="s">
        <v>1072</v>
      </c>
      <c r="D39" s="14" t="s">
        <v>539</v>
      </c>
      <c r="E39" s="202">
        <v>18779.3</v>
      </c>
      <c r="F39" s="72">
        <f t="shared" ref="F39:F45" si="22">E39*300%</f>
        <v>56337.9</v>
      </c>
      <c r="G39" s="72">
        <f t="shared" ref="G39:G45" si="23">E39*7.5%</f>
        <v>1408.4475</v>
      </c>
      <c r="H39" s="72"/>
      <c r="I39" s="72">
        <f t="shared" ref="I39:I45" si="24">E39*50%</f>
        <v>9389.65</v>
      </c>
      <c r="J39" s="72">
        <f t="shared" ref="J39:J45" si="25">E39*350%</f>
        <v>65727.55</v>
      </c>
      <c r="K39" s="72">
        <f t="shared" ref="K39:K45" si="26">E39*100%</f>
        <v>18779.3</v>
      </c>
      <c r="L39" s="202"/>
      <c r="M39" s="202">
        <f>60000</f>
        <v>60000</v>
      </c>
      <c r="N39" s="72">
        <f t="shared" ref="N39:N45" si="27">E39*10%</f>
        <v>1877.93</v>
      </c>
      <c r="O39" s="72">
        <v>10000</v>
      </c>
      <c r="P39" s="72"/>
      <c r="Q39" s="201">
        <f t="shared" ref="Q39:Q45" si="28">SUM(E39:P39)</f>
        <v>242300.07750000001</v>
      </c>
      <c r="R39" s="14" t="s">
        <v>32</v>
      </c>
      <c r="S39" s="201">
        <f>'SALARY STRUCTURE'!H15+60000</f>
        <v>265371.75</v>
      </c>
      <c r="T39" s="72">
        <f t="shared" si="0"/>
        <v>23071.672500000001</v>
      </c>
      <c r="U39" s="72">
        <v>469.48250000000002</v>
      </c>
      <c r="V39" s="72">
        <f>570.95</f>
        <v>570.95000000000005</v>
      </c>
      <c r="W39" s="289">
        <v>27794.206626666699</v>
      </c>
      <c r="X39" s="72">
        <f>'[11]October 2023'!$Z$134</f>
        <v>31653.201066666701</v>
      </c>
      <c r="Y39" s="72">
        <f t="shared" si="4"/>
        <v>3858.9944399999999</v>
      </c>
      <c r="Z39" s="213">
        <f t="shared" si="5"/>
        <v>19212.678059999998</v>
      </c>
      <c r="AA39" s="72">
        <v>9</v>
      </c>
      <c r="AB39" s="213">
        <f t="shared" si="6"/>
        <v>172914.10253999999</v>
      </c>
      <c r="AC39" s="12"/>
    </row>
    <row r="40" spans="1:29" ht="20.100000000000001" customHeight="1">
      <c r="A40" s="26">
        <v>13</v>
      </c>
      <c r="B40" s="17" t="s">
        <v>534</v>
      </c>
      <c r="C40" s="3" t="s">
        <v>544</v>
      </c>
      <c r="D40" s="14" t="s">
        <v>539</v>
      </c>
      <c r="E40" s="72">
        <f>18779.3</f>
        <v>18779.3</v>
      </c>
      <c r="F40" s="72">
        <f t="shared" si="22"/>
        <v>56337.9</v>
      </c>
      <c r="G40" s="72">
        <f t="shared" si="23"/>
        <v>1408.4475</v>
      </c>
      <c r="H40" s="72"/>
      <c r="I40" s="72">
        <f t="shared" si="24"/>
        <v>9389.65</v>
      </c>
      <c r="J40" s="72">
        <f t="shared" si="25"/>
        <v>65727.55</v>
      </c>
      <c r="K40" s="72">
        <f t="shared" si="26"/>
        <v>18779.3</v>
      </c>
      <c r="L40" s="202"/>
      <c r="M40" s="202">
        <v>60000</v>
      </c>
      <c r="N40" s="72">
        <f t="shared" si="27"/>
        <v>1877.93</v>
      </c>
      <c r="O40" s="72">
        <v>10000</v>
      </c>
      <c r="P40" s="72"/>
      <c r="Q40" s="201">
        <f t="shared" si="28"/>
        <v>242300.07750000001</v>
      </c>
      <c r="R40" s="14" t="s">
        <v>32</v>
      </c>
      <c r="S40" s="201">
        <f>'SALARY STRUCTURE'!H15+60000</f>
        <v>265371.75</v>
      </c>
      <c r="T40" s="72">
        <f t="shared" si="0"/>
        <v>23071.672500000001</v>
      </c>
      <c r="U40" s="72">
        <v>0</v>
      </c>
      <c r="V40" s="72"/>
      <c r="W40" s="289">
        <v>27873.079686666701</v>
      </c>
      <c r="X40" s="72">
        <f>'[11]October 2023'!$Z$24</f>
        <v>31749.120666666699</v>
      </c>
      <c r="Y40" s="72">
        <f t="shared" si="4"/>
        <v>3876.0409800000002</v>
      </c>
      <c r="Z40" s="213">
        <f t="shared" si="5"/>
        <v>19195.631519999999</v>
      </c>
      <c r="AA40" s="72">
        <v>1</v>
      </c>
      <c r="AB40" s="213">
        <f t="shared" si="6"/>
        <v>19195.631519999999</v>
      </c>
      <c r="AC40" s="12"/>
    </row>
    <row r="41" spans="1:29" ht="20.100000000000001" customHeight="1">
      <c r="A41" s="26">
        <v>14</v>
      </c>
      <c r="B41" s="17" t="s">
        <v>553</v>
      </c>
      <c r="C41" s="11" t="s">
        <v>558</v>
      </c>
      <c r="D41" s="14" t="s">
        <v>1048</v>
      </c>
      <c r="E41" s="202">
        <v>13492.21</v>
      </c>
      <c r="F41" s="72">
        <f t="shared" si="22"/>
        <v>40476.629999999997</v>
      </c>
      <c r="G41" s="72">
        <f t="shared" si="23"/>
        <v>1011.91575</v>
      </c>
      <c r="H41" s="72"/>
      <c r="I41" s="72">
        <f t="shared" si="24"/>
        <v>6746.1049999999996</v>
      </c>
      <c r="J41" s="72">
        <f t="shared" si="25"/>
        <v>47222.735000000001</v>
      </c>
      <c r="K41" s="72">
        <f t="shared" si="26"/>
        <v>13492.21</v>
      </c>
      <c r="L41" s="202"/>
      <c r="M41" s="202">
        <f>50000</f>
        <v>50000</v>
      </c>
      <c r="N41" s="72">
        <f t="shared" si="27"/>
        <v>1349.221</v>
      </c>
      <c r="O41" s="72">
        <v>10000</v>
      </c>
      <c r="P41" s="3"/>
      <c r="Q41" s="201">
        <f t="shared" si="28"/>
        <v>183791.02674999999</v>
      </c>
      <c r="R41" s="14" t="s">
        <v>55</v>
      </c>
      <c r="S41" s="201">
        <f>'SALARY STRUCTURE'!H13+60000</f>
        <v>205203.66666666701</v>
      </c>
      <c r="T41" s="72">
        <f t="shared" si="0"/>
        <v>21412.639916667002</v>
      </c>
      <c r="U41" s="72"/>
      <c r="V41" s="72"/>
      <c r="W41" s="289">
        <v>18102.902732666698</v>
      </c>
      <c r="X41" s="72">
        <f>'[11]October 2023'!$Z$145</f>
        <v>21640.882666666701</v>
      </c>
      <c r="Y41" s="72">
        <f t="shared" si="4"/>
        <v>3537.979934</v>
      </c>
      <c r="Z41" s="213">
        <f t="shared" si="5"/>
        <v>17874.659982666999</v>
      </c>
      <c r="AA41" s="72">
        <v>2</v>
      </c>
      <c r="AB41" s="213">
        <f t="shared" si="6"/>
        <v>35749.319965333998</v>
      </c>
      <c r="AC41" s="12"/>
    </row>
    <row r="42" spans="1:29" ht="20.100000000000001" customHeight="1">
      <c r="A42" s="26">
        <v>15</v>
      </c>
      <c r="B42" s="10" t="s">
        <v>578</v>
      </c>
      <c r="C42" s="11" t="s">
        <v>585</v>
      </c>
      <c r="D42" s="14" t="s">
        <v>586</v>
      </c>
      <c r="E42" s="72">
        <v>5428.12</v>
      </c>
      <c r="F42" s="72">
        <f t="shared" si="22"/>
        <v>16284.36</v>
      </c>
      <c r="G42" s="72">
        <f t="shared" si="23"/>
        <v>407.10899999999998</v>
      </c>
      <c r="H42" s="72"/>
      <c r="I42" s="72">
        <f t="shared" si="24"/>
        <v>2714.06</v>
      </c>
      <c r="J42" s="72">
        <f t="shared" si="25"/>
        <v>18998.419999999998</v>
      </c>
      <c r="K42" s="72">
        <f t="shared" si="26"/>
        <v>5428.12</v>
      </c>
      <c r="L42" s="202"/>
      <c r="M42" s="202">
        <f>20000</f>
        <v>20000</v>
      </c>
      <c r="N42" s="72">
        <f t="shared" si="27"/>
        <v>542.81200000000001</v>
      </c>
      <c r="O42" s="72">
        <v>5000</v>
      </c>
      <c r="P42" s="72">
        <f>7000</f>
        <v>7000</v>
      </c>
      <c r="Q42" s="201">
        <f t="shared" si="28"/>
        <v>81803.001000000004</v>
      </c>
      <c r="R42" s="14" t="s">
        <v>580</v>
      </c>
      <c r="S42" s="201">
        <f>'SALARY STRUCTURE'!D11+30000</f>
        <v>115104.91666666701</v>
      </c>
      <c r="T42" s="72">
        <f t="shared" si="0"/>
        <v>33301.915666666697</v>
      </c>
      <c r="U42" s="72"/>
      <c r="V42" s="72"/>
      <c r="W42" s="289">
        <v>4365.3307546666701</v>
      </c>
      <c r="X42" s="72">
        <f>'[11]October 2023'!$Z$164</f>
        <v>8312.59</v>
      </c>
      <c r="Y42" s="72">
        <f t="shared" si="4"/>
        <v>3947.25924533333</v>
      </c>
      <c r="Z42" s="213">
        <f t="shared" si="5"/>
        <v>29354.656421333399</v>
      </c>
      <c r="AA42" s="72">
        <f>(10/31)+2</f>
        <v>2.32258064516129</v>
      </c>
      <c r="AB42" s="213">
        <f t="shared" si="6"/>
        <v>68178.556849548404</v>
      </c>
      <c r="AC42" s="12"/>
    </row>
    <row r="43" spans="1:29" s="277" customFormat="1" ht="20.100000000000001" customHeight="1">
      <c r="A43" s="280">
        <v>16</v>
      </c>
      <c r="B43" s="281" t="s">
        <v>581</v>
      </c>
      <c r="C43" s="282" t="s">
        <v>585</v>
      </c>
      <c r="D43" s="283" t="s">
        <v>586</v>
      </c>
      <c r="E43" s="54">
        <v>5428.12</v>
      </c>
      <c r="F43" s="54">
        <f t="shared" si="22"/>
        <v>16284.36</v>
      </c>
      <c r="G43" s="54">
        <f t="shared" si="23"/>
        <v>407.10899999999998</v>
      </c>
      <c r="H43" s="54"/>
      <c r="I43" s="54">
        <f t="shared" si="24"/>
        <v>2714.06</v>
      </c>
      <c r="J43" s="54">
        <f t="shared" si="25"/>
        <v>18998.419999999998</v>
      </c>
      <c r="K43" s="54">
        <f t="shared" si="26"/>
        <v>5428.12</v>
      </c>
      <c r="L43" s="284"/>
      <c r="M43" s="284">
        <f>20000</f>
        <v>20000</v>
      </c>
      <c r="N43" s="54">
        <f t="shared" si="27"/>
        <v>542.81200000000001</v>
      </c>
      <c r="O43" s="54">
        <v>5000</v>
      </c>
      <c r="P43" s="54">
        <f>7000</f>
        <v>7000</v>
      </c>
      <c r="Q43" s="54">
        <f t="shared" si="28"/>
        <v>81803.001000000004</v>
      </c>
      <c r="R43" s="283" t="s">
        <v>580</v>
      </c>
      <c r="S43" s="54">
        <f>'SALARY STRUCTURE'!D11+30000</f>
        <v>115104.91666666701</v>
      </c>
      <c r="T43" s="54">
        <f t="shared" si="0"/>
        <v>33301.915666666697</v>
      </c>
      <c r="U43" s="54"/>
      <c r="V43" s="54"/>
      <c r="W43" s="297">
        <f>4365.33075466667</f>
        <v>4365.3307546666701</v>
      </c>
      <c r="X43" s="54">
        <f>'[11]October 2023'!$Z$164</f>
        <v>8312.59</v>
      </c>
      <c r="Y43" s="54">
        <f t="shared" si="4"/>
        <v>3947.25924533333</v>
      </c>
      <c r="Z43" s="54">
        <f t="shared" si="5"/>
        <v>29354.656421333399</v>
      </c>
      <c r="AA43" s="54">
        <f>(17/31)+1</f>
        <v>1.54838709677419</v>
      </c>
      <c r="AB43" s="54">
        <f t="shared" si="6"/>
        <v>45452.371233032303</v>
      </c>
      <c r="AC43" s="304"/>
    </row>
    <row r="44" spans="1:29" ht="20.100000000000001" customHeight="1">
      <c r="A44" s="26">
        <v>17</v>
      </c>
      <c r="B44" s="17" t="s">
        <v>582</v>
      </c>
      <c r="C44" s="11" t="s">
        <v>585</v>
      </c>
      <c r="D44" s="14" t="s">
        <v>1050</v>
      </c>
      <c r="E44" s="72">
        <f>5598.92</f>
        <v>5598.92</v>
      </c>
      <c r="F44" s="72">
        <f t="shared" si="22"/>
        <v>16796.759999999998</v>
      </c>
      <c r="G44" s="72">
        <f t="shared" si="23"/>
        <v>419.91899999999998</v>
      </c>
      <c r="H44" s="72"/>
      <c r="I44" s="72">
        <f t="shared" si="24"/>
        <v>2799.46</v>
      </c>
      <c r="J44" s="72">
        <f t="shared" si="25"/>
        <v>19596.22</v>
      </c>
      <c r="K44" s="72">
        <f t="shared" si="26"/>
        <v>5598.92</v>
      </c>
      <c r="L44" s="202"/>
      <c r="M44" s="202">
        <f>20000</f>
        <v>20000</v>
      </c>
      <c r="N44" s="72">
        <f t="shared" si="27"/>
        <v>559.89200000000005</v>
      </c>
      <c r="O44" s="72">
        <v>5000</v>
      </c>
      <c r="P44" s="72">
        <f>7000</f>
        <v>7000</v>
      </c>
      <c r="Q44" s="201">
        <f t="shared" si="28"/>
        <v>83370.091</v>
      </c>
      <c r="R44" s="14" t="s">
        <v>580</v>
      </c>
      <c r="S44" s="201">
        <v>115104.91666666701</v>
      </c>
      <c r="T44" s="72">
        <f t="shared" si="0"/>
        <v>31734.825666666999</v>
      </c>
      <c r="U44" s="72"/>
      <c r="V44" s="72"/>
      <c r="W44" s="289">
        <v>4504.4109200000003</v>
      </c>
      <c r="X44" s="72">
        <f>'[11]October 2023'!$Z$164</f>
        <v>8312.59</v>
      </c>
      <c r="Y44" s="72">
        <f t="shared" si="4"/>
        <v>3808.1790799999999</v>
      </c>
      <c r="Z44" s="213">
        <f t="shared" si="5"/>
        <v>27926.646586667001</v>
      </c>
      <c r="AA44" s="72">
        <v>8</v>
      </c>
      <c r="AB44" s="213">
        <f t="shared" si="6"/>
        <v>223413.172693336</v>
      </c>
      <c r="AC44" s="12"/>
    </row>
    <row r="45" spans="1:29" ht="20.100000000000001" customHeight="1">
      <c r="A45" s="26">
        <v>18</v>
      </c>
      <c r="B45" s="17" t="s">
        <v>598</v>
      </c>
      <c r="C45" s="11" t="s">
        <v>588</v>
      </c>
      <c r="D45" s="14" t="s">
        <v>1073</v>
      </c>
      <c r="E45" s="72">
        <f>4689.38</f>
        <v>4689.38</v>
      </c>
      <c r="F45" s="72">
        <f t="shared" si="22"/>
        <v>14068.14</v>
      </c>
      <c r="G45" s="72">
        <f t="shared" si="23"/>
        <v>351.70350000000002</v>
      </c>
      <c r="H45" s="72"/>
      <c r="I45" s="72">
        <f t="shared" si="24"/>
        <v>2344.69</v>
      </c>
      <c r="J45" s="72">
        <f t="shared" si="25"/>
        <v>16412.830000000002</v>
      </c>
      <c r="K45" s="72">
        <f t="shared" si="26"/>
        <v>4689.38</v>
      </c>
      <c r="L45" s="202"/>
      <c r="M45" s="202">
        <f>15000</f>
        <v>15000</v>
      </c>
      <c r="N45" s="72">
        <f t="shared" si="27"/>
        <v>468.93799999999999</v>
      </c>
      <c r="O45" s="72">
        <v>5000</v>
      </c>
      <c r="P45" s="72">
        <f>4000</f>
        <v>4000</v>
      </c>
      <c r="Q45" s="201">
        <f t="shared" si="28"/>
        <v>67025.061499999996</v>
      </c>
      <c r="R45" s="14" t="s">
        <v>609</v>
      </c>
      <c r="S45" s="201">
        <f>'SALARY STRUCTURE'!I9+20000+7000</f>
        <v>77104.416666666701</v>
      </c>
      <c r="T45" s="72">
        <f t="shared" si="0"/>
        <v>10079.355166666701</v>
      </c>
      <c r="U45" s="72"/>
      <c r="V45" s="72"/>
      <c r="W45" s="289">
        <v>3064.8720786666699</v>
      </c>
      <c r="X45" s="72">
        <f>'[11]October 2023'!$Z$177</f>
        <v>3951.8553333333298</v>
      </c>
      <c r="Y45" s="72">
        <f t="shared" si="4"/>
        <v>886.98325466665995</v>
      </c>
      <c r="Z45" s="213">
        <f t="shared" si="5"/>
        <v>9192.3719120000405</v>
      </c>
      <c r="AA45" s="72">
        <f>(23/31)+6</f>
        <v>6.7419354838709697</v>
      </c>
      <c r="AB45" s="213">
        <f t="shared" si="6"/>
        <v>61974.378374451902</v>
      </c>
      <c r="AC45" s="12"/>
    </row>
    <row r="46" spans="1:29" ht="20.100000000000001" customHeight="1">
      <c r="A46" s="26"/>
      <c r="B46" s="7" t="s">
        <v>42</v>
      </c>
      <c r="C46" s="27" t="s">
        <v>199</v>
      </c>
      <c r="D46" s="28"/>
      <c r="E46" s="80">
        <f t="shared" ref="E46:Q46" si="29">SUM(E39:E45)</f>
        <v>72195.350000000006</v>
      </c>
      <c r="F46" s="80">
        <f t="shared" si="29"/>
        <v>216586.05</v>
      </c>
      <c r="G46" s="80">
        <f t="shared" si="29"/>
        <v>5414.6512499999999</v>
      </c>
      <c r="H46" s="80">
        <f t="shared" si="29"/>
        <v>0</v>
      </c>
      <c r="I46" s="80">
        <f t="shared" si="29"/>
        <v>36097.675000000003</v>
      </c>
      <c r="J46" s="80">
        <f t="shared" si="29"/>
        <v>252683.72500000001</v>
      </c>
      <c r="K46" s="80">
        <f t="shared" si="29"/>
        <v>72195.350000000006</v>
      </c>
      <c r="L46" s="80">
        <f t="shared" si="29"/>
        <v>0</v>
      </c>
      <c r="M46" s="80">
        <f t="shared" si="29"/>
        <v>245000</v>
      </c>
      <c r="N46" s="80">
        <f t="shared" si="29"/>
        <v>7219.5349999999999</v>
      </c>
      <c r="O46" s="80">
        <f t="shared" si="29"/>
        <v>50000</v>
      </c>
      <c r="P46" s="80">
        <f t="shared" si="29"/>
        <v>25000</v>
      </c>
      <c r="Q46" s="80">
        <f t="shared" si="29"/>
        <v>982392.33625000005</v>
      </c>
      <c r="R46" s="28"/>
      <c r="S46" s="80">
        <f>SUM(S39:S45)</f>
        <v>1158366.33333333</v>
      </c>
      <c r="T46" s="80">
        <f t="shared" ref="T46:AB46" si="30">SUM(T39:T45)</f>
        <v>175973.99708333399</v>
      </c>
      <c r="U46" s="80">
        <f t="shared" si="30"/>
        <v>469.48250000000002</v>
      </c>
      <c r="V46" s="80">
        <f t="shared" si="30"/>
        <v>570.95000000000005</v>
      </c>
      <c r="W46" s="80">
        <f t="shared" si="30"/>
        <v>90070.133554000102</v>
      </c>
      <c r="X46" s="80">
        <f t="shared" si="30"/>
        <v>113932.829733333</v>
      </c>
      <c r="Y46" s="80">
        <f t="shared" si="30"/>
        <v>23862.696179333299</v>
      </c>
      <c r="Z46" s="302">
        <f t="shared" si="30"/>
        <v>152111.30090400099</v>
      </c>
      <c r="AA46" s="80"/>
      <c r="AB46" s="302">
        <f t="shared" si="30"/>
        <v>626877.53317570302</v>
      </c>
      <c r="AC46" s="12"/>
    </row>
    <row r="47" spans="1:29" ht="19.5" customHeight="1">
      <c r="A47" s="3"/>
      <c r="B47" s="29" t="s">
        <v>125</v>
      </c>
      <c r="C47" s="30">
        <f>C46+C36+C32+C26+C21+C17+C12+C8</f>
        <v>18</v>
      </c>
      <c r="D47" s="31"/>
      <c r="E47" s="209">
        <f t="shared" ref="E47:AB47" si="31">E46+E36+E32+E26+E21+E17+E12+E8</f>
        <v>335250.55</v>
      </c>
      <c r="F47" s="209">
        <f t="shared" si="31"/>
        <v>1005751.65</v>
      </c>
      <c r="G47" s="209">
        <f t="shared" si="31"/>
        <v>25143.791249999998</v>
      </c>
      <c r="H47" s="209">
        <f t="shared" si="31"/>
        <v>0</v>
      </c>
      <c r="I47" s="209">
        <f t="shared" si="31"/>
        <v>167625.27499999999</v>
      </c>
      <c r="J47" s="209">
        <f t="shared" si="31"/>
        <v>1173376.925</v>
      </c>
      <c r="K47" s="209">
        <f t="shared" si="31"/>
        <v>335250.55</v>
      </c>
      <c r="L47" s="209">
        <f t="shared" si="31"/>
        <v>900000</v>
      </c>
      <c r="M47" s="209">
        <f t="shared" si="31"/>
        <v>485000</v>
      </c>
      <c r="N47" s="209">
        <f t="shared" si="31"/>
        <v>33525.055</v>
      </c>
      <c r="O47" s="209">
        <f t="shared" si="31"/>
        <v>220000</v>
      </c>
      <c r="P47" s="209">
        <f t="shared" si="31"/>
        <v>125000</v>
      </c>
      <c r="Q47" s="209">
        <f t="shared" si="31"/>
        <v>4805923.7962499997</v>
      </c>
      <c r="R47" s="209">
        <f t="shared" si="31"/>
        <v>0</v>
      </c>
      <c r="S47" s="209">
        <f t="shared" si="31"/>
        <v>5441541.75</v>
      </c>
      <c r="T47" s="209">
        <f t="shared" si="31"/>
        <v>607584.35750000202</v>
      </c>
      <c r="U47" s="209">
        <f t="shared" si="31"/>
        <v>3786.2672499999999</v>
      </c>
      <c r="V47" s="209">
        <f t="shared" si="31"/>
        <v>2789.2</v>
      </c>
      <c r="W47" s="209">
        <f t="shared" si="31"/>
        <v>599042.54337266705</v>
      </c>
      <c r="X47" s="209">
        <f t="shared" si="31"/>
        <v>708944.46730666701</v>
      </c>
      <c r="Y47" s="209">
        <f t="shared" si="31"/>
        <v>109901.92393400001</v>
      </c>
      <c r="Z47" s="305">
        <f t="shared" si="31"/>
        <v>525716.029816002</v>
      </c>
      <c r="AA47" s="209">
        <f t="shared" si="31"/>
        <v>0</v>
      </c>
      <c r="AB47" s="305">
        <f t="shared" si="31"/>
        <v>2102520.8772578202</v>
      </c>
      <c r="AC47" s="12"/>
    </row>
    <row r="48" spans="1:29" ht="20.100000000000001" customHeight="1">
      <c r="A48" s="2"/>
      <c r="B48" s="32"/>
      <c r="C48" s="2"/>
      <c r="D48" s="33"/>
      <c r="E48" s="33"/>
      <c r="F48" s="33"/>
      <c r="G48" s="33"/>
      <c r="H48" s="33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98"/>
      <c r="X48" s="211"/>
      <c r="Y48" s="211"/>
      <c r="Z48" s="211"/>
      <c r="AA48" s="211"/>
      <c r="AB48" s="211"/>
      <c r="AC48" s="34"/>
    </row>
    <row r="49" spans="1:28" ht="36.75" customHeight="1">
      <c r="A49" s="2"/>
      <c r="B49" s="32"/>
      <c r="C49" s="33"/>
      <c r="D49" s="33"/>
      <c r="E49" s="33"/>
      <c r="F49" s="33"/>
      <c r="G49" s="33"/>
      <c r="H49" s="33"/>
      <c r="I49" s="210"/>
      <c r="J49" s="210"/>
      <c r="K49" s="210"/>
      <c r="L49" s="210"/>
      <c r="M49" s="210"/>
      <c r="N49" s="210"/>
      <c r="O49" s="210"/>
      <c r="Q49" s="210"/>
      <c r="R49" s="210"/>
      <c r="S49" s="210"/>
      <c r="T49" s="210"/>
      <c r="U49" s="210"/>
      <c r="V49" s="210"/>
      <c r="W49" s="298"/>
      <c r="X49" s="211"/>
      <c r="Y49" s="211"/>
      <c r="Z49" s="211"/>
      <c r="AA49" s="211"/>
      <c r="AB49" s="211"/>
    </row>
    <row r="52" spans="1:28" ht="20.100000000000001" customHeight="1">
      <c r="Q52" s="34"/>
      <c r="R52" s="34"/>
      <c r="S52" s="34"/>
      <c r="T52" s="34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 r:id="rId1"/>
  <headerFooter alignWithMargins="0"/>
  <rowBreaks count="1" manualBreakCount="1">
    <brk id="47" max="27" man="1"/>
  </rowBreaks>
  <colBreaks count="1" manualBreakCount="1">
    <brk id="13" max="46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7"/>
  <sheetViews>
    <sheetView workbookViewId="0">
      <selection activeCell="H14" sqref="H14"/>
    </sheetView>
  </sheetViews>
  <sheetFormatPr defaultColWidth="9" defaultRowHeight="12.75"/>
  <cols>
    <col min="2" max="2" width="11.28515625" customWidth="1"/>
    <col min="3" max="3" width="12.140625" customWidth="1"/>
    <col min="4" max="6" width="11.28515625" customWidth="1"/>
    <col min="7" max="7" width="11" customWidth="1"/>
    <col min="8" max="8" width="13.5703125" style="269" customWidth="1"/>
    <col min="9" max="9" width="11.28515625" customWidth="1"/>
    <col min="10" max="10" width="13.28515625" customWidth="1"/>
    <col min="11" max="12" width="11" customWidth="1"/>
    <col min="13" max="13" width="12.42578125" customWidth="1"/>
    <col min="14" max="14" width="11.140625" customWidth="1"/>
    <col min="15" max="15" width="11.28515625" customWidth="1"/>
    <col min="16" max="16" width="11.42578125" customWidth="1"/>
  </cols>
  <sheetData>
    <row r="1" spans="1:18">
      <c r="A1" s="254" t="s">
        <v>1074</v>
      </c>
      <c r="B1" s="254"/>
      <c r="C1" s="254"/>
      <c r="D1" s="254"/>
      <c r="E1" s="254"/>
      <c r="F1" s="254"/>
      <c r="G1" s="254"/>
      <c r="H1" s="270"/>
      <c r="I1" s="254"/>
      <c r="J1" s="254"/>
      <c r="K1" s="254"/>
      <c r="L1" s="254"/>
      <c r="M1" s="254"/>
      <c r="N1" s="254"/>
      <c r="O1" s="254"/>
      <c r="P1" s="254"/>
      <c r="Q1" s="274"/>
      <c r="R1" s="274"/>
    </row>
    <row r="2" spans="1:18">
      <c r="A2" s="254" t="s">
        <v>1075</v>
      </c>
      <c r="B2" s="254"/>
      <c r="C2" s="254"/>
      <c r="D2" s="254"/>
      <c r="E2" s="254"/>
      <c r="F2" s="254"/>
      <c r="G2" s="254"/>
      <c r="H2" s="271"/>
      <c r="I2" s="254"/>
      <c r="J2" s="254"/>
      <c r="K2" s="254"/>
      <c r="L2" s="254"/>
      <c r="M2" s="254"/>
      <c r="N2" s="254"/>
      <c r="O2" s="254"/>
      <c r="P2" s="254"/>
      <c r="Q2" s="274"/>
      <c r="R2" s="274"/>
    </row>
    <row r="3" spans="1:18">
      <c r="A3" s="254"/>
      <c r="B3" s="254" t="s">
        <v>1076</v>
      </c>
      <c r="C3" s="254" t="s">
        <v>1077</v>
      </c>
      <c r="D3" s="254" t="s">
        <v>1078</v>
      </c>
      <c r="E3" s="254" t="s">
        <v>1079</v>
      </c>
      <c r="F3" s="254" t="s">
        <v>1080</v>
      </c>
      <c r="G3" s="254" t="s">
        <v>1081</v>
      </c>
      <c r="H3" s="271" t="s">
        <v>1082</v>
      </c>
      <c r="I3" s="254" t="s">
        <v>1083</v>
      </c>
      <c r="J3" s="254" t="s">
        <v>1084</v>
      </c>
      <c r="K3" s="254" t="s">
        <v>1085</v>
      </c>
      <c r="L3" s="254" t="s">
        <v>1086</v>
      </c>
      <c r="M3" s="254" t="s">
        <v>1087</v>
      </c>
      <c r="N3" s="254" t="s">
        <v>1088</v>
      </c>
      <c r="O3" s="254" t="s">
        <v>1089</v>
      </c>
      <c r="P3" s="254" t="s">
        <v>1090</v>
      </c>
      <c r="Q3" s="274"/>
      <c r="R3" s="274"/>
    </row>
    <row r="4" spans="1:18">
      <c r="A4" s="254" t="s">
        <v>1091</v>
      </c>
      <c r="B4" s="254" t="s">
        <v>20</v>
      </c>
      <c r="C4" s="254" t="s">
        <v>20</v>
      </c>
      <c r="D4" s="254" t="s">
        <v>20</v>
      </c>
      <c r="E4" s="254" t="s">
        <v>20</v>
      </c>
      <c r="F4" s="254" t="s">
        <v>20</v>
      </c>
      <c r="G4" s="254" t="s">
        <v>20</v>
      </c>
      <c r="H4" s="271" t="s">
        <v>20</v>
      </c>
      <c r="I4" s="254" t="s">
        <v>20</v>
      </c>
      <c r="J4" s="254" t="s">
        <v>20</v>
      </c>
      <c r="K4" s="254" t="s">
        <v>20</v>
      </c>
      <c r="L4" s="254" t="s">
        <v>20</v>
      </c>
      <c r="M4" s="254" t="s">
        <v>20</v>
      </c>
      <c r="N4" s="254" t="s">
        <v>20</v>
      </c>
      <c r="O4" s="254" t="s">
        <v>20</v>
      </c>
      <c r="P4" s="254" t="s">
        <v>20</v>
      </c>
      <c r="Q4" s="274"/>
      <c r="R4" s="274"/>
    </row>
    <row r="5" spans="1:18" ht="14.25">
      <c r="A5" s="272" t="s">
        <v>1092</v>
      </c>
      <c r="B5" s="272">
        <v>32012.166666666701</v>
      </c>
      <c r="C5" s="272">
        <v>32710.5</v>
      </c>
      <c r="D5" s="272">
        <v>33408.75</v>
      </c>
      <c r="E5" s="272">
        <v>34107.083333333299</v>
      </c>
      <c r="F5" s="272">
        <v>34805.5</v>
      </c>
      <c r="G5" s="272">
        <v>35503.75</v>
      </c>
      <c r="H5" s="273">
        <v>36202.083333333299</v>
      </c>
      <c r="I5" s="272">
        <v>36900.333333333299</v>
      </c>
      <c r="J5" s="272">
        <v>37598.666666666701</v>
      </c>
      <c r="K5" s="272">
        <v>38297.083333333299</v>
      </c>
      <c r="L5" s="272">
        <v>38995.333333333299</v>
      </c>
      <c r="M5" s="272">
        <v>39693.666666666701</v>
      </c>
      <c r="N5" s="272">
        <v>40391.916666666701</v>
      </c>
      <c r="O5" s="272">
        <v>41090.166666666701</v>
      </c>
      <c r="P5" s="272">
        <v>41788.666666666701</v>
      </c>
      <c r="Q5" s="274"/>
      <c r="R5" s="274"/>
    </row>
    <row r="6" spans="1:18" ht="14.25">
      <c r="A6" s="272" t="s">
        <v>1093</v>
      </c>
      <c r="B6" s="272">
        <v>32532.166666666701</v>
      </c>
      <c r="C6" s="272">
        <v>33445.166666666701</v>
      </c>
      <c r="D6" s="272">
        <v>34358.333333333299</v>
      </c>
      <c r="E6" s="272">
        <v>35271.25</v>
      </c>
      <c r="F6" s="272">
        <v>36184.25</v>
      </c>
      <c r="G6" s="272">
        <v>37097.416666666701</v>
      </c>
      <c r="H6" s="273">
        <v>38010.333333333299</v>
      </c>
      <c r="I6" s="272">
        <v>38923.416666666701</v>
      </c>
      <c r="J6" s="272">
        <v>39836.416666666701</v>
      </c>
      <c r="K6" s="272">
        <v>40749.416666666701</v>
      </c>
      <c r="L6" s="272">
        <v>41662.5</v>
      </c>
      <c r="M6" s="272">
        <v>42575.5</v>
      </c>
      <c r="N6" s="272">
        <v>43488.666666666701</v>
      </c>
      <c r="O6" s="272">
        <v>44401.583333333299</v>
      </c>
      <c r="P6" s="272">
        <v>45314.583333333299</v>
      </c>
      <c r="Q6" s="274"/>
      <c r="R6" s="274"/>
    </row>
    <row r="7" spans="1:18" ht="14.25">
      <c r="A7" s="272" t="s">
        <v>1094</v>
      </c>
      <c r="B7" s="272">
        <v>32976.25</v>
      </c>
      <c r="C7" s="272">
        <v>34098.416666666701</v>
      </c>
      <c r="D7" s="272">
        <v>35220.666666666701</v>
      </c>
      <c r="E7" s="272">
        <v>36343</v>
      </c>
      <c r="F7" s="272">
        <v>37465.166666666701</v>
      </c>
      <c r="G7" s="272">
        <v>38587.416666666701</v>
      </c>
      <c r="H7" s="273">
        <v>39709.666666666701</v>
      </c>
      <c r="I7" s="272">
        <v>40823.583333333299</v>
      </c>
      <c r="J7" s="272">
        <v>41954.083333333299</v>
      </c>
      <c r="K7" s="272">
        <v>43076.416666666701</v>
      </c>
      <c r="L7" s="272">
        <v>44198.666666666701</v>
      </c>
      <c r="M7" s="272">
        <v>45445.833333333299</v>
      </c>
      <c r="N7" s="272">
        <v>46443.166666666701</v>
      </c>
      <c r="O7" s="272">
        <v>47565.333333333299</v>
      </c>
      <c r="P7" s="272">
        <v>48687.5</v>
      </c>
      <c r="Q7" s="274"/>
      <c r="R7" s="274"/>
    </row>
    <row r="8" spans="1:18" ht="14.25">
      <c r="A8" s="272" t="s">
        <v>1095</v>
      </c>
      <c r="B8" s="272">
        <v>34542.5</v>
      </c>
      <c r="C8" s="272">
        <v>35890.833333333299</v>
      </c>
      <c r="D8" s="272">
        <v>37238.916666666701</v>
      </c>
      <c r="E8" s="272">
        <v>38587.166666666701</v>
      </c>
      <c r="F8" s="272">
        <v>39935.5</v>
      </c>
      <c r="G8" s="272">
        <v>41283.75</v>
      </c>
      <c r="H8" s="273">
        <v>42631.916666666701</v>
      </c>
      <c r="I8" s="272">
        <v>43980</v>
      </c>
      <c r="J8" s="272">
        <v>45328.333333333299</v>
      </c>
      <c r="K8" s="272">
        <v>46676.416666666701</v>
      </c>
      <c r="L8" s="272">
        <v>48024.666666666701</v>
      </c>
      <c r="M8" s="272">
        <v>49373</v>
      </c>
      <c r="N8" s="272">
        <v>50721.166666666701</v>
      </c>
      <c r="O8" s="272">
        <v>52069.416666666701</v>
      </c>
      <c r="P8" s="272">
        <v>53417.5</v>
      </c>
      <c r="Q8" s="274"/>
      <c r="R8" s="274"/>
    </row>
    <row r="9" spans="1:18" ht="14.25">
      <c r="A9" s="272" t="s">
        <v>1096</v>
      </c>
      <c r="B9" s="272">
        <v>39140.333333333299</v>
      </c>
      <c r="C9" s="272">
        <v>40706.583333333299</v>
      </c>
      <c r="D9" s="272">
        <v>42272.833333333299</v>
      </c>
      <c r="E9" s="272">
        <v>43839.083333333299</v>
      </c>
      <c r="F9" s="272">
        <v>45405.5</v>
      </c>
      <c r="G9" s="272">
        <v>46971.75</v>
      </c>
      <c r="H9" s="273">
        <v>48538</v>
      </c>
      <c r="I9" s="272">
        <v>50104.416666666701</v>
      </c>
      <c r="J9" s="272">
        <v>51670.666666666701</v>
      </c>
      <c r="K9" s="272">
        <v>53236.916666666701</v>
      </c>
      <c r="L9" s="272">
        <v>54803.166666666701</v>
      </c>
      <c r="M9" s="272">
        <v>56369.583333333299</v>
      </c>
      <c r="N9" s="272">
        <v>57936</v>
      </c>
      <c r="O9" s="272">
        <v>59502.083333333299</v>
      </c>
      <c r="P9" s="272">
        <v>61068.333333333299</v>
      </c>
      <c r="Q9" s="274"/>
      <c r="R9" s="274"/>
    </row>
    <row r="10" spans="1:18" ht="14.25">
      <c r="A10" s="272" t="s">
        <v>1097</v>
      </c>
      <c r="B10" s="272">
        <v>47723.333333333299</v>
      </c>
      <c r="C10" s="272">
        <v>49632.5</v>
      </c>
      <c r="D10" s="272">
        <v>51541.75</v>
      </c>
      <c r="E10" s="272">
        <v>53450.916666666701</v>
      </c>
      <c r="F10" s="272">
        <v>55360.166666666701</v>
      </c>
      <c r="G10" s="272">
        <v>57269.416666666701</v>
      </c>
      <c r="H10" s="273">
        <v>59178.666666666701</v>
      </c>
      <c r="I10" s="272">
        <v>61087.833333333299</v>
      </c>
      <c r="J10" s="272">
        <v>62997.083333333299</v>
      </c>
      <c r="K10" s="272">
        <v>64906.25</v>
      </c>
      <c r="L10" s="272">
        <v>66815.5</v>
      </c>
      <c r="M10" s="272">
        <v>68724.666666666701</v>
      </c>
      <c r="N10" s="272">
        <v>70633.916666666701</v>
      </c>
      <c r="O10" s="272">
        <v>72543.166666666701</v>
      </c>
      <c r="P10" s="272">
        <v>74452.416666666701</v>
      </c>
      <c r="Q10" s="274"/>
      <c r="R10" s="274"/>
    </row>
    <row r="11" spans="1:18" ht="14.25">
      <c r="A11" s="272" t="s">
        <v>1098</v>
      </c>
      <c r="B11" s="272">
        <v>79244.583333333299</v>
      </c>
      <c r="C11" s="272">
        <v>82174.666666666701</v>
      </c>
      <c r="D11" s="272">
        <v>85104.916666666701</v>
      </c>
      <c r="E11" s="272">
        <v>88034.916666666701</v>
      </c>
      <c r="F11" s="272">
        <v>106590</v>
      </c>
      <c r="G11" s="272">
        <v>93895</v>
      </c>
      <c r="H11" s="273">
        <v>96825.166666666701</v>
      </c>
      <c r="I11" s="272">
        <v>99755.166666666701</v>
      </c>
      <c r="J11" s="272">
        <v>102685.33333333299</v>
      </c>
      <c r="K11" s="272">
        <v>105615.33333333299</v>
      </c>
      <c r="L11" s="272">
        <v>108545.5</v>
      </c>
      <c r="M11" s="272">
        <v>111468</v>
      </c>
      <c r="N11" s="272">
        <v>114405.66666666701</v>
      </c>
      <c r="O11" s="272">
        <v>117335.83333333299</v>
      </c>
      <c r="P11" s="272">
        <v>120265.83333333299</v>
      </c>
      <c r="Q11" s="274"/>
      <c r="R11" s="274"/>
    </row>
    <row r="12" spans="1:18" ht="14.25">
      <c r="A12" s="272" t="s">
        <v>1099</v>
      </c>
      <c r="B12" s="272">
        <v>102403.75</v>
      </c>
      <c r="C12" s="272">
        <v>105891.25</v>
      </c>
      <c r="D12" s="272">
        <v>109378.75</v>
      </c>
      <c r="E12" s="272">
        <v>112866.25</v>
      </c>
      <c r="F12" s="272">
        <v>116353.66666666701</v>
      </c>
      <c r="G12" s="272">
        <v>119841.16666666701</v>
      </c>
      <c r="H12" s="273">
        <v>123328.66666666701</v>
      </c>
      <c r="I12" s="272">
        <v>126816.16666666701</v>
      </c>
      <c r="J12" s="272">
        <v>130303.66666666701</v>
      </c>
      <c r="K12" s="272">
        <v>133791.16666666701</v>
      </c>
      <c r="L12" s="272">
        <v>137278.66666666701</v>
      </c>
      <c r="M12" s="272">
        <v>140766.16666666701</v>
      </c>
      <c r="N12" s="272">
        <v>144253.66666666701</v>
      </c>
      <c r="O12" s="272">
        <v>147741.16666666701</v>
      </c>
      <c r="P12" s="272">
        <v>151228.66666666701</v>
      </c>
      <c r="Q12" s="274"/>
      <c r="R12" s="274"/>
    </row>
    <row r="13" spans="1:18" ht="14.25">
      <c r="A13" s="272" t="s">
        <v>1100</v>
      </c>
      <c r="B13" s="272">
        <v>120290</v>
      </c>
      <c r="C13" s="272">
        <v>124442.16666666701</v>
      </c>
      <c r="D13" s="272">
        <v>128594.58333333299</v>
      </c>
      <c r="E13" s="272">
        <v>132746.75</v>
      </c>
      <c r="F13" s="272">
        <v>136899.08333333299</v>
      </c>
      <c r="G13" s="272">
        <v>141051.25</v>
      </c>
      <c r="H13" s="273">
        <v>145203.66666666701</v>
      </c>
      <c r="I13" s="272">
        <v>149355.83333333299</v>
      </c>
      <c r="J13" s="272">
        <v>153508</v>
      </c>
      <c r="K13" s="272">
        <v>157660.33333333299</v>
      </c>
      <c r="L13" s="272">
        <v>161812.5</v>
      </c>
      <c r="M13" s="272">
        <v>165964.91666666701</v>
      </c>
      <c r="N13" s="272">
        <v>170117.08333333299</v>
      </c>
      <c r="O13" s="272">
        <v>174269.41666666701</v>
      </c>
      <c r="P13" s="272">
        <v>178421.58333333299</v>
      </c>
      <c r="Q13" s="274"/>
      <c r="R13" s="274"/>
    </row>
    <row r="14" spans="1:18" ht="14.25">
      <c r="A14" s="272" t="s">
        <v>1101</v>
      </c>
      <c r="B14" s="272">
        <v>141204.91666666701</v>
      </c>
      <c r="C14" s="272">
        <v>145770.91666666701</v>
      </c>
      <c r="D14" s="272">
        <v>150337.08333333299</v>
      </c>
      <c r="E14" s="272">
        <v>154903.33333333299</v>
      </c>
      <c r="F14" s="272">
        <v>159469.41666666701</v>
      </c>
      <c r="G14" s="272">
        <v>164035.5</v>
      </c>
      <c r="H14" s="273">
        <v>168601.58333333299</v>
      </c>
      <c r="I14" s="272">
        <v>173167.66666666701</v>
      </c>
      <c r="J14" s="272">
        <v>177733.75</v>
      </c>
      <c r="K14" s="272">
        <v>182299.91666666701</v>
      </c>
      <c r="L14" s="272">
        <v>186865.91666666701</v>
      </c>
      <c r="M14" s="272">
        <v>191432.16666666701</v>
      </c>
      <c r="N14" s="272">
        <v>195998.33333333299</v>
      </c>
      <c r="O14" s="272">
        <v>200564.41666666701</v>
      </c>
      <c r="P14" s="272">
        <v>205130.5</v>
      </c>
      <c r="Q14" s="274"/>
      <c r="R14" s="274"/>
    </row>
    <row r="15" spans="1:18" ht="14.25">
      <c r="A15" s="272" t="s">
        <v>1102</v>
      </c>
      <c r="B15" s="272">
        <v>162876.25</v>
      </c>
      <c r="C15" s="272">
        <v>169958.91666666701</v>
      </c>
      <c r="D15" s="272">
        <v>177039.91666666701</v>
      </c>
      <c r="E15" s="272">
        <v>184124.08333333299</v>
      </c>
      <c r="F15" s="272">
        <v>191206.58333333299</v>
      </c>
      <c r="G15" s="272">
        <v>198289.25</v>
      </c>
      <c r="H15" s="273">
        <v>205371.75</v>
      </c>
      <c r="I15" s="272">
        <v>212454.41666666701</v>
      </c>
      <c r="J15" s="272">
        <v>219536.91666666701</v>
      </c>
      <c r="K15" s="272">
        <v>226619.58333333299</v>
      </c>
      <c r="L15" s="272">
        <v>233702.08333333299</v>
      </c>
      <c r="M15" s="272"/>
      <c r="N15" s="272"/>
      <c r="O15" s="272"/>
      <c r="P15" s="272"/>
      <c r="Q15" s="274"/>
      <c r="R15" s="274"/>
    </row>
    <row r="16" spans="1:18" ht="14.25">
      <c r="A16" s="272" t="s">
        <v>1103</v>
      </c>
      <c r="B16" s="272">
        <v>181786.41666666701</v>
      </c>
      <c r="C16" s="272">
        <v>189274.25</v>
      </c>
      <c r="D16" s="272">
        <v>198324.58333333299</v>
      </c>
      <c r="E16" s="272">
        <v>204249.91666666701</v>
      </c>
      <c r="F16" s="272">
        <v>211737.66666666701</v>
      </c>
      <c r="G16" s="272">
        <v>219225.5</v>
      </c>
      <c r="H16" s="273">
        <v>226713.33333333299</v>
      </c>
      <c r="I16" s="272">
        <v>234201.16666666701</v>
      </c>
      <c r="J16" s="272">
        <v>242001.41666666701</v>
      </c>
      <c r="K16" s="272">
        <v>249176.75</v>
      </c>
      <c r="L16" s="272">
        <v>256664.58333333299</v>
      </c>
      <c r="M16" s="272"/>
      <c r="N16" s="272"/>
      <c r="O16" s="272"/>
      <c r="P16" s="272"/>
      <c r="Q16" s="274"/>
      <c r="R16" s="274"/>
    </row>
    <row r="17" spans="1:18" ht="14.25">
      <c r="A17" s="272" t="s">
        <v>1104</v>
      </c>
      <c r="B17" s="272">
        <v>200784.08333333299</v>
      </c>
      <c r="C17" s="272">
        <v>208845.16666666701</v>
      </c>
      <c r="D17" s="272">
        <v>216904.66666666701</v>
      </c>
      <c r="E17" s="272">
        <v>224967.16666666701</v>
      </c>
      <c r="F17" s="272">
        <v>233028.33333333299</v>
      </c>
      <c r="G17" s="272">
        <v>241089.25</v>
      </c>
      <c r="H17" s="273">
        <v>249153.41666666701</v>
      </c>
      <c r="I17" s="272">
        <v>257211.25</v>
      </c>
      <c r="J17" s="272">
        <v>265272.41666666698</v>
      </c>
      <c r="K17" s="272">
        <v>273333.41666666698</v>
      </c>
      <c r="L17" s="272">
        <v>281394.41666666698</v>
      </c>
      <c r="M17" s="272"/>
      <c r="N17" s="272"/>
      <c r="O17" s="272"/>
      <c r="P17" s="272"/>
      <c r="Q17" s="274"/>
      <c r="R17" s="274"/>
    </row>
    <row r="18" spans="1:18" ht="14.25">
      <c r="A18" s="272" t="s">
        <v>1105</v>
      </c>
      <c r="B18" s="272">
        <v>276221.25</v>
      </c>
      <c r="C18" s="272">
        <v>287637.83333333302</v>
      </c>
      <c r="D18" s="272">
        <v>299054.25</v>
      </c>
      <c r="E18" s="272">
        <v>312760.25</v>
      </c>
      <c r="F18" s="272">
        <v>321887.16666666698</v>
      </c>
      <c r="G18" s="272">
        <v>333303.75</v>
      </c>
      <c r="H18" s="273">
        <v>344720.16666666698</v>
      </c>
      <c r="I18" s="272">
        <v>356136.75</v>
      </c>
      <c r="J18" s="272">
        <v>367553.16666666698</v>
      </c>
      <c r="K18" s="272"/>
      <c r="L18" s="272"/>
      <c r="M18" s="272"/>
      <c r="N18" s="272"/>
      <c r="O18" s="272"/>
      <c r="P18" s="272"/>
      <c r="Q18" s="274"/>
      <c r="R18" s="274"/>
    </row>
    <row r="19" spans="1:18" ht="14.25">
      <c r="A19" s="272" t="s">
        <v>1106</v>
      </c>
      <c r="B19" s="272">
        <v>341699.58333333302</v>
      </c>
      <c r="C19" s="272">
        <v>355420.16666666698</v>
      </c>
      <c r="D19" s="272">
        <v>369154.91666666698</v>
      </c>
      <c r="E19" s="272">
        <v>382861.41666666698</v>
      </c>
      <c r="F19" s="272">
        <v>396582.08333333302</v>
      </c>
      <c r="G19" s="272">
        <v>410302.66666666698</v>
      </c>
      <c r="H19" s="273">
        <v>424023.33333333302</v>
      </c>
      <c r="I19" s="272">
        <v>437743.91666666698</v>
      </c>
      <c r="J19" s="272">
        <v>451464.58333333302</v>
      </c>
      <c r="K19" s="272"/>
      <c r="L19" s="272"/>
      <c r="M19" s="272"/>
      <c r="N19" s="272"/>
      <c r="O19" s="272"/>
      <c r="P19" s="272"/>
      <c r="Q19" s="274"/>
      <c r="R19" s="274"/>
    </row>
    <row r="20" spans="1:18" ht="14.25">
      <c r="A20" s="272" t="s">
        <v>1107</v>
      </c>
      <c r="B20" s="272">
        <v>652000</v>
      </c>
      <c r="C20" s="272">
        <v>676776.16666666698</v>
      </c>
      <c r="D20" s="272">
        <v>701552.16666666698</v>
      </c>
      <c r="E20" s="272">
        <v>726328.33333333302</v>
      </c>
      <c r="F20" s="272">
        <v>751104.41666666698</v>
      </c>
      <c r="G20" s="272">
        <v>775880.5</v>
      </c>
      <c r="H20" s="273">
        <v>800656.58333333302</v>
      </c>
      <c r="I20" s="272">
        <v>825432.66666666698</v>
      </c>
      <c r="J20" s="272">
        <v>850208.75</v>
      </c>
      <c r="K20" s="272"/>
      <c r="L20" s="272"/>
      <c r="M20" s="272"/>
      <c r="N20" s="272"/>
      <c r="O20" s="272"/>
      <c r="P20" s="272"/>
      <c r="Q20" s="274"/>
      <c r="R20" s="274"/>
    </row>
    <row r="21" spans="1:18" ht="14.25">
      <c r="A21" s="272"/>
      <c r="B21" s="272"/>
      <c r="C21" s="272"/>
      <c r="D21" s="272"/>
      <c r="E21" s="272"/>
      <c r="F21" s="272"/>
      <c r="G21" s="272"/>
      <c r="H21" s="273"/>
      <c r="I21" s="272"/>
      <c r="J21" s="272"/>
      <c r="K21" s="272"/>
      <c r="L21" s="272"/>
      <c r="M21" s="272"/>
      <c r="N21" s="272"/>
      <c r="O21" s="272"/>
      <c r="P21" s="272"/>
      <c r="Q21" s="274"/>
      <c r="R21" s="274"/>
    </row>
    <row r="22" spans="1:18">
      <c r="A22" s="274"/>
      <c r="B22" s="274"/>
      <c r="C22" s="274"/>
      <c r="D22" s="274"/>
      <c r="E22" s="274"/>
      <c r="F22" s="274"/>
      <c r="G22" s="274"/>
      <c r="H22" s="275"/>
      <c r="I22" s="274"/>
      <c r="J22" s="194"/>
      <c r="K22" s="274"/>
      <c r="L22" s="274"/>
      <c r="M22" s="274"/>
      <c r="N22" s="274"/>
      <c r="O22" s="274"/>
      <c r="P22" s="274"/>
      <c r="Q22" s="274"/>
      <c r="R22" s="274"/>
    </row>
    <row r="23" spans="1:18">
      <c r="D23" s="193"/>
      <c r="F23" s="193"/>
      <c r="H23" s="276"/>
    </row>
    <row r="24" spans="1:18">
      <c r="H24" s="276"/>
    </row>
    <row r="25" spans="1:18">
      <c r="H25" s="276"/>
    </row>
    <row r="26" spans="1:18">
      <c r="H26" s="276"/>
    </row>
    <row r="27" spans="1:18">
      <c r="H27" s="276"/>
    </row>
    <row r="28" spans="1:18">
      <c r="H28" s="276"/>
    </row>
    <row r="29" spans="1:18">
      <c r="H29" s="276"/>
    </row>
    <row r="30" spans="1:18">
      <c r="H30" s="276"/>
    </row>
    <row r="31" spans="1:18">
      <c r="H31" s="276"/>
    </row>
    <row r="32" spans="1:18">
      <c r="H32" s="276"/>
    </row>
    <row r="33" spans="8:8">
      <c r="H33" s="276"/>
    </row>
    <row r="34" spans="8:8">
      <c r="H34" s="276"/>
    </row>
    <row r="35" spans="8:8">
      <c r="H35" s="276"/>
    </row>
    <row r="36" spans="8:8">
      <c r="H36" s="276"/>
    </row>
    <row r="37" spans="8:8">
      <c r="H37" s="276"/>
    </row>
    <row r="38" spans="8:8">
      <c r="H38" s="276"/>
    </row>
    <row r="39" spans="8:8">
      <c r="H39" s="276"/>
    </row>
    <row r="40" spans="8:8">
      <c r="H40" s="276"/>
    </row>
    <row r="41" spans="8:8">
      <c r="H41" s="276"/>
    </row>
    <row r="42" spans="8:8">
      <c r="H42" s="276"/>
    </row>
    <row r="43" spans="8:8">
      <c r="H43" s="276"/>
    </row>
    <row r="44" spans="8:8">
      <c r="H44" s="276"/>
    </row>
    <row r="45" spans="8:8">
      <c r="H45" s="276"/>
    </row>
    <row r="46" spans="8:8">
      <c r="H46" s="276"/>
    </row>
    <row r="47" spans="8:8">
      <c r="H47" s="276"/>
    </row>
  </sheetData>
  <pageMargins left="0.7" right="0.7" top="0.75" bottom="0.75" header="0.3" footer="0.3"/>
  <pageSetup paperSize="9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3"/>
  <sheetViews>
    <sheetView topLeftCell="A158" workbookViewId="0">
      <selection activeCell="L173" sqref="L173"/>
    </sheetView>
  </sheetViews>
  <sheetFormatPr defaultColWidth="9.140625" defaultRowHeight="12.75"/>
  <cols>
    <col min="1" max="1" width="5.42578125" style="246" customWidth="1"/>
    <col min="2" max="2" width="33.28515625" style="246" customWidth="1"/>
    <col min="3" max="3" width="28.28515625" style="246" customWidth="1"/>
    <col min="4" max="4" width="8.28515625" style="246" customWidth="1"/>
    <col min="5" max="5" width="9.42578125" style="246" customWidth="1"/>
    <col min="6" max="6" width="9.140625" style="246" customWidth="1"/>
    <col min="7" max="7" width="8.7109375" style="246" customWidth="1"/>
    <col min="8" max="8" width="9.28515625" style="246" customWidth="1"/>
    <col min="9" max="9" width="11.7109375" style="246" customWidth="1"/>
    <col min="10" max="16384" width="9.140625" style="246"/>
  </cols>
  <sheetData>
    <row r="1" spans="1:11" ht="14.25">
      <c r="A1" s="865" t="s">
        <v>0</v>
      </c>
      <c r="B1" s="865"/>
      <c r="C1" s="865"/>
      <c r="D1" s="865"/>
      <c r="E1" s="865"/>
      <c r="F1" s="865"/>
      <c r="G1" s="865"/>
      <c r="H1" s="865"/>
      <c r="I1" s="865"/>
      <c r="J1" s="256"/>
      <c r="K1" s="256"/>
    </row>
    <row r="2" spans="1:11" ht="14.25">
      <c r="A2" s="865" t="s">
        <v>1108</v>
      </c>
      <c r="B2" s="865"/>
      <c r="C2" s="865"/>
      <c r="D2" s="865"/>
      <c r="E2" s="865"/>
      <c r="F2" s="865"/>
      <c r="G2" s="865"/>
      <c r="H2" s="865"/>
      <c r="I2" s="865"/>
      <c r="J2" s="257"/>
      <c r="K2" s="257"/>
    </row>
    <row r="3" spans="1:11" ht="23.25" customHeight="1">
      <c r="A3" s="866" t="s">
        <v>1109</v>
      </c>
      <c r="B3" s="866"/>
      <c r="C3" s="866"/>
      <c r="D3" s="866"/>
      <c r="E3" s="866"/>
      <c r="F3" s="866"/>
      <c r="G3" s="866"/>
      <c r="H3" s="866"/>
      <c r="I3" s="866"/>
    </row>
    <row r="5" spans="1:11" ht="42.75" customHeight="1">
      <c r="A5" s="258" t="s">
        <v>21</v>
      </c>
      <c r="B5" s="258" t="s">
        <v>2</v>
      </c>
      <c r="C5" s="258" t="s">
        <v>3</v>
      </c>
      <c r="D5" s="259" t="s">
        <v>4</v>
      </c>
      <c r="E5" s="259" t="s">
        <v>1110</v>
      </c>
      <c r="F5" s="259" t="s">
        <v>1111</v>
      </c>
      <c r="G5" s="259" t="s">
        <v>1112</v>
      </c>
      <c r="H5" s="259" t="s">
        <v>1113</v>
      </c>
      <c r="I5" s="266" t="s">
        <v>1114</v>
      </c>
    </row>
    <row r="6" spans="1:11">
      <c r="B6" s="254" t="s">
        <v>22</v>
      </c>
    </row>
    <row r="7" spans="1:11">
      <c r="A7" s="260">
        <v>1</v>
      </c>
      <c r="B7" s="260" t="s">
        <v>345</v>
      </c>
      <c r="C7" s="260" t="s">
        <v>346</v>
      </c>
      <c r="D7" s="260" t="s">
        <v>1115</v>
      </c>
      <c r="E7" s="261">
        <v>35000</v>
      </c>
      <c r="F7" s="261">
        <v>35000</v>
      </c>
      <c r="G7" s="261">
        <v>35000</v>
      </c>
      <c r="H7" s="261">
        <v>35000</v>
      </c>
      <c r="I7" s="261">
        <f>E7+F7+G7+H7</f>
        <v>140000</v>
      </c>
    </row>
    <row r="8" spans="1:11">
      <c r="A8" s="260">
        <v>2</v>
      </c>
      <c r="B8" s="262" t="s">
        <v>1116</v>
      </c>
      <c r="C8" s="260" t="s">
        <v>1117</v>
      </c>
      <c r="D8" s="260" t="s">
        <v>340</v>
      </c>
      <c r="E8" s="261">
        <v>35000</v>
      </c>
      <c r="F8" s="261">
        <v>35000</v>
      </c>
      <c r="G8" s="261">
        <v>35000</v>
      </c>
      <c r="H8" s="261">
        <v>35000</v>
      </c>
      <c r="I8" s="261">
        <f t="shared" ref="I8:I27" si="0">E8+F8+G8+H8</f>
        <v>140000</v>
      </c>
    </row>
    <row r="9" spans="1:11">
      <c r="A9" s="260">
        <v>3</v>
      </c>
      <c r="B9" s="260" t="s">
        <v>348</v>
      </c>
      <c r="C9" s="260" t="s">
        <v>349</v>
      </c>
      <c r="D9" s="260" t="s">
        <v>343</v>
      </c>
      <c r="E9" s="261">
        <v>35000</v>
      </c>
      <c r="F9" s="261">
        <v>35000</v>
      </c>
      <c r="G9" s="261">
        <v>35000</v>
      </c>
      <c r="H9" s="261">
        <v>35000</v>
      </c>
      <c r="I9" s="261">
        <f t="shared" si="0"/>
        <v>140000</v>
      </c>
    </row>
    <row r="10" spans="1:11">
      <c r="A10" s="260">
        <v>4</v>
      </c>
      <c r="B10" s="260" t="s">
        <v>350</v>
      </c>
      <c r="C10" s="260" t="s">
        <v>351</v>
      </c>
      <c r="D10" s="260" t="s">
        <v>416</v>
      </c>
      <c r="E10" s="261">
        <v>35000</v>
      </c>
      <c r="F10" s="261">
        <v>35000</v>
      </c>
      <c r="G10" s="261">
        <v>35000</v>
      </c>
      <c r="H10" s="261">
        <v>35000</v>
      </c>
      <c r="I10" s="261">
        <f t="shared" si="0"/>
        <v>140000</v>
      </c>
    </row>
    <row r="11" spans="1:11">
      <c r="A11" s="260">
        <v>5</v>
      </c>
      <c r="B11" s="260" t="s">
        <v>470</v>
      </c>
      <c r="C11" s="260" t="s">
        <v>1118</v>
      </c>
      <c r="D11" s="260" t="s">
        <v>416</v>
      </c>
      <c r="E11" s="261">
        <v>35000</v>
      </c>
      <c r="F11" s="261">
        <v>35000</v>
      </c>
      <c r="G11" s="261">
        <v>35000</v>
      </c>
      <c r="H11" s="261">
        <v>35000</v>
      </c>
      <c r="I11" s="261">
        <f t="shared" si="0"/>
        <v>140000</v>
      </c>
    </row>
    <row r="12" spans="1:11">
      <c r="A12" s="260">
        <v>6</v>
      </c>
      <c r="B12" s="260" t="s">
        <v>352</v>
      </c>
      <c r="C12" s="260" t="s">
        <v>353</v>
      </c>
      <c r="D12" s="260" t="s">
        <v>416</v>
      </c>
      <c r="E12" s="261">
        <v>35000</v>
      </c>
      <c r="F12" s="261">
        <v>35000</v>
      </c>
      <c r="G12" s="261">
        <v>35000</v>
      </c>
      <c r="H12" s="261">
        <v>35000</v>
      </c>
      <c r="I12" s="261">
        <f t="shared" si="0"/>
        <v>140000</v>
      </c>
    </row>
    <row r="13" spans="1:11">
      <c r="A13" s="260">
        <v>7</v>
      </c>
      <c r="B13" s="260" t="s">
        <v>354</v>
      </c>
      <c r="C13" s="260" t="s">
        <v>355</v>
      </c>
      <c r="D13" s="260" t="s">
        <v>416</v>
      </c>
      <c r="E13" s="261">
        <v>35000</v>
      </c>
      <c r="F13" s="261">
        <v>35000</v>
      </c>
      <c r="G13" s="261">
        <v>35000</v>
      </c>
      <c r="H13" s="261">
        <v>35000</v>
      </c>
      <c r="I13" s="261">
        <f t="shared" si="0"/>
        <v>140000</v>
      </c>
    </row>
    <row r="14" spans="1:11">
      <c r="A14" s="260">
        <v>8</v>
      </c>
      <c r="B14" s="260" t="s">
        <v>356</v>
      </c>
      <c r="C14" s="260" t="s">
        <v>357</v>
      </c>
      <c r="D14" s="260" t="s">
        <v>358</v>
      </c>
      <c r="E14" s="261">
        <v>35000</v>
      </c>
      <c r="F14" s="261">
        <v>35000</v>
      </c>
      <c r="G14" s="261">
        <v>35000</v>
      </c>
      <c r="H14" s="261">
        <v>35000</v>
      </c>
      <c r="I14" s="261">
        <f t="shared" si="0"/>
        <v>140000</v>
      </c>
    </row>
    <row r="15" spans="1:11">
      <c r="A15" s="260">
        <v>9</v>
      </c>
      <c r="B15" s="260" t="s">
        <v>1119</v>
      </c>
      <c r="C15" s="260" t="s">
        <v>362</v>
      </c>
      <c r="D15" s="260" t="s">
        <v>366</v>
      </c>
      <c r="E15" s="261">
        <v>35000</v>
      </c>
      <c r="F15" s="261">
        <v>35000</v>
      </c>
      <c r="G15" s="261">
        <v>35000</v>
      </c>
      <c r="H15" s="261">
        <v>35000</v>
      </c>
      <c r="I15" s="261">
        <f t="shared" si="0"/>
        <v>140000</v>
      </c>
    </row>
    <row r="16" spans="1:11">
      <c r="A16" s="260">
        <v>11</v>
      </c>
      <c r="B16" s="260" t="s">
        <v>361</v>
      </c>
      <c r="C16" s="260" t="s">
        <v>362</v>
      </c>
      <c r="D16" s="260" t="s">
        <v>366</v>
      </c>
      <c r="E16" s="261">
        <v>35000</v>
      </c>
      <c r="F16" s="261">
        <v>35000</v>
      </c>
      <c r="G16" s="261">
        <v>35000</v>
      </c>
      <c r="H16" s="261">
        <v>35000</v>
      </c>
      <c r="I16" s="261">
        <f t="shared" si="0"/>
        <v>140000</v>
      </c>
    </row>
    <row r="17" spans="1:9">
      <c r="A17" s="260">
        <v>12</v>
      </c>
      <c r="B17" s="260" t="s">
        <v>373</v>
      </c>
      <c r="C17" s="260" t="s">
        <v>374</v>
      </c>
      <c r="D17" s="260" t="s">
        <v>1052</v>
      </c>
      <c r="E17" s="261">
        <v>35000</v>
      </c>
      <c r="F17" s="261">
        <v>35000</v>
      </c>
      <c r="G17" s="261">
        <v>35000</v>
      </c>
      <c r="H17" s="261">
        <v>35000</v>
      </c>
      <c r="I17" s="261">
        <f t="shared" si="0"/>
        <v>140000</v>
      </c>
    </row>
    <row r="18" spans="1:9">
      <c r="A18" s="260">
        <v>13</v>
      </c>
      <c r="B18" s="260" t="s">
        <v>376</v>
      </c>
      <c r="C18" s="260" t="s">
        <v>377</v>
      </c>
      <c r="D18" s="260" t="s">
        <v>1053</v>
      </c>
      <c r="E18" s="261">
        <v>35000</v>
      </c>
      <c r="F18" s="261">
        <v>35000</v>
      </c>
      <c r="G18" s="261">
        <v>35000</v>
      </c>
      <c r="H18" s="261">
        <v>35000</v>
      </c>
      <c r="I18" s="261">
        <f t="shared" si="0"/>
        <v>140000</v>
      </c>
    </row>
    <row r="19" spans="1:9">
      <c r="A19" s="260">
        <v>14</v>
      </c>
      <c r="B19" s="260" t="s">
        <v>379</v>
      </c>
      <c r="C19" s="260" t="s">
        <v>233</v>
      </c>
      <c r="D19" s="260" t="s">
        <v>440</v>
      </c>
      <c r="E19" s="261">
        <v>35000</v>
      </c>
      <c r="F19" s="261">
        <v>35000</v>
      </c>
      <c r="G19" s="261">
        <v>35000</v>
      </c>
      <c r="H19" s="261">
        <v>35000</v>
      </c>
      <c r="I19" s="261">
        <f t="shared" si="0"/>
        <v>140000</v>
      </c>
    </row>
    <row r="20" spans="1:9">
      <c r="A20" s="260">
        <v>16</v>
      </c>
      <c r="B20" s="260" t="s">
        <v>388</v>
      </c>
      <c r="C20" s="260" t="s">
        <v>289</v>
      </c>
      <c r="D20" s="260" t="s">
        <v>391</v>
      </c>
      <c r="E20" s="261">
        <v>35000</v>
      </c>
      <c r="F20" s="261">
        <v>35000</v>
      </c>
      <c r="G20" s="261">
        <v>35000</v>
      </c>
      <c r="H20" s="261">
        <v>35000</v>
      </c>
      <c r="I20" s="261">
        <f t="shared" si="0"/>
        <v>140000</v>
      </c>
    </row>
    <row r="21" spans="1:9">
      <c r="A21" s="260">
        <v>17</v>
      </c>
      <c r="B21" s="260" t="s">
        <v>1120</v>
      </c>
      <c r="C21" s="260" t="s">
        <v>1121</v>
      </c>
      <c r="D21" s="260" t="s">
        <v>391</v>
      </c>
      <c r="E21" s="261">
        <v>35000</v>
      </c>
      <c r="F21" s="261">
        <v>35000</v>
      </c>
      <c r="G21" s="261">
        <v>35000</v>
      </c>
      <c r="H21" s="261">
        <v>35000</v>
      </c>
      <c r="I21" s="261">
        <f t="shared" si="0"/>
        <v>140000</v>
      </c>
    </row>
    <row r="22" spans="1:9">
      <c r="A22" s="260">
        <v>18</v>
      </c>
      <c r="B22" s="260" t="s">
        <v>390</v>
      </c>
      <c r="C22" s="260" t="s">
        <v>1068</v>
      </c>
      <c r="D22" s="260" t="s">
        <v>1048</v>
      </c>
      <c r="E22" s="261">
        <v>35000</v>
      </c>
      <c r="F22" s="261">
        <v>35000</v>
      </c>
      <c r="G22" s="261">
        <v>35000</v>
      </c>
      <c r="H22" s="261">
        <v>35000</v>
      </c>
      <c r="I22" s="261">
        <f t="shared" si="0"/>
        <v>140000</v>
      </c>
    </row>
    <row r="23" spans="1:9">
      <c r="A23" s="260">
        <v>19</v>
      </c>
      <c r="B23" s="260" t="s">
        <v>392</v>
      </c>
      <c r="C23" s="260" t="s">
        <v>1122</v>
      </c>
      <c r="D23" s="260" t="s">
        <v>1048</v>
      </c>
      <c r="E23" s="261">
        <v>35000</v>
      </c>
      <c r="F23" s="261">
        <v>35000</v>
      </c>
      <c r="G23" s="261">
        <v>35000</v>
      </c>
      <c r="H23" s="261">
        <v>35000</v>
      </c>
      <c r="I23" s="261">
        <f t="shared" si="0"/>
        <v>140000</v>
      </c>
    </row>
    <row r="24" spans="1:9">
      <c r="A24" s="260">
        <v>20</v>
      </c>
      <c r="B24" s="260" t="s">
        <v>395</v>
      </c>
      <c r="C24" s="260" t="s">
        <v>396</v>
      </c>
      <c r="D24" s="260" t="s">
        <v>391</v>
      </c>
      <c r="E24" s="261">
        <v>35000</v>
      </c>
      <c r="F24" s="261">
        <v>35000</v>
      </c>
      <c r="G24" s="261">
        <v>35000</v>
      </c>
      <c r="H24" s="261">
        <v>35000</v>
      </c>
      <c r="I24" s="261">
        <f t="shared" si="0"/>
        <v>140000</v>
      </c>
    </row>
    <row r="25" spans="1:9">
      <c r="A25" s="260">
        <v>21</v>
      </c>
      <c r="B25" s="260" t="s">
        <v>397</v>
      </c>
      <c r="C25" s="260" t="s">
        <v>398</v>
      </c>
      <c r="D25" s="260" t="s">
        <v>402</v>
      </c>
      <c r="E25" s="261">
        <v>35000</v>
      </c>
      <c r="F25" s="261">
        <v>35000</v>
      </c>
      <c r="G25" s="261">
        <v>35000</v>
      </c>
      <c r="H25" s="261">
        <v>35000</v>
      </c>
      <c r="I25" s="261">
        <f t="shared" si="0"/>
        <v>140000</v>
      </c>
    </row>
    <row r="26" spans="1:9">
      <c r="A26" s="260">
        <v>22</v>
      </c>
      <c r="B26" s="260" t="s">
        <v>1036</v>
      </c>
      <c r="C26" s="260" t="s">
        <v>401</v>
      </c>
      <c r="D26" s="260" t="s">
        <v>402</v>
      </c>
      <c r="E26" s="261">
        <v>35000</v>
      </c>
      <c r="F26" s="261">
        <v>35000</v>
      </c>
      <c r="G26" s="261">
        <v>35000</v>
      </c>
      <c r="H26" s="261">
        <v>35000</v>
      </c>
      <c r="I26" s="261">
        <f t="shared" si="0"/>
        <v>140000</v>
      </c>
    </row>
    <row r="27" spans="1:9">
      <c r="A27" s="260">
        <v>23</v>
      </c>
      <c r="B27" s="260" t="s">
        <v>400</v>
      </c>
      <c r="C27" s="260" t="s">
        <v>401</v>
      </c>
      <c r="D27" s="260" t="s">
        <v>72</v>
      </c>
      <c r="E27" s="263">
        <v>35000</v>
      </c>
      <c r="F27" s="263">
        <v>35000</v>
      </c>
      <c r="G27" s="263">
        <v>35000</v>
      </c>
      <c r="H27" s="263">
        <v>35000</v>
      </c>
      <c r="I27" s="263">
        <f t="shared" si="0"/>
        <v>140000</v>
      </c>
    </row>
    <row r="28" spans="1:9">
      <c r="A28" s="260"/>
      <c r="B28" s="264" t="s">
        <v>1123</v>
      </c>
      <c r="C28" s="260"/>
      <c r="D28" s="260"/>
      <c r="E28" s="265">
        <f>SUM(E7:E27)</f>
        <v>735000</v>
      </c>
      <c r="F28" s="265">
        <f>SUM(F7:F27)</f>
        <v>735000</v>
      </c>
      <c r="G28" s="265">
        <f>SUM(G7:G27)</f>
        <v>735000</v>
      </c>
      <c r="H28" s="265">
        <f>SUM(H7:H27)</f>
        <v>735000</v>
      </c>
      <c r="I28" s="265">
        <f>SUM(I7:I27)</f>
        <v>2940000</v>
      </c>
    </row>
    <row r="29" spans="1:9">
      <c r="E29" s="252"/>
      <c r="F29" s="252"/>
      <c r="G29" s="252"/>
      <c r="H29" s="252"/>
      <c r="I29" s="252"/>
    </row>
    <row r="30" spans="1:9">
      <c r="B30" s="254" t="s">
        <v>225</v>
      </c>
      <c r="E30" s="252"/>
      <c r="F30" s="252"/>
      <c r="G30" s="252"/>
      <c r="H30" s="252"/>
      <c r="I30" s="252"/>
    </row>
    <row r="31" spans="1:9">
      <c r="A31" s="260">
        <v>1</v>
      </c>
      <c r="B31" s="260" t="s">
        <v>403</v>
      </c>
      <c r="C31" s="260" t="s">
        <v>404</v>
      </c>
      <c r="D31" s="260" t="s">
        <v>405</v>
      </c>
      <c r="E31" s="261">
        <v>35000</v>
      </c>
      <c r="F31" s="261">
        <v>35000</v>
      </c>
      <c r="G31" s="261">
        <v>35000</v>
      </c>
      <c r="H31" s="261">
        <v>35000</v>
      </c>
      <c r="I31" s="261">
        <f>E31+F31+G31+H31</f>
        <v>140000</v>
      </c>
    </row>
    <row r="32" spans="1:9">
      <c r="A32" s="260">
        <v>2</v>
      </c>
      <c r="B32" s="260" t="s">
        <v>406</v>
      </c>
      <c r="C32" s="260" t="s">
        <v>642</v>
      </c>
      <c r="D32" s="260" t="s">
        <v>72</v>
      </c>
      <c r="E32" s="263">
        <v>35000</v>
      </c>
      <c r="F32" s="263">
        <v>35000</v>
      </c>
      <c r="G32" s="263">
        <v>35000</v>
      </c>
      <c r="H32" s="263">
        <v>35000</v>
      </c>
      <c r="I32" s="261">
        <f>E32+F32+G32+H32</f>
        <v>140000</v>
      </c>
    </row>
    <row r="33" spans="1:9">
      <c r="A33" s="260"/>
      <c r="B33" s="264" t="s">
        <v>1124</v>
      </c>
      <c r="C33" s="260"/>
      <c r="D33" s="260"/>
      <c r="E33" s="265">
        <f>SUM(E31:E32)</f>
        <v>70000</v>
      </c>
      <c r="F33" s="265">
        <f t="shared" ref="F33:I33" si="1">SUM(F31:F32)</f>
        <v>70000</v>
      </c>
      <c r="G33" s="265">
        <f t="shared" si="1"/>
        <v>70000</v>
      </c>
      <c r="H33" s="265">
        <f t="shared" si="1"/>
        <v>70000</v>
      </c>
      <c r="I33" s="265">
        <f t="shared" si="1"/>
        <v>280000</v>
      </c>
    </row>
    <row r="34" spans="1:9">
      <c r="E34" s="252"/>
      <c r="F34" s="252"/>
      <c r="G34" s="252"/>
      <c r="H34" s="252"/>
      <c r="I34" s="252"/>
    </row>
    <row r="35" spans="1:9">
      <c r="B35" s="254" t="s">
        <v>43</v>
      </c>
      <c r="E35" s="252"/>
      <c r="F35" s="252"/>
      <c r="G35" s="252"/>
      <c r="H35" s="252"/>
      <c r="I35" s="252"/>
    </row>
    <row r="36" spans="1:9">
      <c r="A36" s="260">
        <v>1</v>
      </c>
      <c r="B36" s="260" t="s">
        <v>410</v>
      </c>
      <c r="C36" s="260" t="s">
        <v>411</v>
      </c>
      <c r="D36" s="260" t="s">
        <v>405</v>
      </c>
      <c r="E36" s="261">
        <v>35000</v>
      </c>
      <c r="F36" s="261">
        <v>35000</v>
      </c>
      <c r="G36" s="261">
        <v>35000</v>
      </c>
      <c r="H36" s="261">
        <v>35000</v>
      </c>
      <c r="I36" s="261">
        <f>E36+F36+G36+H36</f>
        <v>140000</v>
      </c>
    </row>
    <row r="37" spans="1:9">
      <c r="A37" s="260">
        <v>2</v>
      </c>
      <c r="B37" s="260" t="s">
        <v>412</v>
      </c>
      <c r="C37" s="260" t="s">
        <v>413</v>
      </c>
      <c r="D37" s="260" t="s">
        <v>358</v>
      </c>
      <c r="E37" s="261">
        <v>35000</v>
      </c>
      <c r="F37" s="261">
        <v>35000</v>
      </c>
      <c r="G37" s="261">
        <v>35000</v>
      </c>
      <c r="H37" s="261">
        <v>35000</v>
      </c>
      <c r="I37" s="261">
        <f t="shared" ref="I37:I48" si="2">E37+F37+G37+H37</f>
        <v>140000</v>
      </c>
    </row>
    <row r="38" spans="1:9">
      <c r="A38" s="260">
        <v>3</v>
      </c>
      <c r="B38" s="260" t="s">
        <v>414</v>
      </c>
      <c r="C38" s="260" t="s">
        <v>418</v>
      </c>
      <c r="D38" s="260" t="s">
        <v>358</v>
      </c>
      <c r="E38" s="261">
        <v>35000</v>
      </c>
      <c r="F38" s="261">
        <v>35000</v>
      </c>
      <c r="G38" s="261">
        <v>35000</v>
      </c>
      <c r="H38" s="261">
        <v>35000</v>
      </c>
      <c r="I38" s="261">
        <f t="shared" si="2"/>
        <v>140000</v>
      </c>
    </row>
    <row r="39" spans="1:9">
      <c r="A39" s="260">
        <v>4</v>
      </c>
      <c r="B39" s="260" t="s">
        <v>417</v>
      </c>
      <c r="C39" s="260" t="s">
        <v>418</v>
      </c>
      <c r="D39" s="260" t="s">
        <v>358</v>
      </c>
      <c r="E39" s="261">
        <v>35000</v>
      </c>
      <c r="F39" s="261">
        <v>35000</v>
      </c>
      <c r="G39" s="261">
        <v>35000</v>
      </c>
      <c r="H39" s="261">
        <v>35000</v>
      </c>
      <c r="I39" s="261">
        <f t="shared" si="2"/>
        <v>140000</v>
      </c>
    </row>
    <row r="40" spans="1:9">
      <c r="A40" s="260">
        <v>5</v>
      </c>
      <c r="B40" s="260" t="s">
        <v>419</v>
      </c>
      <c r="C40" s="260" t="s">
        <v>418</v>
      </c>
      <c r="D40" s="260" t="s">
        <v>435</v>
      </c>
      <c r="E40" s="261">
        <v>35000</v>
      </c>
      <c r="F40" s="261">
        <v>35000</v>
      </c>
      <c r="G40" s="261">
        <v>35000</v>
      </c>
      <c r="H40" s="261">
        <v>35000</v>
      </c>
      <c r="I40" s="261">
        <f t="shared" si="2"/>
        <v>140000</v>
      </c>
    </row>
    <row r="41" spans="1:9">
      <c r="A41" s="260">
        <v>6</v>
      </c>
      <c r="B41" s="260" t="s">
        <v>420</v>
      </c>
      <c r="C41" s="260" t="s">
        <v>368</v>
      </c>
      <c r="D41" s="260" t="s">
        <v>366</v>
      </c>
      <c r="E41" s="261">
        <v>35000</v>
      </c>
      <c r="F41" s="261">
        <v>35000</v>
      </c>
      <c r="G41" s="261">
        <v>35000</v>
      </c>
      <c r="H41" s="261">
        <v>35000</v>
      </c>
      <c r="I41" s="261">
        <f t="shared" si="2"/>
        <v>140000</v>
      </c>
    </row>
    <row r="42" spans="1:9">
      <c r="A42" s="260">
        <v>7</v>
      </c>
      <c r="B42" s="260" t="s">
        <v>421</v>
      </c>
      <c r="C42" s="260" t="s">
        <v>365</v>
      </c>
      <c r="D42" s="260" t="s">
        <v>366</v>
      </c>
      <c r="E42" s="261">
        <v>35000</v>
      </c>
      <c r="F42" s="261">
        <v>35000</v>
      </c>
      <c r="G42" s="261">
        <v>35000</v>
      </c>
      <c r="H42" s="261">
        <v>35000</v>
      </c>
      <c r="I42" s="261">
        <f t="shared" si="2"/>
        <v>140000</v>
      </c>
    </row>
    <row r="43" spans="1:9">
      <c r="A43" s="260">
        <v>8</v>
      </c>
      <c r="B43" s="260" t="s">
        <v>1125</v>
      </c>
      <c r="C43" s="260" t="s">
        <v>365</v>
      </c>
      <c r="D43" s="260" t="s">
        <v>450</v>
      </c>
      <c r="E43" s="261">
        <v>35000</v>
      </c>
      <c r="F43" s="261">
        <v>35000</v>
      </c>
      <c r="G43" s="261">
        <v>35000</v>
      </c>
      <c r="H43" s="261">
        <v>35000</v>
      </c>
      <c r="I43" s="261">
        <f t="shared" si="2"/>
        <v>140000</v>
      </c>
    </row>
    <row r="44" spans="1:9">
      <c r="A44" s="260">
        <v>9</v>
      </c>
      <c r="B44" s="260" t="s">
        <v>367</v>
      </c>
      <c r="C44" s="260" t="s">
        <v>461</v>
      </c>
      <c r="D44" s="260" t="s">
        <v>375</v>
      </c>
      <c r="E44" s="261">
        <v>35000</v>
      </c>
      <c r="F44" s="261">
        <v>35000</v>
      </c>
      <c r="G44" s="261">
        <v>35000</v>
      </c>
      <c r="H44" s="261">
        <v>35000</v>
      </c>
      <c r="I44" s="261">
        <f t="shared" si="2"/>
        <v>140000</v>
      </c>
    </row>
    <row r="45" spans="1:9">
      <c r="A45" s="260">
        <v>10</v>
      </c>
      <c r="B45" s="260" t="s">
        <v>422</v>
      </c>
      <c r="C45" s="260" t="s">
        <v>64</v>
      </c>
      <c r="D45" s="260" t="s">
        <v>37</v>
      </c>
      <c r="E45" s="261">
        <v>35000</v>
      </c>
      <c r="F45" s="261">
        <v>35000</v>
      </c>
      <c r="G45" s="261">
        <v>35000</v>
      </c>
      <c r="H45" s="261">
        <v>35000</v>
      </c>
      <c r="I45" s="261">
        <f t="shared" si="2"/>
        <v>140000</v>
      </c>
    </row>
    <row r="46" spans="1:9">
      <c r="A46" s="260">
        <v>11</v>
      </c>
      <c r="B46" s="260" t="s">
        <v>423</v>
      </c>
      <c r="C46" s="260" t="s">
        <v>64</v>
      </c>
      <c r="D46" s="260" t="s">
        <v>55</v>
      </c>
      <c r="E46" s="261">
        <v>35000</v>
      </c>
      <c r="F46" s="261">
        <v>35000</v>
      </c>
      <c r="G46" s="261">
        <v>35000</v>
      </c>
      <c r="H46" s="261">
        <v>35000</v>
      </c>
      <c r="I46" s="261">
        <f t="shared" si="2"/>
        <v>140000</v>
      </c>
    </row>
    <row r="47" spans="1:9">
      <c r="A47" s="260">
        <v>12</v>
      </c>
      <c r="B47" s="260" t="s">
        <v>424</v>
      </c>
      <c r="C47" s="260" t="s">
        <v>64</v>
      </c>
      <c r="D47" s="260" t="s">
        <v>55</v>
      </c>
      <c r="E47" s="261">
        <v>35000</v>
      </c>
      <c r="F47" s="261">
        <v>35000</v>
      </c>
      <c r="G47" s="261">
        <v>35000</v>
      </c>
      <c r="H47" s="261">
        <v>35000</v>
      </c>
      <c r="I47" s="261">
        <f t="shared" si="2"/>
        <v>140000</v>
      </c>
    </row>
    <row r="48" spans="1:9">
      <c r="A48" s="260">
        <v>13</v>
      </c>
      <c r="B48" s="260" t="s">
        <v>425</v>
      </c>
      <c r="C48" s="260" t="s">
        <v>64</v>
      </c>
      <c r="D48" s="260" t="s">
        <v>55</v>
      </c>
      <c r="E48" s="263">
        <v>35000</v>
      </c>
      <c r="F48" s="263">
        <v>35000</v>
      </c>
      <c r="G48" s="263">
        <v>35000</v>
      </c>
      <c r="H48" s="263">
        <v>35000</v>
      </c>
      <c r="I48" s="263">
        <f t="shared" si="2"/>
        <v>140000</v>
      </c>
    </row>
    <row r="49" spans="1:9">
      <c r="A49" s="260"/>
      <c r="B49" s="264" t="s">
        <v>1126</v>
      </c>
      <c r="C49" s="260"/>
      <c r="D49" s="260"/>
      <c r="E49" s="265">
        <f>SUM(E36:E48)</f>
        <v>455000</v>
      </c>
      <c r="F49" s="265">
        <f t="shared" ref="F49:I49" si="3">SUM(F36:F48)</f>
        <v>455000</v>
      </c>
      <c r="G49" s="265">
        <f t="shared" si="3"/>
        <v>455000</v>
      </c>
      <c r="H49" s="265">
        <f t="shared" si="3"/>
        <v>455000</v>
      </c>
      <c r="I49" s="265">
        <f t="shared" si="3"/>
        <v>1820000</v>
      </c>
    </row>
    <row r="50" spans="1:9">
      <c r="E50" s="252"/>
      <c r="F50" s="252"/>
      <c r="G50" s="252"/>
      <c r="H50" s="252"/>
      <c r="I50" s="252"/>
    </row>
    <row r="51" spans="1:9">
      <c r="B51" s="254" t="s">
        <v>426</v>
      </c>
      <c r="E51" s="252"/>
      <c r="F51" s="252"/>
      <c r="G51" s="252"/>
      <c r="H51" s="252"/>
      <c r="I51" s="252"/>
    </row>
    <row r="52" spans="1:9">
      <c r="A52" s="260">
        <v>1</v>
      </c>
      <c r="B52" s="262" t="s">
        <v>427</v>
      </c>
      <c r="C52" s="260" t="s">
        <v>428</v>
      </c>
      <c r="D52" s="260" t="s">
        <v>405</v>
      </c>
      <c r="E52" s="261">
        <v>35000</v>
      </c>
      <c r="F52" s="261">
        <v>35000</v>
      </c>
      <c r="G52" s="261">
        <v>35000</v>
      </c>
      <c r="H52" s="261">
        <v>35000</v>
      </c>
      <c r="I52" s="261">
        <f>E52+F52+G52+H52</f>
        <v>140000</v>
      </c>
    </row>
    <row r="53" spans="1:9">
      <c r="A53" s="260">
        <v>2</v>
      </c>
      <c r="B53" s="260" t="s">
        <v>429</v>
      </c>
      <c r="C53" s="260" t="s">
        <v>430</v>
      </c>
      <c r="D53" s="260" t="s">
        <v>332</v>
      </c>
      <c r="E53" s="263">
        <v>35000</v>
      </c>
      <c r="F53" s="263">
        <v>35000</v>
      </c>
      <c r="G53" s="263">
        <v>35000</v>
      </c>
      <c r="H53" s="263">
        <v>35000</v>
      </c>
      <c r="I53" s="263">
        <f>E53+F53+G53+H53</f>
        <v>140000</v>
      </c>
    </row>
    <row r="54" spans="1:9">
      <c r="A54" s="260"/>
      <c r="B54" s="264" t="s">
        <v>1127</v>
      </c>
      <c r="C54" s="260"/>
      <c r="D54" s="260"/>
      <c r="E54" s="265">
        <f>SUM(E52:E53)</f>
        <v>70000</v>
      </c>
      <c r="F54" s="265">
        <f t="shared" ref="F54:I54" si="4">SUM(F52:F53)</f>
        <v>70000</v>
      </c>
      <c r="G54" s="265">
        <f t="shared" si="4"/>
        <v>70000</v>
      </c>
      <c r="H54" s="265">
        <f t="shared" si="4"/>
        <v>70000</v>
      </c>
      <c r="I54" s="265">
        <f t="shared" si="4"/>
        <v>280000</v>
      </c>
    </row>
    <row r="55" spans="1:9">
      <c r="E55" s="252"/>
      <c r="F55" s="252"/>
      <c r="G55" s="252"/>
      <c r="H55" s="252"/>
      <c r="I55" s="252"/>
    </row>
    <row r="56" spans="1:9">
      <c r="B56" s="254" t="s">
        <v>60</v>
      </c>
      <c r="E56" s="252"/>
      <c r="F56" s="252"/>
      <c r="G56" s="252"/>
      <c r="H56" s="252"/>
      <c r="I56" s="252"/>
    </row>
    <row r="57" spans="1:9">
      <c r="A57" s="260">
        <v>1</v>
      </c>
      <c r="B57" s="260" t="s">
        <v>431</v>
      </c>
      <c r="C57" s="260" t="s">
        <v>432</v>
      </c>
      <c r="D57" s="260" t="s">
        <v>405</v>
      </c>
      <c r="E57" s="261">
        <v>35000</v>
      </c>
      <c r="F57" s="261">
        <v>35000</v>
      </c>
      <c r="G57" s="261">
        <v>35000</v>
      </c>
      <c r="H57" s="261">
        <v>35000</v>
      </c>
      <c r="I57" s="261">
        <f>E57+F57+G57+H57</f>
        <v>140000</v>
      </c>
    </row>
    <row r="58" spans="1:9">
      <c r="A58" s="260">
        <v>2</v>
      </c>
      <c r="B58" s="260" t="s">
        <v>433</v>
      </c>
      <c r="C58" s="260" t="s">
        <v>434</v>
      </c>
      <c r="D58" s="260" t="s">
        <v>1054</v>
      </c>
      <c r="E58" s="261">
        <v>35000</v>
      </c>
      <c r="F58" s="261">
        <v>35000</v>
      </c>
      <c r="G58" s="261">
        <v>35000</v>
      </c>
      <c r="H58" s="261">
        <v>35000</v>
      </c>
      <c r="I58" s="261">
        <f t="shared" ref="I58:I68" si="5">E58+F58+G58+H58</f>
        <v>140000</v>
      </c>
    </row>
    <row r="59" spans="1:9">
      <c r="A59" s="260">
        <v>3</v>
      </c>
      <c r="B59" s="260" t="s">
        <v>436</v>
      </c>
      <c r="C59" s="260" t="s">
        <v>231</v>
      </c>
      <c r="D59" s="260" t="s">
        <v>375</v>
      </c>
      <c r="E59" s="261">
        <v>35000</v>
      </c>
      <c r="F59" s="261">
        <v>35000</v>
      </c>
      <c r="G59" s="261">
        <v>35000</v>
      </c>
      <c r="H59" s="261">
        <v>35000</v>
      </c>
      <c r="I59" s="261">
        <f t="shared" si="5"/>
        <v>140000</v>
      </c>
    </row>
    <row r="60" spans="1:9">
      <c r="A60" s="260">
        <v>4</v>
      </c>
      <c r="B60" s="260" t="s">
        <v>437</v>
      </c>
      <c r="C60" s="260" t="s">
        <v>231</v>
      </c>
      <c r="D60" s="260" t="s">
        <v>1052</v>
      </c>
      <c r="E60" s="261">
        <v>35000</v>
      </c>
      <c r="F60" s="261">
        <v>35000</v>
      </c>
      <c r="G60" s="261">
        <v>35000</v>
      </c>
      <c r="H60" s="261">
        <v>35000</v>
      </c>
      <c r="I60" s="261">
        <f t="shared" si="5"/>
        <v>140000</v>
      </c>
    </row>
    <row r="61" spans="1:9">
      <c r="A61" s="260">
        <v>5</v>
      </c>
      <c r="B61" s="260" t="s">
        <v>438</v>
      </c>
      <c r="C61" s="260" t="s">
        <v>365</v>
      </c>
      <c r="D61" s="260" t="s">
        <v>366</v>
      </c>
      <c r="E61" s="261">
        <v>35000</v>
      </c>
      <c r="F61" s="261">
        <v>35000</v>
      </c>
      <c r="G61" s="261">
        <v>35000</v>
      </c>
      <c r="H61" s="261">
        <v>35000</v>
      </c>
      <c r="I61" s="261">
        <f t="shared" si="5"/>
        <v>140000</v>
      </c>
    </row>
    <row r="62" spans="1:9">
      <c r="A62" s="260">
        <v>6</v>
      </c>
      <c r="B62" s="260" t="s">
        <v>364</v>
      </c>
      <c r="C62" s="260" t="s">
        <v>365</v>
      </c>
      <c r="D62" s="260" t="s">
        <v>450</v>
      </c>
      <c r="E62" s="261">
        <v>35000</v>
      </c>
      <c r="F62" s="261">
        <v>35000</v>
      </c>
      <c r="G62" s="261">
        <v>35000</v>
      </c>
      <c r="H62" s="261">
        <v>35000</v>
      </c>
      <c r="I62" s="261">
        <f t="shared" si="5"/>
        <v>140000</v>
      </c>
    </row>
    <row r="63" spans="1:9">
      <c r="A63" s="260">
        <v>7</v>
      </c>
      <c r="B63" s="260" t="s">
        <v>439</v>
      </c>
      <c r="C63" s="260" t="s">
        <v>64</v>
      </c>
      <c r="D63" s="260" t="s">
        <v>32</v>
      </c>
      <c r="E63" s="261">
        <v>35000</v>
      </c>
      <c r="F63" s="261">
        <v>35000</v>
      </c>
      <c r="G63" s="261">
        <v>35000</v>
      </c>
      <c r="H63" s="261">
        <v>35000</v>
      </c>
      <c r="I63" s="261">
        <f t="shared" si="5"/>
        <v>140000</v>
      </c>
    </row>
    <row r="64" spans="1:9">
      <c r="A64" s="260">
        <v>8</v>
      </c>
      <c r="B64" s="260" t="s">
        <v>441</v>
      </c>
      <c r="C64" s="260" t="s">
        <v>34</v>
      </c>
      <c r="D64" s="260" t="s">
        <v>32</v>
      </c>
      <c r="E64" s="261">
        <v>35000</v>
      </c>
      <c r="F64" s="261">
        <v>35000</v>
      </c>
      <c r="G64" s="261">
        <v>35000</v>
      </c>
      <c r="H64" s="261">
        <v>35000</v>
      </c>
      <c r="I64" s="261">
        <f t="shared" si="5"/>
        <v>140000</v>
      </c>
    </row>
    <row r="65" spans="1:9">
      <c r="A65" s="260">
        <v>9</v>
      </c>
      <c r="B65" s="260" t="s">
        <v>442</v>
      </c>
      <c r="C65" s="260" t="s">
        <v>34</v>
      </c>
      <c r="D65" s="260" t="s">
        <v>32</v>
      </c>
      <c r="E65" s="261">
        <v>35000</v>
      </c>
      <c r="F65" s="261">
        <v>35000</v>
      </c>
      <c r="G65" s="261">
        <v>35000</v>
      </c>
      <c r="H65" s="261">
        <v>35000</v>
      </c>
      <c r="I65" s="261">
        <f t="shared" si="5"/>
        <v>140000</v>
      </c>
    </row>
    <row r="66" spans="1:9">
      <c r="A66" s="260">
        <v>10</v>
      </c>
      <c r="B66" s="260" t="s">
        <v>443</v>
      </c>
      <c r="C66" s="260" t="s">
        <v>444</v>
      </c>
      <c r="D66" s="260" t="s">
        <v>440</v>
      </c>
      <c r="E66" s="261">
        <v>35000</v>
      </c>
      <c r="F66" s="261">
        <v>35000</v>
      </c>
      <c r="G66" s="261">
        <v>35000</v>
      </c>
      <c r="H66" s="261">
        <v>35000</v>
      </c>
      <c r="I66" s="261">
        <f t="shared" si="5"/>
        <v>140000</v>
      </c>
    </row>
    <row r="67" spans="1:9">
      <c r="A67" s="260">
        <v>11</v>
      </c>
      <c r="B67" s="260" t="s">
        <v>389</v>
      </c>
      <c r="C67" s="260" t="s">
        <v>382</v>
      </c>
      <c r="D67" s="260" t="s">
        <v>391</v>
      </c>
      <c r="E67" s="261">
        <v>35000</v>
      </c>
      <c r="F67" s="261">
        <v>35000</v>
      </c>
      <c r="G67" s="261">
        <v>35000</v>
      </c>
      <c r="H67" s="261">
        <v>35000</v>
      </c>
      <c r="I67" s="261">
        <f t="shared" si="5"/>
        <v>140000</v>
      </c>
    </row>
    <row r="68" spans="1:9">
      <c r="A68" s="260">
        <v>12</v>
      </c>
      <c r="B68" s="260" t="s">
        <v>381</v>
      </c>
      <c r="C68" s="260" t="s">
        <v>382</v>
      </c>
      <c r="D68" s="260" t="s">
        <v>402</v>
      </c>
      <c r="E68" s="263">
        <v>35000</v>
      </c>
      <c r="F68" s="263">
        <v>35000</v>
      </c>
      <c r="G68" s="263">
        <v>35000</v>
      </c>
      <c r="H68" s="263">
        <v>35000</v>
      </c>
      <c r="I68" s="263">
        <f t="shared" si="5"/>
        <v>140000</v>
      </c>
    </row>
    <row r="69" spans="1:9">
      <c r="A69" s="260"/>
      <c r="B69" s="264" t="s">
        <v>1128</v>
      </c>
      <c r="C69" s="260"/>
      <c r="D69" s="260"/>
      <c r="E69" s="265">
        <f>SUM(E57:E68)</f>
        <v>420000</v>
      </c>
      <c r="F69" s="265">
        <f t="shared" ref="F69:I69" si="6">SUM(F57:F68)</f>
        <v>420000</v>
      </c>
      <c r="G69" s="265">
        <f t="shared" si="6"/>
        <v>420000</v>
      </c>
      <c r="H69" s="265">
        <f t="shared" si="6"/>
        <v>420000</v>
      </c>
      <c r="I69" s="265">
        <f t="shared" si="6"/>
        <v>1680000</v>
      </c>
    </row>
    <row r="70" spans="1:9">
      <c r="E70" s="252"/>
      <c r="F70" s="252"/>
      <c r="G70" s="252"/>
      <c r="H70" s="252"/>
      <c r="I70" s="252"/>
    </row>
    <row r="71" spans="1:9">
      <c r="B71" s="254" t="s">
        <v>65</v>
      </c>
      <c r="E71" s="252"/>
      <c r="F71" s="252"/>
      <c r="G71" s="252"/>
      <c r="H71" s="252"/>
      <c r="I71" s="252"/>
    </row>
    <row r="72" spans="1:9">
      <c r="A72" s="260">
        <v>1</v>
      </c>
      <c r="B72" s="260" t="s">
        <v>446</v>
      </c>
      <c r="C72" s="260" t="s">
        <v>447</v>
      </c>
      <c r="D72" s="260" t="s">
        <v>405</v>
      </c>
      <c r="E72" s="261">
        <v>35000</v>
      </c>
      <c r="F72" s="261">
        <v>35000</v>
      </c>
      <c r="G72" s="261">
        <v>35000</v>
      </c>
      <c r="H72" s="261">
        <v>35000</v>
      </c>
      <c r="I72" s="261">
        <f>E72+F72+G72+H72</f>
        <v>140000</v>
      </c>
    </row>
    <row r="73" spans="1:9">
      <c r="A73" s="260">
        <v>2</v>
      </c>
      <c r="B73" s="260" t="s">
        <v>331</v>
      </c>
      <c r="C73" s="260" t="s">
        <v>76</v>
      </c>
      <c r="D73" s="260" t="s">
        <v>1054</v>
      </c>
      <c r="E73" s="261">
        <v>35000</v>
      </c>
      <c r="F73" s="261">
        <v>35000</v>
      </c>
      <c r="G73" s="261">
        <v>35000</v>
      </c>
      <c r="H73" s="261">
        <v>35000</v>
      </c>
      <c r="I73" s="261">
        <f t="shared" ref="I73:I78" si="7">E73+F73+G73+H73</f>
        <v>140000</v>
      </c>
    </row>
    <row r="74" spans="1:9">
      <c r="A74" s="260">
        <v>3</v>
      </c>
      <c r="B74" s="260" t="s">
        <v>333</v>
      </c>
      <c r="C74" s="260" t="s">
        <v>334</v>
      </c>
      <c r="D74" s="260" t="s">
        <v>332</v>
      </c>
      <c r="E74" s="261">
        <v>35000</v>
      </c>
      <c r="F74" s="261">
        <v>35000</v>
      </c>
      <c r="G74" s="261">
        <v>35000</v>
      </c>
      <c r="H74" s="261">
        <v>35000</v>
      </c>
      <c r="I74" s="261">
        <f t="shared" si="7"/>
        <v>140000</v>
      </c>
    </row>
    <row r="75" spans="1:9">
      <c r="A75" s="260">
        <v>4</v>
      </c>
      <c r="B75" s="260" t="s">
        <v>448</v>
      </c>
      <c r="C75" s="260" t="s">
        <v>1069</v>
      </c>
      <c r="D75" s="260" t="s">
        <v>375</v>
      </c>
      <c r="E75" s="261">
        <v>35000</v>
      </c>
      <c r="F75" s="261">
        <v>35000</v>
      </c>
      <c r="G75" s="261">
        <v>35000</v>
      </c>
      <c r="H75" s="261">
        <v>35000</v>
      </c>
      <c r="I75" s="261">
        <f t="shared" si="7"/>
        <v>140000</v>
      </c>
    </row>
    <row r="76" spans="1:9">
      <c r="A76" s="260">
        <v>5</v>
      </c>
      <c r="B76" s="260" t="s">
        <v>451</v>
      </c>
      <c r="C76" s="260" t="s">
        <v>452</v>
      </c>
      <c r="D76" s="260" t="s">
        <v>409</v>
      </c>
      <c r="E76" s="261">
        <v>35000</v>
      </c>
      <c r="F76" s="261">
        <v>35000</v>
      </c>
      <c r="G76" s="261">
        <v>35000</v>
      </c>
      <c r="H76" s="261">
        <v>35000</v>
      </c>
      <c r="I76" s="261">
        <f t="shared" si="7"/>
        <v>140000</v>
      </c>
    </row>
    <row r="77" spans="1:9">
      <c r="A77" s="260">
        <v>6</v>
      </c>
      <c r="B77" s="260" t="s">
        <v>454</v>
      </c>
      <c r="C77" s="260" t="s">
        <v>452</v>
      </c>
      <c r="D77" s="260" t="s">
        <v>55</v>
      </c>
      <c r="E77" s="261">
        <v>35000</v>
      </c>
      <c r="F77" s="261">
        <v>35000</v>
      </c>
      <c r="G77" s="261">
        <v>35000</v>
      </c>
      <c r="H77" s="261">
        <v>35000</v>
      </c>
      <c r="I77" s="261">
        <f t="shared" si="7"/>
        <v>140000</v>
      </c>
    </row>
    <row r="78" spans="1:9">
      <c r="A78" s="260">
        <v>7</v>
      </c>
      <c r="B78" s="260" t="s">
        <v>455</v>
      </c>
      <c r="C78" s="260" t="s">
        <v>456</v>
      </c>
      <c r="D78" s="260" t="s">
        <v>72</v>
      </c>
      <c r="E78" s="263">
        <v>35000</v>
      </c>
      <c r="F78" s="263">
        <v>35000</v>
      </c>
      <c r="G78" s="263">
        <v>35000</v>
      </c>
      <c r="H78" s="263">
        <v>35000</v>
      </c>
      <c r="I78" s="263">
        <f t="shared" si="7"/>
        <v>140000</v>
      </c>
    </row>
    <row r="79" spans="1:9">
      <c r="A79" s="260"/>
      <c r="B79" s="264" t="s">
        <v>1129</v>
      </c>
      <c r="C79" s="260"/>
      <c r="D79" s="260"/>
      <c r="E79" s="265">
        <f>SUM(E72:E78)</f>
        <v>245000</v>
      </c>
      <c r="F79" s="265">
        <f t="shared" ref="F79:I79" si="8">SUM(F72:F78)</f>
        <v>245000</v>
      </c>
      <c r="G79" s="265">
        <f t="shared" si="8"/>
        <v>245000</v>
      </c>
      <c r="H79" s="265">
        <f t="shared" si="8"/>
        <v>245000</v>
      </c>
      <c r="I79" s="265">
        <f t="shared" si="8"/>
        <v>980000</v>
      </c>
    </row>
    <row r="80" spans="1:9">
      <c r="E80" s="252"/>
      <c r="F80" s="252"/>
      <c r="G80" s="252"/>
      <c r="H80" s="252"/>
      <c r="I80" s="252"/>
    </row>
    <row r="81" spans="1:9">
      <c r="B81" s="254" t="s">
        <v>74</v>
      </c>
      <c r="E81" s="252"/>
      <c r="F81" s="252"/>
      <c r="G81" s="252"/>
      <c r="H81" s="252"/>
      <c r="I81" s="252"/>
    </row>
    <row r="82" spans="1:9">
      <c r="A82" s="260">
        <v>1</v>
      </c>
      <c r="B82" s="260" t="s">
        <v>457</v>
      </c>
      <c r="C82" s="260" t="s">
        <v>418</v>
      </c>
      <c r="D82" s="260" t="s">
        <v>358</v>
      </c>
      <c r="E82" s="261">
        <v>35000</v>
      </c>
      <c r="F82" s="261">
        <v>35000</v>
      </c>
      <c r="G82" s="261">
        <v>35000</v>
      </c>
      <c r="H82" s="261">
        <v>35000</v>
      </c>
      <c r="I82" s="261">
        <f t="shared" ref="I82:I92" si="9">35000*4</f>
        <v>140000</v>
      </c>
    </row>
    <row r="83" spans="1:9">
      <c r="A83" s="260">
        <v>2</v>
      </c>
      <c r="B83" s="260" t="s">
        <v>458</v>
      </c>
      <c r="C83" s="260" t="s">
        <v>418</v>
      </c>
      <c r="D83" s="260" t="s">
        <v>358</v>
      </c>
      <c r="E83" s="261">
        <v>35000</v>
      </c>
      <c r="F83" s="261">
        <v>35000</v>
      </c>
      <c r="G83" s="261">
        <v>35000</v>
      </c>
      <c r="H83" s="261">
        <v>35000</v>
      </c>
      <c r="I83" s="261">
        <f t="shared" si="9"/>
        <v>140000</v>
      </c>
    </row>
    <row r="84" spans="1:9">
      <c r="A84" s="260">
        <v>3</v>
      </c>
      <c r="B84" s="260" t="s">
        <v>493</v>
      </c>
      <c r="C84" s="260" t="s">
        <v>365</v>
      </c>
      <c r="D84" s="260" t="s">
        <v>363</v>
      </c>
      <c r="E84" s="261">
        <v>35000</v>
      </c>
      <c r="F84" s="261">
        <v>35000</v>
      </c>
      <c r="G84" s="261">
        <v>35000</v>
      </c>
      <c r="H84" s="261">
        <v>35000</v>
      </c>
      <c r="I84" s="261">
        <f t="shared" si="9"/>
        <v>140000</v>
      </c>
    </row>
    <row r="85" spans="1:9">
      <c r="A85" s="260">
        <v>4</v>
      </c>
      <c r="B85" s="260" t="s">
        <v>459</v>
      </c>
      <c r="C85" s="260" t="s">
        <v>368</v>
      </c>
      <c r="D85" s="260" t="s">
        <v>366</v>
      </c>
      <c r="E85" s="261">
        <v>35000</v>
      </c>
      <c r="F85" s="261">
        <v>35000</v>
      </c>
      <c r="G85" s="261">
        <v>35000</v>
      </c>
      <c r="H85" s="261">
        <v>35000</v>
      </c>
      <c r="I85" s="261">
        <f t="shared" si="9"/>
        <v>140000</v>
      </c>
    </row>
    <row r="86" spans="1:9">
      <c r="A86" s="260">
        <v>5</v>
      </c>
      <c r="B86" s="260" t="s">
        <v>460</v>
      </c>
      <c r="C86" s="260" t="s">
        <v>461</v>
      </c>
      <c r="D86" s="260" t="s">
        <v>375</v>
      </c>
      <c r="E86" s="261">
        <v>35000</v>
      </c>
      <c r="F86" s="261">
        <v>35000</v>
      </c>
      <c r="G86" s="261">
        <v>35000</v>
      </c>
      <c r="H86" s="261">
        <v>35000</v>
      </c>
      <c r="I86" s="261">
        <f t="shared" si="9"/>
        <v>140000</v>
      </c>
    </row>
    <row r="87" spans="1:9">
      <c r="A87" s="260">
        <v>6</v>
      </c>
      <c r="B87" s="260" t="s">
        <v>462</v>
      </c>
      <c r="C87" s="260" t="s">
        <v>231</v>
      </c>
      <c r="D87" s="260" t="s">
        <v>1052</v>
      </c>
      <c r="E87" s="261">
        <v>35000</v>
      </c>
      <c r="F87" s="261">
        <v>35000</v>
      </c>
      <c r="G87" s="261">
        <v>35000</v>
      </c>
      <c r="H87" s="261">
        <v>35000</v>
      </c>
      <c r="I87" s="261">
        <f t="shared" si="9"/>
        <v>140000</v>
      </c>
    </row>
    <row r="88" spans="1:9">
      <c r="A88" s="260">
        <v>7</v>
      </c>
      <c r="B88" s="260" t="s">
        <v>463</v>
      </c>
      <c r="C88" s="260" t="s">
        <v>231</v>
      </c>
      <c r="D88" s="260" t="s">
        <v>1052</v>
      </c>
      <c r="E88" s="261">
        <v>35000</v>
      </c>
      <c r="F88" s="261">
        <v>35000</v>
      </c>
      <c r="G88" s="261">
        <v>35000</v>
      </c>
      <c r="H88" s="261">
        <v>35000</v>
      </c>
      <c r="I88" s="261">
        <f t="shared" si="9"/>
        <v>140000</v>
      </c>
    </row>
    <row r="89" spans="1:9">
      <c r="A89" s="260">
        <v>8</v>
      </c>
      <c r="B89" s="260" t="s">
        <v>464</v>
      </c>
      <c r="C89" s="260" t="s">
        <v>34</v>
      </c>
      <c r="D89" s="260" t="s">
        <v>32</v>
      </c>
      <c r="E89" s="261">
        <v>35000</v>
      </c>
      <c r="F89" s="261">
        <v>35000</v>
      </c>
      <c r="G89" s="261">
        <v>35000</v>
      </c>
      <c r="H89" s="261">
        <v>35000</v>
      </c>
      <c r="I89" s="261">
        <f t="shared" si="9"/>
        <v>140000</v>
      </c>
    </row>
    <row r="90" spans="1:9">
      <c r="A90" s="260">
        <v>9</v>
      </c>
      <c r="B90" s="260" t="s">
        <v>465</v>
      </c>
      <c r="C90" s="260" t="s">
        <v>34</v>
      </c>
      <c r="D90" s="260" t="s">
        <v>32</v>
      </c>
      <c r="E90" s="261">
        <v>35000</v>
      </c>
      <c r="F90" s="261">
        <v>35000</v>
      </c>
      <c r="G90" s="261">
        <v>35000</v>
      </c>
      <c r="H90" s="261">
        <v>35000</v>
      </c>
      <c r="I90" s="261">
        <f t="shared" si="9"/>
        <v>140000</v>
      </c>
    </row>
    <row r="91" spans="1:9">
      <c r="A91" s="260">
        <v>10</v>
      </c>
      <c r="B91" s="260" t="s">
        <v>466</v>
      </c>
      <c r="C91" s="260" t="s">
        <v>467</v>
      </c>
      <c r="D91" s="260" t="s">
        <v>37</v>
      </c>
      <c r="E91" s="261">
        <v>35000</v>
      </c>
      <c r="F91" s="261">
        <v>35000</v>
      </c>
      <c r="G91" s="261">
        <v>35000</v>
      </c>
      <c r="H91" s="261">
        <v>35000</v>
      </c>
      <c r="I91" s="261">
        <f t="shared" si="9"/>
        <v>140000</v>
      </c>
    </row>
    <row r="92" spans="1:9">
      <c r="A92" s="260">
        <v>11</v>
      </c>
      <c r="B92" s="260" t="s">
        <v>468</v>
      </c>
      <c r="C92" s="260" t="s">
        <v>469</v>
      </c>
      <c r="D92" s="260" t="s">
        <v>402</v>
      </c>
      <c r="E92" s="263">
        <v>35000</v>
      </c>
      <c r="F92" s="263">
        <v>35000</v>
      </c>
      <c r="G92" s="263">
        <v>35000</v>
      </c>
      <c r="H92" s="263">
        <v>35000</v>
      </c>
      <c r="I92" s="263">
        <f t="shared" si="9"/>
        <v>140000</v>
      </c>
    </row>
    <row r="93" spans="1:9">
      <c r="A93" s="260"/>
      <c r="B93" s="264" t="s">
        <v>1130</v>
      </c>
      <c r="C93" s="260"/>
      <c r="D93" s="260"/>
      <c r="E93" s="265">
        <f>SUM(E82:E92)</f>
        <v>385000</v>
      </c>
      <c r="F93" s="265">
        <f t="shared" ref="F93:I93" si="10">SUM(F82:F92)</f>
        <v>385000</v>
      </c>
      <c r="G93" s="265">
        <f t="shared" si="10"/>
        <v>385000</v>
      </c>
      <c r="H93" s="265">
        <f t="shared" si="10"/>
        <v>385000</v>
      </c>
      <c r="I93" s="265">
        <f t="shared" si="10"/>
        <v>1540000</v>
      </c>
    </row>
    <row r="94" spans="1:9">
      <c r="E94" s="252"/>
      <c r="F94" s="252"/>
      <c r="G94" s="252"/>
      <c r="H94" s="252"/>
      <c r="I94" s="252"/>
    </row>
    <row r="95" spans="1:9">
      <c r="B95" s="254" t="s">
        <v>84</v>
      </c>
      <c r="E95" s="252"/>
      <c r="F95" s="252"/>
      <c r="G95" s="252"/>
      <c r="H95" s="252"/>
      <c r="I95" s="252"/>
    </row>
    <row r="96" spans="1:9">
      <c r="A96" s="260">
        <v>1</v>
      </c>
      <c r="B96" s="260" t="s">
        <v>341</v>
      </c>
      <c r="C96" s="260" t="s">
        <v>342</v>
      </c>
      <c r="D96" s="260" t="s">
        <v>416</v>
      </c>
      <c r="E96" s="261">
        <v>35000</v>
      </c>
      <c r="F96" s="261">
        <v>35000</v>
      </c>
      <c r="G96" s="261">
        <v>35000</v>
      </c>
      <c r="H96" s="261">
        <v>35000</v>
      </c>
      <c r="I96" s="261">
        <f>E96+F96+G96+H96</f>
        <v>140000</v>
      </c>
    </row>
    <row r="97" spans="1:9">
      <c r="A97" s="260">
        <v>2</v>
      </c>
      <c r="B97" s="260" t="s">
        <v>359</v>
      </c>
      <c r="C97" s="260" t="s">
        <v>474</v>
      </c>
      <c r="D97" s="260" t="s">
        <v>366</v>
      </c>
      <c r="E97" s="261">
        <v>35000</v>
      </c>
      <c r="F97" s="261">
        <v>35000</v>
      </c>
      <c r="G97" s="261">
        <v>35000</v>
      </c>
      <c r="H97" s="261">
        <v>35000</v>
      </c>
      <c r="I97" s="261">
        <f t="shared" ref="I97:I99" si="11">E97+F97+G97+H97</f>
        <v>140000</v>
      </c>
    </row>
    <row r="98" spans="1:9">
      <c r="A98" s="260">
        <v>3</v>
      </c>
      <c r="B98" s="260" t="s">
        <v>475</v>
      </c>
      <c r="C98" s="260" t="s">
        <v>476</v>
      </c>
      <c r="D98" s="260" t="s">
        <v>440</v>
      </c>
      <c r="E98" s="261">
        <v>35000</v>
      </c>
      <c r="F98" s="261">
        <v>35000</v>
      </c>
      <c r="G98" s="261">
        <v>35000</v>
      </c>
      <c r="H98" s="261">
        <v>35000</v>
      </c>
      <c r="I98" s="261">
        <f t="shared" si="11"/>
        <v>140000</v>
      </c>
    </row>
    <row r="99" spans="1:9">
      <c r="A99" s="260">
        <v>4</v>
      </c>
      <c r="B99" s="260" t="s">
        <v>477</v>
      </c>
      <c r="C99" s="260" t="s">
        <v>1070</v>
      </c>
      <c r="D99" s="260" t="s">
        <v>1048</v>
      </c>
      <c r="E99" s="263">
        <v>35000</v>
      </c>
      <c r="F99" s="263">
        <v>35000</v>
      </c>
      <c r="G99" s="263">
        <v>35000</v>
      </c>
      <c r="H99" s="263">
        <v>35000</v>
      </c>
      <c r="I99" s="263">
        <f t="shared" si="11"/>
        <v>140000</v>
      </c>
    </row>
    <row r="100" spans="1:9">
      <c r="A100" s="260"/>
      <c r="B100" s="264" t="s">
        <v>1131</v>
      </c>
      <c r="C100" s="260"/>
      <c r="D100" s="260"/>
      <c r="E100" s="265">
        <f>SUM(E96:E99)</f>
        <v>140000</v>
      </c>
      <c r="F100" s="265">
        <f t="shared" ref="F100:I100" si="12">SUM(F96:F99)</f>
        <v>140000</v>
      </c>
      <c r="G100" s="265">
        <f t="shared" si="12"/>
        <v>140000</v>
      </c>
      <c r="H100" s="265">
        <f t="shared" si="12"/>
        <v>140000</v>
      </c>
      <c r="I100" s="265">
        <f t="shared" si="12"/>
        <v>560000</v>
      </c>
    </row>
    <row r="101" spans="1:9">
      <c r="E101" s="252"/>
      <c r="F101" s="252"/>
      <c r="G101" s="252"/>
      <c r="H101" s="252"/>
      <c r="I101" s="252"/>
    </row>
    <row r="102" spans="1:9">
      <c r="B102" s="254" t="s">
        <v>479</v>
      </c>
      <c r="E102" s="252"/>
      <c r="F102" s="252"/>
      <c r="G102" s="252"/>
      <c r="H102" s="252"/>
      <c r="I102" s="252"/>
    </row>
    <row r="103" spans="1:9">
      <c r="A103" s="260">
        <v>1</v>
      </c>
      <c r="B103" s="260" t="s">
        <v>480</v>
      </c>
      <c r="C103" s="260" t="s">
        <v>481</v>
      </c>
      <c r="D103" s="260" t="s">
        <v>405</v>
      </c>
      <c r="E103" s="261">
        <f t="shared" ref="E103:E109" si="13">35000</f>
        <v>35000</v>
      </c>
      <c r="F103" s="261">
        <f t="shared" ref="F103:F109" si="14">35000</f>
        <v>35000</v>
      </c>
      <c r="G103" s="261">
        <f t="shared" ref="G103:G109" si="15">35000</f>
        <v>35000</v>
      </c>
      <c r="H103" s="261">
        <f t="shared" ref="H103:H109" si="16">35000</f>
        <v>35000</v>
      </c>
      <c r="I103" s="261">
        <f>E103+F103+G103+H103</f>
        <v>140000</v>
      </c>
    </row>
    <row r="104" spans="1:9">
      <c r="A104" s="260">
        <v>2</v>
      </c>
      <c r="B104" s="260" t="s">
        <v>482</v>
      </c>
      <c r="C104" s="260" t="s">
        <v>483</v>
      </c>
      <c r="D104" s="260" t="s">
        <v>416</v>
      </c>
      <c r="E104" s="261">
        <f t="shared" si="13"/>
        <v>35000</v>
      </c>
      <c r="F104" s="261">
        <f t="shared" si="14"/>
        <v>35000</v>
      </c>
      <c r="G104" s="261">
        <f t="shared" si="15"/>
        <v>35000</v>
      </c>
      <c r="H104" s="261">
        <f t="shared" si="16"/>
        <v>35000</v>
      </c>
      <c r="I104" s="261">
        <f t="shared" ref="I104:I109" si="17">E104+F104+G104+H104</f>
        <v>140000</v>
      </c>
    </row>
    <row r="105" spans="1:9">
      <c r="A105" s="260">
        <v>3</v>
      </c>
      <c r="B105" s="260" t="s">
        <v>484</v>
      </c>
      <c r="C105" s="260" t="s">
        <v>485</v>
      </c>
      <c r="D105" s="260" t="s">
        <v>372</v>
      </c>
      <c r="E105" s="261">
        <f t="shared" si="13"/>
        <v>35000</v>
      </c>
      <c r="F105" s="261">
        <f t="shared" si="14"/>
        <v>35000</v>
      </c>
      <c r="G105" s="261">
        <f t="shared" si="15"/>
        <v>35000</v>
      </c>
      <c r="H105" s="261">
        <f t="shared" si="16"/>
        <v>35000</v>
      </c>
      <c r="I105" s="261">
        <f t="shared" si="17"/>
        <v>140000</v>
      </c>
    </row>
    <row r="106" spans="1:9">
      <c r="A106" s="260">
        <v>4</v>
      </c>
      <c r="B106" s="260" t="s">
        <v>486</v>
      </c>
      <c r="C106" s="260" t="s">
        <v>485</v>
      </c>
      <c r="D106" s="260" t="s">
        <v>372</v>
      </c>
      <c r="E106" s="261">
        <f t="shared" si="13"/>
        <v>35000</v>
      </c>
      <c r="F106" s="261">
        <f t="shared" si="14"/>
        <v>35000</v>
      </c>
      <c r="G106" s="261">
        <f t="shared" si="15"/>
        <v>35000</v>
      </c>
      <c r="H106" s="261">
        <f t="shared" si="16"/>
        <v>35000</v>
      </c>
      <c r="I106" s="261">
        <f t="shared" si="17"/>
        <v>140000</v>
      </c>
    </row>
    <row r="107" spans="1:9">
      <c r="A107" s="260">
        <v>5</v>
      </c>
      <c r="B107" s="260" t="s">
        <v>487</v>
      </c>
      <c r="C107" s="260" t="s">
        <v>488</v>
      </c>
      <c r="D107" s="260" t="s">
        <v>491</v>
      </c>
      <c r="E107" s="261">
        <f t="shared" si="13"/>
        <v>35000</v>
      </c>
      <c r="F107" s="261">
        <f t="shared" si="14"/>
        <v>35000</v>
      </c>
      <c r="G107" s="261">
        <f t="shared" si="15"/>
        <v>35000</v>
      </c>
      <c r="H107" s="261">
        <f t="shared" si="16"/>
        <v>35000</v>
      </c>
      <c r="I107" s="261">
        <f t="shared" si="17"/>
        <v>140000</v>
      </c>
    </row>
    <row r="108" spans="1:9">
      <c r="A108" s="260">
        <v>6</v>
      </c>
      <c r="B108" s="260" t="s">
        <v>490</v>
      </c>
      <c r="C108" s="260" t="s">
        <v>488</v>
      </c>
      <c r="D108" s="260" t="s">
        <v>1048</v>
      </c>
      <c r="E108" s="261">
        <f t="shared" si="13"/>
        <v>35000</v>
      </c>
      <c r="F108" s="261">
        <f t="shared" si="14"/>
        <v>35000</v>
      </c>
      <c r="G108" s="261">
        <f t="shared" si="15"/>
        <v>35000</v>
      </c>
      <c r="H108" s="261">
        <f t="shared" si="16"/>
        <v>35000</v>
      </c>
      <c r="I108" s="261">
        <f t="shared" si="17"/>
        <v>140000</v>
      </c>
    </row>
    <row r="109" spans="1:9">
      <c r="A109" s="260">
        <v>7</v>
      </c>
      <c r="B109" s="260" t="s">
        <v>492</v>
      </c>
      <c r="C109" s="260" t="s">
        <v>488</v>
      </c>
      <c r="D109" s="260" t="s">
        <v>402</v>
      </c>
      <c r="E109" s="263">
        <f t="shared" si="13"/>
        <v>35000</v>
      </c>
      <c r="F109" s="263">
        <f t="shared" si="14"/>
        <v>35000</v>
      </c>
      <c r="G109" s="263">
        <f t="shared" si="15"/>
        <v>35000</v>
      </c>
      <c r="H109" s="263">
        <f t="shared" si="16"/>
        <v>35000</v>
      </c>
      <c r="I109" s="263">
        <f t="shared" si="17"/>
        <v>140000</v>
      </c>
    </row>
    <row r="110" spans="1:9">
      <c r="A110" s="260"/>
      <c r="B110" s="264" t="s">
        <v>1132</v>
      </c>
      <c r="C110" s="260"/>
      <c r="D110" s="260"/>
      <c r="E110" s="265">
        <f>SUM(E103:E109)</f>
        <v>245000</v>
      </c>
      <c r="F110" s="265">
        <f t="shared" ref="F110:I110" si="18">SUM(F103:F109)</f>
        <v>245000</v>
      </c>
      <c r="G110" s="265">
        <f t="shared" si="18"/>
        <v>245000</v>
      </c>
      <c r="H110" s="265">
        <f t="shared" si="18"/>
        <v>245000</v>
      </c>
      <c r="I110" s="265">
        <f t="shared" si="18"/>
        <v>980000</v>
      </c>
    </row>
    <row r="111" spans="1:9">
      <c r="I111" s="267"/>
    </row>
    <row r="112" spans="1:9">
      <c r="B112" s="254" t="s">
        <v>242</v>
      </c>
      <c r="E112" s="252"/>
      <c r="F112" s="252"/>
      <c r="G112" s="252"/>
      <c r="H112" s="252"/>
      <c r="I112" s="252"/>
    </row>
    <row r="113" spans="1:9">
      <c r="A113" s="260">
        <v>1</v>
      </c>
      <c r="B113" s="260" t="s">
        <v>1133</v>
      </c>
      <c r="C113" s="260" t="s">
        <v>34</v>
      </c>
      <c r="D113" s="260" t="s">
        <v>380</v>
      </c>
      <c r="E113" s="261">
        <v>35000</v>
      </c>
      <c r="F113" s="261">
        <v>35000</v>
      </c>
      <c r="G113" s="261">
        <v>35000</v>
      </c>
      <c r="H113" s="261">
        <v>35000</v>
      </c>
      <c r="I113" s="261">
        <f>E113+F113+G113+H113</f>
        <v>140000</v>
      </c>
    </row>
    <row r="114" spans="1:9">
      <c r="A114" s="260">
        <v>2</v>
      </c>
      <c r="B114" s="260" t="s">
        <v>494</v>
      </c>
      <c r="C114" s="260" t="s">
        <v>495</v>
      </c>
      <c r="D114" s="260" t="s">
        <v>440</v>
      </c>
      <c r="E114" s="261">
        <v>35000</v>
      </c>
      <c r="F114" s="261">
        <v>35000</v>
      </c>
      <c r="G114" s="261">
        <v>35000</v>
      </c>
      <c r="H114" s="261">
        <v>35000</v>
      </c>
      <c r="I114" s="261">
        <f t="shared" ref="I114:I115" si="19">E114+F114+G114+H114</f>
        <v>140000</v>
      </c>
    </row>
    <row r="115" spans="1:9">
      <c r="A115" s="260">
        <v>3</v>
      </c>
      <c r="B115" s="260" t="s">
        <v>496</v>
      </c>
      <c r="C115" s="260" t="s">
        <v>497</v>
      </c>
      <c r="D115" s="260" t="s">
        <v>380</v>
      </c>
      <c r="E115" s="263">
        <v>35000</v>
      </c>
      <c r="F115" s="263">
        <v>35000</v>
      </c>
      <c r="G115" s="263">
        <v>35000</v>
      </c>
      <c r="H115" s="263">
        <v>35000</v>
      </c>
      <c r="I115" s="263">
        <f t="shared" si="19"/>
        <v>140000</v>
      </c>
    </row>
    <row r="116" spans="1:9">
      <c r="A116" s="260"/>
      <c r="B116" s="264" t="s">
        <v>1134</v>
      </c>
      <c r="C116" s="260"/>
      <c r="D116" s="260"/>
      <c r="E116" s="265">
        <f>SUM(E113:E115)</f>
        <v>105000</v>
      </c>
      <c r="F116" s="265">
        <f t="shared" ref="F116:I116" si="20">SUM(F113:F115)</f>
        <v>105000</v>
      </c>
      <c r="G116" s="265">
        <f t="shared" si="20"/>
        <v>105000</v>
      </c>
      <c r="H116" s="265">
        <f t="shared" si="20"/>
        <v>105000</v>
      </c>
      <c r="I116" s="265">
        <f t="shared" si="20"/>
        <v>420000</v>
      </c>
    </row>
    <row r="117" spans="1:9">
      <c r="E117" s="253"/>
      <c r="F117" s="253"/>
      <c r="G117" s="253"/>
      <c r="H117" s="253"/>
      <c r="I117" s="253"/>
    </row>
    <row r="118" spans="1:9">
      <c r="B118" s="254" t="s">
        <v>97</v>
      </c>
      <c r="E118" s="252"/>
      <c r="F118" s="252"/>
      <c r="G118" s="252"/>
      <c r="H118" s="252"/>
      <c r="I118" s="252"/>
    </row>
    <row r="119" spans="1:9">
      <c r="A119" s="260">
        <v>1</v>
      </c>
      <c r="B119" s="260" t="s">
        <v>499</v>
      </c>
      <c r="C119" s="260" t="s">
        <v>500</v>
      </c>
      <c r="D119" s="260" t="s">
        <v>405</v>
      </c>
      <c r="E119" s="261">
        <v>35000</v>
      </c>
      <c r="F119" s="261">
        <v>35000</v>
      </c>
      <c r="G119" s="261">
        <v>35000</v>
      </c>
      <c r="H119" s="261">
        <v>35000</v>
      </c>
      <c r="I119" s="261">
        <f>E119+F119+G119+H119</f>
        <v>140000</v>
      </c>
    </row>
    <row r="120" spans="1:9">
      <c r="A120" s="260">
        <v>2</v>
      </c>
      <c r="B120" s="260" t="s">
        <v>178</v>
      </c>
      <c r="C120" s="260" t="s">
        <v>337</v>
      </c>
      <c r="D120" s="260" t="s">
        <v>358</v>
      </c>
      <c r="E120" s="261">
        <v>35000</v>
      </c>
      <c r="F120" s="261">
        <v>35000</v>
      </c>
      <c r="G120" s="261">
        <v>35000</v>
      </c>
      <c r="H120" s="261">
        <v>35000</v>
      </c>
      <c r="I120" s="261">
        <f t="shared" ref="I120:I127" si="21">E120+F120+G120+H120</f>
        <v>140000</v>
      </c>
    </row>
    <row r="121" spans="1:9">
      <c r="A121" s="260">
        <v>3</v>
      </c>
      <c r="B121" s="260" t="s">
        <v>502</v>
      </c>
      <c r="C121" s="260" t="s">
        <v>337</v>
      </c>
      <c r="D121" s="260" t="s">
        <v>358</v>
      </c>
      <c r="E121" s="261">
        <v>35000</v>
      </c>
      <c r="F121" s="261">
        <v>35000</v>
      </c>
      <c r="G121" s="261">
        <v>35000</v>
      </c>
      <c r="H121" s="261">
        <v>35000</v>
      </c>
      <c r="I121" s="261">
        <f t="shared" si="21"/>
        <v>140000</v>
      </c>
    </row>
    <row r="122" spans="1:9">
      <c r="A122" s="260">
        <v>5</v>
      </c>
      <c r="B122" s="260" t="s">
        <v>503</v>
      </c>
      <c r="C122" s="260" t="s">
        <v>504</v>
      </c>
      <c r="D122" s="260" t="s">
        <v>450</v>
      </c>
      <c r="E122" s="261">
        <v>35000</v>
      </c>
      <c r="F122" s="261">
        <v>35000</v>
      </c>
      <c r="G122" s="261">
        <v>35000</v>
      </c>
      <c r="H122" s="261">
        <v>35000</v>
      </c>
      <c r="I122" s="261">
        <f t="shared" si="21"/>
        <v>140000</v>
      </c>
    </row>
    <row r="123" spans="1:9">
      <c r="A123" s="260">
        <v>6</v>
      </c>
      <c r="B123" s="260" t="s">
        <v>505</v>
      </c>
      <c r="C123" s="260" t="s">
        <v>506</v>
      </c>
      <c r="D123" s="260" t="s">
        <v>375</v>
      </c>
      <c r="E123" s="261">
        <v>35000</v>
      </c>
      <c r="F123" s="261">
        <v>35000</v>
      </c>
      <c r="G123" s="261">
        <v>35000</v>
      </c>
      <c r="H123" s="261">
        <v>35000</v>
      </c>
      <c r="I123" s="261">
        <f t="shared" si="21"/>
        <v>140000</v>
      </c>
    </row>
    <row r="124" spans="1:9">
      <c r="A124" s="260">
        <v>7</v>
      </c>
      <c r="B124" s="260" t="s">
        <v>507</v>
      </c>
      <c r="C124" s="260" t="s">
        <v>1071</v>
      </c>
      <c r="D124" s="260" t="s">
        <v>375</v>
      </c>
      <c r="E124" s="261">
        <v>35000</v>
      </c>
      <c r="F124" s="261">
        <v>35000</v>
      </c>
      <c r="G124" s="261">
        <v>35000</v>
      </c>
      <c r="H124" s="261">
        <v>35000</v>
      </c>
      <c r="I124" s="261">
        <f t="shared" si="21"/>
        <v>140000</v>
      </c>
    </row>
    <row r="125" spans="1:9">
      <c r="A125" s="260">
        <v>8</v>
      </c>
      <c r="B125" s="260" t="s">
        <v>508</v>
      </c>
      <c r="C125" s="260" t="s">
        <v>509</v>
      </c>
      <c r="D125" s="260" t="s">
        <v>391</v>
      </c>
      <c r="E125" s="261">
        <v>35000</v>
      </c>
      <c r="F125" s="261">
        <v>35000</v>
      </c>
      <c r="G125" s="261">
        <v>35000</v>
      </c>
      <c r="H125" s="261">
        <v>35000</v>
      </c>
      <c r="I125" s="261">
        <f t="shared" si="21"/>
        <v>140000</v>
      </c>
    </row>
    <row r="126" spans="1:9">
      <c r="A126" s="260">
        <v>9</v>
      </c>
      <c r="B126" s="260" t="s">
        <v>510</v>
      </c>
      <c r="C126" s="260" t="s">
        <v>511</v>
      </c>
      <c r="D126" s="260" t="s">
        <v>72</v>
      </c>
      <c r="E126" s="261">
        <v>35000</v>
      </c>
      <c r="F126" s="261">
        <v>35000</v>
      </c>
      <c r="G126" s="261">
        <v>35000</v>
      </c>
      <c r="H126" s="261">
        <v>35000</v>
      </c>
      <c r="I126" s="261">
        <f t="shared" si="21"/>
        <v>140000</v>
      </c>
    </row>
    <row r="127" spans="1:9">
      <c r="A127" s="260">
        <v>10</v>
      </c>
      <c r="B127" s="260" t="s">
        <v>512</v>
      </c>
      <c r="C127" s="260" t="s">
        <v>248</v>
      </c>
      <c r="D127" s="260" t="s">
        <v>72</v>
      </c>
      <c r="E127" s="263">
        <v>35000</v>
      </c>
      <c r="F127" s="263">
        <v>35000</v>
      </c>
      <c r="G127" s="263">
        <v>35000</v>
      </c>
      <c r="H127" s="263">
        <v>35000</v>
      </c>
      <c r="I127" s="263">
        <f t="shared" si="21"/>
        <v>140000</v>
      </c>
    </row>
    <row r="128" spans="1:9">
      <c r="A128" s="260"/>
      <c r="B128" s="264" t="s">
        <v>1135</v>
      </c>
      <c r="C128" s="260"/>
      <c r="D128" s="260"/>
      <c r="E128" s="265">
        <f>SUM(E119:E127)</f>
        <v>315000</v>
      </c>
      <c r="F128" s="265">
        <f>SUM(F119:F127)</f>
        <v>315000</v>
      </c>
      <c r="G128" s="265">
        <f>SUM(G119:G127)</f>
        <v>315000</v>
      </c>
      <c r="H128" s="265">
        <f>SUM(H119:H127)</f>
        <v>315000</v>
      </c>
      <c r="I128" s="265">
        <f>SUM(I119:I127)</f>
        <v>1260000</v>
      </c>
    </row>
    <row r="129" spans="1:9">
      <c r="E129" s="252"/>
      <c r="F129" s="252"/>
      <c r="G129" s="252"/>
      <c r="H129" s="252"/>
      <c r="I129" s="252"/>
    </row>
    <row r="130" spans="1:9">
      <c r="B130" s="254" t="s">
        <v>103</v>
      </c>
      <c r="E130" s="252"/>
      <c r="F130" s="252"/>
      <c r="G130" s="252"/>
      <c r="H130" s="252"/>
      <c r="I130" s="252"/>
    </row>
    <row r="131" spans="1:9">
      <c r="A131" s="260">
        <v>1</v>
      </c>
      <c r="B131" s="260" t="s">
        <v>514</v>
      </c>
      <c r="C131" s="260" t="s">
        <v>515</v>
      </c>
      <c r="D131" s="260" t="s">
        <v>405</v>
      </c>
      <c r="E131" s="261">
        <v>35000</v>
      </c>
      <c r="F131" s="261">
        <v>35000</v>
      </c>
      <c r="G131" s="261">
        <v>35000</v>
      </c>
      <c r="H131" s="261">
        <v>35000</v>
      </c>
      <c r="I131" s="261">
        <f>E131+F131+G131+H131</f>
        <v>140000</v>
      </c>
    </row>
    <row r="132" spans="1:9">
      <c r="A132" s="260">
        <v>3</v>
      </c>
      <c r="B132" s="260" t="s">
        <v>516</v>
      </c>
      <c r="C132" s="260" t="s">
        <v>517</v>
      </c>
      <c r="D132" s="260" t="s">
        <v>416</v>
      </c>
      <c r="E132" s="261">
        <v>35000</v>
      </c>
      <c r="F132" s="261">
        <v>35000</v>
      </c>
      <c r="G132" s="261">
        <v>35000</v>
      </c>
      <c r="H132" s="261">
        <v>35000</v>
      </c>
      <c r="I132" s="261">
        <f t="shared" ref="I132:I189" si="22">E132+F132+G132+H132</f>
        <v>140000</v>
      </c>
    </row>
    <row r="133" spans="1:9">
      <c r="A133" s="260">
        <v>4</v>
      </c>
      <c r="B133" s="260" t="s">
        <v>518</v>
      </c>
      <c r="C133" s="260" t="s">
        <v>519</v>
      </c>
      <c r="D133" s="260" t="s">
        <v>366</v>
      </c>
      <c r="E133" s="261">
        <v>35000</v>
      </c>
      <c r="F133" s="261">
        <v>35000</v>
      </c>
      <c r="G133" s="261">
        <v>35000</v>
      </c>
      <c r="H133" s="261">
        <v>35000</v>
      </c>
      <c r="I133" s="261">
        <f t="shared" si="22"/>
        <v>140000</v>
      </c>
    </row>
    <row r="134" spans="1:9">
      <c r="A134" s="260">
        <v>5</v>
      </c>
      <c r="B134" s="260" t="s">
        <v>520</v>
      </c>
      <c r="C134" s="260" t="s">
        <v>521</v>
      </c>
      <c r="D134" s="260" t="s">
        <v>366</v>
      </c>
      <c r="E134" s="261">
        <v>35000</v>
      </c>
      <c r="F134" s="261">
        <v>35000</v>
      </c>
      <c r="G134" s="261">
        <v>35000</v>
      </c>
      <c r="H134" s="261">
        <v>35000</v>
      </c>
      <c r="I134" s="261">
        <f t="shared" si="22"/>
        <v>140000</v>
      </c>
    </row>
    <row r="135" spans="1:9">
      <c r="A135" s="260">
        <v>6</v>
      </c>
      <c r="B135" s="260" t="s">
        <v>522</v>
      </c>
      <c r="C135" s="260" t="s">
        <v>521</v>
      </c>
      <c r="D135" s="260" t="s">
        <v>366</v>
      </c>
      <c r="E135" s="261">
        <v>35000</v>
      </c>
      <c r="F135" s="261">
        <v>35000</v>
      </c>
      <c r="G135" s="261">
        <v>35000</v>
      </c>
      <c r="H135" s="261">
        <v>35000</v>
      </c>
      <c r="I135" s="261">
        <f t="shared" si="22"/>
        <v>140000</v>
      </c>
    </row>
    <row r="136" spans="1:9">
      <c r="A136" s="260">
        <v>7</v>
      </c>
      <c r="B136" s="260" t="s">
        <v>473</v>
      </c>
      <c r="C136" s="260" t="s">
        <v>527</v>
      </c>
      <c r="D136" s="260" t="s">
        <v>375</v>
      </c>
      <c r="E136" s="261">
        <v>35000</v>
      </c>
      <c r="F136" s="261">
        <v>35000</v>
      </c>
      <c r="G136" s="261">
        <v>35000</v>
      </c>
      <c r="H136" s="261">
        <v>35000</v>
      </c>
      <c r="I136" s="261">
        <f t="shared" si="22"/>
        <v>140000</v>
      </c>
    </row>
    <row r="137" spans="1:9">
      <c r="A137" s="260">
        <v>8</v>
      </c>
      <c r="B137" s="260" t="s">
        <v>523</v>
      </c>
      <c r="C137" s="260" t="s">
        <v>524</v>
      </c>
      <c r="D137" s="260" t="s">
        <v>380</v>
      </c>
      <c r="E137" s="261">
        <v>35000</v>
      </c>
      <c r="F137" s="261">
        <v>35000</v>
      </c>
      <c r="G137" s="261">
        <v>35000</v>
      </c>
      <c r="H137" s="261">
        <v>35000</v>
      </c>
      <c r="I137" s="261">
        <f t="shared" si="22"/>
        <v>140000</v>
      </c>
    </row>
    <row r="138" spans="1:9">
      <c r="A138" s="260">
        <v>9</v>
      </c>
      <c r="B138" s="260" t="s">
        <v>525</v>
      </c>
      <c r="C138" s="260" t="s">
        <v>524</v>
      </c>
      <c r="D138" s="260" t="s">
        <v>380</v>
      </c>
      <c r="E138" s="261">
        <v>35000</v>
      </c>
      <c r="F138" s="261">
        <v>35000</v>
      </c>
      <c r="G138" s="261">
        <v>35000</v>
      </c>
      <c r="H138" s="261">
        <v>35000</v>
      </c>
      <c r="I138" s="261">
        <f t="shared" si="22"/>
        <v>140000</v>
      </c>
    </row>
    <row r="139" spans="1:9">
      <c r="A139" s="260">
        <v>10</v>
      </c>
      <c r="B139" s="260" t="s">
        <v>526</v>
      </c>
      <c r="C139" s="260" t="s">
        <v>527</v>
      </c>
      <c r="D139" s="260" t="s">
        <v>380</v>
      </c>
      <c r="E139" s="261">
        <v>35000</v>
      </c>
      <c r="F139" s="261">
        <v>35000</v>
      </c>
      <c r="G139" s="261">
        <v>35000</v>
      </c>
      <c r="H139" s="261">
        <v>35000</v>
      </c>
      <c r="I139" s="261">
        <f t="shared" si="22"/>
        <v>140000</v>
      </c>
    </row>
    <row r="140" spans="1:9">
      <c r="A140" s="260">
        <v>11</v>
      </c>
      <c r="B140" s="260" t="s">
        <v>528</v>
      </c>
      <c r="C140" s="260" t="s">
        <v>529</v>
      </c>
      <c r="D140" s="260" t="s">
        <v>440</v>
      </c>
      <c r="E140" s="261">
        <v>35000</v>
      </c>
      <c r="F140" s="261">
        <v>35000</v>
      </c>
      <c r="G140" s="261">
        <v>35000</v>
      </c>
      <c r="H140" s="261">
        <v>35000</v>
      </c>
      <c r="I140" s="261">
        <f t="shared" si="22"/>
        <v>140000</v>
      </c>
    </row>
    <row r="141" spans="1:9">
      <c r="A141" s="260">
        <v>12</v>
      </c>
      <c r="B141" s="260" t="s">
        <v>530</v>
      </c>
      <c r="C141" s="260" t="s">
        <v>1072</v>
      </c>
      <c r="D141" s="260" t="s">
        <v>539</v>
      </c>
      <c r="E141" s="261">
        <v>35000</v>
      </c>
      <c r="F141" s="261">
        <v>35000</v>
      </c>
      <c r="G141" s="261">
        <v>35000</v>
      </c>
      <c r="H141" s="261">
        <v>35000</v>
      </c>
      <c r="I141" s="261">
        <f t="shared" si="22"/>
        <v>140000</v>
      </c>
    </row>
    <row r="142" spans="1:9">
      <c r="A142" s="260">
        <v>13</v>
      </c>
      <c r="B142" s="260" t="s">
        <v>532</v>
      </c>
      <c r="C142" s="260" t="s">
        <v>533</v>
      </c>
      <c r="D142" s="260" t="s">
        <v>380</v>
      </c>
      <c r="E142" s="261">
        <v>35000</v>
      </c>
      <c r="F142" s="261">
        <v>35000</v>
      </c>
      <c r="G142" s="261">
        <v>35000</v>
      </c>
      <c r="H142" s="261">
        <v>35000</v>
      </c>
      <c r="I142" s="261">
        <f t="shared" si="22"/>
        <v>140000</v>
      </c>
    </row>
    <row r="143" spans="1:9">
      <c r="A143" s="260">
        <v>14</v>
      </c>
      <c r="B143" s="260" t="s">
        <v>534</v>
      </c>
      <c r="C143" s="260" t="s">
        <v>544</v>
      </c>
      <c r="D143" s="260" t="s">
        <v>539</v>
      </c>
      <c r="E143" s="261">
        <v>35000</v>
      </c>
      <c r="F143" s="261">
        <v>35000</v>
      </c>
      <c r="G143" s="261">
        <v>35000</v>
      </c>
      <c r="H143" s="261">
        <v>35000</v>
      </c>
      <c r="I143" s="261">
        <f t="shared" si="22"/>
        <v>140000</v>
      </c>
    </row>
    <row r="144" spans="1:9">
      <c r="A144" s="260">
        <v>15</v>
      </c>
      <c r="B144" s="260" t="s">
        <v>536</v>
      </c>
      <c r="C144" s="260" t="s">
        <v>537</v>
      </c>
      <c r="D144" s="260" t="s">
        <v>409</v>
      </c>
      <c r="E144" s="261">
        <v>35000</v>
      </c>
      <c r="F144" s="261">
        <v>35000</v>
      </c>
      <c r="G144" s="261">
        <v>35000</v>
      </c>
      <c r="H144" s="261">
        <v>35000</v>
      </c>
      <c r="I144" s="261">
        <f t="shared" si="22"/>
        <v>140000</v>
      </c>
    </row>
    <row r="145" spans="1:9">
      <c r="A145" s="260">
        <v>16</v>
      </c>
      <c r="B145" s="260" t="s">
        <v>538</v>
      </c>
      <c r="C145" s="260" t="s">
        <v>537</v>
      </c>
      <c r="D145" s="260" t="s">
        <v>453</v>
      </c>
      <c r="E145" s="261">
        <v>35000</v>
      </c>
      <c r="F145" s="261">
        <v>35000</v>
      </c>
      <c r="G145" s="261">
        <v>35000</v>
      </c>
      <c r="H145" s="261">
        <v>35000</v>
      </c>
      <c r="I145" s="261">
        <f t="shared" si="22"/>
        <v>140000</v>
      </c>
    </row>
    <row r="146" spans="1:9">
      <c r="A146" s="260">
        <v>17</v>
      </c>
      <c r="B146" s="260" t="s">
        <v>540</v>
      </c>
      <c r="C146" s="260" t="s">
        <v>537</v>
      </c>
      <c r="D146" s="260" t="s">
        <v>453</v>
      </c>
      <c r="E146" s="261">
        <v>35000</v>
      </c>
      <c r="F146" s="261">
        <v>35000</v>
      </c>
      <c r="G146" s="261">
        <v>35000</v>
      </c>
      <c r="H146" s="261">
        <v>35000</v>
      </c>
      <c r="I146" s="261">
        <f t="shared" si="22"/>
        <v>140000</v>
      </c>
    </row>
    <row r="147" spans="1:9">
      <c r="A147" s="260">
        <v>18</v>
      </c>
      <c r="B147" s="260" t="s">
        <v>541</v>
      </c>
      <c r="C147" s="260" t="s">
        <v>542</v>
      </c>
      <c r="D147" s="260" t="s">
        <v>37</v>
      </c>
      <c r="E147" s="261">
        <v>35000</v>
      </c>
      <c r="F147" s="261">
        <v>35000</v>
      </c>
      <c r="G147" s="261">
        <v>35000</v>
      </c>
      <c r="H147" s="261">
        <v>35000</v>
      </c>
      <c r="I147" s="261">
        <f t="shared" si="22"/>
        <v>140000</v>
      </c>
    </row>
    <row r="148" spans="1:9">
      <c r="A148" s="260">
        <v>19</v>
      </c>
      <c r="B148" s="260" t="s">
        <v>1055</v>
      </c>
      <c r="C148" s="260" t="s">
        <v>544</v>
      </c>
      <c r="D148" s="260" t="s">
        <v>55</v>
      </c>
      <c r="E148" s="261">
        <v>35000</v>
      </c>
      <c r="F148" s="261">
        <v>35000</v>
      </c>
      <c r="G148" s="261">
        <v>35000</v>
      </c>
      <c r="H148" s="261">
        <v>35000</v>
      </c>
      <c r="I148" s="261">
        <f t="shared" si="22"/>
        <v>140000</v>
      </c>
    </row>
    <row r="149" spans="1:9">
      <c r="A149" s="260">
        <v>20</v>
      </c>
      <c r="B149" s="260" t="s">
        <v>545</v>
      </c>
      <c r="C149" s="260" t="s">
        <v>546</v>
      </c>
      <c r="D149" s="260" t="s">
        <v>409</v>
      </c>
      <c r="E149" s="261">
        <v>35000</v>
      </c>
      <c r="F149" s="261">
        <v>35000</v>
      </c>
      <c r="G149" s="261">
        <v>35000</v>
      </c>
      <c r="H149" s="261">
        <v>35000</v>
      </c>
      <c r="I149" s="261">
        <f t="shared" si="22"/>
        <v>140000</v>
      </c>
    </row>
    <row r="150" spans="1:9">
      <c r="A150" s="260">
        <v>21</v>
      </c>
      <c r="B150" s="260" t="s">
        <v>547</v>
      </c>
      <c r="C150" s="260" t="s">
        <v>548</v>
      </c>
      <c r="D150" s="260" t="s">
        <v>391</v>
      </c>
      <c r="E150" s="261">
        <v>35000</v>
      </c>
      <c r="F150" s="261">
        <v>35000</v>
      </c>
      <c r="G150" s="261">
        <v>35000</v>
      </c>
      <c r="H150" s="261">
        <v>35000</v>
      </c>
      <c r="I150" s="261">
        <f t="shared" si="22"/>
        <v>140000</v>
      </c>
    </row>
    <row r="151" spans="1:9">
      <c r="A151" s="260">
        <v>22</v>
      </c>
      <c r="B151" s="260" t="s">
        <v>549</v>
      </c>
      <c r="C151" s="260" t="s">
        <v>550</v>
      </c>
      <c r="D151" s="260" t="s">
        <v>409</v>
      </c>
      <c r="E151" s="261">
        <v>35000</v>
      </c>
      <c r="F151" s="261">
        <v>35000</v>
      </c>
      <c r="G151" s="261">
        <v>35000</v>
      </c>
      <c r="H151" s="261">
        <v>35000</v>
      </c>
      <c r="I151" s="261">
        <f t="shared" si="22"/>
        <v>140000</v>
      </c>
    </row>
    <row r="152" spans="1:9">
      <c r="A152" s="260">
        <v>23</v>
      </c>
      <c r="B152" s="260" t="s">
        <v>551</v>
      </c>
      <c r="C152" s="260" t="s">
        <v>552</v>
      </c>
      <c r="D152" s="260" t="s">
        <v>391</v>
      </c>
      <c r="E152" s="261">
        <v>35000</v>
      </c>
      <c r="F152" s="261">
        <v>35000</v>
      </c>
      <c r="G152" s="261">
        <v>35000</v>
      </c>
      <c r="H152" s="261">
        <v>35000</v>
      </c>
      <c r="I152" s="261">
        <f t="shared" si="22"/>
        <v>140000</v>
      </c>
    </row>
    <row r="153" spans="1:9">
      <c r="A153" s="260">
        <v>24</v>
      </c>
      <c r="B153" s="260" t="s">
        <v>553</v>
      </c>
      <c r="C153" s="260" t="s">
        <v>558</v>
      </c>
      <c r="D153" s="260" t="s">
        <v>1048</v>
      </c>
      <c r="E153" s="261">
        <v>35000</v>
      </c>
      <c r="F153" s="261">
        <v>35000</v>
      </c>
      <c r="G153" s="261">
        <v>35000</v>
      </c>
      <c r="H153" s="261">
        <v>35000</v>
      </c>
      <c r="I153" s="261">
        <f t="shared" si="22"/>
        <v>140000</v>
      </c>
    </row>
    <row r="154" spans="1:9">
      <c r="A154" s="260">
        <v>25</v>
      </c>
      <c r="B154" s="260" t="s">
        <v>555</v>
      </c>
      <c r="C154" s="260" t="s">
        <v>556</v>
      </c>
      <c r="D154" s="260" t="s">
        <v>72</v>
      </c>
      <c r="E154" s="261">
        <v>35000</v>
      </c>
      <c r="F154" s="261">
        <v>35000</v>
      </c>
      <c r="G154" s="261">
        <v>35000</v>
      </c>
      <c r="H154" s="261">
        <v>35000</v>
      </c>
      <c r="I154" s="261">
        <f t="shared" si="22"/>
        <v>140000</v>
      </c>
    </row>
    <row r="155" spans="1:9">
      <c r="A155" s="260">
        <v>26</v>
      </c>
      <c r="B155" s="260" t="s">
        <v>557</v>
      </c>
      <c r="C155" s="260" t="s">
        <v>558</v>
      </c>
      <c r="D155" s="260" t="s">
        <v>72</v>
      </c>
      <c r="E155" s="261">
        <v>35000</v>
      </c>
      <c r="F155" s="261">
        <v>35000</v>
      </c>
      <c r="G155" s="261">
        <v>35000</v>
      </c>
      <c r="H155" s="261">
        <v>35000</v>
      </c>
      <c r="I155" s="261">
        <f t="shared" si="22"/>
        <v>140000</v>
      </c>
    </row>
    <row r="156" spans="1:9">
      <c r="A156" s="260">
        <v>27</v>
      </c>
      <c r="B156" s="260" t="s">
        <v>559</v>
      </c>
      <c r="C156" s="260" t="s">
        <v>560</v>
      </c>
      <c r="D156" s="260" t="s">
        <v>72</v>
      </c>
      <c r="E156" s="261">
        <v>35000</v>
      </c>
      <c r="F156" s="261">
        <v>35000</v>
      </c>
      <c r="G156" s="261">
        <v>35000</v>
      </c>
      <c r="H156" s="261">
        <v>35000</v>
      </c>
      <c r="I156" s="261">
        <f t="shared" si="22"/>
        <v>140000</v>
      </c>
    </row>
    <row r="157" spans="1:9">
      <c r="A157" s="260">
        <v>28</v>
      </c>
      <c r="B157" s="260" t="s">
        <v>561</v>
      </c>
      <c r="C157" s="260" t="s">
        <v>562</v>
      </c>
      <c r="D157" s="260" t="s">
        <v>402</v>
      </c>
      <c r="E157" s="261">
        <v>35000</v>
      </c>
      <c r="F157" s="261">
        <v>35000</v>
      </c>
      <c r="G157" s="261">
        <v>35000</v>
      </c>
      <c r="H157" s="261">
        <v>35000</v>
      </c>
      <c r="I157" s="261">
        <f t="shared" si="22"/>
        <v>140000</v>
      </c>
    </row>
    <row r="158" spans="1:9">
      <c r="A158" s="260">
        <v>29</v>
      </c>
      <c r="B158" s="260" t="s">
        <v>563</v>
      </c>
      <c r="C158" s="260" t="s">
        <v>558</v>
      </c>
      <c r="D158" s="260" t="s">
        <v>72</v>
      </c>
      <c r="E158" s="261">
        <v>35000</v>
      </c>
      <c r="F158" s="261">
        <v>35000</v>
      </c>
      <c r="G158" s="261">
        <v>35000</v>
      </c>
      <c r="H158" s="261">
        <v>35000</v>
      </c>
      <c r="I158" s="261">
        <f t="shared" si="22"/>
        <v>140000</v>
      </c>
    </row>
    <row r="159" spans="1:9">
      <c r="A159" s="260">
        <v>30</v>
      </c>
      <c r="B159" s="260" t="s">
        <v>564</v>
      </c>
      <c r="C159" s="260" t="s">
        <v>565</v>
      </c>
      <c r="D159" s="260" t="s">
        <v>572</v>
      </c>
      <c r="E159" s="261">
        <v>35000</v>
      </c>
      <c r="F159" s="261">
        <v>35000</v>
      </c>
      <c r="G159" s="261">
        <v>35000</v>
      </c>
      <c r="H159" s="261">
        <v>35000</v>
      </c>
      <c r="I159" s="261">
        <f t="shared" si="22"/>
        <v>140000</v>
      </c>
    </row>
    <row r="160" spans="1:9">
      <c r="A160" s="260">
        <v>31</v>
      </c>
      <c r="B160" s="260" t="s">
        <v>567</v>
      </c>
      <c r="C160" s="260" t="s">
        <v>565</v>
      </c>
      <c r="D160" s="260" t="s">
        <v>572</v>
      </c>
      <c r="E160" s="261">
        <v>35000</v>
      </c>
      <c r="F160" s="261">
        <v>35000</v>
      </c>
      <c r="G160" s="261">
        <v>35000</v>
      </c>
      <c r="H160" s="261">
        <v>35000</v>
      </c>
      <c r="I160" s="261">
        <f t="shared" si="22"/>
        <v>140000</v>
      </c>
    </row>
    <row r="161" spans="1:9">
      <c r="A161" s="260">
        <v>32</v>
      </c>
      <c r="B161" s="260" t="s">
        <v>568</v>
      </c>
      <c r="C161" s="260" t="s">
        <v>565</v>
      </c>
      <c r="D161" s="260" t="s">
        <v>572</v>
      </c>
      <c r="E161" s="261">
        <v>35000</v>
      </c>
      <c r="F161" s="261">
        <v>35000</v>
      </c>
      <c r="G161" s="261">
        <v>35000</v>
      </c>
      <c r="H161" s="261">
        <v>35000</v>
      </c>
      <c r="I161" s="261">
        <f t="shared" si="22"/>
        <v>140000</v>
      </c>
    </row>
    <row r="162" spans="1:9">
      <c r="A162" s="260">
        <v>33</v>
      </c>
      <c r="B162" s="260" t="s">
        <v>569</v>
      </c>
      <c r="C162" s="260" t="s">
        <v>565</v>
      </c>
      <c r="D162" s="260" t="s">
        <v>572</v>
      </c>
      <c r="E162" s="261">
        <v>35000</v>
      </c>
      <c r="F162" s="261">
        <v>35000</v>
      </c>
      <c r="G162" s="261">
        <v>35000</v>
      </c>
      <c r="H162" s="261">
        <v>35000</v>
      </c>
      <c r="I162" s="261">
        <f t="shared" si="22"/>
        <v>140000</v>
      </c>
    </row>
    <row r="163" spans="1:9">
      <c r="A163" s="260">
        <v>34</v>
      </c>
      <c r="B163" s="260" t="s">
        <v>570</v>
      </c>
      <c r="C163" s="260" t="s">
        <v>565</v>
      </c>
      <c r="D163" s="260" t="s">
        <v>572</v>
      </c>
      <c r="E163" s="261">
        <v>35000</v>
      </c>
      <c r="F163" s="261">
        <v>35000</v>
      </c>
      <c r="G163" s="261">
        <v>35000</v>
      </c>
      <c r="H163" s="261">
        <v>35000</v>
      </c>
      <c r="I163" s="261">
        <f t="shared" si="22"/>
        <v>140000</v>
      </c>
    </row>
    <row r="164" spans="1:9">
      <c r="A164" s="260">
        <v>35</v>
      </c>
      <c r="B164" s="260" t="s">
        <v>571</v>
      </c>
      <c r="C164" s="260" t="s">
        <v>565</v>
      </c>
      <c r="D164" s="260" t="s">
        <v>583</v>
      </c>
      <c r="E164" s="261">
        <v>35000</v>
      </c>
      <c r="F164" s="261">
        <v>35000</v>
      </c>
      <c r="G164" s="261">
        <v>35000</v>
      </c>
      <c r="H164" s="261">
        <v>35000</v>
      </c>
      <c r="I164" s="261">
        <f t="shared" si="22"/>
        <v>140000</v>
      </c>
    </row>
    <row r="165" spans="1:9">
      <c r="A165" s="260">
        <v>36</v>
      </c>
      <c r="B165" s="260" t="s">
        <v>573</v>
      </c>
      <c r="C165" s="260" t="s">
        <v>565</v>
      </c>
      <c r="D165" s="260" t="s">
        <v>583</v>
      </c>
      <c r="E165" s="261">
        <v>35000</v>
      </c>
      <c r="F165" s="261">
        <v>35000</v>
      </c>
      <c r="G165" s="261">
        <v>35000</v>
      </c>
      <c r="H165" s="261">
        <v>35000</v>
      </c>
      <c r="I165" s="261">
        <f t="shared" si="22"/>
        <v>140000</v>
      </c>
    </row>
    <row r="166" spans="1:9">
      <c r="A166" s="260">
        <v>37</v>
      </c>
      <c r="B166" s="260" t="s">
        <v>574</v>
      </c>
      <c r="C166" s="260" t="s">
        <v>565</v>
      </c>
      <c r="D166" s="260" t="s">
        <v>583</v>
      </c>
      <c r="E166" s="261">
        <v>35000</v>
      </c>
      <c r="F166" s="261">
        <v>35000</v>
      </c>
      <c r="G166" s="261">
        <v>35000</v>
      </c>
      <c r="H166" s="261">
        <v>35000</v>
      </c>
      <c r="I166" s="261">
        <f t="shared" si="22"/>
        <v>140000</v>
      </c>
    </row>
    <row r="167" spans="1:9">
      <c r="A167" s="260">
        <v>38</v>
      </c>
      <c r="B167" s="260" t="s">
        <v>575</v>
      </c>
      <c r="C167" s="260" t="s">
        <v>565</v>
      </c>
      <c r="D167" s="260" t="s">
        <v>583</v>
      </c>
      <c r="E167" s="261">
        <v>35000</v>
      </c>
      <c r="F167" s="261">
        <v>35000</v>
      </c>
      <c r="G167" s="261">
        <v>35000</v>
      </c>
      <c r="H167" s="261">
        <v>35000</v>
      </c>
      <c r="I167" s="261">
        <f t="shared" si="22"/>
        <v>140000</v>
      </c>
    </row>
    <row r="168" spans="1:9">
      <c r="A168" s="260">
        <v>39</v>
      </c>
      <c r="B168" s="260" t="s">
        <v>576</v>
      </c>
      <c r="C168" s="260" t="s">
        <v>565</v>
      </c>
      <c r="D168" s="260" t="s">
        <v>583</v>
      </c>
      <c r="E168" s="261">
        <v>35000</v>
      </c>
      <c r="F168" s="261">
        <v>35000</v>
      </c>
      <c r="G168" s="261">
        <v>35000</v>
      </c>
      <c r="H168" s="261">
        <v>35000</v>
      </c>
      <c r="I168" s="261">
        <f t="shared" si="22"/>
        <v>140000</v>
      </c>
    </row>
    <row r="169" spans="1:9">
      <c r="A169" s="260">
        <v>40</v>
      </c>
      <c r="B169" s="260" t="s">
        <v>577</v>
      </c>
      <c r="C169" s="260" t="s">
        <v>565</v>
      </c>
      <c r="D169" s="260" t="s">
        <v>583</v>
      </c>
      <c r="E169" s="261">
        <v>35000</v>
      </c>
      <c r="F169" s="261">
        <v>35000</v>
      </c>
      <c r="G169" s="261">
        <v>35000</v>
      </c>
      <c r="H169" s="261">
        <v>35000</v>
      </c>
      <c r="I169" s="261">
        <f t="shared" si="22"/>
        <v>140000</v>
      </c>
    </row>
    <row r="170" spans="1:9">
      <c r="A170" s="260">
        <v>41</v>
      </c>
      <c r="B170" s="260" t="s">
        <v>578</v>
      </c>
      <c r="C170" s="260" t="s">
        <v>585</v>
      </c>
      <c r="D170" s="260" t="s">
        <v>586</v>
      </c>
      <c r="E170" s="261">
        <v>35000</v>
      </c>
      <c r="F170" s="261">
        <v>35000</v>
      </c>
      <c r="G170" s="261">
        <v>35000</v>
      </c>
      <c r="H170" s="261">
        <v>35000</v>
      </c>
      <c r="I170" s="261">
        <f t="shared" si="22"/>
        <v>140000</v>
      </c>
    </row>
    <row r="171" spans="1:9">
      <c r="A171" s="260">
        <v>42</v>
      </c>
      <c r="B171" s="260" t="s">
        <v>581</v>
      </c>
      <c r="C171" s="260" t="s">
        <v>585</v>
      </c>
      <c r="D171" s="260" t="s">
        <v>586</v>
      </c>
      <c r="E171" s="261">
        <v>35000</v>
      </c>
      <c r="F171" s="261">
        <v>35000</v>
      </c>
      <c r="G171" s="261">
        <v>35000</v>
      </c>
      <c r="H171" s="261">
        <v>35000</v>
      </c>
      <c r="I171" s="261">
        <f t="shared" si="22"/>
        <v>140000</v>
      </c>
    </row>
    <row r="172" spans="1:9">
      <c r="A172" s="260">
        <v>43</v>
      </c>
      <c r="B172" s="260" t="s">
        <v>582</v>
      </c>
      <c r="C172" s="260" t="s">
        <v>585</v>
      </c>
      <c r="D172" s="260" t="s">
        <v>1050</v>
      </c>
      <c r="E172" s="261">
        <v>35000</v>
      </c>
      <c r="F172" s="261">
        <v>35000</v>
      </c>
      <c r="G172" s="261">
        <v>35000</v>
      </c>
      <c r="H172" s="261">
        <v>35000</v>
      </c>
      <c r="I172" s="261">
        <f t="shared" si="22"/>
        <v>140000</v>
      </c>
    </row>
    <row r="173" spans="1:9">
      <c r="A173" s="260">
        <v>44</v>
      </c>
      <c r="B173" s="260" t="s">
        <v>584</v>
      </c>
      <c r="C173" s="260" t="s">
        <v>585</v>
      </c>
      <c r="D173" s="260" t="s">
        <v>1056</v>
      </c>
      <c r="E173" s="261">
        <v>35000</v>
      </c>
      <c r="F173" s="261">
        <v>35000</v>
      </c>
      <c r="G173" s="261">
        <v>35000</v>
      </c>
      <c r="H173" s="261">
        <v>35000</v>
      </c>
      <c r="I173" s="261">
        <f t="shared" si="22"/>
        <v>140000</v>
      </c>
    </row>
    <row r="174" spans="1:9">
      <c r="A174" s="260">
        <v>45</v>
      </c>
      <c r="B174" s="260" t="s">
        <v>587</v>
      </c>
      <c r="C174" s="260" t="s">
        <v>588</v>
      </c>
      <c r="D174" s="260" t="s">
        <v>1057</v>
      </c>
      <c r="E174" s="261">
        <v>35000</v>
      </c>
      <c r="F174" s="261">
        <v>35000</v>
      </c>
      <c r="G174" s="261">
        <v>35000</v>
      </c>
      <c r="H174" s="261">
        <v>35000</v>
      </c>
      <c r="I174" s="261">
        <f t="shared" si="22"/>
        <v>140000</v>
      </c>
    </row>
    <row r="175" spans="1:9">
      <c r="A175" s="260">
        <v>46</v>
      </c>
      <c r="B175" s="260" t="s">
        <v>590</v>
      </c>
      <c r="C175" s="260" t="s">
        <v>588</v>
      </c>
      <c r="D175" s="260" t="s">
        <v>1057</v>
      </c>
      <c r="E175" s="261">
        <v>35000</v>
      </c>
      <c r="F175" s="261">
        <v>35000</v>
      </c>
      <c r="G175" s="261">
        <v>35000</v>
      </c>
      <c r="H175" s="261">
        <v>35000</v>
      </c>
      <c r="I175" s="261">
        <f t="shared" si="22"/>
        <v>140000</v>
      </c>
    </row>
    <row r="176" spans="1:9">
      <c r="A176" s="260">
        <v>47</v>
      </c>
      <c r="B176" s="260" t="s">
        <v>591</v>
      </c>
      <c r="C176" s="260" t="s">
        <v>588</v>
      </c>
      <c r="D176" s="260" t="s">
        <v>1057</v>
      </c>
      <c r="E176" s="261">
        <v>35000</v>
      </c>
      <c r="F176" s="261">
        <v>35000</v>
      </c>
      <c r="G176" s="261">
        <v>35000</v>
      </c>
      <c r="H176" s="261">
        <v>35000</v>
      </c>
      <c r="I176" s="261">
        <f t="shared" si="22"/>
        <v>140000</v>
      </c>
    </row>
    <row r="177" spans="1:9">
      <c r="A177" s="260">
        <v>48</v>
      </c>
      <c r="B177" s="260" t="s">
        <v>592</v>
      </c>
      <c r="C177" s="260" t="s">
        <v>588</v>
      </c>
      <c r="D177" s="260" t="s">
        <v>1057</v>
      </c>
      <c r="E177" s="261">
        <v>35000</v>
      </c>
      <c r="F177" s="261">
        <v>35000</v>
      </c>
      <c r="G177" s="261">
        <v>35000</v>
      </c>
      <c r="H177" s="261">
        <v>35000</v>
      </c>
      <c r="I177" s="261">
        <f t="shared" si="22"/>
        <v>140000</v>
      </c>
    </row>
    <row r="178" spans="1:9">
      <c r="A178" s="260">
        <v>49</v>
      </c>
      <c r="B178" s="260" t="s">
        <v>593</v>
      </c>
      <c r="C178" s="260" t="s">
        <v>588</v>
      </c>
      <c r="D178" s="260" t="s">
        <v>1057</v>
      </c>
      <c r="E178" s="261">
        <v>35000</v>
      </c>
      <c r="F178" s="261">
        <v>35000</v>
      </c>
      <c r="G178" s="261">
        <v>35000</v>
      </c>
      <c r="H178" s="261">
        <v>35000</v>
      </c>
      <c r="I178" s="261">
        <f t="shared" si="22"/>
        <v>140000</v>
      </c>
    </row>
    <row r="179" spans="1:9">
      <c r="A179" s="260">
        <v>50</v>
      </c>
      <c r="B179" s="260" t="s">
        <v>594</v>
      </c>
      <c r="C179" s="260" t="s">
        <v>588</v>
      </c>
      <c r="D179" s="260" t="s">
        <v>1057</v>
      </c>
      <c r="E179" s="261">
        <v>35000</v>
      </c>
      <c r="F179" s="261">
        <v>35000</v>
      </c>
      <c r="G179" s="261">
        <v>35000</v>
      </c>
      <c r="H179" s="261">
        <v>35000</v>
      </c>
      <c r="I179" s="261">
        <f t="shared" si="22"/>
        <v>140000</v>
      </c>
    </row>
    <row r="180" spans="1:9">
      <c r="A180" s="260">
        <v>51</v>
      </c>
      <c r="B180" s="260" t="s">
        <v>595</v>
      </c>
      <c r="C180" s="260" t="s">
        <v>588</v>
      </c>
      <c r="D180" s="260" t="s">
        <v>1057</v>
      </c>
      <c r="E180" s="261">
        <v>35000</v>
      </c>
      <c r="F180" s="261">
        <v>35000</v>
      </c>
      <c r="G180" s="261">
        <v>35000</v>
      </c>
      <c r="H180" s="261">
        <v>35000</v>
      </c>
      <c r="I180" s="261">
        <f t="shared" si="22"/>
        <v>140000</v>
      </c>
    </row>
    <row r="181" spans="1:9">
      <c r="A181" s="260">
        <v>52</v>
      </c>
      <c r="B181" s="260" t="s">
        <v>596</v>
      </c>
      <c r="C181" s="260" t="s">
        <v>585</v>
      </c>
      <c r="D181" s="260" t="s">
        <v>1057</v>
      </c>
      <c r="E181" s="261">
        <v>35000</v>
      </c>
      <c r="F181" s="261">
        <v>35000</v>
      </c>
      <c r="G181" s="261">
        <v>35000</v>
      </c>
      <c r="H181" s="261">
        <v>35000</v>
      </c>
      <c r="I181" s="261">
        <f t="shared" si="22"/>
        <v>140000</v>
      </c>
    </row>
    <row r="182" spans="1:9">
      <c r="A182" s="260">
        <v>53</v>
      </c>
      <c r="B182" s="260" t="s">
        <v>597</v>
      </c>
      <c r="C182" s="260" t="s">
        <v>585</v>
      </c>
      <c r="D182" s="260" t="s">
        <v>1057</v>
      </c>
      <c r="E182" s="261">
        <v>35000</v>
      </c>
      <c r="F182" s="261">
        <v>35000</v>
      </c>
      <c r="G182" s="261">
        <v>35000</v>
      </c>
      <c r="H182" s="261">
        <v>35000</v>
      </c>
      <c r="I182" s="261">
        <f t="shared" si="22"/>
        <v>140000</v>
      </c>
    </row>
    <row r="183" spans="1:9">
      <c r="A183" s="260">
        <v>54</v>
      </c>
      <c r="B183" s="260" t="s">
        <v>598</v>
      </c>
      <c r="C183" s="260" t="s">
        <v>588</v>
      </c>
      <c r="D183" s="260" t="s">
        <v>1073</v>
      </c>
      <c r="E183" s="261">
        <v>35000</v>
      </c>
      <c r="F183" s="261">
        <v>35000</v>
      </c>
      <c r="G183" s="261">
        <v>35000</v>
      </c>
      <c r="H183" s="261">
        <v>35000</v>
      </c>
      <c r="I183" s="261">
        <f t="shared" si="22"/>
        <v>140000</v>
      </c>
    </row>
    <row r="184" spans="1:9">
      <c r="A184" s="260">
        <v>55</v>
      </c>
      <c r="B184" s="260" t="s">
        <v>600</v>
      </c>
      <c r="C184" s="260" t="s">
        <v>588</v>
      </c>
      <c r="D184" s="260" t="s">
        <v>1058</v>
      </c>
      <c r="E184" s="261">
        <v>35000</v>
      </c>
      <c r="F184" s="261">
        <v>35000</v>
      </c>
      <c r="G184" s="261">
        <v>35000</v>
      </c>
      <c r="H184" s="261">
        <v>35000</v>
      </c>
      <c r="I184" s="261">
        <f t="shared" si="22"/>
        <v>140000</v>
      </c>
    </row>
    <row r="185" spans="1:9">
      <c r="A185" s="260">
        <v>56</v>
      </c>
      <c r="B185" s="260" t="s">
        <v>602</v>
      </c>
      <c r="C185" s="260" t="s">
        <v>603</v>
      </c>
      <c r="D185" s="260" t="s">
        <v>122</v>
      </c>
      <c r="E185" s="261">
        <v>35000</v>
      </c>
      <c r="F185" s="261">
        <v>35000</v>
      </c>
      <c r="G185" s="261">
        <v>35000</v>
      </c>
      <c r="H185" s="261">
        <v>35000</v>
      </c>
      <c r="I185" s="261">
        <f t="shared" si="22"/>
        <v>140000</v>
      </c>
    </row>
    <row r="186" spans="1:9">
      <c r="A186" s="260">
        <v>57</v>
      </c>
      <c r="B186" s="260" t="s">
        <v>605</v>
      </c>
      <c r="C186" s="260" t="s">
        <v>603</v>
      </c>
      <c r="D186" s="260" t="s">
        <v>122</v>
      </c>
      <c r="E186" s="261">
        <v>35000</v>
      </c>
      <c r="F186" s="261">
        <v>35000</v>
      </c>
      <c r="G186" s="261">
        <v>35000</v>
      </c>
      <c r="H186" s="261">
        <v>35000</v>
      </c>
      <c r="I186" s="261">
        <f t="shared" si="22"/>
        <v>140000</v>
      </c>
    </row>
    <row r="187" spans="1:9">
      <c r="A187" s="260">
        <v>58</v>
      </c>
      <c r="B187" s="260" t="s">
        <v>606</v>
      </c>
      <c r="C187" s="260" t="s">
        <v>603</v>
      </c>
      <c r="D187" s="260" t="s">
        <v>122</v>
      </c>
      <c r="E187" s="261">
        <v>35000</v>
      </c>
      <c r="F187" s="261">
        <v>35000</v>
      </c>
      <c r="G187" s="261">
        <v>35000</v>
      </c>
      <c r="H187" s="261">
        <v>35000</v>
      </c>
      <c r="I187" s="261">
        <f t="shared" si="22"/>
        <v>140000</v>
      </c>
    </row>
    <row r="188" spans="1:9">
      <c r="A188" s="260">
        <v>59</v>
      </c>
      <c r="B188" s="260" t="s">
        <v>607</v>
      </c>
      <c r="C188" s="260" t="s">
        <v>608</v>
      </c>
      <c r="D188" s="260" t="s">
        <v>119</v>
      </c>
      <c r="E188" s="261">
        <v>35000</v>
      </c>
      <c r="F188" s="261">
        <v>35000</v>
      </c>
      <c r="G188" s="261">
        <v>35000</v>
      </c>
      <c r="H188" s="261">
        <v>35000</v>
      </c>
      <c r="I188" s="261">
        <f t="shared" si="22"/>
        <v>140000</v>
      </c>
    </row>
    <row r="189" spans="1:9">
      <c r="A189" s="260">
        <v>60</v>
      </c>
      <c r="B189" s="260" t="s">
        <v>610</v>
      </c>
      <c r="C189" s="260" t="s">
        <v>608</v>
      </c>
      <c r="D189" s="260" t="s">
        <v>119</v>
      </c>
      <c r="E189" s="263">
        <v>35000</v>
      </c>
      <c r="F189" s="263">
        <v>35000</v>
      </c>
      <c r="G189" s="263">
        <v>35000</v>
      </c>
      <c r="H189" s="263">
        <v>35000</v>
      </c>
      <c r="I189" s="263">
        <f t="shared" si="22"/>
        <v>140000</v>
      </c>
    </row>
    <row r="190" spans="1:9">
      <c r="A190" s="260"/>
      <c r="B190" s="264" t="s">
        <v>1136</v>
      </c>
      <c r="C190" s="260"/>
      <c r="D190" s="260"/>
      <c r="E190" s="265">
        <f>SUM(E131:E189)</f>
        <v>2065000</v>
      </c>
      <c r="F190" s="265">
        <f t="shared" ref="F190:I190" si="23">SUM(F131:F189)</f>
        <v>2065000</v>
      </c>
      <c r="G190" s="265">
        <f t="shared" si="23"/>
        <v>2065000</v>
      </c>
      <c r="H190" s="265">
        <f t="shared" si="23"/>
        <v>2065000</v>
      </c>
      <c r="I190" s="265">
        <f t="shared" si="23"/>
        <v>8260000</v>
      </c>
    </row>
    <row r="191" spans="1:9">
      <c r="E191" s="252"/>
      <c r="F191" s="252"/>
      <c r="G191" s="252"/>
      <c r="H191" s="252"/>
      <c r="I191" s="253"/>
    </row>
    <row r="192" spans="1:9" ht="24" customHeight="1">
      <c r="A192" s="260"/>
      <c r="B192" s="867" t="s">
        <v>1137</v>
      </c>
      <c r="C192" s="867"/>
      <c r="D192" s="867"/>
      <c r="E192" s="867"/>
      <c r="F192" s="867"/>
      <c r="G192" s="867"/>
      <c r="H192" s="867"/>
      <c r="I192" s="268">
        <f>I190+I116+I110+I100+I93+I79+I69+I54+I49+I33+I28</f>
        <v>19740000</v>
      </c>
    </row>
    <row r="193" spans="5:8">
      <c r="E193" s="252"/>
      <c r="F193" s="252"/>
      <c r="G193" s="252"/>
      <c r="H193" s="252"/>
    </row>
  </sheetData>
  <mergeCells count="4">
    <mergeCell ref="A1:I1"/>
    <mergeCell ref="A2:I2"/>
    <mergeCell ref="A3:I3"/>
    <mergeCell ref="B192:H192"/>
  </mergeCells>
  <pageMargins left="0.70866141732283505" right="0.70866141732283505" top="0.74803149606299202" bottom="0.74803149606299202" header="0.31496062992126" footer="0.31496062992126"/>
  <pageSetup paperSize="9" scale="99" orientation="landscape"/>
  <rowBreaks count="3" manualBreakCount="3">
    <brk id="34" max="8" man="1"/>
    <brk id="69" max="8" man="1"/>
    <brk id="101" max="8" man="1"/>
  </row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workbookViewId="0">
      <selection activeCell="L13" sqref="L13"/>
    </sheetView>
  </sheetViews>
  <sheetFormatPr defaultColWidth="9.140625" defaultRowHeight="12.75"/>
  <cols>
    <col min="1" max="1" width="4" style="246" customWidth="1"/>
    <col min="2" max="2" width="28.28515625" style="246" customWidth="1"/>
    <col min="3" max="3" width="20.140625" style="246" customWidth="1"/>
    <col min="4" max="4" width="15.5703125" style="246" customWidth="1"/>
    <col min="5" max="5" width="13" style="246" customWidth="1"/>
    <col min="6" max="6" width="14.85546875" style="246" customWidth="1"/>
    <col min="7" max="7" width="14.5703125" style="246" customWidth="1"/>
    <col min="8" max="8" width="13" style="246" customWidth="1"/>
    <col min="9" max="16384" width="9.140625" style="246"/>
  </cols>
  <sheetData>
    <row r="1" spans="1:10" ht="20.25">
      <c r="A1" s="856" t="s">
        <v>0</v>
      </c>
      <c r="B1" s="856"/>
      <c r="C1" s="856"/>
      <c r="D1" s="856"/>
      <c r="E1" s="856"/>
      <c r="F1" s="856"/>
      <c r="G1" s="856"/>
      <c r="H1" s="856"/>
      <c r="I1" s="256"/>
      <c r="J1" s="256"/>
    </row>
    <row r="2" spans="1:10" ht="18.75">
      <c r="A2" s="868" t="s">
        <v>1108</v>
      </c>
      <c r="B2" s="868"/>
      <c r="C2" s="868"/>
      <c r="D2" s="868"/>
      <c r="E2" s="868"/>
      <c r="F2" s="868"/>
      <c r="G2" s="868"/>
      <c r="H2" s="868"/>
      <c r="I2" s="257"/>
      <c r="J2" s="257"/>
    </row>
    <row r="3" spans="1:10" ht="37.5" customHeight="1">
      <c r="A3" s="869" t="s">
        <v>1109</v>
      </c>
      <c r="B3" s="869"/>
      <c r="C3" s="869"/>
      <c r="D3" s="869"/>
      <c r="E3" s="869"/>
      <c r="F3" s="869"/>
      <c r="G3" s="869"/>
      <c r="H3" s="869"/>
    </row>
    <row r="5" spans="1:10" ht="42.75" customHeight="1">
      <c r="A5" s="248" t="s">
        <v>21</v>
      </c>
      <c r="B5" s="50" t="s">
        <v>2</v>
      </c>
      <c r="C5" s="50" t="s">
        <v>3</v>
      </c>
      <c r="D5" s="249" t="s">
        <v>1138</v>
      </c>
      <c r="E5" s="249" t="s">
        <v>1061</v>
      </c>
      <c r="F5" s="249" t="s">
        <v>1062</v>
      </c>
      <c r="G5" s="249" t="s">
        <v>1139</v>
      </c>
      <c r="H5" s="250" t="s">
        <v>1114</v>
      </c>
      <c r="I5" s="45"/>
    </row>
    <row r="6" spans="1:10" ht="18.75">
      <c r="A6" s="42">
        <v>1</v>
      </c>
      <c r="B6" s="42" t="s">
        <v>1140</v>
      </c>
      <c r="C6" s="42" t="s">
        <v>1141</v>
      </c>
      <c r="D6" s="242">
        <v>35000</v>
      </c>
      <c r="E6" s="242">
        <v>35000</v>
      </c>
      <c r="F6" s="242">
        <v>35000</v>
      </c>
      <c r="G6" s="242">
        <v>35000</v>
      </c>
      <c r="H6" s="242">
        <f t="shared" ref="H6" si="0">D6+E6+F6+G6</f>
        <v>140000</v>
      </c>
      <c r="I6" s="45"/>
    </row>
    <row r="7" spans="1:10" ht="18.75">
      <c r="A7" s="42">
        <v>2</v>
      </c>
      <c r="B7" s="42" t="s">
        <v>1142</v>
      </c>
      <c r="C7" s="42" t="s">
        <v>1141</v>
      </c>
      <c r="D7" s="242">
        <v>35000</v>
      </c>
      <c r="E7" s="242">
        <v>35000</v>
      </c>
      <c r="F7" s="242">
        <v>35000</v>
      </c>
      <c r="G7" s="242">
        <v>35000</v>
      </c>
      <c r="H7" s="242">
        <f t="shared" ref="H7:H8" si="1">D7+E7+F7+G7</f>
        <v>140000</v>
      </c>
      <c r="I7" s="45"/>
    </row>
    <row r="8" spans="1:10" ht="18.75">
      <c r="A8" s="42">
        <v>3</v>
      </c>
      <c r="B8" s="42" t="s">
        <v>1143</v>
      </c>
      <c r="C8" s="42" t="s">
        <v>1144</v>
      </c>
      <c r="D8" s="242">
        <v>35000</v>
      </c>
      <c r="E8" s="242">
        <v>35000</v>
      </c>
      <c r="F8" s="242">
        <v>35000</v>
      </c>
      <c r="G8" s="242">
        <v>35000</v>
      </c>
      <c r="H8" s="242">
        <f t="shared" si="1"/>
        <v>140000</v>
      </c>
      <c r="I8" s="45"/>
    </row>
    <row r="9" spans="1:10" ht="18.75">
      <c r="A9" s="42">
        <v>4</v>
      </c>
      <c r="B9" s="42" t="s">
        <v>1142</v>
      </c>
      <c r="C9" s="42" t="s">
        <v>1141</v>
      </c>
      <c r="D9" s="242">
        <v>35000</v>
      </c>
      <c r="E9" s="242">
        <v>35000</v>
      </c>
      <c r="F9" s="242">
        <v>35000</v>
      </c>
      <c r="G9" s="242">
        <v>35000</v>
      </c>
      <c r="H9" s="242">
        <f t="shared" ref="H9:H58" si="2">D9+E9+F9+G9</f>
        <v>140000</v>
      </c>
      <c r="I9" s="45"/>
    </row>
    <row r="10" spans="1:10" ht="18.75">
      <c r="A10" s="42">
        <v>5</v>
      </c>
      <c r="B10" s="42" t="s">
        <v>1145</v>
      </c>
      <c r="C10" s="42" t="s">
        <v>1146</v>
      </c>
      <c r="D10" s="242">
        <v>35000</v>
      </c>
      <c r="E10" s="242">
        <v>35000</v>
      </c>
      <c r="F10" s="242">
        <v>35000</v>
      </c>
      <c r="G10" s="242">
        <v>35000</v>
      </c>
      <c r="H10" s="242">
        <f t="shared" si="2"/>
        <v>140000</v>
      </c>
      <c r="I10" s="45"/>
    </row>
    <row r="11" spans="1:10" ht="18.75">
      <c r="A11" s="42">
        <v>6</v>
      </c>
      <c r="B11" s="42" t="s">
        <v>1147</v>
      </c>
      <c r="C11" s="42" t="s">
        <v>1148</v>
      </c>
      <c r="D11" s="242">
        <v>35000</v>
      </c>
      <c r="E11" s="242">
        <v>35000</v>
      </c>
      <c r="F11" s="242">
        <v>35000</v>
      </c>
      <c r="G11" s="242">
        <v>35000</v>
      </c>
      <c r="H11" s="242">
        <f t="shared" si="2"/>
        <v>140000</v>
      </c>
      <c r="I11" s="45"/>
    </row>
    <row r="12" spans="1:10" ht="18.75">
      <c r="A12" s="42">
        <v>7</v>
      </c>
      <c r="B12" s="42" t="s">
        <v>1149</v>
      </c>
      <c r="C12" s="42" t="s">
        <v>1150</v>
      </c>
      <c r="D12" s="242">
        <v>35000</v>
      </c>
      <c r="E12" s="242">
        <v>35000</v>
      </c>
      <c r="F12" s="242">
        <v>35000</v>
      </c>
      <c r="G12" s="242">
        <v>35000</v>
      </c>
      <c r="H12" s="242">
        <f t="shared" si="2"/>
        <v>140000</v>
      </c>
      <c r="I12" s="45"/>
    </row>
    <row r="13" spans="1:10" ht="18.75">
      <c r="A13" s="42">
        <v>8</v>
      </c>
      <c r="B13" s="42" t="s">
        <v>1151</v>
      </c>
      <c r="C13" s="42" t="s">
        <v>1152</v>
      </c>
      <c r="D13" s="242">
        <v>35000</v>
      </c>
      <c r="E13" s="242">
        <v>35000</v>
      </c>
      <c r="F13" s="242">
        <v>35000</v>
      </c>
      <c r="G13" s="242">
        <v>35000</v>
      </c>
      <c r="H13" s="242">
        <f t="shared" si="2"/>
        <v>140000</v>
      </c>
      <c r="I13" s="45"/>
    </row>
    <row r="14" spans="1:10" ht="18.75">
      <c r="A14" s="42">
        <v>9</v>
      </c>
      <c r="B14" s="42" t="s">
        <v>1153</v>
      </c>
      <c r="C14" s="42" t="s">
        <v>1152</v>
      </c>
      <c r="D14" s="242">
        <v>35000</v>
      </c>
      <c r="E14" s="242">
        <v>35000</v>
      </c>
      <c r="F14" s="242">
        <v>35000</v>
      </c>
      <c r="G14" s="242">
        <v>35000</v>
      </c>
      <c r="H14" s="242">
        <f t="shared" si="2"/>
        <v>140000</v>
      </c>
      <c r="I14" s="45"/>
    </row>
    <row r="15" spans="1:10" ht="18.75">
      <c r="A15" s="42">
        <v>10</v>
      </c>
      <c r="B15" s="42" t="s">
        <v>1154</v>
      </c>
      <c r="C15" s="42" t="s">
        <v>1150</v>
      </c>
      <c r="D15" s="242">
        <v>35000</v>
      </c>
      <c r="E15" s="242">
        <v>35000</v>
      </c>
      <c r="F15" s="242">
        <v>35000</v>
      </c>
      <c r="G15" s="242">
        <v>35000</v>
      </c>
      <c r="H15" s="242">
        <f t="shared" si="2"/>
        <v>140000</v>
      </c>
      <c r="I15" s="45"/>
    </row>
    <row r="16" spans="1:10" ht="18.75">
      <c r="A16" s="42">
        <v>11</v>
      </c>
      <c r="B16" s="42" t="s">
        <v>1155</v>
      </c>
      <c r="C16" s="42" t="s">
        <v>1156</v>
      </c>
      <c r="D16" s="242">
        <v>35000</v>
      </c>
      <c r="E16" s="242">
        <v>35000</v>
      </c>
      <c r="F16" s="242">
        <v>35000</v>
      </c>
      <c r="G16" s="242">
        <v>35000</v>
      </c>
      <c r="H16" s="242">
        <f t="shared" si="2"/>
        <v>140000</v>
      </c>
      <c r="I16" s="45"/>
    </row>
    <row r="17" spans="1:9" ht="18.75">
      <c r="A17" s="42">
        <v>12</v>
      </c>
      <c r="B17" s="42" t="s">
        <v>1157</v>
      </c>
      <c r="C17" s="42" t="s">
        <v>1144</v>
      </c>
      <c r="D17" s="242">
        <v>35000</v>
      </c>
      <c r="E17" s="242">
        <v>35000</v>
      </c>
      <c r="F17" s="242">
        <v>35000</v>
      </c>
      <c r="G17" s="242">
        <v>35000</v>
      </c>
      <c r="H17" s="242">
        <f t="shared" si="2"/>
        <v>140000</v>
      </c>
      <c r="I17" s="45"/>
    </row>
    <row r="18" spans="1:9" ht="18.75">
      <c r="A18" s="42">
        <v>13</v>
      </c>
      <c r="B18" s="42" t="s">
        <v>1158</v>
      </c>
      <c r="C18" s="42" t="s">
        <v>1159</v>
      </c>
      <c r="D18" s="242">
        <v>35000</v>
      </c>
      <c r="E18" s="242">
        <v>35000</v>
      </c>
      <c r="F18" s="242">
        <v>35000</v>
      </c>
      <c r="G18" s="242">
        <v>35000</v>
      </c>
      <c r="H18" s="242">
        <f t="shared" si="2"/>
        <v>140000</v>
      </c>
      <c r="I18" s="45"/>
    </row>
    <row r="19" spans="1:9" ht="18.75">
      <c r="A19" s="42">
        <v>14</v>
      </c>
      <c r="B19" s="42" t="s">
        <v>1160</v>
      </c>
      <c r="C19" s="42" t="s">
        <v>1146</v>
      </c>
      <c r="D19" s="242">
        <v>35000</v>
      </c>
      <c r="E19" s="242">
        <v>35000</v>
      </c>
      <c r="F19" s="242">
        <v>35000</v>
      </c>
      <c r="G19" s="242">
        <v>35000</v>
      </c>
      <c r="H19" s="242">
        <f t="shared" si="2"/>
        <v>140000</v>
      </c>
      <c r="I19" s="45"/>
    </row>
    <row r="20" spans="1:9" ht="18.75">
      <c r="A20" s="42">
        <v>15</v>
      </c>
      <c r="B20" s="42" t="s">
        <v>1161</v>
      </c>
      <c r="C20" s="42" t="s">
        <v>1162</v>
      </c>
      <c r="D20" s="242">
        <v>35000</v>
      </c>
      <c r="E20" s="242">
        <v>35000</v>
      </c>
      <c r="F20" s="242">
        <v>35000</v>
      </c>
      <c r="G20" s="242">
        <v>35000</v>
      </c>
      <c r="H20" s="242">
        <f t="shared" si="2"/>
        <v>140000</v>
      </c>
      <c r="I20" s="45"/>
    </row>
    <row r="21" spans="1:9" ht="18.75">
      <c r="A21" s="42">
        <v>16</v>
      </c>
      <c r="B21" s="42" t="s">
        <v>1163</v>
      </c>
      <c r="C21" s="42" t="s">
        <v>1164</v>
      </c>
      <c r="D21" s="242">
        <v>35000</v>
      </c>
      <c r="E21" s="242">
        <v>35000</v>
      </c>
      <c r="F21" s="242">
        <v>35000</v>
      </c>
      <c r="G21" s="242">
        <v>35000</v>
      </c>
      <c r="H21" s="242">
        <f t="shared" si="2"/>
        <v>140000</v>
      </c>
      <c r="I21" s="45"/>
    </row>
    <row r="22" spans="1:9" ht="18.75">
      <c r="A22" s="42">
        <v>17</v>
      </c>
      <c r="B22" s="42" t="s">
        <v>1165</v>
      </c>
      <c r="C22" s="42" t="s">
        <v>1146</v>
      </c>
      <c r="D22" s="242">
        <v>35000</v>
      </c>
      <c r="E22" s="242">
        <v>35000</v>
      </c>
      <c r="F22" s="242">
        <v>35000</v>
      </c>
      <c r="G22" s="242">
        <v>35000</v>
      </c>
      <c r="H22" s="242">
        <f t="shared" si="2"/>
        <v>140000</v>
      </c>
      <c r="I22" s="45"/>
    </row>
    <row r="23" spans="1:9" ht="18.75">
      <c r="A23" s="42">
        <v>18</v>
      </c>
      <c r="B23" s="42" t="s">
        <v>1166</v>
      </c>
      <c r="C23" s="42" t="s">
        <v>209</v>
      </c>
      <c r="D23" s="242">
        <v>35000</v>
      </c>
      <c r="E23" s="242">
        <v>35000</v>
      </c>
      <c r="F23" s="242">
        <v>35000</v>
      </c>
      <c r="G23" s="242">
        <v>35000</v>
      </c>
      <c r="H23" s="242">
        <f t="shared" si="2"/>
        <v>140000</v>
      </c>
      <c r="I23" s="45"/>
    </row>
    <row r="24" spans="1:9" ht="18.75">
      <c r="A24" s="42">
        <v>19</v>
      </c>
      <c r="B24" s="42" t="s">
        <v>1167</v>
      </c>
      <c r="C24" s="42" t="s">
        <v>209</v>
      </c>
      <c r="D24" s="242">
        <v>35000</v>
      </c>
      <c r="E24" s="242">
        <v>35000</v>
      </c>
      <c r="F24" s="242">
        <v>35000</v>
      </c>
      <c r="G24" s="242">
        <v>35000</v>
      </c>
      <c r="H24" s="242">
        <f t="shared" si="2"/>
        <v>140000</v>
      </c>
      <c r="I24" s="45"/>
    </row>
    <row r="25" spans="1:9" ht="18.75">
      <c r="A25" s="42">
        <v>20</v>
      </c>
      <c r="B25" s="42" t="s">
        <v>1168</v>
      </c>
      <c r="C25" s="42" t="s">
        <v>209</v>
      </c>
      <c r="D25" s="242">
        <v>35000</v>
      </c>
      <c r="E25" s="242">
        <v>35000</v>
      </c>
      <c r="F25" s="242">
        <v>35000</v>
      </c>
      <c r="G25" s="242">
        <v>35000</v>
      </c>
      <c r="H25" s="242">
        <f t="shared" si="2"/>
        <v>140000</v>
      </c>
      <c r="I25" s="45"/>
    </row>
    <row r="26" spans="1:9" ht="18.75">
      <c r="A26" s="42">
        <v>21</v>
      </c>
      <c r="B26" s="42" t="s">
        <v>1169</v>
      </c>
      <c r="C26" s="42" t="s">
        <v>209</v>
      </c>
      <c r="D26" s="242">
        <v>35000</v>
      </c>
      <c r="E26" s="242">
        <v>35000</v>
      </c>
      <c r="F26" s="242">
        <v>35000</v>
      </c>
      <c r="G26" s="242">
        <v>35000</v>
      </c>
      <c r="H26" s="242">
        <f t="shared" si="2"/>
        <v>140000</v>
      </c>
      <c r="I26" s="45"/>
    </row>
    <row r="27" spans="1:9" ht="18.75">
      <c r="A27" s="42">
        <v>22</v>
      </c>
      <c r="B27" s="42" t="s">
        <v>1170</v>
      </c>
      <c r="C27" s="42" t="s">
        <v>1171</v>
      </c>
      <c r="D27" s="242">
        <v>35000</v>
      </c>
      <c r="E27" s="242">
        <v>35000</v>
      </c>
      <c r="F27" s="242">
        <v>35000</v>
      </c>
      <c r="G27" s="242">
        <v>35000</v>
      </c>
      <c r="H27" s="242">
        <f t="shared" si="2"/>
        <v>140000</v>
      </c>
      <c r="I27" s="45"/>
    </row>
    <row r="28" spans="1:9" ht="18.75">
      <c r="A28" s="42">
        <v>23</v>
      </c>
      <c r="B28" s="42" t="s">
        <v>1172</v>
      </c>
      <c r="C28" s="42" t="s">
        <v>1173</v>
      </c>
      <c r="D28" s="242">
        <v>35000</v>
      </c>
      <c r="E28" s="242">
        <v>35000</v>
      </c>
      <c r="F28" s="242">
        <v>35000</v>
      </c>
      <c r="G28" s="242">
        <v>35000</v>
      </c>
      <c r="H28" s="242">
        <f t="shared" si="2"/>
        <v>140000</v>
      </c>
      <c r="I28" s="45"/>
    </row>
    <row r="29" spans="1:9" ht="18.75">
      <c r="A29" s="42">
        <v>24</v>
      </c>
      <c r="B29" s="42" t="s">
        <v>1174</v>
      </c>
      <c r="C29" s="42" t="s">
        <v>1175</v>
      </c>
      <c r="D29" s="242">
        <v>35000</v>
      </c>
      <c r="E29" s="242">
        <v>35000</v>
      </c>
      <c r="F29" s="242">
        <v>35000</v>
      </c>
      <c r="G29" s="242">
        <v>35000</v>
      </c>
      <c r="H29" s="242">
        <f t="shared" si="2"/>
        <v>140000</v>
      </c>
      <c r="I29" s="45"/>
    </row>
    <row r="30" spans="1:9" ht="18.75">
      <c r="A30" s="42">
        <v>25</v>
      </c>
      <c r="B30" s="42" t="s">
        <v>1176</v>
      </c>
      <c r="C30" s="42" t="s">
        <v>1156</v>
      </c>
      <c r="D30" s="242">
        <v>35000</v>
      </c>
      <c r="E30" s="242">
        <v>35000</v>
      </c>
      <c r="F30" s="242">
        <v>35000</v>
      </c>
      <c r="G30" s="242">
        <v>35000</v>
      </c>
      <c r="H30" s="242">
        <f t="shared" si="2"/>
        <v>140000</v>
      </c>
      <c r="I30" s="45"/>
    </row>
    <row r="31" spans="1:9" ht="18.75">
      <c r="A31" s="42">
        <v>26</v>
      </c>
      <c r="B31" s="42" t="s">
        <v>315</v>
      </c>
      <c r="C31" s="42" t="s">
        <v>209</v>
      </c>
      <c r="D31" s="242">
        <v>35000</v>
      </c>
      <c r="E31" s="242">
        <v>35000</v>
      </c>
      <c r="F31" s="242">
        <v>35000</v>
      </c>
      <c r="G31" s="242">
        <v>35000</v>
      </c>
      <c r="H31" s="242">
        <f t="shared" si="2"/>
        <v>140000</v>
      </c>
      <c r="I31" s="45"/>
    </row>
    <row r="32" spans="1:9" ht="18.75">
      <c r="A32" s="42">
        <v>27</v>
      </c>
      <c r="B32" s="42" t="s">
        <v>1177</v>
      </c>
      <c r="C32" s="42" t="s">
        <v>1144</v>
      </c>
      <c r="D32" s="242">
        <v>35000</v>
      </c>
      <c r="E32" s="242">
        <v>35000</v>
      </c>
      <c r="F32" s="242">
        <v>35000</v>
      </c>
      <c r="G32" s="242">
        <v>35000</v>
      </c>
      <c r="H32" s="242">
        <f t="shared" si="2"/>
        <v>140000</v>
      </c>
      <c r="I32" s="45"/>
    </row>
    <row r="33" spans="1:9" ht="18.75">
      <c r="A33" s="42">
        <v>28</v>
      </c>
      <c r="B33" s="42" t="s">
        <v>1178</v>
      </c>
      <c r="C33" s="42" t="s">
        <v>1144</v>
      </c>
      <c r="D33" s="242">
        <v>35000</v>
      </c>
      <c r="E33" s="242">
        <v>35000</v>
      </c>
      <c r="F33" s="242">
        <v>35000</v>
      </c>
      <c r="G33" s="242">
        <v>35000</v>
      </c>
      <c r="H33" s="242">
        <f t="shared" si="2"/>
        <v>140000</v>
      </c>
      <c r="I33" s="45"/>
    </row>
    <row r="34" spans="1:9" ht="18.75">
      <c r="A34" s="42">
        <v>29</v>
      </c>
      <c r="B34" s="42" t="s">
        <v>296</v>
      </c>
      <c r="C34" s="42" t="s">
        <v>209</v>
      </c>
      <c r="D34" s="242">
        <v>35000</v>
      </c>
      <c r="E34" s="242">
        <v>35000</v>
      </c>
      <c r="F34" s="242">
        <v>35000</v>
      </c>
      <c r="G34" s="242">
        <v>35000</v>
      </c>
      <c r="H34" s="242">
        <f t="shared" si="2"/>
        <v>140000</v>
      </c>
      <c r="I34" s="45"/>
    </row>
    <row r="35" spans="1:9" ht="18.75">
      <c r="A35" s="42">
        <v>30</v>
      </c>
      <c r="B35" s="42" t="s">
        <v>318</v>
      </c>
      <c r="C35" s="42" t="s">
        <v>209</v>
      </c>
      <c r="D35" s="242">
        <v>35000</v>
      </c>
      <c r="E35" s="242">
        <v>35000</v>
      </c>
      <c r="F35" s="242">
        <v>35000</v>
      </c>
      <c r="G35" s="242">
        <v>35000</v>
      </c>
      <c r="H35" s="242">
        <f t="shared" si="2"/>
        <v>140000</v>
      </c>
      <c r="I35" s="45"/>
    </row>
    <row r="36" spans="1:9" ht="18.75">
      <c r="A36" s="42">
        <v>31</v>
      </c>
      <c r="B36" s="42" t="s">
        <v>1179</v>
      </c>
      <c r="C36" s="42" t="s">
        <v>1180</v>
      </c>
      <c r="D36" s="242">
        <v>35000</v>
      </c>
      <c r="E36" s="242">
        <v>35000</v>
      </c>
      <c r="F36" s="242">
        <v>35000</v>
      </c>
      <c r="G36" s="242">
        <v>35000</v>
      </c>
      <c r="H36" s="242">
        <f t="shared" si="2"/>
        <v>140000</v>
      </c>
      <c r="I36" s="45"/>
    </row>
    <row r="37" spans="1:9" ht="18.75">
      <c r="A37" s="42">
        <v>32</v>
      </c>
      <c r="B37" s="42" t="s">
        <v>319</v>
      </c>
      <c r="C37" s="42" t="s">
        <v>209</v>
      </c>
      <c r="D37" s="242">
        <v>35000</v>
      </c>
      <c r="E37" s="242">
        <v>35000</v>
      </c>
      <c r="F37" s="242">
        <v>35000</v>
      </c>
      <c r="G37" s="242">
        <v>35000</v>
      </c>
      <c r="H37" s="242">
        <f t="shared" si="2"/>
        <v>140000</v>
      </c>
      <c r="I37" s="45"/>
    </row>
    <row r="38" spans="1:9" ht="18.75">
      <c r="A38" s="42">
        <v>33</v>
      </c>
      <c r="B38" s="42" t="s">
        <v>321</v>
      </c>
      <c r="C38" s="42" t="s">
        <v>1181</v>
      </c>
      <c r="D38" s="242">
        <v>35000</v>
      </c>
      <c r="E38" s="242">
        <v>35000</v>
      </c>
      <c r="F38" s="242">
        <v>35000</v>
      </c>
      <c r="G38" s="242">
        <v>35000</v>
      </c>
      <c r="H38" s="242">
        <f t="shared" si="2"/>
        <v>140000</v>
      </c>
      <c r="I38" s="45"/>
    </row>
    <row r="39" spans="1:9" ht="18.75">
      <c r="A39" s="42">
        <v>34</v>
      </c>
      <c r="B39" s="42" t="s">
        <v>1182</v>
      </c>
      <c r="C39" s="42" t="s">
        <v>209</v>
      </c>
      <c r="D39" s="242">
        <v>35000</v>
      </c>
      <c r="E39" s="242">
        <v>35000</v>
      </c>
      <c r="F39" s="242">
        <v>35000</v>
      </c>
      <c r="G39" s="242">
        <v>35000</v>
      </c>
      <c r="H39" s="242">
        <f t="shared" si="2"/>
        <v>140000</v>
      </c>
      <c r="I39" s="45"/>
    </row>
    <row r="40" spans="1:9" ht="18.75">
      <c r="A40" s="42">
        <v>35</v>
      </c>
      <c r="B40" s="42" t="s">
        <v>323</v>
      </c>
      <c r="C40" s="42" t="s">
        <v>209</v>
      </c>
      <c r="D40" s="242">
        <v>35000</v>
      </c>
      <c r="E40" s="242">
        <v>35000</v>
      </c>
      <c r="F40" s="242">
        <v>35000</v>
      </c>
      <c r="G40" s="242">
        <v>35000</v>
      </c>
      <c r="H40" s="242">
        <f t="shared" si="2"/>
        <v>140000</v>
      </c>
      <c r="I40" s="45"/>
    </row>
    <row r="41" spans="1:9" ht="18.75">
      <c r="A41" s="42">
        <v>36</v>
      </c>
      <c r="B41" s="42" t="s">
        <v>1183</v>
      </c>
      <c r="C41" s="42" t="s">
        <v>1146</v>
      </c>
      <c r="D41" s="242">
        <v>35000</v>
      </c>
      <c r="E41" s="242">
        <v>35000</v>
      </c>
      <c r="F41" s="242">
        <v>35000</v>
      </c>
      <c r="G41" s="242">
        <v>35000</v>
      </c>
      <c r="H41" s="242">
        <f t="shared" si="2"/>
        <v>140000</v>
      </c>
      <c r="I41" s="45"/>
    </row>
    <row r="42" spans="1:9" ht="18.75">
      <c r="A42" s="42">
        <v>37</v>
      </c>
      <c r="B42" s="42" t="s">
        <v>1184</v>
      </c>
      <c r="C42" s="42" t="s">
        <v>1146</v>
      </c>
      <c r="D42" s="242">
        <v>35000</v>
      </c>
      <c r="E42" s="242">
        <v>35000</v>
      </c>
      <c r="F42" s="242">
        <v>35000</v>
      </c>
      <c r="G42" s="242">
        <v>35000</v>
      </c>
      <c r="H42" s="242">
        <f t="shared" si="2"/>
        <v>140000</v>
      </c>
      <c r="I42" s="45"/>
    </row>
    <row r="43" spans="1:9" ht="18.75">
      <c r="A43" s="42">
        <v>38</v>
      </c>
      <c r="B43" s="42" t="s">
        <v>1185</v>
      </c>
      <c r="C43" s="42" t="s">
        <v>1146</v>
      </c>
      <c r="D43" s="242">
        <v>35000</v>
      </c>
      <c r="E43" s="242">
        <v>35000</v>
      </c>
      <c r="F43" s="242">
        <v>35000</v>
      </c>
      <c r="G43" s="242">
        <v>35000</v>
      </c>
      <c r="H43" s="242">
        <f t="shared" si="2"/>
        <v>140000</v>
      </c>
      <c r="I43" s="45"/>
    </row>
    <row r="44" spans="1:9" ht="18.75">
      <c r="A44" s="42">
        <v>39</v>
      </c>
      <c r="B44" s="42" t="s">
        <v>1186</v>
      </c>
      <c r="C44" s="42" t="s">
        <v>1146</v>
      </c>
      <c r="D44" s="242">
        <v>35000</v>
      </c>
      <c r="E44" s="242">
        <v>35000</v>
      </c>
      <c r="F44" s="242">
        <v>35000</v>
      </c>
      <c r="G44" s="242">
        <v>35000</v>
      </c>
      <c r="H44" s="242">
        <f t="shared" si="2"/>
        <v>140000</v>
      </c>
      <c r="I44" s="45"/>
    </row>
    <row r="45" spans="1:9" ht="18.75">
      <c r="A45" s="42">
        <v>40</v>
      </c>
      <c r="B45" s="42" t="s">
        <v>1187</v>
      </c>
      <c r="C45" s="42" t="s">
        <v>1146</v>
      </c>
      <c r="D45" s="242">
        <v>35000</v>
      </c>
      <c r="E45" s="242">
        <v>35000</v>
      </c>
      <c r="F45" s="242">
        <v>35000</v>
      </c>
      <c r="G45" s="242">
        <v>35000</v>
      </c>
      <c r="H45" s="242">
        <f t="shared" si="2"/>
        <v>140000</v>
      </c>
      <c r="I45" s="45"/>
    </row>
    <row r="46" spans="1:9" ht="18.75">
      <c r="A46" s="42">
        <v>41</v>
      </c>
      <c r="B46" s="42" t="s">
        <v>1188</v>
      </c>
      <c r="C46" s="42" t="s">
        <v>1146</v>
      </c>
      <c r="D46" s="242">
        <v>35000</v>
      </c>
      <c r="E46" s="242">
        <v>35000</v>
      </c>
      <c r="F46" s="242">
        <v>35000</v>
      </c>
      <c r="G46" s="242">
        <v>35000</v>
      </c>
      <c r="H46" s="242">
        <f t="shared" si="2"/>
        <v>140000</v>
      </c>
      <c r="I46" s="45"/>
    </row>
    <row r="47" spans="1:9" ht="18.75">
      <c r="A47" s="42">
        <v>42</v>
      </c>
      <c r="B47" s="42" t="s">
        <v>1189</v>
      </c>
      <c r="C47" s="42" t="s">
        <v>209</v>
      </c>
      <c r="D47" s="242">
        <v>35000</v>
      </c>
      <c r="E47" s="242">
        <v>35000</v>
      </c>
      <c r="F47" s="242">
        <v>35000</v>
      </c>
      <c r="G47" s="242">
        <v>35000</v>
      </c>
      <c r="H47" s="242">
        <f t="shared" si="2"/>
        <v>140000</v>
      </c>
      <c r="I47" s="45"/>
    </row>
    <row r="48" spans="1:9" ht="18.75">
      <c r="A48" s="42">
        <v>43</v>
      </c>
      <c r="B48" s="42" t="s">
        <v>1190</v>
      </c>
      <c r="C48" s="42" t="s">
        <v>1146</v>
      </c>
      <c r="D48" s="242">
        <v>35000</v>
      </c>
      <c r="E48" s="242">
        <v>35000</v>
      </c>
      <c r="F48" s="242">
        <v>35000</v>
      </c>
      <c r="G48" s="242">
        <v>35000</v>
      </c>
      <c r="H48" s="242">
        <f t="shared" si="2"/>
        <v>140000</v>
      </c>
      <c r="I48" s="45"/>
    </row>
    <row r="49" spans="1:9" ht="18.75">
      <c r="A49" s="42">
        <v>44</v>
      </c>
      <c r="B49" s="42" t="s">
        <v>1191</v>
      </c>
      <c r="C49" s="42" t="s">
        <v>1146</v>
      </c>
      <c r="D49" s="242">
        <v>35000</v>
      </c>
      <c r="E49" s="242">
        <v>35000</v>
      </c>
      <c r="F49" s="242">
        <v>35000</v>
      </c>
      <c r="G49" s="242">
        <v>35000</v>
      </c>
      <c r="H49" s="242">
        <f t="shared" si="2"/>
        <v>140000</v>
      </c>
      <c r="I49" s="45"/>
    </row>
    <row r="50" spans="1:9" ht="18.75">
      <c r="A50" s="42">
        <v>45</v>
      </c>
      <c r="B50" s="42" t="s">
        <v>1192</v>
      </c>
      <c r="C50" s="42" t="s">
        <v>209</v>
      </c>
      <c r="D50" s="242">
        <v>35000</v>
      </c>
      <c r="E50" s="242">
        <v>35000</v>
      </c>
      <c r="F50" s="242">
        <v>35000</v>
      </c>
      <c r="G50" s="242">
        <v>35000</v>
      </c>
      <c r="H50" s="242">
        <f t="shared" si="2"/>
        <v>140000</v>
      </c>
      <c r="I50" s="45"/>
    </row>
    <row r="51" spans="1:9" ht="18.75">
      <c r="A51" s="42">
        <v>46</v>
      </c>
      <c r="B51" s="42" t="s">
        <v>1193</v>
      </c>
      <c r="C51" s="42" t="s">
        <v>1146</v>
      </c>
      <c r="D51" s="242">
        <v>35000</v>
      </c>
      <c r="E51" s="242">
        <v>35000</v>
      </c>
      <c r="F51" s="242">
        <v>35000</v>
      </c>
      <c r="G51" s="242">
        <v>35000</v>
      </c>
      <c r="H51" s="242">
        <f t="shared" si="2"/>
        <v>140000</v>
      </c>
      <c r="I51" s="45"/>
    </row>
    <row r="52" spans="1:9" ht="18.75">
      <c r="A52" s="42">
        <v>47</v>
      </c>
      <c r="B52" s="42" t="s">
        <v>1194</v>
      </c>
      <c r="C52" s="42" t="s">
        <v>1146</v>
      </c>
      <c r="D52" s="242">
        <v>35000</v>
      </c>
      <c r="E52" s="242">
        <v>35000</v>
      </c>
      <c r="F52" s="242">
        <v>35000</v>
      </c>
      <c r="G52" s="242">
        <v>35000</v>
      </c>
      <c r="H52" s="242">
        <f t="shared" si="2"/>
        <v>140000</v>
      </c>
      <c r="I52" s="45"/>
    </row>
    <row r="53" spans="1:9" ht="18.75">
      <c r="A53" s="42">
        <v>48</v>
      </c>
      <c r="B53" s="42" t="s">
        <v>1195</v>
      </c>
      <c r="C53" s="42" t="s">
        <v>209</v>
      </c>
      <c r="D53" s="242">
        <v>35000</v>
      </c>
      <c r="E53" s="242">
        <v>35000</v>
      </c>
      <c r="F53" s="242">
        <v>35000</v>
      </c>
      <c r="G53" s="242">
        <v>35000</v>
      </c>
      <c r="H53" s="242">
        <f t="shared" si="2"/>
        <v>140000</v>
      </c>
      <c r="I53" s="45"/>
    </row>
    <row r="54" spans="1:9" ht="18.75">
      <c r="A54" s="42">
        <v>49</v>
      </c>
      <c r="B54" s="42" t="s">
        <v>1196</v>
      </c>
      <c r="C54" s="42" t="s">
        <v>209</v>
      </c>
      <c r="D54" s="242">
        <v>35000</v>
      </c>
      <c r="E54" s="242">
        <v>35000</v>
      </c>
      <c r="F54" s="242">
        <v>35000</v>
      </c>
      <c r="G54" s="242">
        <v>35000</v>
      </c>
      <c r="H54" s="242">
        <f t="shared" si="2"/>
        <v>140000</v>
      </c>
      <c r="I54" s="45"/>
    </row>
    <row r="55" spans="1:9" ht="18.75">
      <c r="A55" s="42">
        <v>50</v>
      </c>
      <c r="B55" s="42" t="s">
        <v>1197</v>
      </c>
      <c r="C55" s="42" t="s">
        <v>209</v>
      </c>
      <c r="D55" s="242">
        <v>35000</v>
      </c>
      <c r="E55" s="242">
        <v>35000</v>
      </c>
      <c r="F55" s="242">
        <v>35000</v>
      </c>
      <c r="G55" s="242">
        <v>35000</v>
      </c>
      <c r="H55" s="242">
        <f t="shared" si="2"/>
        <v>140000</v>
      </c>
      <c r="I55" s="45"/>
    </row>
    <row r="56" spans="1:9" ht="18.75">
      <c r="A56" s="42">
        <v>51</v>
      </c>
      <c r="B56" s="42" t="s">
        <v>1198</v>
      </c>
      <c r="C56" s="42" t="s">
        <v>209</v>
      </c>
      <c r="D56" s="242">
        <v>35000</v>
      </c>
      <c r="E56" s="242">
        <v>35000</v>
      </c>
      <c r="F56" s="242">
        <v>35000</v>
      </c>
      <c r="G56" s="242">
        <v>35000</v>
      </c>
      <c r="H56" s="242">
        <f t="shared" si="2"/>
        <v>140000</v>
      </c>
      <c r="I56" s="45"/>
    </row>
    <row r="57" spans="1:9" ht="18.75">
      <c r="A57" s="42">
        <v>52</v>
      </c>
      <c r="B57" s="42" t="s">
        <v>1199</v>
      </c>
      <c r="C57" s="42" t="s">
        <v>1146</v>
      </c>
      <c r="D57" s="242">
        <v>35000</v>
      </c>
      <c r="E57" s="242">
        <v>35000</v>
      </c>
      <c r="F57" s="242">
        <v>35000</v>
      </c>
      <c r="G57" s="242">
        <v>35000</v>
      </c>
      <c r="H57" s="242">
        <f t="shared" si="2"/>
        <v>140000</v>
      </c>
      <c r="I57" s="45"/>
    </row>
    <row r="58" spans="1:9" ht="18.75">
      <c r="A58" s="42">
        <v>53</v>
      </c>
      <c r="B58" s="42" t="s">
        <v>1200</v>
      </c>
      <c r="C58" s="42" t="s">
        <v>1146</v>
      </c>
      <c r="D58" s="242">
        <v>35000</v>
      </c>
      <c r="E58" s="242">
        <v>35000</v>
      </c>
      <c r="F58" s="242">
        <v>35000</v>
      </c>
      <c r="G58" s="242">
        <v>35000</v>
      </c>
      <c r="H58" s="242">
        <f t="shared" si="2"/>
        <v>140000</v>
      </c>
      <c r="I58" s="45"/>
    </row>
    <row r="59" spans="1:9" ht="18.75">
      <c r="A59" s="41"/>
      <c r="B59" s="42"/>
      <c r="C59" s="42"/>
      <c r="D59" s="251">
        <f>SUM(D8:D58)</f>
        <v>1785000</v>
      </c>
      <c r="E59" s="251">
        <f>SUM(E8:E58)</f>
        <v>1785000</v>
      </c>
      <c r="F59" s="251">
        <f>SUM(F8:F58)</f>
        <v>1785000</v>
      </c>
      <c r="G59" s="251">
        <f>SUM(G8:G58)</f>
        <v>1785000</v>
      </c>
      <c r="H59" s="251">
        <f>SUM(H8:H58)</f>
        <v>7140000</v>
      </c>
      <c r="I59" s="45"/>
    </row>
    <row r="60" spans="1:9">
      <c r="D60" s="252"/>
      <c r="E60" s="252"/>
      <c r="F60" s="252"/>
      <c r="G60" s="252"/>
      <c r="H60" s="252"/>
    </row>
    <row r="61" spans="1:9">
      <c r="D61" s="252"/>
      <c r="E61" s="252"/>
      <c r="F61" s="252"/>
      <c r="G61" s="252"/>
      <c r="H61" s="253"/>
    </row>
    <row r="62" spans="1:9">
      <c r="A62" s="254"/>
      <c r="B62" s="254"/>
      <c r="C62" s="254"/>
      <c r="D62" s="253"/>
      <c r="E62" s="253"/>
      <c r="F62" s="253"/>
      <c r="G62" s="253"/>
      <c r="H62" s="255"/>
    </row>
    <row r="63" spans="1:9">
      <c r="D63" s="252"/>
      <c r="E63" s="252"/>
      <c r="F63" s="252"/>
      <c r="G63" s="252"/>
    </row>
  </sheetData>
  <mergeCells count="3">
    <mergeCell ref="A1:H1"/>
    <mergeCell ref="A2:H2"/>
    <mergeCell ref="A3:H3"/>
  </mergeCells>
  <pageMargins left="0.70866141732283505" right="0.70866141732283505" top="0.74803149606299202" bottom="0.74803149606299202" header="0.31496062992126" footer="0.31496062992126"/>
  <pageSetup paperSize="9" scale="99"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0"/>
  <sheetViews>
    <sheetView workbookViewId="0">
      <selection activeCell="C10" sqref="C10"/>
    </sheetView>
  </sheetViews>
  <sheetFormatPr defaultColWidth="9" defaultRowHeight="12.75"/>
  <cols>
    <col min="2" max="2" width="34.42578125" customWidth="1"/>
    <col min="3" max="3" width="42.28515625" customWidth="1"/>
    <col min="4" max="4" width="16.5703125" customWidth="1"/>
    <col min="5" max="5" width="14.5703125" customWidth="1"/>
    <col min="6" max="6" width="14.7109375" customWidth="1"/>
  </cols>
  <sheetData>
    <row r="1" spans="1:10" ht="45" customHeight="1">
      <c r="A1" s="240" t="s">
        <v>291</v>
      </c>
      <c r="B1" s="45"/>
      <c r="C1" s="45"/>
      <c r="D1" s="45"/>
      <c r="E1" s="45"/>
      <c r="F1" s="45"/>
      <c r="G1" s="45"/>
      <c r="H1" s="45"/>
      <c r="I1" s="45"/>
      <c r="J1" s="45"/>
    </row>
    <row r="2" spans="1:10" ht="50.25" customHeight="1">
      <c r="A2" s="57" t="s">
        <v>21</v>
      </c>
      <c r="B2" s="41" t="s">
        <v>182</v>
      </c>
      <c r="C2" s="41" t="s">
        <v>3</v>
      </c>
      <c r="D2" s="241" t="s">
        <v>1201</v>
      </c>
      <c r="E2" s="241" t="s">
        <v>15</v>
      </c>
      <c r="F2" s="241" t="s">
        <v>1202</v>
      </c>
      <c r="G2" s="45"/>
      <c r="H2" s="45"/>
      <c r="I2" s="45"/>
      <c r="J2" s="45"/>
    </row>
    <row r="3" spans="1:10" ht="35.1" customHeight="1">
      <c r="A3" s="47">
        <v>1</v>
      </c>
      <c r="B3" s="42" t="s">
        <v>445</v>
      </c>
      <c r="C3" s="42" t="s">
        <v>64</v>
      </c>
      <c r="D3" s="242">
        <f>20000*28</f>
        <v>560000</v>
      </c>
      <c r="E3" s="243">
        <f>86186.67</f>
        <v>86186.67</v>
      </c>
      <c r="F3" s="242">
        <f>D3-E3</f>
        <v>473813.33</v>
      </c>
      <c r="G3" s="45"/>
      <c r="H3" s="45"/>
      <c r="I3" s="45"/>
      <c r="J3" s="45"/>
    </row>
    <row r="4" spans="1:10" ht="39.75" customHeight="1">
      <c r="A4" s="47">
        <v>2</v>
      </c>
      <c r="B4" s="244" t="s">
        <v>1203</v>
      </c>
      <c r="C4" s="42" t="s">
        <v>1204</v>
      </c>
      <c r="D4" s="242">
        <f>20000*28</f>
        <v>560000</v>
      </c>
      <c r="E4" s="243">
        <f>86186.67</f>
        <v>86186.67</v>
      </c>
      <c r="F4" s="242">
        <f t="shared" ref="F4" si="0">D4-E4</f>
        <v>473813.33</v>
      </c>
      <c r="G4" s="45"/>
      <c r="H4" s="45"/>
      <c r="I4" s="45"/>
      <c r="J4" s="45"/>
    </row>
    <row r="5" spans="1:10" ht="36" customHeight="1">
      <c r="A5" s="42"/>
      <c r="B5" s="41" t="s">
        <v>42</v>
      </c>
      <c r="C5" s="41"/>
      <c r="D5" s="245">
        <f>SUM(D3:D4)</f>
        <v>1120000</v>
      </c>
      <c r="E5" s="245">
        <f>SUM(E3:E4)</f>
        <v>172373.34</v>
      </c>
      <c r="F5" s="245">
        <f>SUM(F3:F4)</f>
        <v>947626.66</v>
      </c>
      <c r="G5" s="45"/>
      <c r="H5" s="45"/>
      <c r="I5" s="45"/>
      <c r="J5" s="45"/>
    </row>
    <row r="6" spans="1:10" ht="18.75">
      <c r="A6" s="45"/>
      <c r="B6" s="45"/>
      <c r="C6" s="45"/>
      <c r="D6" s="45"/>
      <c r="E6" s="45"/>
      <c r="F6" s="45"/>
      <c r="G6" s="45"/>
      <c r="H6" s="45"/>
      <c r="I6" s="45"/>
      <c r="J6" s="45"/>
    </row>
    <row r="7" spans="1:10" ht="18.75">
      <c r="A7" s="45"/>
      <c r="B7" s="45"/>
      <c r="C7" s="45"/>
      <c r="D7" s="45"/>
      <c r="E7" s="45"/>
      <c r="F7" s="45"/>
      <c r="G7" s="45"/>
      <c r="H7" s="45"/>
      <c r="I7" s="45"/>
      <c r="J7" s="45"/>
    </row>
    <row r="8" spans="1:10" ht="18.75">
      <c r="A8" s="45"/>
      <c r="B8" s="45"/>
      <c r="C8" s="45"/>
      <c r="D8" s="45"/>
      <c r="E8" s="45"/>
      <c r="F8" s="45"/>
      <c r="G8" s="45"/>
      <c r="H8" s="45"/>
      <c r="I8" s="45"/>
      <c r="J8" s="45"/>
    </row>
    <row r="9" spans="1:10" ht="18.75">
      <c r="A9" s="45"/>
      <c r="B9" s="45"/>
      <c r="C9" s="45"/>
      <c r="D9" s="45"/>
      <c r="E9" s="45"/>
      <c r="F9" s="45"/>
      <c r="G9" s="45"/>
      <c r="H9" s="45"/>
      <c r="I9" s="45"/>
      <c r="J9" s="45"/>
    </row>
    <row r="10" spans="1:10" ht="18.75">
      <c r="A10" s="45"/>
      <c r="B10" s="45"/>
      <c r="C10" s="45"/>
      <c r="D10" s="45"/>
      <c r="E10" s="45"/>
      <c r="F10" s="45"/>
      <c r="G10" s="45"/>
      <c r="H10" s="45"/>
      <c r="I10" s="45"/>
      <c r="J10" s="45"/>
    </row>
    <row r="11" spans="1:10" ht="18.75">
      <c r="A11" s="45"/>
      <c r="B11" s="45"/>
      <c r="C11" s="45"/>
      <c r="D11" s="45"/>
      <c r="E11" s="45"/>
      <c r="F11" s="45"/>
      <c r="G11" s="45"/>
      <c r="H11" s="45"/>
      <c r="I11" s="45"/>
      <c r="J11" s="45"/>
    </row>
    <row r="12" spans="1:10" ht="18.75">
      <c r="A12" s="45"/>
      <c r="B12" s="45"/>
      <c r="C12" s="45"/>
      <c r="D12" s="45"/>
      <c r="E12" s="45"/>
      <c r="F12" s="45"/>
      <c r="G12" s="45"/>
      <c r="H12" s="45"/>
      <c r="I12" s="45"/>
      <c r="J12" s="45"/>
    </row>
    <row r="13" spans="1:10" ht="18.75">
      <c r="A13" s="45"/>
      <c r="B13" s="45"/>
      <c r="C13" s="45"/>
      <c r="D13" s="45"/>
      <c r="E13" s="45"/>
      <c r="F13" s="45"/>
      <c r="G13" s="45"/>
      <c r="H13" s="45"/>
      <c r="I13" s="45"/>
      <c r="J13" s="45"/>
    </row>
    <row r="14" spans="1:10" ht="18.75">
      <c r="A14" s="45"/>
      <c r="B14" s="45"/>
      <c r="C14" s="45"/>
      <c r="D14" s="45"/>
      <c r="E14" s="45"/>
      <c r="F14" s="45"/>
      <c r="G14" s="45"/>
      <c r="H14" s="45"/>
      <c r="I14" s="45"/>
      <c r="J14" s="45"/>
    </row>
    <row r="15" spans="1:10" ht="18.75">
      <c r="A15" s="45"/>
      <c r="B15" s="45"/>
      <c r="C15" s="45"/>
      <c r="D15" s="45"/>
      <c r="E15" s="45"/>
      <c r="F15" s="45"/>
      <c r="G15" s="45"/>
      <c r="H15" s="45"/>
      <c r="I15" s="45"/>
      <c r="J15" s="45"/>
    </row>
    <row r="16" spans="1:10" ht="18.75">
      <c r="A16" s="45"/>
      <c r="B16" s="45"/>
      <c r="C16" s="45"/>
      <c r="D16" s="45"/>
      <c r="E16" s="45"/>
      <c r="F16" s="45"/>
      <c r="G16" s="45"/>
      <c r="H16" s="45"/>
      <c r="I16" s="45"/>
      <c r="J16" s="45"/>
    </row>
    <row r="17" spans="1:10" ht="18.75">
      <c r="A17" s="45"/>
      <c r="B17" s="45"/>
      <c r="C17" s="45"/>
      <c r="D17" s="45"/>
      <c r="E17" s="45"/>
      <c r="F17" s="45"/>
      <c r="G17" s="45"/>
      <c r="H17" s="45"/>
      <c r="I17" s="45"/>
      <c r="J17" s="45"/>
    </row>
    <row r="18" spans="1:10" ht="18.75">
      <c r="A18" s="45"/>
      <c r="B18" s="45"/>
      <c r="C18" s="45"/>
      <c r="D18" s="45"/>
      <c r="E18" s="45"/>
      <c r="F18" s="45"/>
      <c r="G18" s="45"/>
      <c r="H18" s="45"/>
      <c r="I18" s="45"/>
      <c r="J18" s="45"/>
    </row>
    <row r="19" spans="1:10" ht="18.75">
      <c r="A19" s="45"/>
      <c r="B19" s="45"/>
      <c r="C19" s="45"/>
      <c r="D19" s="45"/>
      <c r="E19" s="45"/>
      <c r="F19" s="45"/>
      <c r="G19" s="45"/>
      <c r="H19" s="45"/>
      <c r="I19" s="45"/>
      <c r="J19" s="45"/>
    </row>
    <row r="20" spans="1:10" ht="18.75">
      <c r="A20" s="45"/>
      <c r="B20" s="45"/>
      <c r="C20" s="45"/>
      <c r="D20" s="45"/>
      <c r="E20" s="45"/>
      <c r="F20" s="45"/>
      <c r="G20" s="45"/>
      <c r="H20" s="45"/>
      <c r="I20" s="45"/>
      <c r="J20" s="45"/>
    </row>
    <row r="21" spans="1:10" ht="18.75">
      <c r="A21" s="45"/>
      <c r="B21" s="45"/>
      <c r="C21" s="45"/>
      <c r="D21" s="45"/>
      <c r="E21" s="45"/>
      <c r="F21" s="45"/>
      <c r="G21" s="45"/>
      <c r="H21" s="45"/>
      <c r="I21" s="45"/>
      <c r="J21" s="45"/>
    </row>
    <row r="22" spans="1:10" ht="18.75">
      <c r="A22" s="45"/>
      <c r="B22" s="45"/>
      <c r="C22" s="45"/>
      <c r="D22" s="45"/>
      <c r="E22" s="45"/>
      <c r="F22" s="45"/>
      <c r="G22" s="45"/>
      <c r="H22" s="45"/>
      <c r="I22" s="45"/>
      <c r="J22" s="45"/>
    </row>
    <row r="23" spans="1:10" ht="18.75">
      <c r="A23" s="45"/>
      <c r="B23" s="45"/>
      <c r="C23" s="45"/>
      <c r="D23" s="45"/>
      <c r="E23" s="45"/>
      <c r="F23" s="45"/>
      <c r="G23" s="45"/>
      <c r="H23" s="45"/>
      <c r="I23" s="45"/>
      <c r="J23" s="45"/>
    </row>
    <row r="24" spans="1:10" ht="18.75">
      <c r="A24" s="45"/>
      <c r="B24" s="45"/>
      <c r="C24" s="45"/>
      <c r="D24" s="45"/>
      <c r="E24" s="45"/>
      <c r="F24" s="45"/>
      <c r="G24" s="45"/>
      <c r="H24" s="45"/>
      <c r="I24" s="45"/>
      <c r="J24" s="45"/>
    </row>
    <row r="25" spans="1:10" ht="18.75">
      <c r="A25" s="45"/>
      <c r="B25" s="45"/>
      <c r="C25" s="45"/>
      <c r="D25" s="45"/>
      <c r="E25" s="45"/>
      <c r="F25" s="45"/>
      <c r="G25" s="45"/>
      <c r="H25" s="45"/>
      <c r="I25" s="45"/>
      <c r="J25" s="45"/>
    </row>
    <row r="26" spans="1:10" ht="18.75">
      <c r="A26" s="45"/>
      <c r="B26" s="45"/>
      <c r="C26" s="45"/>
      <c r="D26" s="45"/>
      <c r="E26" s="45"/>
      <c r="F26" s="45"/>
      <c r="G26" s="45"/>
      <c r="H26" s="45"/>
      <c r="I26" s="45"/>
      <c r="J26" s="45"/>
    </row>
    <row r="27" spans="1:10" ht="18.75">
      <c r="A27" s="45"/>
      <c r="B27" s="45"/>
      <c r="C27" s="45"/>
      <c r="D27" s="45"/>
      <c r="E27" s="45"/>
      <c r="F27" s="45"/>
      <c r="G27" s="45"/>
      <c r="H27" s="45"/>
      <c r="I27" s="45"/>
      <c r="J27" s="45"/>
    </row>
    <row r="28" spans="1:10" ht="18.75">
      <c r="A28" s="45"/>
      <c r="B28" s="45"/>
      <c r="C28" s="45"/>
      <c r="D28" s="45"/>
      <c r="E28" s="45"/>
      <c r="F28" s="45"/>
      <c r="G28" s="45"/>
      <c r="H28" s="45"/>
      <c r="I28" s="45"/>
      <c r="J28" s="45"/>
    </row>
    <row r="29" spans="1:10" ht="18.75">
      <c r="A29" s="45"/>
      <c r="B29" s="45"/>
      <c r="C29" s="45"/>
      <c r="D29" s="45"/>
      <c r="E29" s="45"/>
      <c r="F29" s="45"/>
      <c r="G29" s="45"/>
      <c r="H29" s="45"/>
      <c r="I29" s="45"/>
      <c r="J29" s="45"/>
    </row>
    <row r="30" spans="1:10" ht="18.75">
      <c r="A30" s="45"/>
      <c r="B30" s="45"/>
      <c r="C30" s="45"/>
      <c r="D30" s="45"/>
      <c r="E30" s="45"/>
      <c r="F30" s="45"/>
      <c r="G30" s="45"/>
      <c r="H30" s="45"/>
      <c r="I30" s="45"/>
      <c r="J30" s="45"/>
    </row>
    <row r="31" spans="1:10" ht="18.75">
      <c r="A31" s="45"/>
      <c r="B31" s="45"/>
      <c r="C31" s="45"/>
      <c r="D31" s="45"/>
      <c r="E31" s="45"/>
      <c r="F31" s="45"/>
      <c r="G31" s="45"/>
      <c r="H31" s="45"/>
      <c r="I31" s="45"/>
      <c r="J31" s="45"/>
    </row>
    <row r="32" spans="1:10" ht="18.75">
      <c r="A32" s="45"/>
      <c r="B32" s="45"/>
      <c r="C32" s="45"/>
      <c r="D32" s="45"/>
      <c r="E32" s="45"/>
      <c r="F32" s="45"/>
      <c r="G32" s="45"/>
      <c r="H32" s="45"/>
      <c r="I32" s="45"/>
      <c r="J32" s="45"/>
    </row>
    <row r="33" spans="1:10" ht="18.75">
      <c r="A33" s="45"/>
      <c r="B33" s="45"/>
      <c r="C33" s="45"/>
      <c r="D33" s="45"/>
      <c r="E33" s="45"/>
      <c r="F33" s="45"/>
      <c r="G33" s="45"/>
      <c r="H33" s="45"/>
      <c r="I33" s="45"/>
      <c r="J33" s="45"/>
    </row>
    <row r="34" spans="1:10" ht="18.75">
      <c r="A34" s="45"/>
      <c r="B34" s="45"/>
      <c r="C34" s="45"/>
      <c r="D34" s="45"/>
      <c r="E34" s="45"/>
      <c r="F34" s="45"/>
      <c r="G34" s="45"/>
      <c r="H34" s="45"/>
      <c r="I34" s="45"/>
      <c r="J34" s="45"/>
    </row>
    <row r="35" spans="1:10" ht="18.75">
      <c r="A35" s="45"/>
      <c r="B35" s="45"/>
      <c r="C35" s="45"/>
      <c r="D35" s="45"/>
      <c r="E35" s="45"/>
      <c r="F35" s="45"/>
      <c r="G35" s="45"/>
      <c r="H35" s="45"/>
      <c r="I35" s="45"/>
      <c r="J35" s="45"/>
    </row>
    <row r="36" spans="1:10" ht="18.75">
      <c r="A36" s="45"/>
      <c r="B36" s="45"/>
      <c r="C36" s="45"/>
      <c r="D36" s="45"/>
      <c r="E36" s="45"/>
      <c r="F36" s="45"/>
      <c r="G36" s="45"/>
      <c r="H36" s="45"/>
      <c r="I36" s="45"/>
      <c r="J36" s="45"/>
    </row>
    <row r="37" spans="1:10" ht="18.75">
      <c r="A37" s="45"/>
      <c r="B37" s="45"/>
      <c r="C37" s="45"/>
      <c r="D37" s="45"/>
      <c r="E37" s="45"/>
      <c r="F37" s="45"/>
      <c r="G37" s="45"/>
      <c r="H37" s="45"/>
      <c r="I37" s="45"/>
      <c r="J37" s="45"/>
    </row>
    <row r="38" spans="1:10" ht="18.75">
      <c r="A38" s="45"/>
      <c r="B38" s="45"/>
      <c r="C38" s="45"/>
      <c r="D38" s="45"/>
      <c r="E38" s="45"/>
      <c r="F38" s="45"/>
      <c r="G38" s="45"/>
      <c r="H38" s="45"/>
      <c r="I38" s="45"/>
      <c r="J38" s="45"/>
    </row>
    <row r="39" spans="1:10" ht="18.75">
      <c r="A39" s="45"/>
      <c r="B39" s="45"/>
      <c r="C39" s="45"/>
      <c r="D39" s="45"/>
      <c r="E39" s="45"/>
      <c r="F39" s="45"/>
      <c r="G39" s="45"/>
      <c r="H39" s="45"/>
      <c r="I39" s="45"/>
      <c r="J39" s="45"/>
    </row>
    <row r="40" spans="1:10" ht="18.75">
      <c r="A40" s="45"/>
      <c r="B40" s="45"/>
      <c r="C40" s="45"/>
      <c r="D40" s="45"/>
      <c r="E40" s="45"/>
      <c r="F40" s="45"/>
      <c r="G40" s="45"/>
      <c r="H40" s="45"/>
      <c r="I40" s="45"/>
      <c r="J40" s="45"/>
    </row>
    <row r="41" spans="1:10" ht="18.75">
      <c r="A41" s="45"/>
      <c r="B41" s="45"/>
      <c r="C41" s="45"/>
      <c r="D41" s="45"/>
      <c r="E41" s="45"/>
      <c r="F41" s="45"/>
      <c r="G41" s="45"/>
      <c r="H41" s="45"/>
      <c r="I41" s="45"/>
      <c r="J41" s="45"/>
    </row>
    <row r="42" spans="1:10" ht="18.75">
      <c r="A42" s="45"/>
      <c r="B42" s="45"/>
      <c r="C42" s="45"/>
      <c r="D42" s="45"/>
      <c r="E42" s="45"/>
      <c r="F42" s="45"/>
      <c r="G42" s="45"/>
      <c r="H42" s="45"/>
      <c r="I42" s="45"/>
      <c r="J42" s="45"/>
    </row>
    <row r="43" spans="1:10" ht="18.75">
      <c r="A43" s="45"/>
      <c r="B43" s="45"/>
      <c r="C43" s="45"/>
      <c r="D43" s="45"/>
      <c r="E43" s="45"/>
      <c r="F43" s="45"/>
      <c r="G43" s="45"/>
      <c r="H43" s="45"/>
      <c r="I43" s="45"/>
      <c r="J43" s="45"/>
    </row>
    <row r="44" spans="1:10" ht="18.75">
      <c r="A44" s="45"/>
      <c r="B44" s="45"/>
      <c r="C44" s="45"/>
      <c r="D44" s="45"/>
      <c r="E44" s="45"/>
      <c r="F44" s="45"/>
      <c r="G44" s="45"/>
      <c r="H44" s="45"/>
      <c r="I44" s="45"/>
      <c r="J44" s="45"/>
    </row>
    <row r="45" spans="1:10" ht="18.75">
      <c r="A45" s="45"/>
      <c r="B45" s="45"/>
      <c r="C45" s="45"/>
      <c r="D45" s="45"/>
      <c r="E45" s="45"/>
      <c r="F45" s="45"/>
      <c r="G45" s="45"/>
      <c r="H45" s="45"/>
      <c r="I45" s="45"/>
      <c r="J45" s="45"/>
    </row>
    <row r="46" spans="1:10" ht="18.75">
      <c r="A46" s="45"/>
      <c r="B46" s="45"/>
      <c r="C46" s="45"/>
      <c r="D46" s="45"/>
      <c r="E46" s="45"/>
      <c r="F46" s="45"/>
      <c r="G46" s="45"/>
      <c r="H46" s="45"/>
      <c r="I46" s="45"/>
      <c r="J46" s="45"/>
    </row>
    <row r="47" spans="1:10" ht="18.75">
      <c r="A47" s="45"/>
      <c r="B47" s="45"/>
      <c r="C47" s="45"/>
      <c r="D47" s="45"/>
      <c r="E47" s="45"/>
      <c r="F47" s="45"/>
      <c r="G47" s="45"/>
      <c r="H47" s="45"/>
      <c r="I47" s="45"/>
      <c r="J47" s="45"/>
    </row>
    <row r="48" spans="1:10" ht="18.75">
      <c r="A48" s="45"/>
      <c r="B48" s="45"/>
      <c r="C48" s="45"/>
      <c r="D48" s="45"/>
      <c r="E48" s="45"/>
      <c r="F48" s="45"/>
      <c r="G48" s="45"/>
      <c r="H48" s="45"/>
      <c r="I48" s="45"/>
      <c r="J48" s="45"/>
    </row>
    <row r="49" spans="1:10" ht="18.75">
      <c r="A49" s="45"/>
      <c r="B49" s="45"/>
      <c r="C49" s="45"/>
      <c r="D49" s="45"/>
      <c r="E49" s="45"/>
      <c r="F49" s="45"/>
      <c r="G49" s="45"/>
      <c r="H49" s="45"/>
      <c r="I49" s="45"/>
      <c r="J49" s="45"/>
    </row>
    <row r="50" spans="1:10" ht="18.75">
      <c r="A50" s="45"/>
      <c r="B50" s="45"/>
      <c r="C50" s="45"/>
      <c r="D50" s="45"/>
      <c r="E50" s="45"/>
      <c r="F50" s="45"/>
      <c r="G50" s="45"/>
      <c r="H50" s="45"/>
      <c r="I50" s="45"/>
      <c r="J50" s="45"/>
    </row>
    <row r="51" spans="1:10" ht="18.75">
      <c r="A51" s="45"/>
      <c r="B51" s="45"/>
      <c r="C51" s="45"/>
      <c r="D51" s="45"/>
      <c r="E51" s="45"/>
      <c r="F51" s="45"/>
      <c r="G51" s="45"/>
      <c r="H51" s="45"/>
      <c r="I51" s="45"/>
      <c r="J51" s="45"/>
    </row>
    <row r="52" spans="1:10" ht="18.75">
      <c r="A52" s="45"/>
      <c r="B52" s="45"/>
      <c r="C52" s="45"/>
      <c r="D52" s="45"/>
      <c r="E52" s="45"/>
      <c r="F52" s="45"/>
      <c r="G52" s="45"/>
      <c r="H52" s="45"/>
      <c r="I52" s="45"/>
      <c r="J52" s="45"/>
    </row>
    <row r="53" spans="1:10" ht="18.75">
      <c r="A53" s="45"/>
      <c r="B53" s="45"/>
      <c r="C53" s="45"/>
      <c r="D53" s="45"/>
      <c r="E53" s="45"/>
      <c r="F53" s="45"/>
      <c r="G53" s="45"/>
      <c r="H53" s="45"/>
      <c r="I53" s="45"/>
      <c r="J53" s="45"/>
    </row>
    <row r="54" spans="1:10" ht="18.75">
      <c r="A54" s="45"/>
      <c r="B54" s="45"/>
      <c r="C54" s="45"/>
      <c r="D54" s="45"/>
      <c r="E54" s="45"/>
      <c r="F54" s="45"/>
      <c r="G54" s="45"/>
      <c r="H54" s="45"/>
      <c r="I54" s="45"/>
      <c r="J54" s="45"/>
    </row>
    <row r="55" spans="1:10" ht="18.75">
      <c r="A55" s="45"/>
      <c r="B55" s="45"/>
      <c r="C55" s="45"/>
      <c r="D55" s="45"/>
      <c r="E55" s="45"/>
      <c r="F55" s="45"/>
      <c r="G55" s="45"/>
      <c r="H55" s="45"/>
      <c r="I55" s="45"/>
      <c r="J55" s="45"/>
    </row>
    <row r="56" spans="1:10" ht="18.75">
      <c r="A56" s="45"/>
      <c r="B56" s="45"/>
      <c r="C56" s="45"/>
      <c r="D56" s="45"/>
      <c r="E56" s="45"/>
      <c r="F56" s="45"/>
      <c r="G56" s="45"/>
      <c r="H56" s="45"/>
      <c r="I56" s="45"/>
      <c r="J56" s="45"/>
    </row>
    <row r="57" spans="1:10" ht="18.75">
      <c r="A57" s="45"/>
      <c r="B57" s="45"/>
      <c r="C57" s="45"/>
      <c r="D57" s="45"/>
      <c r="E57" s="45"/>
      <c r="F57" s="45"/>
      <c r="G57" s="45"/>
      <c r="H57" s="45"/>
      <c r="I57" s="45"/>
      <c r="J57" s="45"/>
    </row>
    <row r="58" spans="1:10" ht="18.75">
      <c r="A58" s="45"/>
      <c r="B58" s="45"/>
      <c r="C58" s="45"/>
      <c r="D58" s="45"/>
      <c r="E58" s="45"/>
      <c r="F58" s="45"/>
      <c r="G58" s="45"/>
      <c r="H58" s="45"/>
      <c r="I58" s="45"/>
      <c r="J58" s="45"/>
    </row>
    <row r="59" spans="1:10" ht="18.75">
      <c r="A59" s="45"/>
      <c r="B59" s="45"/>
      <c r="C59" s="45"/>
      <c r="D59" s="45"/>
      <c r="E59" s="45"/>
      <c r="F59" s="45"/>
      <c r="G59" s="45"/>
      <c r="H59" s="45"/>
      <c r="I59" s="45"/>
      <c r="J59" s="45"/>
    </row>
    <row r="60" spans="1:10" ht="18.75">
      <c r="A60" s="45"/>
      <c r="B60" s="45"/>
      <c r="C60" s="45"/>
      <c r="D60" s="45"/>
      <c r="E60" s="45"/>
      <c r="F60" s="45"/>
      <c r="G60" s="45"/>
      <c r="H60" s="45"/>
      <c r="I60" s="45"/>
      <c r="J60" s="45"/>
    </row>
    <row r="61" spans="1:10" ht="18.75">
      <c r="A61" s="45"/>
      <c r="B61" s="45"/>
      <c r="C61" s="45"/>
      <c r="D61" s="45"/>
      <c r="E61" s="45"/>
      <c r="F61" s="45"/>
      <c r="G61" s="45"/>
      <c r="H61" s="45"/>
      <c r="I61" s="45"/>
      <c r="J61" s="45"/>
    </row>
    <row r="62" spans="1:10" ht="18.75">
      <c r="A62" s="45"/>
      <c r="B62" s="45"/>
      <c r="C62" s="45"/>
      <c r="D62" s="45"/>
      <c r="E62" s="45"/>
      <c r="F62" s="45"/>
      <c r="G62" s="45"/>
      <c r="H62" s="45"/>
      <c r="I62" s="45"/>
      <c r="J62" s="45"/>
    </row>
    <row r="63" spans="1:10" ht="18.75">
      <c r="A63" s="45"/>
      <c r="B63" s="45"/>
      <c r="C63" s="45"/>
      <c r="D63" s="45"/>
      <c r="E63" s="45"/>
      <c r="F63" s="45"/>
      <c r="G63" s="45"/>
      <c r="H63" s="45"/>
      <c r="I63" s="45"/>
      <c r="J63" s="45"/>
    </row>
    <row r="64" spans="1:10" ht="18.75">
      <c r="A64" s="45"/>
      <c r="B64" s="45"/>
      <c r="C64" s="45"/>
      <c r="D64" s="45"/>
      <c r="E64" s="45"/>
      <c r="F64" s="45"/>
      <c r="G64" s="45"/>
      <c r="H64" s="45"/>
      <c r="I64" s="45"/>
      <c r="J64" s="45"/>
    </row>
    <row r="65" spans="1:10" ht="18.75">
      <c r="A65" s="45"/>
      <c r="B65" s="45"/>
      <c r="C65" s="45"/>
      <c r="D65" s="45"/>
      <c r="E65" s="45"/>
      <c r="F65" s="45"/>
      <c r="G65" s="45"/>
      <c r="H65" s="45"/>
      <c r="I65" s="45"/>
      <c r="J65" s="45"/>
    </row>
    <row r="66" spans="1:10" ht="18.75">
      <c r="A66" s="45"/>
      <c r="B66" s="45"/>
      <c r="C66" s="45"/>
      <c r="D66" s="45"/>
      <c r="E66" s="45"/>
      <c r="F66" s="45"/>
      <c r="G66" s="45"/>
      <c r="H66" s="45"/>
      <c r="I66" s="45"/>
      <c r="J66" s="45"/>
    </row>
    <row r="67" spans="1:10" ht="18.75">
      <c r="A67" s="45"/>
      <c r="B67" s="45"/>
      <c r="C67" s="45"/>
      <c r="D67" s="45"/>
      <c r="E67" s="45"/>
      <c r="F67" s="45"/>
      <c r="G67" s="45"/>
      <c r="H67" s="45"/>
      <c r="I67" s="45"/>
      <c r="J67" s="45"/>
    </row>
    <row r="68" spans="1:10" ht="18.75">
      <c r="A68" s="45"/>
      <c r="B68" s="45"/>
      <c r="C68" s="45"/>
      <c r="D68" s="45"/>
      <c r="E68" s="45"/>
      <c r="F68" s="45"/>
      <c r="G68" s="45"/>
      <c r="H68" s="45"/>
      <c r="I68" s="45"/>
      <c r="J68" s="45"/>
    </row>
    <row r="69" spans="1:10" ht="18.75">
      <c r="A69" s="45"/>
      <c r="B69" s="45"/>
      <c r="C69" s="45"/>
      <c r="D69" s="45"/>
      <c r="E69" s="45"/>
      <c r="F69" s="45"/>
      <c r="G69" s="45"/>
      <c r="H69" s="45"/>
      <c r="I69" s="45"/>
      <c r="J69" s="45"/>
    </row>
    <row r="70" spans="1:10" ht="18.75">
      <c r="A70" s="45"/>
      <c r="B70" s="45"/>
      <c r="C70" s="45"/>
      <c r="D70" s="45"/>
      <c r="E70" s="45"/>
      <c r="F70" s="45"/>
      <c r="G70" s="45"/>
      <c r="H70" s="45"/>
      <c r="I70" s="45"/>
      <c r="J70" s="45"/>
    </row>
    <row r="71" spans="1:10" ht="18.75">
      <c r="A71" s="45"/>
      <c r="B71" s="45"/>
      <c r="C71" s="45"/>
      <c r="D71" s="45"/>
      <c r="E71" s="45"/>
      <c r="F71" s="45"/>
      <c r="G71" s="45"/>
      <c r="H71" s="45"/>
      <c r="I71" s="45"/>
      <c r="J71" s="45"/>
    </row>
    <row r="72" spans="1:10" ht="18.75">
      <c r="A72" s="45"/>
      <c r="B72" s="45"/>
      <c r="C72" s="45"/>
      <c r="D72" s="45"/>
      <c r="E72" s="45"/>
      <c r="F72" s="45"/>
      <c r="G72" s="45"/>
      <c r="H72" s="45"/>
      <c r="I72" s="45"/>
      <c r="J72" s="45"/>
    </row>
    <row r="73" spans="1:10" ht="18.75">
      <c r="A73" s="45"/>
      <c r="B73" s="45"/>
      <c r="C73" s="45"/>
      <c r="D73" s="45"/>
      <c r="E73" s="45"/>
      <c r="F73" s="45"/>
      <c r="G73" s="45"/>
      <c r="H73" s="45"/>
      <c r="I73" s="45"/>
      <c r="J73" s="45"/>
    </row>
    <row r="74" spans="1:10" ht="18.75">
      <c r="A74" s="45"/>
      <c r="B74" s="45"/>
      <c r="C74" s="45"/>
      <c r="D74" s="45"/>
      <c r="E74" s="45"/>
      <c r="F74" s="45"/>
      <c r="G74" s="45"/>
      <c r="H74" s="45"/>
      <c r="I74" s="45"/>
      <c r="J74" s="45"/>
    </row>
    <row r="75" spans="1:10" ht="18.75">
      <c r="A75" s="45"/>
      <c r="B75" s="45"/>
      <c r="C75" s="45"/>
      <c r="D75" s="45"/>
      <c r="E75" s="45"/>
      <c r="F75" s="45"/>
      <c r="G75" s="45"/>
      <c r="H75" s="45"/>
      <c r="I75" s="45"/>
      <c r="J75" s="45"/>
    </row>
    <row r="76" spans="1:10" ht="18.75">
      <c r="A76" s="45"/>
      <c r="B76" s="45"/>
      <c r="C76" s="45"/>
      <c r="D76" s="45"/>
      <c r="E76" s="45"/>
      <c r="F76" s="45"/>
      <c r="G76" s="45"/>
      <c r="H76" s="45"/>
      <c r="I76" s="45"/>
      <c r="J76" s="45"/>
    </row>
    <row r="77" spans="1:10" ht="18.75">
      <c r="A77" s="45"/>
      <c r="B77" s="45"/>
      <c r="C77" s="45"/>
      <c r="D77" s="45"/>
      <c r="E77" s="45"/>
      <c r="F77" s="45"/>
      <c r="G77" s="45"/>
      <c r="H77" s="45"/>
      <c r="I77" s="45"/>
      <c r="J77" s="45"/>
    </row>
    <row r="78" spans="1:10" ht="18.75">
      <c r="A78" s="45"/>
      <c r="B78" s="45"/>
      <c r="C78" s="45"/>
      <c r="D78" s="45"/>
      <c r="E78" s="45"/>
      <c r="F78" s="45"/>
      <c r="G78" s="45"/>
      <c r="H78" s="45"/>
      <c r="I78" s="45"/>
      <c r="J78" s="45"/>
    </row>
    <row r="79" spans="1:10" ht="18.75">
      <c r="A79" s="45"/>
      <c r="B79" s="45"/>
      <c r="C79" s="45"/>
      <c r="D79" s="45"/>
      <c r="E79" s="45"/>
      <c r="F79" s="45"/>
      <c r="G79" s="45"/>
      <c r="H79" s="45"/>
      <c r="I79" s="45"/>
      <c r="J79" s="45"/>
    </row>
    <row r="80" spans="1:10" ht="18.75">
      <c r="A80" s="45"/>
      <c r="B80" s="45"/>
      <c r="C80" s="45"/>
      <c r="D80" s="45"/>
      <c r="E80" s="45"/>
      <c r="F80" s="45"/>
      <c r="G80" s="45"/>
      <c r="H80" s="45"/>
      <c r="I80" s="45"/>
      <c r="J80" s="45"/>
    </row>
    <row r="81" spans="1:10" ht="18.75">
      <c r="A81" s="45"/>
      <c r="B81" s="45"/>
      <c r="C81" s="45"/>
      <c r="D81" s="45"/>
      <c r="E81" s="45"/>
      <c r="F81" s="45"/>
      <c r="G81" s="45"/>
      <c r="H81" s="45"/>
      <c r="I81" s="45"/>
      <c r="J81" s="45"/>
    </row>
    <row r="82" spans="1:10" ht="18.75">
      <c r="A82" s="45"/>
      <c r="B82" s="45"/>
      <c r="C82" s="45"/>
      <c r="D82" s="45"/>
      <c r="E82" s="45"/>
      <c r="F82" s="45"/>
      <c r="G82" s="45"/>
      <c r="H82" s="45"/>
      <c r="I82" s="45"/>
      <c r="J82" s="45"/>
    </row>
    <row r="83" spans="1:10" ht="18.75">
      <c r="A83" s="45"/>
      <c r="B83" s="45"/>
      <c r="C83" s="45"/>
      <c r="D83" s="45"/>
      <c r="E83" s="45"/>
      <c r="F83" s="45"/>
      <c r="G83" s="45"/>
      <c r="H83" s="45"/>
      <c r="I83" s="45"/>
      <c r="J83" s="45"/>
    </row>
    <row r="84" spans="1:10" ht="18.75">
      <c r="A84" s="45"/>
      <c r="B84" s="45"/>
      <c r="C84" s="45"/>
      <c r="D84" s="45"/>
      <c r="E84" s="45"/>
      <c r="F84" s="45"/>
      <c r="G84" s="45"/>
      <c r="H84" s="45"/>
      <c r="I84" s="45"/>
      <c r="J84" s="45"/>
    </row>
    <row r="85" spans="1:10" ht="18.75">
      <c r="A85" s="45"/>
      <c r="B85" s="45"/>
      <c r="C85" s="45"/>
      <c r="D85" s="45"/>
      <c r="E85" s="45"/>
      <c r="F85" s="45"/>
      <c r="G85" s="45"/>
      <c r="H85" s="45"/>
      <c r="I85" s="45"/>
      <c r="J85" s="45"/>
    </row>
    <row r="86" spans="1:10" ht="18.75">
      <c r="A86" s="45"/>
      <c r="B86" s="45"/>
      <c r="C86" s="45"/>
      <c r="D86" s="45"/>
      <c r="E86" s="45"/>
      <c r="F86" s="45"/>
      <c r="G86" s="45"/>
      <c r="H86" s="45"/>
      <c r="I86" s="45"/>
      <c r="J86" s="45"/>
    </row>
    <row r="87" spans="1:10" ht="18.75">
      <c r="A87" s="45"/>
      <c r="B87" s="45"/>
      <c r="C87" s="45"/>
      <c r="D87" s="45"/>
      <c r="E87" s="45"/>
      <c r="F87" s="45"/>
      <c r="G87" s="45"/>
      <c r="H87" s="45"/>
      <c r="I87" s="45"/>
      <c r="J87" s="45"/>
    </row>
    <row r="88" spans="1:10" ht="18.75">
      <c r="A88" s="45"/>
      <c r="B88" s="45"/>
      <c r="C88" s="45"/>
      <c r="D88" s="45"/>
      <c r="E88" s="45"/>
      <c r="F88" s="45"/>
      <c r="G88" s="45"/>
      <c r="H88" s="45"/>
      <c r="I88" s="45"/>
      <c r="J88" s="45"/>
    </row>
    <row r="89" spans="1:10" ht="18.75">
      <c r="A89" s="45"/>
      <c r="B89" s="45"/>
      <c r="C89" s="45"/>
      <c r="D89" s="45"/>
      <c r="E89" s="45"/>
      <c r="F89" s="45"/>
      <c r="G89" s="45"/>
      <c r="H89" s="45"/>
      <c r="I89" s="45"/>
      <c r="J89" s="45"/>
    </row>
    <row r="90" spans="1:10" ht="18.75">
      <c r="A90" s="45"/>
      <c r="B90" s="45"/>
      <c r="C90" s="45"/>
      <c r="D90" s="45"/>
      <c r="E90" s="45"/>
      <c r="F90" s="45"/>
      <c r="G90" s="45"/>
      <c r="H90" s="45"/>
      <c r="I90" s="45"/>
      <c r="J90" s="45"/>
    </row>
    <row r="91" spans="1:10" ht="18.75">
      <c r="A91" s="45"/>
      <c r="B91" s="45"/>
      <c r="C91" s="45"/>
      <c r="D91" s="45"/>
      <c r="E91" s="45"/>
      <c r="F91" s="45"/>
      <c r="G91" s="45"/>
      <c r="H91" s="45"/>
      <c r="I91" s="45"/>
      <c r="J91" s="45"/>
    </row>
    <row r="92" spans="1:10" ht="18.75">
      <c r="A92" s="45"/>
      <c r="B92" s="45"/>
      <c r="C92" s="45"/>
      <c r="D92" s="45"/>
      <c r="E92" s="45"/>
      <c r="F92" s="45"/>
      <c r="G92" s="45"/>
      <c r="H92" s="45"/>
      <c r="I92" s="45"/>
      <c r="J92" s="45"/>
    </row>
    <row r="93" spans="1:10" ht="18.75">
      <c r="A93" s="45"/>
      <c r="B93" s="45"/>
      <c r="C93" s="45"/>
      <c r="D93" s="45"/>
      <c r="E93" s="45"/>
      <c r="F93" s="45"/>
      <c r="G93" s="45"/>
      <c r="H93" s="45"/>
      <c r="I93" s="45"/>
      <c r="J93" s="45"/>
    </row>
    <row r="94" spans="1:10" ht="18.75">
      <c r="A94" s="45"/>
      <c r="B94" s="45"/>
      <c r="C94" s="45"/>
      <c r="D94" s="45"/>
      <c r="E94" s="45"/>
      <c r="F94" s="45"/>
      <c r="G94" s="45"/>
      <c r="H94" s="45"/>
      <c r="I94" s="45"/>
      <c r="J94" s="45"/>
    </row>
    <row r="95" spans="1:10" ht="18.75">
      <c r="A95" s="45"/>
      <c r="B95" s="45"/>
      <c r="C95" s="45"/>
      <c r="D95" s="45"/>
      <c r="E95" s="45"/>
      <c r="F95" s="45"/>
      <c r="G95" s="45"/>
      <c r="H95" s="45"/>
      <c r="I95" s="45"/>
      <c r="J95" s="45"/>
    </row>
    <row r="96" spans="1:10" ht="18.75">
      <c r="A96" s="45"/>
      <c r="B96" s="45"/>
      <c r="C96" s="45"/>
      <c r="D96" s="45"/>
      <c r="E96" s="45"/>
      <c r="F96" s="45"/>
      <c r="G96" s="45"/>
      <c r="H96" s="45"/>
      <c r="I96" s="45"/>
      <c r="J96" s="45"/>
    </row>
    <row r="97" spans="1:10" ht="18.75">
      <c r="A97" s="45"/>
      <c r="B97" s="45"/>
      <c r="C97" s="45"/>
      <c r="D97" s="45"/>
      <c r="E97" s="45"/>
      <c r="F97" s="45"/>
      <c r="G97" s="45"/>
      <c r="H97" s="45"/>
      <c r="I97" s="45"/>
      <c r="J97" s="45"/>
    </row>
    <row r="98" spans="1:10" ht="18.75">
      <c r="A98" s="45"/>
      <c r="B98" s="45"/>
      <c r="C98" s="45"/>
      <c r="D98" s="45"/>
      <c r="E98" s="45"/>
      <c r="F98" s="45"/>
      <c r="G98" s="45"/>
      <c r="H98" s="45"/>
      <c r="I98" s="45"/>
      <c r="J98" s="45"/>
    </row>
    <row r="99" spans="1:10" ht="18.75">
      <c r="A99" s="45"/>
      <c r="B99" s="45"/>
      <c r="C99" s="45"/>
      <c r="D99" s="45"/>
      <c r="E99" s="45"/>
      <c r="F99" s="45"/>
      <c r="G99" s="45"/>
      <c r="H99" s="45"/>
      <c r="I99" s="45"/>
      <c r="J99" s="45"/>
    </row>
    <row r="100" spans="1:10" ht="18.75">
      <c r="A100" s="45"/>
      <c r="B100" s="45"/>
      <c r="C100" s="45"/>
      <c r="D100" s="45"/>
      <c r="E100" s="45"/>
      <c r="F100" s="45"/>
      <c r="G100" s="45"/>
      <c r="H100" s="45"/>
      <c r="I100" s="45"/>
      <c r="J100" s="45"/>
    </row>
    <row r="101" spans="1:10" ht="18.75">
      <c r="A101" s="45"/>
      <c r="B101" s="45"/>
      <c r="C101" s="45"/>
      <c r="D101" s="45"/>
      <c r="E101" s="45"/>
      <c r="F101" s="45"/>
      <c r="G101" s="45"/>
      <c r="H101" s="45"/>
      <c r="I101" s="45"/>
      <c r="J101" s="45"/>
    </row>
    <row r="102" spans="1:10" ht="18.75">
      <c r="A102" s="45"/>
      <c r="B102" s="45"/>
      <c r="C102" s="45"/>
      <c r="D102" s="45"/>
      <c r="E102" s="45"/>
      <c r="F102" s="45"/>
      <c r="G102" s="45"/>
      <c r="H102" s="45"/>
      <c r="I102" s="45"/>
      <c r="J102" s="45"/>
    </row>
    <row r="103" spans="1:10" ht="18.75">
      <c r="A103" s="45"/>
      <c r="B103" s="45"/>
      <c r="C103" s="45"/>
      <c r="D103" s="45"/>
      <c r="E103" s="45"/>
      <c r="F103" s="45"/>
      <c r="G103" s="45"/>
      <c r="H103" s="45"/>
      <c r="I103" s="45"/>
      <c r="J103" s="45"/>
    </row>
    <row r="104" spans="1:10" ht="18.75">
      <c r="A104" s="45"/>
      <c r="B104" s="45"/>
      <c r="C104" s="45"/>
      <c r="D104" s="45"/>
      <c r="E104" s="45"/>
      <c r="F104" s="45"/>
      <c r="G104" s="45"/>
      <c r="H104" s="45"/>
      <c r="I104" s="45"/>
      <c r="J104" s="45"/>
    </row>
    <row r="105" spans="1:10" ht="18.75">
      <c r="A105" s="45"/>
      <c r="B105" s="45"/>
      <c r="C105" s="45"/>
      <c r="D105" s="45"/>
      <c r="E105" s="45"/>
      <c r="F105" s="45"/>
      <c r="G105" s="45"/>
      <c r="H105" s="45"/>
      <c r="I105" s="45"/>
      <c r="J105" s="45"/>
    </row>
    <row r="106" spans="1:10" ht="18.75">
      <c r="A106" s="45"/>
      <c r="B106" s="45"/>
      <c r="C106" s="45"/>
      <c r="D106" s="45"/>
      <c r="E106" s="45"/>
      <c r="F106" s="45"/>
      <c r="G106" s="45"/>
      <c r="H106" s="45"/>
      <c r="I106" s="45"/>
      <c r="J106" s="45"/>
    </row>
    <row r="107" spans="1:10" ht="18.75">
      <c r="A107" s="45"/>
      <c r="B107" s="45"/>
      <c r="C107" s="45"/>
      <c r="D107" s="45"/>
      <c r="E107" s="45"/>
      <c r="F107" s="45"/>
      <c r="G107" s="45"/>
      <c r="H107" s="45"/>
      <c r="I107" s="45"/>
      <c r="J107" s="45"/>
    </row>
    <row r="108" spans="1:10" ht="18.75">
      <c r="A108" s="45"/>
      <c r="B108" s="45"/>
      <c r="C108" s="45"/>
      <c r="D108" s="45"/>
      <c r="E108" s="45"/>
      <c r="F108" s="45"/>
      <c r="G108" s="45"/>
      <c r="H108" s="45"/>
      <c r="I108" s="45"/>
      <c r="J108" s="45"/>
    </row>
    <row r="109" spans="1:10" ht="18.75">
      <c r="A109" s="45"/>
      <c r="B109" s="45"/>
      <c r="C109" s="45"/>
      <c r="D109" s="45"/>
      <c r="E109" s="45"/>
      <c r="F109" s="45"/>
      <c r="G109" s="45"/>
      <c r="H109" s="45"/>
      <c r="I109" s="45"/>
      <c r="J109" s="45"/>
    </row>
    <row r="110" spans="1:10" ht="18.75">
      <c r="A110" s="45"/>
      <c r="B110" s="45"/>
      <c r="C110" s="45"/>
      <c r="D110" s="45"/>
      <c r="E110" s="45"/>
      <c r="F110" s="45"/>
      <c r="G110" s="45"/>
      <c r="H110" s="45"/>
      <c r="I110" s="45"/>
      <c r="J110" s="45"/>
    </row>
    <row r="111" spans="1:10" ht="18.75">
      <c r="A111" s="45"/>
      <c r="B111" s="45"/>
      <c r="C111" s="45"/>
      <c r="D111" s="45"/>
      <c r="E111" s="45"/>
      <c r="F111" s="45"/>
      <c r="G111" s="45"/>
      <c r="H111" s="45"/>
      <c r="I111" s="45"/>
      <c r="J111" s="45"/>
    </row>
    <row r="112" spans="1:10" ht="18.75">
      <c r="A112" s="45"/>
      <c r="B112" s="45"/>
      <c r="C112" s="45"/>
      <c r="D112" s="45"/>
      <c r="E112" s="45"/>
      <c r="F112" s="45"/>
      <c r="G112" s="45"/>
      <c r="H112" s="45"/>
      <c r="I112" s="45"/>
      <c r="J112" s="45"/>
    </row>
    <row r="113" spans="1:10" ht="18.75">
      <c r="A113" s="45"/>
      <c r="B113" s="45"/>
      <c r="C113" s="45"/>
      <c r="D113" s="45"/>
      <c r="E113" s="45"/>
      <c r="F113" s="45"/>
      <c r="G113" s="45"/>
      <c r="H113" s="45"/>
      <c r="I113" s="45"/>
      <c r="J113" s="45"/>
    </row>
    <row r="114" spans="1:10" ht="18.75">
      <c r="A114" s="45"/>
      <c r="B114" s="45"/>
      <c r="C114" s="45"/>
      <c r="D114" s="45"/>
      <c r="E114" s="45"/>
      <c r="F114" s="45"/>
      <c r="G114" s="45"/>
      <c r="H114" s="45"/>
      <c r="I114" s="45"/>
      <c r="J114" s="45"/>
    </row>
    <row r="115" spans="1:10" ht="18.75">
      <c r="A115" s="45"/>
      <c r="B115" s="45"/>
      <c r="C115" s="45"/>
      <c r="D115" s="45"/>
      <c r="E115" s="45"/>
      <c r="F115" s="45"/>
      <c r="G115" s="45"/>
      <c r="H115" s="45"/>
      <c r="I115" s="45"/>
      <c r="J115" s="45"/>
    </row>
    <row r="116" spans="1:10" ht="18.75">
      <c r="A116" s="45"/>
      <c r="B116" s="45"/>
      <c r="C116" s="45"/>
      <c r="D116" s="45"/>
      <c r="E116" s="45"/>
      <c r="F116" s="45"/>
      <c r="G116" s="45"/>
      <c r="H116" s="45"/>
      <c r="I116" s="45"/>
      <c r="J116" s="45"/>
    </row>
    <row r="117" spans="1:10" ht="18.75">
      <c r="A117" s="45"/>
      <c r="B117" s="45"/>
      <c r="C117" s="45"/>
      <c r="D117" s="45"/>
      <c r="E117" s="45"/>
      <c r="F117" s="45"/>
      <c r="G117" s="45"/>
      <c r="H117" s="45"/>
      <c r="I117" s="45"/>
      <c r="J117" s="45"/>
    </row>
    <row r="118" spans="1:10" ht="18.75">
      <c r="A118" s="45"/>
      <c r="B118" s="45"/>
      <c r="C118" s="45"/>
      <c r="D118" s="45"/>
      <c r="E118" s="45"/>
      <c r="F118" s="45"/>
      <c r="G118" s="45"/>
      <c r="H118" s="45"/>
      <c r="I118" s="45"/>
      <c r="J118" s="45"/>
    </row>
    <row r="119" spans="1:10" ht="18.75">
      <c r="A119" s="45"/>
      <c r="B119" s="45"/>
      <c r="C119" s="45"/>
      <c r="D119" s="45"/>
      <c r="E119" s="45"/>
      <c r="F119" s="45"/>
      <c r="G119" s="45"/>
      <c r="H119" s="45"/>
      <c r="I119" s="45"/>
      <c r="J119" s="45"/>
    </row>
    <row r="120" spans="1:10" ht="18.75">
      <c r="A120" s="45"/>
      <c r="B120" s="45"/>
      <c r="C120" s="45"/>
      <c r="D120" s="45"/>
      <c r="E120" s="45"/>
      <c r="F120" s="45"/>
      <c r="G120" s="45"/>
      <c r="H120" s="45"/>
      <c r="I120" s="45"/>
      <c r="J120" s="45"/>
    </row>
    <row r="121" spans="1:10" ht="18.75">
      <c r="A121" s="45"/>
      <c r="B121" s="45"/>
      <c r="C121" s="45"/>
      <c r="D121" s="45"/>
      <c r="E121" s="45"/>
      <c r="F121" s="45"/>
      <c r="G121" s="45"/>
      <c r="H121" s="45"/>
      <c r="I121" s="45"/>
      <c r="J121" s="45"/>
    </row>
    <row r="122" spans="1:10" ht="18.75">
      <c r="A122" s="45"/>
      <c r="B122" s="45"/>
      <c r="C122" s="45"/>
      <c r="D122" s="45"/>
      <c r="E122" s="45"/>
      <c r="F122" s="45"/>
      <c r="G122" s="45"/>
      <c r="H122" s="45"/>
      <c r="I122" s="45"/>
      <c r="J122" s="45"/>
    </row>
    <row r="123" spans="1:10" ht="18.75">
      <c r="A123" s="45"/>
      <c r="B123" s="45"/>
      <c r="C123" s="45"/>
      <c r="D123" s="45"/>
      <c r="E123" s="45"/>
      <c r="F123" s="45"/>
      <c r="G123" s="45"/>
      <c r="H123" s="45"/>
      <c r="I123" s="45"/>
      <c r="J123" s="45"/>
    </row>
    <row r="124" spans="1:10" ht="18.75">
      <c r="A124" s="45"/>
      <c r="B124" s="45"/>
      <c r="C124" s="45"/>
      <c r="D124" s="45"/>
      <c r="E124" s="45"/>
      <c r="F124" s="45"/>
      <c r="G124" s="45"/>
      <c r="H124" s="45"/>
      <c r="I124" s="45"/>
      <c r="J124" s="45"/>
    </row>
    <row r="125" spans="1:10" ht="18.75">
      <c r="A125" s="45"/>
      <c r="B125" s="45"/>
      <c r="C125" s="45"/>
      <c r="D125" s="45"/>
      <c r="E125" s="45"/>
      <c r="F125" s="45"/>
      <c r="G125" s="45"/>
      <c r="H125" s="45"/>
      <c r="I125" s="45"/>
      <c r="J125" s="45"/>
    </row>
    <row r="126" spans="1:10" ht="18.75">
      <c r="A126" s="45"/>
      <c r="B126" s="45"/>
      <c r="C126" s="45"/>
      <c r="D126" s="45"/>
      <c r="E126" s="45"/>
      <c r="F126" s="45"/>
      <c r="G126" s="45"/>
      <c r="H126" s="45"/>
      <c r="I126" s="45"/>
      <c r="J126" s="45"/>
    </row>
    <row r="127" spans="1:10" ht="18.75">
      <c r="A127" s="45"/>
      <c r="B127" s="45"/>
      <c r="C127" s="45"/>
      <c r="D127" s="45"/>
      <c r="E127" s="45"/>
      <c r="F127" s="45"/>
      <c r="G127" s="45"/>
      <c r="H127" s="45"/>
      <c r="I127" s="45"/>
      <c r="J127" s="45"/>
    </row>
    <row r="128" spans="1:10" ht="18.75">
      <c r="A128" s="45"/>
      <c r="B128" s="45"/>
      <c r="C128" s="45"/>
      <c r="D128" s="45"/>
      <c r="E128" s="45"/>
      <c r="F128" s="45"/>
      <c r="G128" s="45"/>
      <c r="H128" s="45"/>
      <c r="I128" s="45"/>
      <c r="J128" s="45"/>
    </row>
    <row r="129" spans="1:10" ht="18.75">
      <c r="A129" s="45"/>
      <c r="B129" s="45"/>
      <c r="C129" s="45"/>
      <c r="D129" s="45"/>
      <c r="E129" s="45"/>
      <c r="F129" s="45"/>
      <c r="G129" s="45"/>
      <c r="H129" s="45"/>
      <c r="I129" s="45"/>
      <c r="J129" s="45"/>
    </row>
    <row r="130" spans="1:10" ht="18.75">
      <c r="A130" s="45"/>
      <c r="B130" s="45"/>
      <c r="C130" s="45"/>
      <c r="D130" s="45"/>
      <c r="E130" s="45"/>
      <c r="F130" s="45"/>
      <c r="G130" s="45"/>
      <c r="H130" s="45"/>
      <c r="I130" s="45"/>
      <c r="J130" s="45"/>
    </row>
    <row r="131" spans="1:10" ht="18.75">
      <c r="A131" s="45"/>
      <c r="B131" s="45"/>
      <c r="C131" s="45"/>
      <c r="D131" s="45"/>
      <c r="E131" s="45"/>
      <c r="F131" s="45"/>
      <c r="G131" s="45"/>
      <c r="H131" s="45"/>
      <c r="I131" s="45"/>
      <c r="J131" s="45"/>
    </row>
    <row r="132" spans="1:10" ht="18.75">
      <c r="A132" s="45"/>
      <c r="B132" s="45"/>
      <c r="C132" s="45"/>
      <c r="D132" s="45"/>
      <c r="E132" s="45"/>
      <c r="F132" s="45"/>
      <c r="G132" s="45"/>
      <c r="H132" s="45"/>
      <c r="I132" s="45"/>
      <c r="J132" s="45"/>
    </row>
    <row r="133" spans="1:10" ht="18.75">
      <c r="A133" s="45"/>
      <c r="B133" s="45"/>
      <c r="C133" s="45"/>
      <c r="D133" s="45"/>
      <c r="E133" s="45"/>
      <c r="F133" s="45"/>
      <c r="G133" s="45"/>
      <c r="H133" s="45"/>
      <c r="I133" s="45"/>
      <c r="J133" s="45"/>
    </row>
    <row r="134" spans="1:10" ht="18.75">
      <c r="A134" s="45"/>
      <c r="B134" s="45"/>
      <c r="C134" s="45"/>
      <c r="D134" s="45"/>
      <c r="E134" s="45"/>
      <c r="F134" s="45"/>
      <c r="G134" s="45"/>
      <c r="H134" s="45"/>
      <c r="I134" s="45"/>
      <c r="J134" s="45"/>
    </row>
    <row r="135" spans="1:10" ht="18.75">
      <c r="A135" s="45"/>
      <c r="B135" s="45"/>
      <c r="C135" s="45"/>
      <c r="D135" s="45"/>
      <c r="E135" s="45"/>
      <c r="F135" s="45"/>
      <c r="G135" s="45"/>
      <c r="H135" s="45"/>
      <c r="I135" s="45"/>
      <c r="J135" s="45"/>
    </row>
    <row r="136" spans="1:10" ht="18.75">
      <c r="A136" s="45"/>
      <c r="B136" s="45"/>
      <c r="C136" s="45"/>
      <c r="D136" s="45"/>
      <c r="E136" s="45"/>
      <c r="F136" s="45"/>
      <c r="G136" s="45"/>
      <c r="H136" s="45"/>
      <c r="I136" s="45"/>
      <c r="J136" s="45"/>
    </row>
    <row r="137" spans="1:10" ht="18.75">
      <c r="A137" s="45"/>
      <c r="B137" s="45"/>
      <c r="C137" s="45"/>
      <c r="D137" s="45"/>
      <c r="E137" s="45"/>
      <c r="F137" s="45"/>
      <c r="G137" s="45"/>
      <c r="H137" s="45"/>
      <c r="I137" s="45"/>
      <c r="J137" s="45"/>
    </row>
    <row r="138" spans="1:10" ht="18.75">
      <c r="A138" s="45"/>
      <c r="B138" s="45"/>
      <c r="C138" s="45"/>
      <c r="D138" s="45"/>
      <c r="E138" s="45"/>
      <c r="F138" s="45"/>
      <c r="G138" s="45"/>
      <c r="H138" s="45"/>
      <c r="I138" s="45"/>
      <c r="J138" s="45"/>
    </row>
    <row r="139" spans="1:10" ht="18.75">
      <c r="A139" s="45"/>
      <c r="B139" s="45"/>
      <c r="C139" s="45"/>
      <c r="D139" s="45"/>
      <c r="E139" s="45"/>
      <c r="F139" s="45"/>
      <c r="G139" s="45"/>
      <c r="H139" s="45"/>
      <c r="I139" s="45"/>
      <c r="J139" s="45"/>
    </row>
    <row r="140" spans="1:10" ht="18.75">
      <c r="A140" s="45"/>
      <c r="B140" s="45"/>
      <c r="C140" s="45"/>
      <c r="D140" s="45"/>
      <c r="E140" s="45"/>
      <c r="F140" s="45"/>
      <c r="G140" s="45"/>
      <c r="H140" s="45"/>
      <c r="I140" s="45"/>
      <c r="J140" s="45"/>
    </row>
    <row r="141" spans="1:10" ht="18.75">
      <c r="A141" s="45"/>
      <c r="B141" s="45"/>
      <c r="C141" s="45"/>
      <c r="D141" s="45"/>
      <c r="E141" s="45"/>
      <c r="F141" s="45"/>
      <c r="G141" s="45"/>
      <c r="H141" s="45"/>
      <c r="I141" s="45"/>
      <c r="J141" s="45"/>
    </row>
    <row r="142" spans="1:10" ht="18.75">
      <c r="A142" s="45"/>
      <c r="B142" s="45"/>
      <c r="C142" s="45"/>
      <c r="D142" s="45"/>
      <c r="E142" s="45"/>
      <c r="F142" s="45"/>
      <c r="G142" s="45"/>
      <c r="H142" s="45"/>
      <c r="I142" s="45"/>
      <c r="J142" s="45"/>
    </row>
    <row r="143" spans="1:10" ht="18.75">
      <c r="A143" s="45"/>
      <c r="B143" s="45"/>
      <c r="C143" s="45"/>
      <c r="D143" s="45"/>
      <c r="E143" s="45"/>
      <c r="F143" s="45"/>
      <c r="G143" s="45"/>
      <c r="H143" s="45"/>
      <c r="I143" s="45"/>
      <c r="J143" s="45"/>
    </row>
    <row r="144" spans="1:10" ht="18.75">
      <c r="A144" s="45"/>
      <c r="B144" s="45"/>
      <c r="C144" s="45"/>
      <c r="D144" s="45"/>
      <c r="E144" s="45"/>
      <c r="F144" s="45"/>
      <c r="G144" s="45"/>
      <c r="H144" s="45"/>
      <c r="I144" s="45"/>
      <c r="J144" s="45"/>
    </row>
    <row r="145" spans="1:10" ht="18.75">
      <c r="A145" s="45"/>
      <c r="B145" s="45"/>
      <c r="C145" s="45"/>
      <c r="D145" s="45"/>
      <c r="E145" s="45"/>
      <c r="F145" s="45"/>
      <c r="G145" s="45"/>
      <c r="H145" s="45"/>
      <c r="I145" s="45"/>
      <c r="J145" s="45"/>
    </row>
    <row r="146" spans="1:10" ht="18.75">
      <c r="A146" s="45"/>
      <c r="B146" s="45"/>
      <c r="C146" s="45"/>
      <c r="D146" s="45"/>
      <c r="E146" s="45"/>
      <c r="F146" s="45"/>
      <c r="G146" s="45"/>
      <c r="H146" s="45"/>
      <c r="I146" s="45"/>
      <c r="J146" s="45"/>
    </row>
    <row r="147" spans="1:10" ht="18.75">
      <c r="A147" s="45"/>
      <c r="B147" s="45"/>
      <c r="C147" s="45"/>
      <c r="D147" s="45"/>
      <c r="E147" s="45"/>
      <c r="F147" s="45"/>
      <c r="G147" s="45"/>
      <c r="H147" s="45"/>
      <c r="I147" s="45"/>
      <c r="J147" s="45"/>
    </row>
    <row r="148" spans="1:10" ht="18.75">
      <c r="A148" s="45"/>
      <c r="B148" s="45"/>
      <c r="C148" s="45"/>
      <c r="D148" s="45"/>
      <c r="E148" s="45"/>
      <c r="F148" s="45"/>
      <c r="G148" s="45"/>
      <c r="H148" s="45"/>
      <c r="I148" s="45"/>
      <c r="J148" s="45"/>
    </row>
    <row r="149" spans="1:10" ht="18.75">
      <c r="A149" s="45"/>
      <c r="B149" s="45"/>
      <c r="C149" s="45"/>
      <c r="D149" s="45"/>
      <c r="E149" s="45"/>
      <c r="F149" s="45"/>
      <c r="G149" s="45"/>
      <c r="H149" s="45"/>
      <c r="I149" s="45"/>
      <c r="J149" s="45"/>
    </row>
    <row r="150" spans="1:10" ht="18.75">
      <c r="A150" s="45"/>
      <c r="B150" s="45"/>
      <c r="C150" s="45"/>
      <c r="D150" s="45"/>
      <c r="E150" s="45"/>
      <c r="F150" s="45"/>
      <c r="G150" s="45"/>
      <c r="H150" s="45"/>
      <c r="I150" s="45"/>
      <c r="J150" s="45"/>
    </row>
    <row r="151" spans="1:10" ht="18.75">
      <c r="A151" s="45"/>
      <c r="B151" s="45"/>
      <c r="C151" s="45"/>
      <c r="D151" s="45"/>
      <c r="E151" s="45"/>
      <c r="F151" s="45"/>
      <c r="G151" s="45"/>
      <c r="H151" s="45"/>
      <c r="I151" s="45"/>
      <c r="J151" s="45"/>
    </row>
    <row r="152" spans="1:10" ht="18.75">
      <c r="A152" s="45"/>
      <c r="B152" s="45"/>
      <c r="C152" s="45"/>
      <c r="D152" s="45"/>
      <c r="E152" s="45"/>
      <c r="F152" s="45"/>
      <c r="G152" s="45"/>
      <c r="H152" s="45"/>
      <c r="I152" s="45"/>
      <c r="J152" s="45"/>
    </row>
    <row r="153" spans="1:10" ht="18.75">
      <c r="A153" s="45"/>
      <c r="B153" s="45"/>
      <c r="C153" s="45"/>
      <c r="D153" s="45"/>
      <c r="E153" s="45"/>
      <c r="F153" s="45"/>
      <c r="G153" s="45"/>
      <c r="H153" s="45"/>
      <c r="I153" s="45"/>
      <c r="J153" s="45"/>
    </row>
    <row r="154" spans="1:10" ht="18.75">
      <c r="A154" s="45"/>
      <c r="B154" s="45"/>
      <c r="C154" s="45"/>
      <c r="D154" s="45"/>
      <c r="E154" s="45"/>
      <c r="F154" s="45"/>
      <c r="G154" s="45"/>
      <c r="H154" s="45"/>
      <c r="I154" s="45"/>
      <c r="J154" s="45"/>
    </row>
    <row r="155" spans="1:10" ht="18.75">
      <c r="A155" s="45"/>
      <c r="B155" s="45"/>
      <c r="C155" s="45"/>
      <c r="D155" s="45"/>
      <c r="E155" s="45"/>
      <c r="F155" s="45"/>
      <c r="G155" s="45"/>
      <c r="H155" s="45"/>
      <c r="I155" s="45"/>
      <c r="J155" s="45"/>
    </row>
    <row r="156" spans="1:10" ht="18.75">
      <c r="A156" s="45"/>
      <c r="B156" s="45"/>
      <c r="C156" s="45"/>
      <c r="D156" s="45"/>
      <c r="E156" s="45"/>
      <c r="F156" s="45"/>
      <c r="G156" s="45"/>
      <c r="H156" s="45"/>
      <c r="I156" s="45"/>
      <c r="J156" s="45"/>
    </row>
    <row r="157" spans="1:10" ht="18.75">
      <c r="A157" s="45"/>
      <c r="B157" s="45"/>
      <c r="C157" s="45"/>
      <c r="D157" s="45"/>
      <c r="E157" s="45"/>
      <c r="F157" s="45"/>
      <c r="G157" s="45"/>
      <c r="H157" s="45"/>
      <c r="I157" s="45"/>
      <c r="J157" s="45"/>
    </row>
    <row r="158" spans="1:10" ht="18.75">
      <c r="A158" s="45"/>
      <c r="B158" s="45"/>
      <c r="C158" s="45"/>
      <c r="D158" s="45"/>
      <c r="E158" s="45"/>
      <c r="F158" s="45"/>
      <c r="G158" s="45"/>
      <c r="H158" s="45"/>
      <c r="I158" s="45"/>
      <c r="J158" s="45"/>
    </row>
    <row r="159" spans="1:10" ht="18.75">
      <c r="A159" s="45"/>
      <c r="B159" s="45"/>
      <c r="C159" s="45"/>
      <c r="D159" s="45"/>
      <c r="E159" s="45"/>
      <c r="F159" s="45"/>
      <c r="G159" s="45"/>
      <c r="H159" s="45"/>
      <c r="I159" s="45"/>
      <c r="J159" s="45"/>
    </row>
    <row r="160" spans="1:10" ht="18.75">
      <c r="A160" s="45"/>
      <c r="B160" s="45"/>
      <c r="C160" s="45"/>
      <c r="D160" s="45"/>
      <c r="E160" s="45"/>
      <c r="F160" s="45"/>
      <c r="G160" s="45"/>
      <c r="H160" s="45"/>
      <c r="I160" s="45"/>
      <c r="J160" s="45"/>
    </row>
  </sheetData>
  <pageMargins left="0.70866141732283505" right="0.70866141732283505" top="0.74803149606299202" bottom="0.74803149606299202" header="0.31496062992126" footer="0.31496062992126"/>
  <pageSetup paperSize="9" orientation="landscape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0"/>
  <sheetViews>
    <sheetView workbookViewId="0">
      <pane xSplit="3" ySplit="7" topLeftCell="D8" activePane="bottomRight" state="frozen"/>
      <selection pane="topRight"/>
      <selection pane="bottomLeft"/>
      <selection pane="bottomRight" activeCell="F42" sqref="F42"/>
    </sheetView>
  </sheetViews>
  <sheetFormatPr defaultColWidth="9.140625" defaultRowHeight="20.100000000000001" customHeight="1"/>
  <cols>
    <col min="1" max="1" width="5.42578125" style="1" customWidth="1"/>
    <col min="2" max="2" width="42.85546875" style="1" customWidth="1"/>
    <col min="3" max="3" width="38" style="1" customWidth="1"/>
    <col min="4" max="4" width="12.42578125" style="1" customWidth="1"/>
    <col min="5" max="5" width="21.85546875" style="1" customWidth="1"/>
    <col min="6" max="6" width="21.7109375" style="1" customWidth="1"/>
    <col min="7" max="16384" width="9.140625" style="1"/>
  </cols>
  <sheetData>
    <row r="1" spans="1:6" ht="27" customHeight="1">
      <c r="A1" s="218" t="s">
        <v>0</v>
      </c>
      <c r="B1" s="218"/>
      <c r="C1" s="218"/>
      <c r="D1" s="218"/>
      <c r="E1" s="239"/>
    </row>
    <row r="2" spans="1:6" ht="33.75" customHeight="1">
      <c r="A2" s="218" t="s">
        <v>1205</v>
      </c>
      <c r="B2" s="64"/>
      <c r="C2" s="63"/>
      <c r="D2" s="63"/>
      <c r="E2" s="65"/>
    </row>
    <row r="3" spans="1:6" ht="9.75" customHeight="1">
      <c r="A3" s="2"/>
      <c r="B3" s="2"/>
      <c r="C3" s="2"/>
      <c r="D3" s="2"/>
    </row>
    <row r="4" spans="1:6" ht="49.5" customHeight="1">
      <c r="A4" s="219"/>
      <c r="B4" s="220" t="s">
        <v>2</v>
      </c>
      <c r="C4" s="221" t="s">
        <v>3</v>
      </c>
      <c r="D4" s="222" t="s">
        <v>4</v>
      </c>
      <c r="E4" s="223" t="s">
        <v>201</v>
      </c>
    </row>
    <row r="5" spans="1:6" ht="17.25" customHeight="1">
      <c r="C5" s="7"/>
      <c r="D5" s="7"/>
      <c r="E5" s="212" t="s">
        <v>20</v>
      </c>
    </row>
    <row r="6" spans="1:6" ht="20.100000000000001" customHeight="1">
      <c r="A6" s="8" t="s">
        <v>21</v>
      </c>
      <c r="B6" s="7" t="s">
        <v>22</v>
      </c>
      <c r="C6" s="7"/>
      <c r="D6" s="7"/>
      <c r="E6" s="212"/>
    </row>
    <row r="7" spans="1:6" ht="20.100000000000001" customHeight="1">
      <c r="A7" s="9">
        <v>1</v>
      </c>
      <c r="B7" s="10" t="s">
        <v>345</v>
      </c>
      <c r="C7" s="11" t="s">
        <v>346</v>
      </c>
      <c r="D7" s="11" t="s">
        <v>347</v>
      </c>
      <c r="E7" s="224">
        <v>450000</v>
      </c>
      <c r="F7" s="12"/>
    </row>
    <row r="8" spans="1:6" ht="20.100000000000001" customHeight="1">
      <c r="A8" s="9">
        <v>2</v>
      </c>
      <c r="B8" s="10" t="s">
        <v>1116</v>
      </c>
      <c r="C8" s="3" t="s">
        <v>1206</v>
      </c>
      <c r="D8" s="9" t="s">
        <v>340</v>
      </c>
      <c r="E8" s="224">
        <v>150000</v>
      </c>
      <c r="F8" s="12"/>
    </row>
    <row r="9" spans="1:6" ht="20.100000000000001" customHeight="1">
      <c r="A9" s="9">
        <v>3</v>
      </c>
      <c r="B9" s="13" t="s">
        <v>1207</v>
      </c>
      <c r="C9" s="3" t="s">
        <v>1208</v>
      </c>
      <c r="D9" s="9" t="s">
        <v>340</v>
      </c>
      <c r="E9" s="224">
        <v>150000</v>
      </c>
      <c r="F9" s="12"/>
    </row>
    <row r="10" spans="1:6" ht="20.100000000000001" customHeight="1">
      <c r="A10" s="9">
        <v>4</v>
      </c>
      <c r="B10" s="10" t="s">
        <v>348</v>
      </c>
      <c r="C10" s="11" t="s">
        <v>349</v>
      </c>
      <c r="D10" s="9" t="s">
        <v>343</v>
      </c>
      <c r="E10" s="224">
        <v>150000</v>
      </c>
      <c r="F10" s="12"/>
    </row>
    <row r="11" spans="1:6" ht="20.100000000000001" customHeight="1">
      <c r="A11" s="9">
        <v>5</v>
      </c>
      <c r="B11" s="13" t="s">
        <v>350</v>
      </c>
      <c r="C11" s="3" t="s">
        <v>351</v>
      </c>
      <c r="D11" s="14" t="s">
        <v>416</v>
      </c>
      <c r="E11" s="224">
        <v>150000</v>
      </c>
      <c r="F11" s="12"/>
    </row>
    <row r="12" spans="1:6" ht="20.100000000000001" customHeight="1">
      <c r="A12" s="9">
        <v>6</v>
      </c>
      <c r="B12" s="13" t="s">
        <v>470</v>
      </c>
      <c r="C12" s="3" t="s">
        <v>1118</v>
      </c>
      <c r="D12" s="15" t="s">
        <v>416</v>
      </c>
      <c r="E12" s="224">
        <v>150000</v>
      </c>
      <c r="F12" s="12"/>
    </row>
    <row r="13" spans="1:6" ht="20.100000000000001" customHeight="1">
      <c r="A13" s="9">
        <v>7</v>
      </c>
      <c r="B13" s="10" t="s">
        <v>352</v>
      </c>
      <c r="C13" s="16" t="s">
        <v>353</v>
      </c>
      <c r="D13" s="15" t="s">
        <v>416</v>
      </c>
      <c r="E13" s="224">
        <v>150000</v>
      </c>
      <c r="F13" s="12"/>
    </row>
    <row r="14" spans="1:6" ht="20.100000000000001" customHeight="1">
      <c r="A14" s="9">
        <v>8</v>
      </c>
      <c r="B14" s="13" t="s">
        <v>354</v>
      </c>
      <c r="C14" s="3" t="s">
        <v>355</v>
      </c>
      <c r="D14" s="15" t="s">
        <v>416</v>
      </c>
      <c r="E14" s="224">
        <v>150000</v>
      </c>
      <c r="F14" s="12"/>
    </row>
    <row r="15" spans="1:6" ht="20.100000000000001" customHeight="1">
      <c r="A15" s="9">
        <v>9</v>
      </c>
      <c r="B15" s="10" t="s">
        <v>356</v>
      </c>
      <c r="C15" s="11" t="s">
        <v>357</v>
      </c>
      <c r="D15" s="14" t="s">
        <v>358</v>
      </c>
      <c r="E15" s="224">
        <v>105000</v>
      </c>
      <c r="F15" s="12"/>
    </row>
    <row r="16" spans="1:6" ht="20.100000000000001" customHeight="1">
      <c r="A16" s="9">
        <v>10</v>
      </c>
      <c r="B16" s="17" t="s">
        <v>333</v>
      </c>
      <c r="C16" s="11" t="s">
        <v>334</v>
      </c>
      <c r="D16" s="9" t="s">
        <v>332</v>
      </c>
      <c r="E16" s="224">
        <v>105000</v>
      </c>
      <c r="F16" s="12"/>
    </row>
    <row r="17" spans="1:6" ht="20.100000000000001" customHeight="1">
      <c r="A17" s="9">
        <v>11</v>
      </c>
      <c r="B17" s="18" t="s">
        <v>1209</v>
      </c>
      <c r="C17" s="3" t="s">
        <v>1210</v>
      </c>
      <c r="D17" s="15" t="s">
        <v>366</v>
      </c>
      <c r="E17" s="224">
        <v>75000</v>
      </c>
      <c r="F17" s="12"/>
    </row>
    <row r="18" spans="1:6" ht="19.5" customHeight="1">
      <c r="A18" s="9">
        <v>12</v>
      </c>
      <c r="B18" s="13" t="s">
        <v>1119</v>
      </c>
      <c r="C18" s="3" t="s">
        <v>362</v>
      </c>
      <c r="D18" s="9" t="s">
        <v>366</v>
      </c>
      <c r="E18" s="224">
        <v>75000</v>
      </c>
      <c r="F18" s="12"/>
    </row>
    <row r="19" spans="1:6" ht="19.5" customHeight="1">
      <c r="A19" s="9">
        <v>13</v>
      </c>
      <c r="B19" s="13" t="s">
        <v>1211</v>
      </c>
      <c r="C19" s="3" t="s">
        <v>1212</v>
      </c>
      <c r="D19" s="9" t="s">
        <v>366</v>
      </c>
      <c r="E19" s="224">
        <v>75000</v>
      </c>
      <c r="F19" s="12"/>
    </row>
    <row r="20" spans="1:6" ht="20.100000000000001" customHeight="1">
      <c r="A20" s="9">
        <v>14</v>
      </c>
      <c r="B20" s="10" t="s">
        <v>361</v>
      </c>
      <c r="C20" s="3" t="s">
        <v>362</v>
      </c>
      <c r="D20" s="14" t="s">
        <v>366</v>
      </c>
      <c r="E20" s="224">
        <v>75000</v>
      </c>
      <c r="F20" s="12"/>
    </row>
    <row r="21" spans="1:6" ht="20.100000000000001" customHeight="1">
      <c r="A21" s="9">
        <v>15</v>
      </c>
      <c r="B21" s="10" t="s">
        <v>373</v>
      </c>
      <c r="C21" s="11" t="s">
        <v>374</v>
      </c>
      <c r="D21" s="14" t="s">
        <v>1052</v>
      </c>
      <c r="E21" s="224">
        <v>75000</v>
      </c>
      <c r="F21" s="12"/>
    </row>
    <row r="22" spans="1:6" ht="20.100000000000001" customHeight="1">
      <c r="A22" s="9">
        <v>16</v>
      </c>
      <c r="B22" s="17" t="s">
        <v>376</v>
      </c>
      <c r="C22" s="3" t="s">
        <v>377</v>
      </c>
      <c r="D22" s="14" t="s">
        <v>1053</v>
      </c>
      <c r="E22" s="224">
        <v>75000</v>
      </c>
      <c r="F22" s="12"/>
    </row>
    <row r="23" spans="1:6" ht="20.100000000000001" customHeight="1">
      <c r="A23" s="9">
        <v>17</v>
      </c>
      <c r="B23" s="10" t="s">
        <v>496</v>
      </c>
      <c r="C23" s="11" t="s">
        <v>497</v>
      </c>
      <c r="D23" s="14" t="s">
        <v>380</v>
      </c>
      <c r="E23" s="224">
        <v>45000</v>
      </c>
      <c r="F23" s="12"/>
    </row>
    <row r="24" spans="1:6" ht="18.75" customHeight="1">
      <c r="A24" s="9">
        <v>18</v>
      </c>
      <c r="B24" s="10" t="s">
        <v>379</v>
      </c>
      <c r="C24" s="11" t="s">
        <v>233</v>
      </c>
      <c r="D24" s="14" t="s">
        <v>440</v>
      </c>
      <c r="E24" s="224">
        <v>45000</v>
      </c>
      <c r="F24" s="12"/>
    </row>
    <row r="25" spans="1:6" ht="18.75" customHeight="1">
      <c r="A25" s="9">
        <v>19</v>
      </c>
      <c r="B25" s="10" t="s">
        <v>494</v>
      </c>
      <c r="C25" s="3" t="s">
        <v>495</v>
      </c>
      <c r="D25" s="14" t="s">
        <v>440</v>
      </c>
      <c r="E25" s="224">
        <v>45000</v>
      </c>
      <c r="F25" s="12"/>
    </row>
    <row r="26" spans="1:6" ht="18.75" customHeight="1">
      <c r="A26" s="9">
        <v>20</v>
      </c>
      <c r="B26" s="17" t="s">
        <v>1213</v>
      </c>
      <c r="C26" s="11" t="s">
        <v>401</v>
      </c>
      <c r="D26" s="14" t="s">
        <v>453</v>
      </c>
      <c r="E26" s="224">
        <v>45000</v>
      </c>
      <c r="F26" s="12"/>
    </row>
    <row r="27" spans="1:6" ht="18.75" customHeight="1">
      <c r="A27" s="9">
        <v>21</v>
      </c>
      <c r="B27" s="3" t="s">
        <v>386</v>
      </c>
      <c r="C27" s="3" t="s">
        <v>289</v>
      </c>
      <c r="D27" s="9" t="s">
        <v>391</v>
      </c>
      <c r="E27" s="224">
        <v>45000</v>
      </c>
      <c r="F27" s="12"/>
    </row>
    <row r="28" spans="1:6" ht="18.75" customHeight="1">
      <c r="A28" s="9">
        <v>22</v>
      </c>
      <c r="B28" s="17" t="s">
        <v>388</v>
      </c>
      <c r="C28" s="11" t="s">
        <v>289</v>
      </c>
      <c r="D28" s="14" t="s">
        <v>391</v>
      </c>
      <c r="E28" s="224">
        <v>45000</v>
      </c>
      <c r="F28" s="12"/>
    </row>
    <row r="29" spans="1:6" ht="18.75" customHeight="1">
      <c r="A29" s="9">
        <v>23</v>
      </c>
      <c r="B29" s="10" t="s">
        <v>1120</v>
      </c>
      <c r="C29" s="11" t="s">
        <v>1121</v>
      </c>
      <c r="D29" s="14" t="s">
        <v>391</v>
      </c>
      <c r="E29" s="224">
        <v>45000</v>
      </c>
      <c r="F29" s="12"/>
    </row>
    <row r="30" spans="1:6" ht="18.75" customHeight="1">
      <c r="A30" s="9">
        <v>24</v>
      </c>
      <c r="B30" s="17" t="s">
        <v>390</v>
      </c>
      <c r="C30" s="11" t="s">
        <v>1068</v>
      </c>
      <c r="D30" s="14" t="s">
        <v>1048</v>
      </c>
      <c r="E30" s="224">
        <v>45000</v>
      </c>
      <c r="F30" s="12"/>
    </row>
    <row r="31" spans="1:6" ht="18.75" customHeight="1">
      <c r="A31" s="9">
        <v>25</v>
      </c>
      <c r="B31" s="17" t="s">
        <v>392</v>
      </c>
      <c r="C31" s="3" t="s">
        <v>1122</v>
      </c>
      <c r="D31" s="9" t="s">
        <v>1048</v>
      </c>
      <c r="E31" s="224">
        <v>45000</v>
      </c>
      <c r="F31" s="12"/>
    </row>
    <row r="32" spans="1:6" ht="18.75" customHeight="1">
      <c r="A32" s="9">
        <v>26</v>
      </c>
      <c r="B32" s="17" t="s">
        <v>395</v>
      </c>
      <c r="C32" s="16" t="s">
        <v>396</v>
      </c>
      <c r="D32" s="14" t="s">
        <v>391</v>
      </c>
      <c r="E32" s="224">
        <v>45000</v>
      </c>
      <c r="F32" s="12"/>
    </row>
    <row r="33" spans="1:6" ht="18.75" customHeight="1">
      <c r="A33" s="9">
        <v>27</v>
      </c>
      <c r="B33" s="17" t="s">
        <v>397</v>
      </c>
      <c r="C33" s="3" t="s">
        <v>398</v>
      </c>
      <c r="D33" s="9" t="s">
        <v>402</v>
      </c>
      <c r="E33" s="224">
        <v>45000</v>
      </c>
      <c r="F33" s="12"/>
    </row>
    <row r="34" spans="1:6" ht="18.75" customHeight="1">
      <c r="A34" s="9">
        <v>28</v>
      </c>
      <c r="B34" s="17" t="s">
        <v>1036</v>
      </c>
      <c r="C34" s="11" t="s">
        <v>401</v>
      </c>
      <c r="D34" s="14" t="s">
        <v>402</v>
      </c>
      <c r="E34" s="224">
        <v>45000</v>
      </c>
      <c r="F34" s="12"/>
    </row>
    <row r="35" spans="1:6" ht="18.75" customHeight="1">
      <c r="A35" s="9">
        <v>29</v>
      </c>
      <c r="B35" s="17" t="s">
        <v>1214</v>
      </c>
      <c r="C35" s="11" t="s">
        <v>401</v>
      </c>
      <c r="D35" s="14" t="s">
        <v>402</v>
      </c>
      <c r="E35" s="224">
        <v>45000</v>
      </c>
      <c r="F35" s="12"/>
    </row>
    <row r="36" spans="1:6" ht="18.75" customHeight="1">
      <c r="A36" s="9">
        <v>30</v>
      </c>
      <c r="B36" s="17" t="s">
        <v>512</v>
      </c>
      <c r="C36" s="11" t="s">
        <v>248</v>
      </c>
      <c r="D36" s="14" t="s">
        <v>72</v>
      </c>
      <c r="E36" s="224">
        <v>45000</v>
      </c>
      <c r="F36" s="12"/>
    </row>
    <row r="37" spans="1:6" ht="26.25" customHeight="1">
      <c r="A37" s="9"/>
      <c r="B37" s="19" t="s">
        <v>42</v>
      </c>
      <c r="C37" s="20">
        <v>30</v>
      </c>
      <c r="D37" s="14"/>
      <c r="E37" s="225">
        <f>SUM(E7:E36)</f>
        <v>2790000</v>
      </c>
      <c r="F37" s="12"/>
    </row>
    <row r="38" spans="1:6" ht="18.75" customHeight="1">
      <c r="A38" s="9"/>
      <c r="B38" s="21"/>
      <c r="C38" s="3"/>
      <c r="D38" s="14"/>
      <c r="E38" s="226"/>
      <c r="F38" s="12"/>
    </row>
    <row r="39" spans="1:6" ht="18.75" customHeight="1">
      <c r="A39" s="9"/>
      <c r="B39" s="19" t="s">
        <v>225</v>
      </c>
      <c r="C39" s="3"/>
      <c r="D39" s="14"/>
      <c r="E39" s="224"/>
      <c r="F39" s="12"/>
    </row>
    <row r="40" spans="1:6" ht="18.75" customHeight="1">
      <c r="A40" s="9">
        <v>1</v>
      </c>
      <c r="B40" s="17" t="s">
        <v>403</v>
      </c>
      <c r="C40" s="3" t="s">
        <v>404</v>
      </c>
      <c r="D40" s="9" t="s">
        <v>405</v>
      </c>
      <c r="E40" s="224">
        <v>225000</v>
      </c>
      <c r="F40" s="12"/>
    </row>
    <row r="41" spans="1:6" ht="18.75" customHeight="1">
      <c r="A41" s="9">
        <v>2</v>
      </c>
      <c r="B41" s="17" t="s">
        <v>406</v>
      </c>
      <c r="C41" s="3" t="s">
        <v>642</v>
      </c>
      <c r="D41" s="9" t="s">
        <v>72</v>
      </c>
      <c r="E41" s="224">
        <v>45000</v>
      </c>
      <c r="F41" s="12"/>
    </row>
    <row r="42" spans="1:6" ht="19.5" customHeight="1">
      <c r="A42" s="9"/>
      <c r="B42" s="13"/>
      <c r="C42" s="20">
        <v>2</v>
      </c>
      <c r="D42" s="9"/>
      <c r="E42" s="225">
        <f>SUM(E40:E41)</f>
        <v>270000</v>
      </c>
      <c r="F42" s="12"/>
    </row>
    <row r="43" spans="1:6" ht="20.100000000000001" customHeight="1">
      <c r="A43" s="9"/>
      <c r="B43" s="13"/>
      <c r="C43" s="3"/>
      <c r="D43" s="9"/>
      <c r="E43" s="224"/>
      <c r="F43" s="12"/>
    </row>
    <row r="44" spans="1:6" ht="20.100000000000001" customHeight="1">
      <c r="A44" s="9"/>
      <c r="B44" s="22" t="s">
        <v>43</v>
      </c>
      <c r="C44" s="4"/>
      <c r="D44" s="23"/>
      <c r="E44" s="224"/>
      <c r="F44" s="12"/>
    </row>
    <row r="45" spans="1:6" ht="20.100000000000001" customHeight="1">
      <c r="A45" s="9">
        <v>1</v>
      </c>
      <c r="B45" s="10" t="s">
        <v>410</v>
      </c>
      <c r="C45" s="3" t="s">
        <v>411</v>
      </c>
      <c r="D45" s="9" t="s">
        <v>405</v>
      </c>
      <c r="E45" s="224">
        <v>225000</v>
      </c>
      <c r="F45" s="12"/>
    </row>
    <row r="46" spans="1:6" ht="20.100000000000001" customHeight="1">
      <c r="A46" s="9">
        <v>2</v>
      </c>
      <c r="B46" s="10" t="s">
        <v>412</v>
      </c>
      <c r="C46" s="3" t="s">
        <v>413</v>
      </c>
      <c r="D46" s="9" t="s">
        <v>358</v>
      </c>
      <c r="E46" s="224">
        <v>105000</v>
      </c>
      <c r="F46" s="12"/>
    </row>
    <row r="47" spans="1:6" ht="20.100000000000001" customHeight="1">
      <c r="A47" s="9">
        <v>3</v>
      </c>
      <c r="B47" s="10" t="s">
        <v>414</v>
      </c>
      <c r="C47" s="3" t="s">
        <v>418</v>
      </c>
      <c r="D47" s="9" t="s">
        <v>358</v>
      </c>
      <c r="E47" s="224">
        <v>105000</v>
      </c>
      <c r="F47" s="12"/>
    </row>
    <row r="48" spans="1:6" ht="20.100000000000001" customHeight="1">
      <c r="A48" s="9">
        <v>4</v>
      </c>
      <c r="B48" s="10" t="s">
        <v>417</v>
      </c>
      <c r="C48" s="3" t="s">
        <v>418</v>
      </c>
      <c r="D48" s="9" t="s">
        <v>358</v>
      </c>
      <c r="E48" s="224">
        <v>105000</v>
      </c>
      <c r="F48" s="12"/>
    </row>
    <row r="49" spans="1:6" ht="20.100000000000001" customHeight="1">
      <c r="A49" s="9">
        <v>5</v>
      </c>
      <c r="B49" s="10" t="s">
        <v>419</v>
      </c>
      <c r="C49" s="3" t="s">
        <v>418</v>
      </c>
      <c r="D49" s="9" t="s">
        <v>435</v>
      </c>
      <c r="E49" s="224">
        <v>105000</v>
      </c>
      <c r="F49" s="12"/>
    </row>
    <row r="50" spans="1:6" ht="20.100000000000001" customHeight="1">
      <c r="A50" s="9">
        <v>6</v>
      </c>
      <c r="B50" s="10" t="s">
        <v>420</v>
      </c>
      <c r="C50" s="3" t="s">
        <v>368</v>
      </c>
      <c r="D50" s="9" t="s">
        <v>366</v>
      </c>
      <c r="E50" s="224">
        <v>75000</v>
      </c>
      <c r="F50" s="12"/>
    </row>
    <row r="51" spans="1:6" ht="20.100000000000001" customHeight="1">
      <c r="A51" s="9">
        <v>7</v>
      </c>
      <c r="B51" s="13" t="s">
        <v>421</v>
      </c>
      <c r="C51" s="3" t="s">
        <v>365</v>
      </c>
      <c r="D51" s="15" t="s">
        <v>366</v>
      </c>
      <c r="E51" s="224">
        <v>75000</v>
      </c>
      <c r="F51" s="12"/>
    </row>
    <row r="52" spans="1:6" ht="20.100000000000001" customHeight="1">
      <c r="A52" s="9">
        <v>8</v>
      </c>
      <c r="B52" s="10" t="s">
        <v>1125</v>
      </c>
      <c r="C52" s="3" t="s">
        <v>365</v>
      </c>
      <c r="D52" s="9" t="s">
        <v>450</v>
      </c>
      <c r="E52" s="224">
        <v>75000</v>
      </c>
      <c r="F52" s="12"/>
    </row>
    <row r="53" spans="1:6" ht="20.100000000000001" customHeight="1">
      <c r="A53" s="9">
        <v>9</v>
      </c>
      <c r="B53" s="10" t="s">
        <v>367</v>
      </c>
      <c r="C53" s="3" t="s">
        <v>461</v>
      </c>
      <c r="D53" s="9" t="s">
        <v>375</v>
      </c>
      <c r="E53" s="224">
        <v>75000</v>
      </c>
      <c r="F53" s="12"/>
    </row>
    <row r="54" spans="1:6" ht="20.100000000000001" customHeight="1">
      <c r="A54" s="9">
        <v>10</v>
      </c>
      <c r="B54" s="10" t="s">
        <v>423</v>
      </c>
      <c r="C54" s="3" t="s">
        <v>64</v>
      </c>
      <c r="D54" s="9" t="s">
        <v>55</v>
      </c>
      <c r="E54" s="224">
        <v>45000</v>
      </c>
      <c r="F54" s="12"/>
    </row>
    <row r="55" spans="1:6" ht="20.100000000000001" customHeight="1">
      <c r="A55" s="9">
        <v>11</v>
      </c>
      <c r="B55" s="10" t="s">
        <v>424</v>
      </c>
      <c r="C55" s="3" t="s">
        <v>64</v>
      </c>
      <c r="D55" s="9" t="s">
        <v>55</v>
      </c>
      <c r="E55" s="224">
        <v>45000</v>
      </c>
      <c r="F55" s="12"/>
    </row>
    <row r="56" spans="1:6" ht="20.100000000000001" customHeight="1">
      <c r="A56" s="9">
        <v>12</v>
      </c>
      <c r="B56" s="10" t="s">
        <v>425</v>
      </c>
      <c r="C56" s="3" t="s">
        <v>64</v>
      </c>
      <c r="D56" s="9" t="s">
        <v>55</v>
      </c>
      <c r="E56" s="224">
        <v>45000</v>
      </c>
      <c r="F56" s="12"/>
    </row>
    <row r="57" spans="1:6" ht="25.5" customHeight="1">
      <c r="A57" s="9"/>
      <c r="B57" s="19" t="s">
        <v>42</v>
      </c>
      <c r="C57" s="20">
        <v>12</v>
      </c>
      <c r="D57" s="20"/>
      <c r="E57" s="227">
        <f>SUM(E45:E56)</f>
        <v>1080000</v>
      </c>
      <c r="F57" s="12"/>
    </row>
    <row r="58" spans="1:6" ht="20.100000000000001" customHeight="1">
      <c r="A58" s="9"/>
      <c r="B58" s="21"/>
      <c r="C58" s="20"/>
      <c r="D58" s="20"/>
      <c r="E58" s="228"/>
      <c r="F58" s="12"/>
    </row>
    <row r="59" spans="1:6" ht="20.100000000000001" customHeight="1">
      <c r="A59" s="9"/>
      <c r="B59" s="19" t="s">
        <v>426</v>
      </c>
      <c r="C59" s="20"/>
      <c r="D59" s="20"/>
      <c r="E59" s="228"/>
      <c r="F59" s="12"/>
    </row>
    <row r="60" spans="1:6" ht="20.100000000000001" customHeight="1">
      <c r="A60" s="9">
        <v>1</v>
      </c>
      <c r="B60" s="10" t="s">
        <v>427</v>
      </c>
      <c r="C60" s="11" t="s">
        <v>428</v>
      </c>
      <c r="D60" s="14" t="s">
        <v>405</v>
      </c>
      <c r="E60" s="224">
        <v>225000</v>
      </c>
      <c r="F60" s="12"/>
    </row>
    <row r="61" spans="1:6" ht="20.100000000000001" customHeight="1">
      <c r="A61" s="9">
        <v>2</v>
      </c>
      <c r="B61" s="10" t="s">
        <v>429</v>
      </c>
      <c r="C61" s="11" t="s">
        <v>430</v>
      </c>
      <c r="D61" s="14" t="s">
        <v>332</v>
      </c>
      <c r="E61" s="224">
        <v>105000</v>
      </c>
      <c r="F61" s="12"/>
    </row>
    <row r="62" spans="1:6" ht="20.100000000000001" customHeight="1">
      <c r="A62" s="9"/>
      <c r="B62" s="19" t="s">
        <v>42</v>
      </c>
      <c r="C62" s="20">
        <v>2</v>
      </c>
      <c r="D62" s="20"/>
      <c r="E62" s="227">
        <f>SUM(E60:E61)</f>
        <v>330000</v>
      </c>
      <c r="F62" s="12"/>
    </row>
    <row r="63" spans="1:6" ht="20.100000000000001" customHeight="1">
      <c r="A63" s="9"/>
      <c r="B63" s="19"/>
      <c r="C63" s="20"/>
      <c r="D63" s="20"/>
      <c r="E63" s="228"/>
      <c r="F63" s="12"/>
    </row>
    <row r="64" spans="1:6" ht="20.100000000000001" customHeight="1">
      <c r="A64" s="9"/>
      <c r="B64" s="19" t="s">
        <v>60</v>
      </c>
      <c r="C64" s="20"/>
      <c r="D64" s="20"/>
      <c r="E64" s="228"/>
      <c r="F64" s="12"/>
    </row>
    <row r="65" spans="1:6" ht="20.100000000000001" customHeight="1">
      <c r="A65" s="9">
        <v>1</v>
      </c>
      <c r="B65" s="10" t="s">
        <v>431</v>
      </c>
      <c r="C65" s="16" t="s">
        <v>432</v>
      </c>
      <c r="D65" s="9" t="s">
        <v>405</v>
      </c>
      <c r="E65" s="224">
        <v>225000</v>
      </c>
      <c r="F65" s="12"/>
    </row>
    <row r="66" spans="1:6" ht="20.100000000000001" customHeight="1">
      <c r="A66" s="9">
        <v>2</v>
      </c>
      <c r="B66" s="17" t="s">
        <v>433</v>
      </c>
      <c r="C66" s="16" t="s">
        <v>434</v>
      </c>
      <c r="D66" s="14" t="s">
        <v>1054</v>
      </c>
      <c r="E66" s="224">
        <v>105000</v>
      </c>
      <c r="F66" s="12"/>
    </row>
    <row r="67" spans="1:6" ht="20.100000000000001" customHeight="1">
      <c r="A67" s="9">
        <v>3</v>
      </c>
      <c r="B67" s="10" t="s">
        <v>436</v>
      </c>
      <c r="C67" s="3" t="s">
        <v>231</v>
      </c>
      <c r="D67" s="9" t="s">
        <v>375</v>
      </c>
      <c r="E67" s="224">
        <v>75000</v>
      </c>
      <c r="F67" s="12"/>
    </row>
    <row r="68" spans="1:6" ht="20.100000000000001" customHeight="1">
      <c r="A68" s="9">
        <v>4</v>
      </c>
      <c r="B68" s="17" t="s">
        <v>437</v>
      </c>
      <c r="C68" s="16" t="s">
        <v>231</v>
      </c>
      <c r="D68" s="14" t="s">
        <v>1052</v>
      </c>
      <c r="E68" s="224">
        <v>75000</v>
      </c>
      <c r="F68" s="12"/>
    </row>
    <row r="69" spans="1:6" ht="20.100000000000001" customHeight="1">
      <c r="A69" s="9">
        <v>5</v>
      </c>
      <c r="B69" s="13" t="s">
        <v>438</v>
      </c>
      <c r="C69" s="16" t="s">
        <v>365</v>
      </c>
      <c r="D69" s="14" t="s">
        <v>366</v>
      </c>
      <c r="E69" s="224">
        <v>75000</v>
      </c>
      <c r="F69" s="12"/>
    </row>
    <row r="70" spans="1:6" ht="20.100000000000001" customHeight="1">
      <c r="A70" s="9">
        <v>6</v>
      </c>
      <c r="B70" s="13" t="s">
        <v>364</v>
      </c>
      <c r="C70" s="16" t="s">
        <v>365</v>
      </c>
      <c r="D70" s="14" t="s">
        <v>450</v>
      </c>
      <c r="E70" s="224">
        <v>75000</v>
      </c>
      <c r="F70" s="12"/>
    </row>
    <row r="71" spans="1:6" ht="20.100000000000001" customHeight="1">
      <c r="A71" s="9">
        <v>7</v>
      </c>
      <c r="B71" s="10" t="s">
        <v>439</v>
      </c>
      <c r="C71" s="3" t="s">
        <v>64</v>
      </c>
      <c r="D71" s="9" t="s">
        <v>32</v>
      </c>
      <c r="E71" s="224">
        <v>45000</v>
      </c>
      <c r="F71" s="12"/>
    </row>
    <row r="72" spans="1:6" ht="20.100000000000001" customHeight="1">
      <c r="A72" s="9">
        <v>8</v>
      </c>
      <c r="B72" s="10" t="s">
        <v>1133</v>
      </c>
      <c r="C72" s="16" t="s">
        <v>34</v>
      </c>
      <c r="D72" s="14" t="s">
        <v>380</v>
      </c>
      <c r="E72" s="224">
        <v>45000</v>
      </c>
      <c r="F72" s="12"/>
    </row>
    <row r="73" spans="1:6" ht="20.100000000000001" customHeight="1">
      <c r="A73" s="9">
        <v>9</v>
      </c>
      <c r="B73" s="10" t="s">
        <v>441</v>
      </c>
      <c r="C73" s="16" t="s">
        <v>34</v>
      </c>
      <c r="D73" s="14" t="s">
        <v>32</v>
      </c>
      <c r="E73" s="224">
        <v>45000</v>
      </c>
      <c r="F73" s="12"/>
    </row>
    <row r="74" spans="1:6" ht="20.100000000000001" customHeight="1">
      <c r="A74" s="9">
        <v>10</v>
      </c>
      <c r="B74" s="10" t="s">
        <v>442</v>
      </c>
      <c r="C74" s="16" t="s">
        <v>34</v>
      </c>
      <c r="D74" s="14" t="s">
        <v>32</v>
      </c>
      <c r="E74" s="224">
        <v>45000</v>
      </c>
      <c r="F74" s="12"/>
    </row>
    <row r="75" spans="1:6" ht="20.100000000000001" customHeight="1">
      <c r="A75" s="9">
        <v>11</v>
      </c>
      <c r="B75" s="10" t="s">
        <v>443</v>
      </c>
      <c r="C75" s="3" t="s">
        <v>444</v>
      </c>
      <c r="D75" s="9" t="s">
        <v>440</v>
      </c>
      <c r="E75" s="224">
        <v>45000</v>
      </c>
      <c r="F75" s="12"/>
    </row>
    <row r="76" spans="1:6" ht="20.100000000000001" customHeight="1">
      <c r="A76" s="9">
        <v>12</v>
      </c>
      <c r="B76" s="10" t="s">
        <v>1215</v>
      </c>
      <c r="C76" s="16" t="s">
        <v>64</v>
      </c>
      <c r="D76" s="9" t="s">
        <v>409</v>
      </c>
      <c r="E76" s="224">
        <v>45000</v>
      </c>
      <c r="F76" s="12"/>
    </row>
    <row r="77" spans="1:6" ht="20.100000000000001" customHeight="1">
      <c r="A77" s="9">
        <v>13</v>
      </c>
      <c r="B77" s="10" t="s">
        <v>389</v>
      </c>
      <c r="C77" s="16" t="s">
        <v>382</v>
      </c>
      <c r="D77" s="9" t="s">
        <v>391</v>
      </c>
      <c r="E77" s="224">
        <v>45000</v>
      </c>
      <c r="F77" s="12"/>
    </row>
    <row r="78" spans="1:6" ht="20.100000000000001" customHeight="1">
      <c r="A78" s="9">
        <v>14</v>
      </c>
      <c r="B78" s="13" t="s">
        <v>381</v>
      </c>
      <c r="C78" s="16" t="s">
        <v>382</v>
      </c>
      <c r="D78" s="9" t="s">
        <v>402</v>
      </c>
      <c r="E78" s="224">
        <v>45000</v>
      </c>
      <c r="F78" s="12"/>
    </row>
    <row r="79" spans="1:6" ht="20.100000000000001" customHeight="1">
      <c r="A79" s="9"/>
      <c r="B79" s="19" t="s">
        <v>42</v>
      </c>
      <c r="C79" s="20">
        <v>14</v>
      </c>
      <c r="D79" s="20"/>
      <c r="E79" s="227">
        <f>SUM(E65:E78)</f>
        <v>990000</v>
      </c>
      <c r="F79" s="12"/>
    </row>
    <row r="80" spans="1:6" ht="20.100000000000001" customHeight="1">
      <c r="A80" s="9"/>
      <c r="B80" s="21"/>
      <c r="C80" s="20"/>
      <c r="D80" s="20"/>
      <c r="E80" s="228"/>
      <c r="F80" s="12"/>
    </row>
    <row r="81" spans="1:6" ht="20.100000000000001" customHeight="1">
      <c r="A81" s="9"/>
      <c r="B81" s="19" t="s">
        <v>65</v>
      </c>
      <c r="C81" s="20"/>
      <c r="D81" s="20"/>
      <c r="E81" s="228"/>
      <c r="F81" s="12"/>
    </row>
    <row r="82" spans="1:6" ht="20.100000000000001" customHeight="1">
      <c r="A82" s="9">
        <v>1</v>
      </c>
      <c r="B82" s="10" t="s">
        <v>446</v>
      </c>
      <c r="C82" s="3" t="s">
        <v>447</v>
      </c>
      <c r="D82" s="9" t="s">
        <v>405</v>
      </c>
      <c r="E82" s="224">
        <v>225000</v>
      </c>
      <c r="F82" s="12"/>
    </row>
    <row r="83" spans="1:6" ht="20.100000000000001" customHeight="1">
      <c r="A83" s="9">
        <v>2</v>
      </c>
      <c r="B83" s="13" t="s">
        <v>331</v>
      </c>
      <c r="C83" s="3" t="s">
        <v>76</v>
      </c>
      <c r="D83" s="14" t="s">
        <v>1054</v>
      </c>
      <c r="E83" s="224">
        <v>105000</v>
      </c>
      <c r="F83" s="12"/>
    </row>
    <row r="84" spans="1:6" ht="20.100000000000001" customHeight="1">
      <c r="A84" s="9">
        <v>3</v>
      </c>
      <c r="B84" s="13" t="s">
        <v>1216</v>
      </c>
      <c r="C84" s="3" t="s">
        <v>1217</v>
      </c>
      <c r="D84" s="14" t="s">
        <v>1054</v>
      </c>
      <c r="E84" s="224">
        <v>105000</v>
      </c>
      <c r="F84" s="12"/>
    </row>
    <row r="85" spans="1:6" ht="20.100000000000001" customHeight="1">
      <c r="A85" s="9">
        <v>4</v>
      </c>
      <c r="B85" s="10" t="s">
        <v>448</v>
      </c>
      <c r="C85" s="3" t="s">
        <v>1069</v>
      </c>
      <c r="D85" s="14" t="s">
        <v>375</v>
      </c>
      <c r="E85" s="224">
        <v>75000</v>
      </c>
      <c r="F85" s="12"/>
    </row>
    <row r="86" spans="1:6" ht="20.100000000000001" customHeight="1">
      <c r="A86" s="9">
        <v>5</v>
      </c>
      <c r="B86" s="10" t="s">
        <v>451</v>
      </c>
      <c r="C86" s="3" t="s">
        <v>452</v>
      </c>
      <c r="D86" s="9" t="s">
        <v>409</v>
      </c>
      <c r="E86" s="224">
        <v>45000</v>
      </c>
      <c r="F86" s="12"/>
    </row>
    <row r="87" spans="1:6" ht="20.100000000000001" customHeight="1">
      <c r="A87" s="9"/>
      <c r="B87" s="19" t="s">
        <v>42</v>
      </c>
      <c r="C87" s="20">
        <v>5</v>
      </c>
      <c r="D87" s="20"/>
      <c r="E87" s="227">
        <f>SUM(E82:E86)</f>
        <v>555000</v>
      </c>
      <c r="F87" s="12"/>
    </row>
    <row r="88" spans="1:6" ht="20.100000000000001" customHeight="1">
      <c r="A88" s="9"/>
      <c r="B88" s="19"/>
      <c r="C88" s="20"/>
      <c r="D88" s="20"/>
      <c r="E88" s="224"/>
      <c r="F88" s="12"/>
    </row>
    <row r="89" spans="1:6" ht="20.100000000000001" customHeight="1">
      <c r="A89" s="9"/>
      <c r="B89" s="19" t="s">
        <v>74</v>
      </c>
      <c r="C89" s="24"/>
      <c r="D89" s="20"/>
      <c r="E89" s="224"/>
      <c r="F89" s="12"/>
    </row>
    <row r="90" spans="1:6" ht="20.100000000000001" customHeight="1">
      <c r="A90" s="9">
        <v>1</v>
      </c>
      <c r="B90" s="10" t="s">
        <v>457</v>
      </c>
      <c r="C90" s="3" t="s">
        <v>418</v>
      </c>
      <c r="D90" s="9" t="s">
        <v>358</v>
      </c>
      <c r="E90" s="224">
        <v>105000</v>
      </c>
      <c r="F90" s="12"/>
    </row>
    <row r="91" spans="1:6" ht="20.100000000000001" customHeight="1">
      <c r="A91" s="9">
        <v>2</v>
      </c>
      <c r="B91" s="10" t="s">
        <v>458</v>
      </c>
      <c r="C91" s="3" t="s">
        <v>418</v>
      </c>
      <c r="D91" s="9" t="s">
        <v>358</v>
      </c>
      <c r="E91" s="224">
        <v>105000</v>
      </c>
      <c r="F91" s="12"/>
    </row>
    <row r="92" spans="1:6" ht="20.100000000000001" customHeight="1">
      <c r="A92" s="9">
        <v>3</v>
      </c>
      <c r="B92" s="13" t="s">
        <v>493</v>
      </c>
      <c r="C92" s="3" t="s">
        <v>365</v>
      </c>
      <c r="D92" s="9" t="s">
        <v>363</v>
      </c>
      <c r="E92" s="224">
        <v>75000</v>
      </c>
      <c r="F92" s="12"/>
    </row>
    <row r="93" spans="1:6" ht="20.100000000000001" customHeight="1">
      <c r="A93" s="9">
        <v>4</v>
      </c>
      <c r="B93" s="10" t="s">
        <v>459</v>
      </c>
      <c r="C93" s="3" t="s">
        <v>368</v>
      </c>
      <c r="D93" s="9" t="s">
        <v>366</v>
      </c>
      <c r="E93" s="224">
        <v>75000</v>
      </c>
      <c r="F93" s="12"/>
    </row>
    <row r="94" spans="1:6" ht="21.6" customHeight="1">
      <c r="A94" s="9">
        <v>5</v>
      </c>
      <c r="B94" s="10" t="s">
        <v>460</v>
      </c>
      <c r="C94" s="3" t="s">
        <v>461</v>
      </c>
      <c r="D94" s="14" t="s">
        <v>375</v>
      </c>
      <c r="E94" s="224">
        <v>75000</v>
      </c>
      <c r="F94" s="12"/>
    </row>
    <row r="95" spans="1:6" ht="21.6" customHeight="1">
      <c r="A95" s="9">
        <v>6</v>
      </c>
      <c r="B95" s="10" t="s">
        <v>462</v>
      </c>
      <c r="C95" s="11" t="s">
        <v>231</v>
      </c>
      <c r="D95" s="14" t="s">
        <v>1052</v>
      </c>
      <c r="E95" s="224">
        <v>75000</v>
      </c>
      <c r="F95" s="12"/>
    </row>
    <row r="96" spans="1:6" ht="21.6" customHeight="1">
      <c r="A96" s="9">
        <v>7</v>
      </c>
      <c r="B96" s="10" t="s">
        <v>463</v>
      </c>
      <c r="C96" s="11" t="s">
        <v>231</v>
      </c>
      <c r="D96" s="14" t="s">
        <v>1052</v>
      </c>
      <c r="E96" s="224">
        <v>75000</v>
      </c>
      <c r="F96" s="12"/>
    </row>
    <row r="97" spans="1:6" ht="21.6" customHeight="1">
      <c r="A97" s="9">
        <v>8</v>
      </c>
      <c r="B97" s="10" t="s">
        <v>464</v>
      </c>
      <c r="C97" s="16" t="s">
        <v>34</v>
      </c>
      <c r="D97" s="14" t="s">
        <v>32</v>
      </c>
      <c r="E97" s="224">
        <v>45000</v>
      </c>
      <c r="F97" s="12"/>
    </row>
    <row r="98" spans="1:6" ht="21.6" customHeight="1">
      <c r="A98" s="9">
        <v>9</v>
      </c>
      <c r="B98" s="10" t="s">
        <v>466</v>
      </c>
      <c r="C98" s="3" t="s">
        <v>467</v>
      </c>
      <c r="D98" s="9" t="s">
        <v>37</v>
      </c>
      <c r="E98" s="224">
        <v>45000</v>
      </c>
      <c r="F98" s="12"/>
    </row>
    <row r="99" spans="1:6" ht="21.6" customHeight="1">
      <c r="A99" s="9">
        <v>10</v>
      </c>
      <c r="B99" s="10" t="s">
        <v>468</v>
      </c>
      <c r="C99" s="16" t="s">
        <v>469</v>
      </c>
      <c r="D99" s="14" t="s">
        <v>402</v>
      </c>
      <c r="E99" s="224">
        <v>45000</v>
      </c>
      <c r="F99" s="12"/>
    </row>
    <row r="100" spans="1:6" ht="20.100000000000001" customHeight="1">
      <c r="A100" s="9"/>
      <c r="B100" s="19" t="s">
        <v>42</v>
      </c>
      <c r="C100" s="20">
        <v>10</v>
      </c>
      <c r="D100" s="20"/>
      <c r="E100" s="227">
        <f>SUM(E90:E99)</f>
        <v>720000</v>
      </c>
      <c r="F100" s="12"/>
    </row>
    <row r="101" spans="1:6" ht="20.100000000000001" customHeight="1">
      <c r="A101" s="9"/>
      <c r="B101" s="21"/>
      <c r="C101" s="20"/>
      <c r="D101" s="20"/>
      <c r="E101" s="228"/>
      <c r="F101" s="12"/>
    </row>
    <row r="102" spans="1:6" ht="20.100000000000001" customHeight="1">
      <c r="A102" s="9"/>
      <c r="B102" s="19" t="s">
        <v>84</v>
      </c>
      <c r="C102" s="20"/>
      <c r="D102" s="20"/>
      <c r="E102" s="228"/>
      <c r="F102" s="12"/>
    </row>
    <row r="103" spans="1:6" ht="20.100000000000001" customHeight="1">
      <c r="A103" s="9">
        <v>1</v>
      </c>
      <c r="B103" s="17" t="s">
        <v>341</v>
      </c>
      <c r="C103" s="9" t="s">
        <v>342</v>
      </c>
      <c r="D103" s="14" t="s">
        <v>416</v>
      </c>
      <c r="E103" s="224">
        <v>150000</v>
      </c>
      <c r="F103" s="12"/>
    </row>
    <row r="104" spans="1:6" ht="20.100000000000001" customHeight="1">
      <c r="A104" s="9">
        <v>2</v>
      </c>
      <c r="B104" s="10" t="s">
        <v>359</v>
      </c>
      <c r="C104" s="3" t="s">
        <v>474</v>
      </c>
      <c r="D104" s="9" t="s">
        <v>366</v>
      </c>
      <c r="E104" s="224">
        <v>75000</v>
      </c>
      <c r="F104" s="12"/>
    </row>
    <row r="105" spans="1:6" ht="20.100000000000001" customHeight="1">
      <c r="A105" s="9">
        <v>3</v>
      </c>
      <c r="B105" s="10" t="s">
        <v>475</v>
      </c>
      <c r="C105" s="3" t="s">
        <v>476</v>
      </c>
      <c r="D105" s="14" t="s">
        <v>440</v>
      </c>
      <c r="E105" s="224">
        <v>45000</v>
      </c>
      <c r="F105" s="12"/>
    </row>
    <row r="106" spans="1:6" ht="20.100000000000001" customHeight="1">
      <c r="A106" s="9">
        <v>4</v>
      </c>
      <c r="B106" s="10" t="s">
        <v>1218</v>
      </c>
      <c r="C106" s="3" t="s">
        <v>1219</v>
      </c>
      <c r="D106" s="14" t="s">
        <v>1048</v>
      </c>
      <c r="E106" s="224">
        <v>45000</v>
      </c>
      <c r="F106" s="12"/>
    </row>
    <row r="107" spans="1:6" ht="20.100000000000001" customHeight="1">
      <c r="A107" s="3"/>
      <c r="B107" s="19" t="s">
        <v>42</v>
      </c>
      <c r="C107" s="20">
        <v>3</v>
      </c>
      <c r="D107" s="25"/>
      <c r="E107" s="227">
        <f>SUM(E103:E106)</f>
        <v>315000</v>
      </c>
      <c r="F107" s="12"/>
    </row>
    <row r="108" spans="1:6" ht="20.100000000000001" customHeight="1">
      <c r="A108" s="3"/>
      <c r="B108" s="21"/>
      <c r="C108" s="20"/>
      <c r="D108" s="25"/>
      <c r="E108" s="228"/>
      <c r="F108" s="12"/>
    </row>
    <row r="109" spans="1:6" ht="20.100000000000001" customHeight="1">
      <c r="A109" s="3"/>
      <c r="B109" s="19" t="s">
        <v>479</v>
      </c>
      <c r="C109" s="3"/>
      <c r="D109" s="3"/>
      <c r="E109" s="229"/>
      <c r="F109" s="12"/>
    </row>
    <row r="110" spans="1:6" ht="20.100000000000001" customHeight="1">
      <c r="A110" s="3">
        <v>1</v>
      </c>
      <c r="B110" s="10" t="s">
        <v>480</v>
      </c>
      <c r="C110" s="11" t="s">
        <v>481</v>
      </c>
      <c r="D110" s="14" t="s">
        <v>405</v>
      </c>
      <c r="E110" s="224">
        <v>225000</v>
      </c>
      <c r="F110" s="12"/>
    </row>
    <row r="111" spans="1:6" ht="20.100000000000001" customHeight="1">
      <c r="A111" s="3">
        <v>2</v>
      </c>
      <c r="B111" s="10" t="s">
        <v>482</v>
      </c>
      <c r="C111" s="3" t="s">
        <v>483</v>
      </c>
      <c r="D111" s="15" t="s">
        <v>416</v>
      </c>
      <c r="E111" s="224">
        <v>150000</v>
      </c>
      <c r="F111" s="12"/>
    </row>
    <row r="112" spans="1:6" ht="20.100000000000001" customHeight="1">
      <c r="A112" s="3">
        <v>3</v>
      </c>
      <c r="B112" s="10" t="s">
        <v>484</v>
      </c>
      <c r="C112" s="3" t="s">
        <v>485</v>
      </c>
      <c r="D112" s="9" t="s">
        <v>372</v>
      </c>
      <c r="E112" s="224">
        <v>75000</v>
      </c>
      <c r="F112" s="12"/>
    </row>
    <row r="113" spans="1:6" ht="20.100000000000001" customHeight="1">
      <c r="A113" s="3">
        <v>4</v>
      </c>
      <c r="B113" s="10" t="s">
        <v>486</v>
      </c>
      <c r="C113" s="3" t="s">
        <v>485</v>
      </c>
      <c r="D113" s="9" t="s">
        <v>372</v>
      </c>
      <c r="E113" s="224">
        <v>75000</v>
      </c>
      <c r="F113" s="12"/>
    </row>
    <row r="114" spans="1:6" ht="20.100000000000001" customHeight="1">
      <c r="A114" s="3">
        <v>5</v>
      </c>
      <c r="B114" s="10" t="s">
        <v>487</v>
      </c>
      <c r="C114" s="3" t="s">
        <v>488</v>
      </c>
      <c r="D114" s="14" t="s">
        <v>491</v>
      </c>
      <c r="E114" s="224">
        <v>45000</v>
      </c>
      <c r="F114" s="12"/>
    </row>
    <row r="115" spans="1:6" ht="20.100000000000001" customHeight="1">
      <c r="A115" s="3">
        <v>6</v>
      </c>
      <c r="B115" s="17" t="s">
        <v>490</v>
      </c>
      <c r="C115" s="3" t="s">
        <v>488</v>
      </c>
      <c r="D115" s="9" t="s">
        <v>1048</v>
      </c>
      <c r="E115" s="224">
        <v>45000</v>
      </c>
      <c r="F115" s="12"/>
    </row>
    <row r="116" spans="1:6" ht="20.100000000000001" customHeight="1">
      <c r="A116" s="3">
        <v>7</v>
      </c>
      <c r="B116" s="17" t="s">
        <v>492</v>
      </c>
      <c r="C116" s="3" t="s">
        <v>488</v>
      </c>
      <c r="D116" s="14" t="s">
        <v>402</v>
      </c>
      <c r="E116" s="224">
        <v>45000</v>
      </c>
      <c r="F116" s="12"/>
    </row>
    <row r="117" spans="1:6" ht="20.100000000000001" customHeight="1">
      <c r="A117" s="3"/>
      <c r="B117" s="19" t="s">
        <v>42</v>
      </c>
      <c r="C117" s="20">
        <v>7</v>
      </c>
      <c r="D117" s="3"/>
      <c r="E117" s="230">
        <f>SUM(E110:E116)</f>
        <v>660000</v>
      </c>
      <c r="F117" s="12"/>
    </row>
    <row r="118" spans="1:6" ht="20.100000000000001" customHeight="1">
      <c r="A118" s="3"/>
      <c r="B118" s="21"/>
      <c r="C118" s="9"/>
      <c r="D118" s="3"/>
      <c r="E118" s="231"/>
      <c r="F118" s="12"/>
    </row>
    <row r="119" spans="1:6" ht="20.100000000000001" customHeight="1">
      <c r="A119" s="3"/>
      <c r="B119" s="19" t="s">
        <v>97</v>
      </c>
      <c r="C119" s="20"/>
      <c r="D119" s="20"/>
      <c r="E119" s="224"/>
      <c r="F119" s="12"/>
    </row>
    <row r="120" spans="1:6" ht="20.100000000000001" customHeight="1">
      <c r="A120" s="3">
        <v>1</v>
      </c>
      <c r="B120" s="10" t="s">
        <v>499</v>
      </c>
      <c r="C120" s="11" t="s">
        <v>500</v>
      </c>
      <c r="D120" s="14" t="s">
        <v>405</v>
      </c>
      <c r="E120" s="224">
        <v>225000</v>
      </c>
      <c r="F120" s="12"/>
    </row>
    <row r="121" spans="1:6" ht="20.100000000000001" customHeight="1">
      <c r="A121" s="3">
        <v>2</v>
      </c>
      <c r="B121" s="10" t="s">
        <v>178</v>
      </c>
      <c r="C121" s="11" t="s">
        <v>337</v>
      </c>
      <c r="D121" s="14" t="s">
        <v>358</v>
      </c>
      <c r="E121" s="224">
        <v>105000</v>
      </c>
      <c r="F121" s="12"/>
    </row>
    <row r="122" spans="1:6" ht="20.100000000000001" customHeight="1">
      <c r="A122" s="3">
        <v>3</v>
      </c>
      <c r="B122" s="13" t="s">
        <v>502</v>
      </c>
      <c r="C122" s="11" t="s">
        <v>337</v>
      </c>
      <c r="D122" s="14" t="s">
        <v>358</v>
      </c>
      <c r="E122" s="224">
        <v>105000</v>
      </c>
      <c r="F122" s="12"/>
    </row>
    <row r="123" spans="1:6" ht="20.100000000000001" customHeight="1">
      <c r="A123" s="3">
        <v>4</v>
      </c>
      <c r="B123" s="13" t="s">
        <v>336</v>
      </c>
      <c r="C123" s="11" t="s">
        <v>337</v>
      </c>
      <c r="D123" s="14" t="s">
        <v>99</v>
      </c>
      <c r="E123" s="224">
        <v>105000</v>
      </c>
      <c r="F123" s="12"/>
    </row>
    <row r="124" spans="1:6" ht="20.100000000000001" customHeight="1">
      <c r="A124" s="3">
        <v>5</v>
      </c>
      <c r="B124" s="10" t="s">
        <v>503</v>
      </c>
      <c r="C124" s="11" t="s">
        <v>504</v>
      </c>
      <c r="D124" s="14" t="s">
        <v>450</v>
      </c>
      <c r="E124" s="224">
        <v>75000</v>
      </c>
      <c r="F124" s="12"/>
    </row>
    <row r="125" spans="1:6" ht="20.100000000000001" customHeight="1">
      <c r="A125" s="3">
        <v>6</v>
      </c>
      <c r="B125" s="10" t="s">
        <v>505</v>
      </c>
      <c r="C125" s="11" t="s">
        <v>506</v>
      </c>
      <c r="D125" s="14" t="s">
        <v>375</v>
      </c>
      <c r="E125" s="224">
        <v>75000</v>
      </c>
      <c r="F125" s="12"/>
    </row>
    <row r="126" spans="1:6" ht="20.100000000000001" customHeight="1">
      <c r="A126" s="3">
        <v>7</v>
      </c>
      <c r="B126" s="10" t="s">
        <v>507</v>
      </c>
      <c r="C126" s="11" t="s">
        <v>1071</v>
      </c>
      <c r="D126" s="14" t="s">
        <v>375</v>
      </c>
      <c r="E126" s="224">
        <v>75000</v>
      </c>
      <c r="F126" s="12"/>
    </row>
    <row r="127" spans="1:6" ht="20.100000000000001" customHeight="1">
      <c r="A127" s="3">
        <v>8</v>
      </c>
      <c r="B127" s="10" t="s">
        <v>508</v>
      </c>
      <c r="C127" s="11" t="s">
        <v>509</v>
      </c>
      <c r="D127" s="9" t="s">
        <v>391</v>
      </c>
      <c r="E127" s="224">
        <v>45000</v>
      </c>
      <c r="F127" s="12"/>
    </row>
    <row r="128" spans="1:6" ht="20.100000000000001" customHeight="1">
      <c r="A128" s="3">
        <v>9</v>
      </c>
      <c r="B128" s="17" t="s">
        <v>510</v>
      </c>
      <c r="C128" s="11" t="s">
        <v>511</v>
      </c>
      <c r="D128" s="14" t="s">
        <v>402</v>
      </c>
      <c r="E128" s="224">
        <v>45000</v>
      </c>
      <c r="F128" s="12"/>
    </row>
    <row r="129" spans="1:6" ht="20.100000000000001" customHeight="1">
      <c r="A129" s="3"/>
      <c r="B129" s="19" t="s">
        <v>42</v>
      </c>
      <c r="C129" s="25" t="s">
        <v>124</v>
      </c>
      <c r="D129" s="14"/>
      <c r="E129" s="232">
        <f>SUM(E120:E128)</f>
        <v>855000</v>
      </c>
      <c r="F129" s="12"/>
    </row>
    <row r="130" spans="1:6" ht="20.100000000000001" customHeight="1">
      <c r="A130" s="3"/>
      <c r="B130" s="21"/>
      <c r="C130" s="25"/>
      <c r="D130" s="14"/>
      <c r="E130" s="228"/>
      <c r="F130" s="12"/>
    </row>
    <row r="131" spans="1:6" ht="20.100000000000001" customHeight="1">
      <c r="A131" s="3"/>
      <c r="B131" s="19" t="s">
        <v>103</v>
      </c>
      <c r="C131" s="11"/>
      <c r="D131" s="14"/>
      <c r="E131" s="224"/>
      <c r="F131" s="12"/>
    </row>
    <row r="132" spans="1:6" ht="20.100000000000001" customHeight="1">
      <c r="A132" s="26">
        <v>1</v>
      </c>
      <c r="B132" s="10" t="s">
        <v>514</v>
      </c>
      <c r="C132" s="11" t="s">
        <v>515</v>
      </c>
      <c r="D132" s="14" t="s">
        <v>405</v>
      </c>
      <c r="E132" s="224">
        <v>225000</v>
      </c>
      <c r="F132" s="12"/>
    </row>
    <row r="133" spans="1:6" ht="20.100000000000001" customHeight="1">
      <c r="A133" s="26">
        <v>2</v>
      </c>
      <c r="B133" s="10" t="s">
        <v>338</v>
      </c>
      <c r="C133" s="11" t="s">
        <v>339</v>
      </c>
      <c r="D133" s="14" t="s">
        <v>340</v>
      </c>
      <c r="E133" s="224">
        <v>150000</v>
      </c>
      <c r="F133" s="12"/>
    </row>
    <row r="134" spans="1:6" ht="20.100000000000001" customHeight="1">
      <c r="A134" s="26">
        <v>3</v>
      </c>
      <c r="B134" s="13" t="s">
        <v>516</v>
      </c>
      <c r="C134" s="3" t="s">
        <v>517</v>
      </c>
      <c r="D134" s="15" t="s">
        <v>416</v>
      </c>
      <c r="E134" s="224">
        <v>150000</v>
      </c>
      <c r="F134" s="12"/>
    </row>
    <row r="135" spans="1:6" ht="20.100000000000001" customHeight="1">
      <c r="A135" s="26">
        <v>4</v>
      </c>
      <c r="B135" s="10" t="s">
        <v>518</v>
      </c>
      <c r="C135" s="11" t="s">
        <v>519</v>
      </c>
      <c r="D135" s="14" t="s">
        <v>366</v>
      </c>
      <c r="E135" s="224">
        <v>75000</v>
      </c>
      <c r="F135" s="12"/>
    </row>
    <row r="136" spans="1:6" ht="20.100000000000001" customHeight="1">
      <c r="A136" s="26">
        <v>5</v>
      </c>
      <c r="B136" s="10" t="s">
        <v>520</v>
      </c>
      <c r="C136" s="3" t="s">
        <v>521</v>
      </c>
      <c r="D136" s="14" t="s">
        <v>366</v>
      </c>
      <c r="E136" s="224">
        <v>75000</v>
      </c>
      <c r="F136" s="12"/>
    </row>
    <row r="137" spans="1:6" ht="20.100000000000001" customHeight="1">
      <c r="A137" s="26">
        <v>6</v>
      </c>
      <c r="B137" s="10" t="s">
        <v>473</v>
      </c>
      <c r="C137" s="3" t="s">
        <v>527</v>
      </c>
      <c r="D137" s="14" t="s">
        <v>375</v>
      </c>
      <c r="E137" s="224">
        <v>75000</v>
      </c>
      <c r="F137" s="12"/>
    </row>
    <row r="138" spans="1:6" ht="20.100000000000001" customHeight="1">
      <c r="A138" s="26">
        <v>7</v>
      </c>
      <c r="B138" s="10" t="s">
        <v>523</v>
      </c>
      <c r="C138" s="11" t="s">
        <v>524</v>
      </c>
      <c r="D138" s="14" t="s">
        <v>380</v>
      </c>
      <c r="E138" s="224">
        <v>45000</v>
      </c>
      <c r="F138" s="12"/>
    </row>
    <row r="139" spans="1:6" ht="20.100000000000001" customHeight="1">
      <c r="A139" s="26">
        <v>8</v>
      </c>
      <c r="B139" s="10" t="s">
        <v>525</v>
      </c>
      <c r="C139" s="11" t="s">
        <v>524</v>
      </c>
      <c r="D139" s="14" t="s">
        <v>380</v>
      </c>
      <c r="E139" s="224">
        <v>45000</v>
      </c>
      <c r="F139" s="12"/>
    </row>
    <row r="140" spans="1:6" ht="20.100000000000001" customHeight="1">
      <c r="A140" s="26">
        <v>9</v>
      </c>
      <c r="B140" s="10" t="s">
        <v>526</v>
      </c>
      <c r="C140" s="3" t="s">
        <v>527</v>
      </c>
      <c r="D140" s="14" t="s">
        <v>380</v>
      </c>
      <c r="E140" s="224">
        <v>45000</v>
      </c>
      <c r="F140" s="12"/>
    </row>
    <row r="141" spans="1:6" ht="20.100000000000001" customHeight="1">
      <c r="A141" s="26">
        <v>10</v>
      </c>
      <c r="B141" s="10" t="s">
        <v>528</v>
      </c>
      <c r="C141" s="11" t="s">
        <v>533</v>
      </c>
      <c r="D141" s="14" t="s">
        <v>440</v>
      </c>
      <c r="E141" s="224">
        <v>45000</v>
      </c>
      <c r="F141" s="12"/>
    </row>
    <row r="142" spans="1:6" ht="20.100000000000001" customHeight="1">
      <c r="A142" s="26">
        <v>11</v>
      </c>
      <c r="B142" s="10" t="s">
        <v>530</v>
      </c>
      <c r="C142" s="11" t="s">
        <v>1072</v>
      </c>
      <c r="D142" s="14" t="s">
        <v>539</v>
      </c>
      <c r="E142" s="224">
        <v>45000</v>
      </c>
      <c r="F142" s="12"/>
    </row>
    <row r="143" spans="1:6" ht="20.100000000000001" customHeight="1">
      <c r="A143" s="26">
        <v>12</v>
      </c>
      <c r="B143" s="10" t="s">
        <v>532</v>
      </c>
      <c r="C143" s="11" t="s">
        <v>533</v>
      </c>
      <c r="D143" s="14" t="s">
        <v>380</v>
      </c>
      <c r="E143" s="224">
        <v>45000</v>
      </c>
      <c r="F143" s="12"/>
    </row>
    <row r="144" spans="1:6" ht="20.100000000000001" customHeight="1">
      <c r="A144" s="26">
        <v>13</v>
      </c>
      <c r="B144" s="17" t="s">
        <v>534</v>
      </c>
      <c r="C144" s="3" t="s">
        <v>544</v>
      </c>
      <c r="D144" s="14" t="s">
        <v>539</v>
      </c>
      <c r="E144" s="224">
        <v>45000</v>
      </c>
      <c r="F144" s="12"/>
    </row>
    <row r="145" spans="1:6" ht="20.100000000000001" customHeight="1">
      <c r="A145" s="26">
        <v>14</v>
      </c>
      <c r="B145" s="10" t="s">
        <v>536</v>
      </c>
      <c r="C145" s="3" t="s">
        <v>537</v>
      </c>
      <c r="D145" s="14" t="s">
        <v>409</v>
      </c>
      <c r="E145" s="224">
        <v>45000</v>
      </c>
      <c r="F145" s="12"/>
    </row>
    <row r="146" spans="1:6" ht="20.100000000000001" customHeight="1">
      <c r="A146" s="26">
        <v>15</v>
      </c>
      <c r="B146" s="10" t="s">
        <v>538</v>
      </c>
      <c r="C146" s="3" t="s">
        <v>537</v>
      </c>
      <c r="D146" s="14" t="s">
        <v>453</v>
      </c>
      <c r="E146" s="224">
        <v>45000</v>
      </c>
      <c r="F146" s="12"/>
    </row>
    <row r="147" spans="1:6" ht="20.100000000000001" customHeight="1">
      <c r="A147" s="26">
        <v>16</v>
      </c>
      <c r="B147" s="10" t="s">
        <v>540</v>
      </c>
      <c r="C147" s="3" t="s">
        <v>537</v>
      </c>
      <c r="D147" s="14" t="s">
        <v>453</v>
      </c>
      <c r="E147" s="224">
        <v>45000</v>
      </c>
      <c r="F147" s="12"/>
    </row>
    <row r="148" spans="1:6" ht="20.100000000000001" customHeight="1">
      <c r="A148" s="26">
        <v>17</v>
      </c>
      <c r="B148" s="10" t="s">
        <v>541</v>
      </c>
      <c r="C148" s="11" t="s">
        <v>542</v>
      </c>
      <c r="D148" s="14" t="s">
        <v>37</v>
      </c>
      <c r="E148" s="224">
        <v>45000</v>
      </c>
      <c r="F148" s="12"/>
    </row>
    <row r="149" spans="1:6" ht="20.100000000000001" customHeight="1">
      <c r="A149" s="26">
        <v>18</v>
      </c>
      <c r="B149" s="10" t="s">
        <v>1055</v>
      </c>
      <c r="C149" s="11" t="s">
        <v>544</v>
      </c>
      <c r="D149" s="9" t="s">
        <v>55</v>
      </c>
      <c r="E149" s="224">
        <v>45000</v>
      </c>
      <c r="F149" s="12"/>
    </row>
    <row r="150" spans="1:6" ht="20.100000000000001" customHeight="1">
      <c r="A150" s="26">
        <v>19</v>
      </c>
      <c r="B150" s="10" t="s">
        <v>545</v>
      </c>
      <c r="C150" s="11" t="s">
        <v>546</v>
      </c>
      <c r="D150" s="14" t="s">
        <v>409</v>
      </c>
      <c r="E150" s="224">
        <v>45000</v>
      </c>
      <c r="F150" s="12"/>
    </row>
    <row r="151" spans="1:6" ht="20.100000000000001" customHeight="1">
      <c r="A151" s="26">
        <v>20</v>
      </c>
      <c r="B151" s="10" t="s">
        <v>547</v>
      </c>
      <c r="C151" s="11" t="s">
        <v>548</v>
      </c>
      <c r="D151" s="14" t="s">
        <v>391</v>
      </c>
      <c r="E151" s="224">
        <v>45000</v>
      </c>
      <c r="F151" s="12"/>
    </row>
    <row r="152" spans="1:6" ht="20.100000000000001" customHeight="1">
      <c r="A152" s="26">
        <v>21</v>
      </c>
      <c r="B152" s="10" t="s">
        <v>549</v>
      </c>
      <c r="C152" s="11" t="s">
        <v>550</v>
      </c>
      <c r="D152" s="14" t="s">
        <v>409</v>
      </c>
      <c r="E152" s="224">
        <v>45000</v>
      </c>
      <c r="F152" s="12"/>
    </row>
    <row r="153" spans="1:6" ht="20.100000000000001" customHeight="1">
      <c r="A153" s="26">
        <v>22</v>
      </c>
      <c r="B153" s="10" t="s">
        <v>551</v>
      </c>
      <c r="C153" s="11" t="s">
        <v>552</v>
      </c>
      <c r="D153" s="14" t="s">
        <v>391</v>
      </c>
      <c r="E153" s="224">
        <v>45000</v>
      </c>
      <c r="F153" s="12"/>
    </row>
    <row r="154" spans="1:6" ht="20.100000000000001" customHeight="1">
      <c r="A154" s="26">
        <v>23</v>
      </c>
      <c r="B154" s="17" t="s">
        <v>553</v>
      </c>
      <c r="C154" s="11" t="s">
        <v>558</v>
      </c>
      <c r="D154" s="14" t="s">
        <v>1048</v>
      </c>
      <c r="E154" s="224">
        <v>45000</v>
      </c>
      <c r="F154" s="12"/>
    </row>
    <row r="155" spans="1:6" ht="20.100000000000001" customHeight="1">
      <c r="A155" s="26">
        <v>24</v>
      </c>
      <c r="B155" s="17" t="s">
        <v>555</v>
      </c>
      <c r="C155" s="11" t="s">
        <v>556</v>
      </c>
      <c r="D155" s="14" t="s">
        <v>72</v>
      </c>
      <c r="E155" s="224">
        <v>45000</v>
      </c>
      <c r="F155" s="12"/>
    </row>
    <row r="156" spans="1:6" ht="20.100000000000001" customHeight="1">
      <c r="A156" s="26">
        <v>25</v>
      </c>
      <c r="B156" s="17" t="s">
        <v>557</v>
      </c>
      <c r="C156" s="11" t="s">
        <v>558</v>
      </c>
      <c r="D156" s="14" t="s">
        <v>72</v>
      </c>
      <c r="E156" s="224">
        <v>45000</v>
      </c>
      <c r="F156" s="12"/>
    </row>
    <row r="157" spans="1:6" ht="20.100000000000001" customHeight="1">
      <c r="A157" s="26">
        <v>26</v>
      </c>
      <c r="B157" s="17" t="s">
        <v>559</v>
      </c>
      <c r="C157" s="11" t="s">
        <v>560</v>
      </c>
      <c r="D157" s="14" t="s">
        <v>402</v>
      </c>
      <c r="E157" s="224">
        <v>45000</v>
      </c>
      <c r="F157" s="12"/>
    </row>
    <row r="158" spans="1:6" ht="20.100000000000001" customHeight="1">
      <c r="A158" s="26">
        <v>27</v>
      </c>
      <c r="B158" s="17" t="s">
        <v>561</v>
      </c>
      <c r="C158" s="11" t="s">
        <v>562</v>
      </c>
      <c r="D158" s="14" t="s">
        <v>402</v>
      </c>
      <c r="E158" s="224">
        <v>45000</v>
      </c>
      <c r="F158" s="12"/>
    </row>
    <row r="159" spans="1:6" ht="20.100000000000001" customHeight="1">
      <c r="A159" s="26">
        <v>28</v>
      </c>
      <c r="B159" s="10" t="s">
        <v>564</v>
      </c>
      <c r="C159" s="11" t="s">
        <v>565</v>
      </c>
      <c r="D159" s="14" t="s">
        <v>572</v>
      </c>
      <c r="E159" s="224">
        <v>30000</v>
      </c>
      <c r="F159" s="12"/>
    </row>
    <row r="160" spans="1:6" ht="20.100000000000001" customHeight="1">
      <c r="A160" s="26">
        <v>29</v>
      </c>
      <c r="B160" s="10" t="s">
        <v>567</v>
      </c>
      <c r="C160" s="11" t="s">
        <v>565</v>
      </c>
      <c r="D160" s="14" t="s">
        <v>572</v>
      </c>
      <c r="E160" s="224">
        <v>30000</v>
      </c>
      <c r="F160" s="12"/>
    </row>
    <row r="161" spans="1:6" ht="20.100000000000001" customHeight="1">
      <c r="A161" s="26">
        <v>30</v>
      </c>
      <c r="B161" s="10" t="s">
        <v>568</v>
      </c>
      <c r="C161" s="11" t="s">
        <v>565</v>
      </c>
      <c r="D161" s="14" t="s">
        <v>572</v>
      </c>
      <c r="E161" s="224">
        <v>30000</v>
      </c>
      <c r="F161" s="12"/>
    </row>
    <row r="162" spans="1:6" ht="20.100000000000001" customHeight="1">
      <c r="A162" s="26">
        <v>32</v>
      </c>
      <c r="B162" s="10" t="s">
        <v>569</v>
      </c>
      <c r="C162" s="11" t="s">
        <v>565</v>
      </c>
      <c r="D162" s="14" t="s">
        <v>572</v>
      </c>
      <c r="E162" s="224">
        <v>30000</v>
      </c>
      <c r="F162" s="12"/>
    </row>
    <row r="163" spans="1:6" ht="20.100000000000001" customHeight="1">
      <c r="A163" s="26">
        <v>33</v>
      </c>
      <c r="B163" s="10" t="s">
        <v>570</v>
      </c>
      <c r="C163" s="11" t="s">
        <v>565</v>
      </c>
      <c r="D163" s="14" t="s">
        <v>572</v>
      </c>
      <c r="E163" s="224">
        <v>30000</v>
      </c>
      <c r="F163" s="12"/>
    </row>
    <row r="164" spans="1:6" ht="20.100000000000001" customHeight="1">
      <c r="A164" s="26">
        <v>34</v>
      </c>
      <c r="B164" s="10" t="s">
        <v>571</v>
      </c>
      <c r="C164" s="11" t="s">
        <v>565</v>
      </c>
      <c r="D164" s="14" t="s">
        <v>583</v>
      </c>
      <c r="E164" s="224">
        <v>30000</v>
      </c>
      <c r="F164" s="12"/>
    </row>
    <row r="165" spans="1:6" ht="20.100000000000001" customHeight="1">
      <c r="A165" s="26">
        <v>35</v>
      </c>
      <c r="B165" s="10" t="s">
        <v>573</v>
      </c>
      <c r="C165" s="11" t="s">
        <v>565</v>
      </c>
      <c r="D165" s="14" t="s">
        <v>583</v>
      </c>
      <c r="E165" s="224">
        <v>30000</v>
      </c>
      <c r="F165" s="12"/>
    </row>
    <row r="166" spans="1:6" ht="20.100000000000001" customHeight="1">
      <c r="A166" s="26">
        <v>36</v>
      </c>
      <c r="B166" s="10" t="s">
        <v>1220</v>
      </c>
      <c r="C166" s="11" t="s">
        <v>565</v>
      </c>
      <c r="D166" s="14" t="s">
        <v>583</v>
      </c>
      <c r="E166" s="224">
        <v>30000</v>
      </c>
      <c r="F166" s="12"/>
    </row>
    <row r="167" spans="1:6" ht="20.100000000000001" customHeight="1">
      <c r="A167" s="26">
        <v>37</v>
      </c>
      <c r="B167" s="13" t="s">
        <v>574</v>
      </c>
      <c r="C167" s="11" t="s">
        <v>565</v>
      </c>
      <c r="D167" s="14" t="s">
        <v>583</v>
      </c>
      <c r="E167" s="224">
        <v>30000</v>
      </c>
      <c r="F167" s="12"/>
    </row>
    <row r="168" spans="1:6" ht="20.100000000000001" customHeight="1">
      <c r="A168" s="26">
        <v>38</v>
      </c>
      <c r="B168" s="10" t="s">
        <v>575</v>
      </c>
      <c r="C168" s="11" t="s">
        <v>565</v>
      </c>
      <c r="D168" s="14" t="s">
        <v>583</v>
      </c>
      <c r="E168" s="224">
        <v>30000</v>
      </c>
      <c r="F168" s="12"/>
    </row>
    <row r="169" spans="1:6" ht="20.100000000000001" customHeight="1">
      <c r="A169" s="26">
        <v>39</v>
      </c>
      <c r="B169" s="17" t="s">
        <v>576</v>
      </c>
      <c r="C169" s="11" t="s">
        <v>565</v>
      </c>
      <c r="D169" s="14" t="s">
        <v>583</v>
      </c>
      <c r="E169" s="224">
        <v>30000</v>
      </c>
      <c r="F169" s="12"/>
    </row>
    <row r="170" spans="1:6" ht="20.100000000000001" customHeight="1">
      <c r="A170" s="26">
        <v>40</v>
      </c>
      <c r="B170" s="17" t="s">
        <v>577</v>
      </c>
      <c r="C170" s="11" t="s">
        <v>565</v>
      </c>
      <c r="D170" s="14" t="s">
        <v>583</v>
      </c>
      <c r="E170" s="224">
        <v>30000</v>
      </c>
      <c r="F170" s="12"/>
    </row>
    <row r="171" spans="1:6" ht="20.100000000000001" customHeight="1">
      <c r="A171" s="26">
        <v>41</v>
      </c>
      <c r="B171" s="10" t="s">
        <v>578</v>
      </c>
      <c r="C171" s="11" t="s">
        <v>585</v>
      </c>
      <c r="D171" s="14" t="s">
        <v>586</v>
      </c>
      <c r="E171" s="224">
        <v>30000</v>
      </c>
      <c r="F171" s="12"/>
    </row>
    <row r="172" spans="1:6" ht="20.100000000000001" customHeight="1">
      <c r="A172" s="26">
        <v>42</v>
      </c>
      <c r="B172" s="10" t="s">
        <v>581</v>
      </c>
      <c r="C172" s="11" t="s">
        <v>585</v>
      </c>
      <c r="D172" s="14" t="s">
        <v>586</v>
      </c>
      <c r="E172" s="224">
        <v>30000</v>
      </c>
      <c r="F172" s="12"/>
    </row>
    <row r="173" spans="1:6" ht="20.100000000000001" customHeight="1">
      <c r="A173" s="26">
        <v>43</v>
      </c>
      <c r="B173" s="17" t="s">
        <v>582</v>
      </c>
      <c r="C173" s="11" t="s">
        <v>585</v>
      </c>
      <c r="D173" s="14" t="s">
        <v>1050</v>
      </c>
      <c r="E173" s="224">
        <v>30000</v>
      </c>
      <c r="F173" s="12"/>
    </row>
    <row r="174" spans="1:6" ht="20.100000000000001" customHeight="1">
      <c r="A174" s="26">
        <v>44</v>
      </c>
      <c r="B174" s="10" t="s">
        <v>584</v>
      </c>
      <c r="C174" s="11" t="s">
        <v>585</v>
      </c>
      <c r="D174" s="14" t="s">
        <v>1056</v>
      </c>
      <c r="E174" s="224">
        <v>30000</v>
      </c>
      <c r="F174" s="12"/>
    </row>
    <row r="175" spans="1:6" ht="20.100000000000001" customHeight="1">
      <c r="A175" s="26">
        <v>45</v>
      </c>
      <c r="B175" s="10" t="s">
        <v>587</v>
      </c>
      <c r="C175" s="11" t="s">
        <v>588</v>
      </c>
      <c r="D175" s="14" t="s">
        <v>1057</v>
      </c>
      <c r="E175" s="224">
        <v>30000</v>
      </c>
      <c r="F175" s="12"/>
    </row>
    <row r="176" spans="1:6" ht="20.100000000000001" customHeight="1">
      <c r="A176" s="26">
        <v>46</v>
      </c>
      <c r="B176" s="10" t="s">
        <v>590</v>
      </c>
      <c r="C176" s="11" t="s">
        <v>588</v>
      </c>
      <c r="D176" s="14" t="s">
        <v>1057</v>
      </c>
      <c r="E176" s="224">
        <v>30000</v>
      </c>
      <c r="F176" s="12"/>
    </row>
    <row r="177" spans="1:6" ht="20.100000000000001" customHeight="1">
      <c r="A177" s="26">
        <v>47</v>
      </c>
      <c r="B177" s="10" t="s">
        <v>591</v>
      </c>
      <c r="C177" s="11" t="s">
        <v>588</v>
      </c>
      <c r="D177" s="14" t="s">
        <v>1057</v>
      </c>
      <c r="E177" s="224">
        <v>30000</v>
      </c>
      <c r="F177" s="12"/>
    </row>
    <row r="178" spans="1:6" ht="20.100000000000001" customHeight="1">
      <c r="A178" s="26">
        <v>48</v>
      </c>
      <c r="B178" s="10" t="s">
        <v>592</v>
      </c>
      <c r="C178" s="11" t="s">
        <v>588</v>
      </c>
      <c r="D178" s="14" t="s">
        <v>1057</v>
      </c>
      <c r="E178" s="224">
        <v>30000</v>
      </c>
      <c r="F178" s="12"/>
    </row>
    <row r="179" spans="1:6" ht="20.100000000000001" customHeight="1">
      <c r="A179" s="26">
        <v>49</v>
      </c>
      <c r="B179" s="10" t="s">
        <v>593</v>
      </c>
      <c r="C179" s="11" t="s">
        <v>588</v>
      </c>
      <c r="D179" s="14" t="s">
        <v>1057</v>
      </c>
      <c r="E179" s="224">
        <v>30000</v>
      </c>
      <c r="F179" s="12"/>
    </row>
    <row r="180" spans="1:6" ht="20.100000000000001" customHeight="1">
      <c r="A180" s="26">
        <v>50</v>
      </c>
      <c r="B180" s="17" t="s">
        <v>594</v>
      </c>
      <c r="C180" s="11" t="s">
        <v>588</v>
      </c>
      <c r="D180" s="14" t="s">
        <v>1057</v>
      </c>
      <c r="E180" s="224">
        <v>30000</v>
      </c>
      <c r="F180" s="12"/>
    </row>
    <row r="181" spans="1:6" ht="20.100000000000001" customHeight="1">
      <c r="A181" s="26">
        <v>51</v>
      </c>
      <c r="B181" s="17" t="s">
        <v>595</v>
      </c>
      <c r="C181" s="11" t="s">
        <v>588</v>
      </c>
      <c r="D181" s="14" t="s">
        <v>1057</v>
      </c>
      <c r="E181" s="224">
        <v>30000</v>
      </c>
      <c r="F181" s="12"/>
    </row>
    <row r="182" spans="1:6" ht="20.100000000000001" customHeight="1">
      <c r="A182" s="26">
        <v>52</v>
      </c>
      <c r="B182" s="10" t="s">
        <v>596</v>
      </c>
      <c r="C182" s="11" t="s">
        <v>585</v>
      </c>
      <c r="D182" s="14" t="s">
        <v>1057</v>
      </c>
      <c r="E182" s="224">
        <v>30000</v>
      </c>
      <c r="F182" s="12"/>
    </row>
    <row r="183" spans="1:6" ht="20.100000000000001" customHeight="1">
      <c r="A183" s="26">
        <v>53</v>
      </c>
      <c r="B183" s="10" t="s">
        <v>597</v>
      </c>
      <c r="C183" s="11" t="s">
        <v>585</v>
      </c>
      <c r="D183" s="14" t="s">
        <v>1057</v>
      </c>
      <c r="E183" s="224">
        <v>30000</v>
      </c>
      <c r="F183" s="12"/>
    </row>
    <row r="184" spans="1:6" ht="20.100000000000001" customHeight="1">
      <c r="A184" s="26">
        <v>54</v>
      </c>
      <c r="B184" s="17" t="s">
        <v>598</v>
      </c>
      <c r="C184" s="11" t="s">
        <v>588</v>
      </c>
      <c r="D184" s="14" t="s">
        <v>1073</v>
      </c>
      <c r="E184" s="224">
        <v>30000</v>
      </c>
      <c r="F184" s="12"/>
    </row>
    <row r="185" spans="1:6" ht="20.100000000000001" customHeight="1">
      <c r="A185" s="26">
        <v>55</v>
      </c>
      <c r="B185" s="17" t="s">
        <v>600</v>
      </c>
      <c r="C185" s="11" t="s">
        <v>588</v>
      </c>
      <c r="D185" s="14" t="s">
        <v>1058</v>
      </c>
      <c r="E185" s="224">
        <v>30000</v>
      </c>
      <c r="F185" s="12"/>
    </row>
    <row r="186" spans="1:6" ht="20.100000000000001" customHeight="1">
      <c r="A186" s="26"/>
      <c r="B186" s="7" t="s">
        <v>42</v>
      </c>
      <c r="C186" s="27" t="s">
        <v>1221</v>
      </c>
      <c r="D186" s="28"/>
      <c r="E186" s="233">
        <f>SUM(E132:E185)</f>
        <v>2505000</v>
      </c>
      <c r="F186" s="12"/>
    </row>
    <row r="187" spans="1:6" ht="9" customHeight="1">
      <c r="A187" s="26"/>
      <c r="B187" s="7"/>
      <c r="C187" s="27"/>
      <c r="D187" s="28"/>
      <c r="E187" s="233"/>
      <c r="F187" s="12"/>
    </row>
    <row r="188" spans="1:6" ht="30" customHeight="1">
      <c r="A188" s="3"/>
      <c r="B188" s="234" t="s">
        <v>125</v>
      </c>
      <c r="C188" s="235">
        <f>C37+C42+C57+C62+C79+C87+C100+C107+C117+C129+C186</f>
        <v>149</v>
      </c>
      <c r="D188" s="236"/>
      <c r="E188" s="237">
        <f>E186+E129+E117+E107+E100+E87+E79+E62+E57+E42+E37</f>
        <v>11070000</v>
      </c>
      <c r="F188" s="12"/>
    </row>
    <row r="189" spans="1:6" ht="20.100000000000001" customHeight="1">
      <c r="A189" s="2"/>
      <c r="B189" s="32"/>
      <c r="C189" s="2"/>
      <c r="D189" s="33"/>
      <c r="E189" s="90"/>
      <c r="F189" s="34"/>
    </row>
    <row r="190" spans="1:6" ht="65.25" customHeight="1">
      <c r="A190" s="2"/>
      <c r="B190" s="32"/>
      <c r="C190" s="33"/>
      <c r="D190" s="33"/>
      <c r="E190" s="91"/>
    </row>
  </sheetData>
  <pageMargins left="0.23622047244094499" right="0.23622047244094499" top="0.98425196850393704" bottom="0.98425196850393704" header="0.511811023622047" footer="0.511811023622047"/>
  <pageSetup paperSize="9" scale="80" orientation="portrait" horizontalDpi="1200" verticalDpi="1200"/>
  <headerFooter alignWithMargins="0"/>
  <rowBreaks count="4" manualBreakCount="4">
    <brk id="43" max="26" man="1"/>
    <brk id="79" max="26" man="1"/>
    <brk id="117" max="26" man="1"/>
    <brk id="156" max="4" man="1"/>
  </row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5"/>
  <sheetViews>
    <sheetView view="pageBreakPreview" zoomScaleNormal="100" workbookViewId="0">
      <pane xSplit="3" ySplit="7" topLeftCell="D19" activePane="bottomRight" state="frozen"/>
      <selection pane="topRight"/>
      <selection pane="bottomLeft"/>
      <selection pane="bottomRight" activeCell="I6" sqref="I6"/>
    </sheetView>
  </sheetViews>
  <sheetFormatPr defaultColWidth="9.140625" defaultRowHeight="20.100000000000001" customHeight="1"/>
  <cols>
    <col min="1" max="1" width="5.42578125" style="1" customWidth="1"/>
    <col min="2" max="2" width="44.5703125" style="1" customWidth="1"/>
    <col min="3" max="3" width="38" style="1" customWidth="1"/>
    <col min="4" max="4" width="12.42578125" style="1" customWidth="1"/>
    <col min="5" max="5" width="21.85546875" style="1" customWidth="1"/>
    <col min="6" max="6" width="21.7109375" style="1" customWidth="1"/>
    <col min="7" max="16384" width="9.140625" style="1"/>
  </cols>
  <sheetData>
    <row r="1" spans="1:6" ht="27" customHeight="1">
      <c r="A1" s="218" t="s">
        <v>0</v>
      </c>
      <c r="B1" s="218"/>
      <c r="C1" s="218"/>
      <c r="D1" s="218"/>
      <c r="E1" s="239"/>
    </row>
    <row r="2" spans="1:6" ht="33.75" customHeight="1">
      <c r="A2" s="218" t="s">
        <v>1205</v>
      </c>
      <c r="B2" s="64"/>
      <c r="C2" s="63"/>
      <c r="D2" s="63"/>
      <c r="E2" s="65"/>
    </row>
    <row r="3" spans="1:6" ht="9.75" customHeight="1">
      <c r="A3" s="2"/>
      <c r="B3" s="2"/>
      <c r="C3" s="2"/>
      <c r="D3" s="2"/>
    </row>
    <row r="4" spans="1:6" ht="49.5" customHeight="1">
      <c r="A4" s="219"/>
      <c r="B4" s="220" t="s">
        <v>2</v>
      </c>
      <c r="C4" s="221" t="s">
        <v>3</v>
      </c>
      <c r="D4" s="222" t="s">
        <v>4</v>
      </c>
      <c r="E4" s="223" t="s">
        <v>201</v>
      </c>
    </row>
    <row r="5" spans="1:6" ht="17.25" customHeight="1">
      <c r="C5" s="7"/>
      <c r="D5" s="7"/>
      <c r="E5" s="212" t="s">
        <v>20</v>
      </c>
    </row>
    <row r="6" spans="1:6" ht="20.100000000000001" customHeight="1">
      <c r="A6" s="8" t="s">
        <v>21</v>
      </c>
      <c r="B6" s="7" t="s">
        <v>22</v>
      </c>
      <c r="C6" s="7"/>
      <c r="D6" s="7"/>
      <c r="E6" s="212"/>
    </row>
    <row r="7" spans="1:6" ht="20.100000000000001" customHeight="1">
      <c r="A7" s="9">
        <v>1</v>
      </c>
      <c r="B7" s="10" t="s">
        <v>345</v>
      </c>
      <c r="C7" s="11" t="s">
        <v>346</v>
      </c>
      <c r="D7" s="11" t="s">
        <v>347</v>
      </c>
      <c r="E7" s="224">
        <v>450000</v>
      </c>
      <c r="F7" s="12"/>
    </row>
    <row r="8" spans="1:6" ht="20.100000000000001" customHeight="1">
      <c r="A8" s="9">
        <v>2</v>
      </c>
      <c r="B8" s="10" t="s">
        <v>1116</v>
      </c>
      <c r="C8" s="3" t="s">
        <v>1206</v>
      </c>
      <c r="D8" s="9" t="s">
        <v>340</v>
      </c>
      <c r="E8" s="224">
        <v>150000</v>
      </c>
      <c r="F8" s="12"/>
    </row>
    <row r="9" spans="1:6" ht="20.100000000000001" customHeight="1">
      <c r="A9" s="9">
        <v>3</v>
      </c>
      <c r="B9" s="13" t="s">
        <v>1207</v>
      </c>
      <c r="C9" s="3" t="s">
        <v>1208</v>
      </c>
      <c r="D9" s="9" t="s">
        <v>340</v>
      </c>
      <c r="E9" s="224">
        <v>150000</v>
      </c>
      <c r="F9" s="12"/>
    </row>
    <row r="10" spans="1:6" ht="20.100000000000001" customHeight="1">
      <c r="A10" s="9">
        <v>4</v>
      </c>
      <c r="B10" s="10" t="s">
        <v>348</v>
      </c>
      <c r="C10" s="11" t="s">
        <v>349</v>
      </c>
      <c r="D10" s="9" t="s">
        <v>343</v>
      </c>
      <c r="E10" s="224">
        <v>150000</v>
      </c>
      <c r="F10" s="12"/>
    </row>
    <row r="11" spans="1:6" ht="20.100000000000001" customHeight="1">
      <c r="A11" s="9">
        <v>5</v>
      </c>
      <c r="B11" s="13" t="s">
        <v>350</v>
      </c>
      <c r="C11" s="3" t="s">
        <v>351</v>
      </c>
      <c r="D11" s="14" t="s">
        <v>416</v>
      </c>
      <c r="E11" s="224">
        <v>150000</v>
      </c>
      <c r="F11" s="12"/>
    </row>
    <row r="12" spans="1:6" ht="20.100000000000001" customHeight="1">
      <c r="A12" s="9">
        <v>6</v>
      </c>
      <c r="B12" s="13" t="s">
        <v>470</v>
      </c>
      <c r="C12" s="3" t="s">
        <v>1118</v>
      </c>
      <c r="D12" s="15" t="s">
        <v>416</v>
      </c>
      <c r="E12" s="224">
        <v>150000</v>
      </c>
      <c r="F12" s="12"/>
    </row>
    <row r="13" spans="1:6" ht="20.100000000000001" customHeight="1">
      <c r="A13" s="9">
        <v>7</v>
      </c>
      <c r="B13" s="10" t="s">
        <v>352</v>
      </c>
      <c r="C13" s="16" t="s">
        <v>353</v>
      </c>
      <c r="D13" s="15" t="s">
        <v>416</v>
      </c>
      <c r="E13" s="224">
        <v>150000</v>
      </c>
      <c r="F13" s="12"/>
    </row>
    <row r="14" spans="1:6" ht="20.100000000000001" customHeight="1">
      <c r="A14" s="9">
        <v>8</v>
      </c>
      <c r="B14" s="13" t="s">
        <v>354</v>
      </c>
      <c r="C14" s="3" t="s">
        <v>355</v>
      </c>
      <c r="D14" s="15" t="s">
        <v>416</v>
      </c>
      <c r="E14" s="224">
        <v>150000</v>
      </c>
      <c r="F14" s="12"/>
    </row>
    <row r="15" spans="1:6" ht="20.100000000000001" customHeight="1">
      <c r="A15" s="9">
        <v>9</v>
      </c>
      <c r="B15" s="10" t="s">
        <v>356</v>
      </c>
      <c r="C15" s="11" t="s">
        <v>357</v>
      </c>
      <c r="D15" s="14" t="s">
        <v>358</v>
      </c>
      <c r="E15" s="224">
        <v>105000</v>
      </c>
      <c r="F15" s="12"/>
    </row>
    <row r="16" spans="1:6" ht="20.100000000000001" customHeight="1">
      <c r="A16" s="9">
        <v>10</v>
      </c>
      <c r="B16" s="17" t="s">
        <v>333</v>
      </c>
      <c r="C16" s="11" t="s">
        <v>334</v>
      </c>
      <c r="D16" s="9" t="s">
        <v>332</v>
      </c>
      <c r="E16" s="224">
        <v>105000</v>
      </c>
      <c r="F16" s="12"/>
    </row>
    <row r="17" spans="1:6" ht="20.100000000000001" customHeight="1">
      <c r="A17" s="9">
        <v>11</v>
      </c>
      <c r="B17" s="18" t="s">
        <v>1209</v>
      </c>
      <c r="C17" s="3" t="s">
        <v>1210</v>
      </c>
      <c r="D17" s="15" t="s">
        <v>366</v>
      </c>
      <c r="E17" s="224">
        <v>75000</v>
      </c>
      <c r="F17" s="12"/>
    </row>
    <row r="18" spans="1:6" ht="19.5" customHeight="1">
      <c r="A18" s="9">
        <v>12</v>
      </c>
      <c r="B18" s="13" t="s">
        <v>1119</v>
      </c>
      <c r="C18" s="3" t="s">
        <v>362</v>
      </c>
      <c r="D18" s="9" t="s">
        <v>366</v>
      </c>
      <c r="E18" s="224">
        <v>75000</v>
      </c>
      <c r="F18" s="12"/>
    </row>
    <row r="19" spans="1:6" ht="19.5" customHeight="1">
      <c r="A19" s="9">
        <v>13</v>
      </c>
      <c r="B19" s="13" t="s">
        <v>1211</v>
      </c>
      <c r="C19" s="3" t="s">
        <v>1212</v>
      </c>
      <c r="D19" s="9" t="s">
        <v>366</v>
      </c>
      <c r="E19" s="224">
        <v>75000</v>
      </c>
      <c r="F19" s="12"/>
    </row>
    <row r="20" spans="1:6" ht="20.100000000000001" customHeight="1">
      <c r="A20" s="9">
        <v>14</v>
      </c>
      <c r="B20" s="10" t="s">
        <v>361</v>
      </c>
      <c r="C20" s="3" t="s">
        <v>362</v>
      </c>
      <c r="D20" s="14" t="s">
        <v>366</v>
      </c>
      <c r="E20" s="224">
        <v>75000</v>
      </c>
      <c r="F20" s="12"/>
    </row>
    <row r="21" spans="1:6" ht="20.100000000000001" customHeight="1">
      <c r="A21" s="9">
        <v>15</v>
      </c>
      <c r="B21" s="10" t="s">
        <v>373</v>
      </c>
      <c r="C21" s="11" t="s">
        <v>374</v>
      </c>
      <c r="D21" s="14" t="s">
        <v>1052</v>
      </c>
      <c r="E21" s="224">
        <v>75000</v>
      </c>
      <c r="F21" s="12"/>
    </row>
    <row r="22" spans="1:6" ht="20.100000000000001" customHeight="1">
      <c r="A22" s="9">
        <v>16</v>
      </c>
      <c r="B22" s="17" t="s">
        <v>376</v>
      </c>
      <c r="C22" s="3" t="s">
        <v>377</v>
      </c>
      <c r="D22" s="14" t="s">
        <v>1053</v>
      </c>
      <c r="E22" s="224">
        <v>75000</v>
      </c>
      <c r="F22" s="12"/>
    </row>
    <row r="23" spans="1:6" ht="20.100000000000001" customHeight="1">
      <c r="A23" s="9">
        <v>17</v>
      </c>
      <c r="B23" s="10" t="s">
        <v>496</v>
      </c>
      <c r="C23" s="11" t="s">
        <v>497</v>
      </c>
      <c r="D23" s="14" t="s">
        <v>380</v>
      </c>
      <c r="E23" s="224">
        <v>45000</v>
      </c>
      <c r="F23" s="12"/>
    </row>
    <row r="24" spans="1:6" ht="18.75" customHeight="1">
      <c r="A24" s="9">
        <v>18</v>
      </c>
      <c r="B24" s="10" t="s">
        <v>379</v>
      </c>
      <c r="C24" s="11" t="s">
        <v>233</v>
      </c>
      <c r="D24" s="14" t="s">
        <v>440</v>
      </c>
      <c r="E24" s="224">
        <v>45000</v>
      </c>
      <c r="F24" s="12"/>
    </row>
    <row r="25" spans="1:6" ht="18.75" customHeight="1">
      <c r="A25" s="9">
        <v>19</v>
      </c>
      <c r="B25" s="17" t="s">
        <v>1213</v>
      </c>
      <c r="C25" s="11" t="s">
        <v>401</v>
      </c>
      <c r="D25" s="14" t="s">
        <v>453</v>
      </c>
      <c r="E25" s="224">
        <v>45000</v>
      </c>
      <c r="F25" s="12"/>
    </row>
    <row r="26" spans="1:6" ht="18.75" customHeight="1">
      <c r="A26" s="9">
        <v>20</v>
      </c>
      <c r="B26" s="3" t="s">
        <v>386</v>
      </c>
      <c r="C26" s="3" t="s">
        <v>289</v>
      </c>
      <c r="D26" s="9" t="s">
        <v>391</v>
      </c>
      <c r="E26" s="224">
        <v>45000</v>
      </c>
      <c r="F26" s="12"/>
    </row>
    <row r="27" spans="1:6" ht="18.75" customHeight="1">
      <c r="A27" s="9">
        <v>21</v>
      </c>
      <c r="B27" s="17" t="s">
        <v>388</v>
      </c>
      <c r="C27" s="11" t="s">
        <v>289</v>
      </c>
      <c r="D27" s="14" t="s">
        <v>391</v>
      </c>
      <c r="E27" s="224">
        <v>45000</v>
      </c>
      <c r="F27" s="12"/>
    </row>
    <row r="28" spans="1:6" ht="18.75" customHeight="1">
      <c r="A28" s="9">
        <v>22</v>
      </c>
      <c r="B28" s="10" t="s">
        <v>1120</v>
      </c>
      <c r="C28" s="11" t="s">
        <v>1121</v>
      </c>
      <c r="D28" s="14" t="s">
        <v>391</v>
      </c>
      <c r="E28" s="224">
        <v>45000</v>
      </c>
      <c r="F28" s="12"/>
    </row>
    <row r="29" spans="1:6" ht="18.75" customHeight="1">
      <c r="A29" s="9">
        <v>23</v>
      </c>
      <c r="B29" s="17" t="s">
        <v>390</v>
      </c>
      <c r="C29" s="11" t="s">
        <v>1068</v>
      </c>
      <c r="D29" s="14" t="s">
        <v>1048</v>
      </c>
      <c r="E29" s="224">
        <v>45000</v>
      </c>
      <c r="F29" s="12"/>
    </row>
    <row r="30" spans="1:6" ht="18.75" customHeight="1">
      <c r="A30" s="9">
        <v>24</v>
      </c>
      <c r="B30" s="17" t="s">
        <v>392</v>
      </c>
      <c r="C30" s="3" t="s">
        <v>1122</v>
      </c>
      <c r="D30" s="9" t="s">
        <v>1048</v>
      </c>
      <c r="E30" s="224">
        <v>45000</v>
      </c>
      <c r="F30" s="12"/>
    </row>
    <row r="31" spans="1:6" ht="18.75" customHeight="1">
      <c r="A31" s="9">
        <v>25</v>
      </c>
      <c r="B31" s="17" t="s">
        <v>395</v>
      </c>
      <c r="C31" s="16" t="s">
        <v>396</v>
      </c>
      <c r="D31" s="14" t="s">
        <v>391</v>
      </c>
      <c r="E31" s="224">
        <v>45000</v>
      </c>
      <c r="F31" s="12"/>
    </row>
    <row r="32" spans="1:6" ht="18.75" customHeight="1">
      <c r="A32" s="9">
        <v>26</v>
      </c>
      <c r="B32" s="17" t="s">
        <v>397</v>
      </c>
      <c r="C32" s="3" t="s">
        <v>398</v>
      </c>
      <c r="D32" s="9" t="s">
        <v>402</v>
      </c>
      <c r="E32" s="224">
        <v>45000</v>
      </c>
      <c r="F32" s="12"/>
    </row>
    <row r="33" spans="1:6" ht="18.75" customHeight="1">
      <c r="A33" s="9">
        <v>27</v>
      </c>
      <c r="B33" s="17" t="s">
        <v>1036</v>
      </c>
      <c r="C33" s="11" t="s">
        <v>401</v>
      </c>
      <c r="D33" s="14" t="s">
        <v>402</v>
      </c>
      <c r="E33" s="224">
        <v>45000</v>
      </c>
      <c r="F33" s="12"/>
    </row>
    <row r="34" spans="1:6" ht="18.75" customHeight="1">
      <c r="A34" s="9">
        <v>28</v>
      </c>
      <c r="B34" s="17" t="s">
        <v>1214</v>
      </c>
      <c r="C34" s="11" t="s">
        <v>401</v>
      </c>
      <c r="D34" s="14" t="s">
        <v>402</v>
      </c>
      <c r="E34" s="224">
        <v>45000</v>
      </c>
      <c r="F34" s="12"/>
    </row>
    <row r="35" spans="1:6" ht="18.75" customHeight="1">
      <c r="A35" s="9">
        <v>29</v>
      </c>
      <c r="B35" s="17" t="s">
        <v>512</v>
      </c>
      <c r="C35" s="11" t="s">
        <v>248</v>
      </c>
      <c r="D35" s="14" t="s">
        <v>72</v>
      </c>
      <c r="E35" s="224">
        <v>45000</v>
      </c>
      <c r="F35" s="12"/>
    </row>
    <row r="36" spans="1:6" ht="26.25" customHeight="1">
      <c r="A36" s="9"/>
      <c r="B36" s="19" t="s">
        <v>42</v>
      </c>
      <c r="C36" s="20">
        <v>29</v>
      </c>
      <c r="D36" s="14"/>
      <c r="E36" s="225">
        <f>SUM(E7:E35)</f>
        <v>2745000</v>
      </c>
      <c r="F36" s="12"/>
    </row>
    <row r="37" spans="1:6" ht="18.75" customHeight="1">
      <c r="A37" s="9"/>
      <c r="B37" s="21"/>
      <c r="C37" s="3"/>
      <c r="D37" s="14"/>
      <c r="E37" s="226"/>
      <c r="F37" s="12"/>
    </row>
    <row r="38" spans="1:6" ht="18.75" customHeight="1">
      <c r="A38" s="9"/>
      <c r="B38" s="19" t="s">
        <v>225</v>
      </c>
      <c r="C38" s="3"/>
      <c r="D38" s="14"/>
      <c r="E38" s="224"/>
      <c r="F38" s="12"/>
    </row>
    <row r="39" spans="1:6" ht="18.75" customHeight="1">
      <c r="A39" s="9">
        <v>1</v>
      </c>
      <c r="B39" s="17" t="s">
        <v>403</v>
      </c>
      <c r="C39" s="3" t="s">
        <v>404</v>
      </c>
      <c r="D39" s="9" t="s">
        <v>405</v>
      </c>
      <c r="E39" s="224">
        <v>225000</v>
      </c>
      <c r="F39" s="12"/>
    </row>
    <row r="40" spans="1:6" ht="18.75" customHeight="1">
      <c r="A40" s="9">
        <v>2</v>
      </c>
      <c r="B40" s="17" t="s">
        <v>406</v>
      </c>
      <c r="C40" s="3" t="s">
        <v>642</v>
      </c>
      <c r="D40" s="9" t="s">
        <v>72</v>
      </c>
      <c r="E40" s="224">
        <v>45000</v>
      </c>
      <c r="F40" s="12"/>
    </row>
    <row r="41" spans="1:6" ht="19.5" customHeight="1">
      <c r="A41" s="9"/>
      <c r="B41" s="13"/>
      <c r="C41" s="20">
        <v>2</v>
      </c>
      <c r="D41" s="9"/>
      <c r="E41" s="225">
        <f>SUM(E39:E40)</f>
        <v>270000</v>
      </c>
      <c r="F41" s="12"/>
    </row>
    <row r="42" spans="1:6" ht="20.100000000000001" customHeight="1">
      <c r="A42" s="9"/>
      <c r="B42" s="13"/>
      <c r="C42" s="3"/>
      <c r="D42" s="9"/>
      <c r="E42" s="224"/>
      <c r="F42" s="12"/>
    </row>
    <row r="43" spans="1:6" ht="20.100000000000001" customHeight="1">
      <c r="A43" s="9"/>
      <c r="B43" s="22" t="s">
        <v>43</v>
      </c>
      <c r="C43" s="4"/>
      <c r="D43" s="23"/>
      <c r="E43" s="224"/>
      <c r="F43" s="12"/>
    </row>
    <row r="44" spans="1:6" ht="20.100000000000001" customHeight="1">
      <c r="A44" s="9">
        <v>1</v>
      </c>
      <c r="B44" s="10" t="s">
        <v>410</v>
      </c>
      <c r="C44" s="3" t="s">
        <v>411</v>
      </c>
      <c r="D44" s="9" t="s">
        <v>405</v>
      </c>
      <c r="E44" s="224">
        <v>225000</v>
      </c>
      <c r="F44" s="12"/>
    </row>
    <row r="45" spans="1:6" ht="20.100000000000001" customHeight="1">
      <c r="A45" s="9">
        <v>2</v>
      </c>
      <c r="B45" s="10" t="s">
        <v>412</v>
      </c>
      <c r="C45" s="3" t="s">
        <v>413</v>
      </c>
      <c r="D45" s="9" t="s">
        <v>358</v>
      </c>
      <c r="E45" s="224">
        <v>105000</v>
      </c>
      <c r="F45" s="12"/>
    </row>
    <row r="46" spans="1:6" ht="20.100000000000001" customHeight="1">
      <c r="A46" s="9">
        <v>3</v>
      </c>
      <c r="B46" s="10" t="s">
        <v>414</v>
      </c>
      <c r="C46" s="3" t="s">
        <v>418</v>
      </c>
      <c r="D46" s="9" t="s">
        <v>358</v>
      </c>
      <c r="E46" s="224">
        <v>105000</v>
      </c>
      <c r="F46" s="12"/>
    </row>
    <row r="47" spans="1:6" ht="20.100000000000001" customHeight="1">
      <c r="A47" s="9">
        <v>4</v>
      </c>
      <c r="B47" s="10" t="s">
        <v>417</v>
      </c>
      <c r="C47" s="3" t="s">
        <v>418</v>
      </c>
      <c r="D47" s="9" t="s">
        <v>358</v>
      </c>
      <c r="E47" s="224">
        <v>105000</v>
      </c>
      <c r="F47" s="12"/>
    </row>
    <row r="48" spans="1:6" ht="20.100000000000001" customHeight="1">
      <c r="A48" s="9">
        <v>5</v>
      </c>
      <c r="B48" s="10" t="s">
        <v>419</v>
      </c>
      <c r="C48" s="3" t="s">
        <v>418</v>
      </c>
      <c r="D48" s="9" t="s">
        <v>435</v>
      </c>
      <c r="E48" s="224">
        <v>105000</v>
      </c>
      <c r="F48" s="12"/>
    </row>
    <row r="49" spans="1:6" ht="20.100000000000001" customHeight="1">
      <c r="A49" s="9">
        <v>6</v>
      </c>
      <c r="B49" s="10" t="s">
        <v>420</v>
      </c>
      <c r="C49" s="3" t="s">
        <v>368</v>
      </c>
      <c r="D49" s="9" t="s">
        <v>366</v>
      </c>
      <c r="E49" s="224">
        <v>75000</v>
      </c>
      <c r="F49" s="12"/>
    </row>
    <row r="50" spans="1:6" ht="20.100000000000001" customHeight="1">
      <c r="A50" s="9">
        <v>7</v>
      </c>
      <c r="B50" s="13" t="s">
        <v>421</v>
      </c>
      <c r="C50" s="3" t="s">
        <v>365</v>
      </c>
      <c r="D50" s="15" t="s">
        <v>366</v>
      </c>
      <c r="E50" s="224">
        <v>75000</v>
      </c>
      <c r="F50" s="12"/>
    </row>
    <row r="51" spans="1:6" ht="20.100000000000001" customHeight="1">
      <c r="A51" s="9">
        <v>8</v>
      </c>
      <c r="B51" s="10" t="s">
        <v>1125</v>
      </c>
      <c r="C51" s="3" t="s">
        <v>365</v>
      </c>
      <c r="D51" s="9" t="s">
        <v>450</v>
      </c>
      <c r="E51" s="224">
        <v>75000</v>
      </c>
      <c r="F51" s="12"/>
    </row>
    <row r="52" spans="1:6" ht="20.100000000000001" customHeight="1">
      <c r="A52" s="9">
        <v>9</v>
      </c>
      <c r="B52" s="10" t="s">
        <v>367</v>
      </c>
      <c r="C52" s="3" t="s">
        <v>461</v>
      </c>
      <c r="D52" s="9" t="s">
        <v>375</v>
      </c>
      <c r="E52" s="224">
        <v>75000</v>
      </c>
      <c r="F52" s="12"/>
    </row>
    <row r="53" spans="1:6" ht="20.100000000000001" customHeight="1">
      <c r="A53" s="9">
        <v>10</v>
      </c>
      <c r="B53" s="10" t="s">
        <v>423</v>
      </c>
      <c r="C53" s="3" t="s">
        <v>64</v>
      </c>
      <c r="D53" s="9" t="s">
        <v>55</v>
      </c>
      <c r="E53" s="224">
        <v>45000</v>
      </c>
      <c r="F53" s="12"/>
    </row>
    <row r="54" spans="1:6" ht="20.100000000000001" customHeight="1">
      <c r="A54" s="9">
        <v>11</v>
      </c>
      <c r="B54" s="10" t="s">
        <v>424</v>
      </c>
      <c r="C54" s="3" t="s">
        <v>64</v>
      </c>
      <c r="D54" s="9" t="s">
        <v>55</v>
      </c>
      <c r="E54" s="224">
        <v>45000</v>
      </c>
      <c r="F54" s="12"/>
    </row>
    <row r="55" spans="1:6" ht="20.100000000000001" customHeight="1">
      <c r="A55" s="9">
        <v>12</v>
      </c>
      <c r="B55" s="10" t="s">
        <v>425</v>
      </c>
      <c r="C55" s="3" t="s">
        <v>64</v>
      </c>
      <c r="D55" s="9" t="s">
        <v>55</v>
      </c>
      <c r="E55" s="224">
        <v>45000</v>
      </c>
      <c r="F55" s="12"/>
    </row>
    <row r="56" spans="1:6" ht="25.5" customHeight="1">
      <c r="A56" s="9"/>
      <c r="B56" s="19" t="s">
        <v>42</v>
      </c>
      <c r="C56" s="20">
        <v>12</v>
      </c>
      <c r="D56" s="20"/>
      <c r="E56" s="227">
        <f>SUM(E44:E55)</f>
        <v>1080000</v>
      </c>
      <c r="F56" s="12"/>
    </row>
    <row r="57" spans="1:6" ht="20.100000000000001" customHeight="1">
      <c r="A57" s="9"/>
      <c r="B57" s="21"/>
      <c r="C57" s="20"/>
      <c r="D57" s="20"/>
      <c r="E57" s="228"/>
      <c r="F57" s="12"/>
    </row>
    <row r="58" spans="1:6" ht="20.100000000000001" customHeight="1">
      <c r="A58" s="9"/>
      <c r="B58" s="19" t="s">
        <v>426</v>
      </c>
      <c r="C58" s="20"/>
      <c r="D58" s="20"/>
      <c r="E58" s="228"/>
      <c r="F58" s="12"/>
    </row>
    <row r="59" spans="1:6" ht="20.100000000000001" customHeight="1">
      <c r="A59" s="9">
        <v>1</v>
      </c>
      <c r="B59" s="10" t="s">
        <v>427</v>
      </c>
      <c r="C59" s="11" t="s">
        <v>428</v>
      </c>
      <c r="D59" s="14" t="s">
        <v>405</v>
      </c>
      <c r="E59" s="224">
        <v>225000</v>
      </c>
      <c r="F59" s="12"/>
    </row>
    <row r="60" spans="1:6" ht="20.100000000000001" customHeight="1">
      <c r="A60" s="9">
        <v>2</v>
      </c>
      <c r="B60" s="10" t="s">
        <v>429</v>
      </c>
      <c r="C60" s="11" t="s">
        <v>430</v>
      </c>
      <c r="D60" s="14" t="s">
        <v>332</v>
      </c>
      <c r="E60" s="224">
        <v>105000</v>
      </c>
      <c r="F60" s="12"/>
    </row>
    <row r="61" spans="1:6" ht="20.100000000000001" customHeight="1">
      <c r="A61" s="9"/>
      <c r="B61" s="19" t="s">
        <v>42</v>
      </c>
      <c r="C61" s="20">
        <v>2</v>
      </c>
      <c r="D61" s="20"/>
      <c r="E61" s="227">
        <f>SUM(E59:E60)</f>
        <v>330000</v>
      </c>
      <c r="F61" s="12"/>
    </row>
    <row r="62" spans="1:6" ht="20.100000000000001" customHeight="1">
      <c r="A62" s="9"/>
      <c r="B62" s="19"/>
      <c r="C62" s="20"/>
      <c r="D62" s="20"/>
      <c r="E62" s="228"/>
      <c r="F62" s="12"/>
    </row>
    <row r="63" spans="1:6" ht="20.100000000000001" customHeight="1">
      <c r="A63" s="9"/>
      <c r="B63" s="19" t="s">
        <v>60</v>
      </c>
      <c r="C63" s="20"/>
      <c r="D63" s="20"/>
      <c r="E63" s="228"/>
      <c r="F63" s="12"/>
    </row>
    <row r="64" spans="1:6" ht="20.100000000000001" customHeight="1">
      <c r="A64" s="9">
        <v>1</v>
      </c>
      <c r="B64" s="10" t="s">
        <v>431</v>
      </c>
      <c r="C64" s="16" t="s">
        <v>432</v>
      </c>
      <c r="D64" s="9" t="s">
        <v>405</v>
      </c>
      <c r="E64" s="224">
        <v>225000</v>
      </c>
      <c r="F64" s="12"/>
    </row>
    <row r="65" spans="1:6" ht="20.100000000000001" customHeight="1">
      <c r="A65" s="9">
        <v>2</v>
      </c>
      <c r="B65" s="17" t="s">
        <v>433</v>
      </c>
      <c r="C65" s="16" t="s">
        <v>434</v>
      </c>
      <c r="D65" s="14" t="s">
        <v>1054</v>
      </c>
      <c r="E65" s="224">
        <v>105000</v>
      </c>
      <c r="F65" s="12"/>
    </row>
    <row r="66" spans="1:6" ht="20.100000000000001" customHeight="1">
      <c r="A66" s="9">
        <v>3</v>
      </c>
      <c r="B66" s="10" t="s">
        <v>436</v>
      </c>
      <c r="C66" s="3" t="s">
        <v>231</v>
      </c>
      <c r="D66" s="9" t="s">
        <v>375</v>
      </c>
      <c r="E66" s="224">
        <v>75000</v>
      </c>
      <c r="F66" s="12"/>
    </row>
    <row r="67" spans="1:6" ht="20.100000000000001" customHeight="1">
      <c r="A67" s="9">
        <v>4</v>
      </c>
      <c r="B67" s="17" t="s">
        <v>437</v>
      </c>
      <c r="C67" s="16" t="s">
        <v>231</v>
      </c>
      <c r="D67" s="14" t="s">
        <v>1052</v>
      </c>
      <c r="E67" s="224">
        <v>75000</v>
      </c>
      <c r="F67" s="12"/>
    </row>
    <row r="68" spans="1:6" ht="20.100000000000001" customHeight="1">
      <c r="A68" s="9">
        <v>5</v>
      </c>
      <c r="B68" s="13" t="s">
        <v>438</v>
      </c>
      <c r="C68" s="16" t="s">
        <v>365</v>
      </c>
      <c r="D68" s="14" t="s">
        <v>366</v>
      </c>
      <c r="E68" s="224">
        <v>75000</v>
      </c>
      <c r="F68" s="12"/>
    </row>
    <row r="69" spans="1:6" ht="20.100000000000001" customHeight="1">
      <c r="A69" s="9">
        <v>6</v>
      </c>
      <c r="B69" s="13" t="s">
        <v>364</v>
      </c>
      <c r="C69" s="16" t="s">
        <v>365</v>
      </c>
      <c r="D69" s="14" t="s">
        <v>450</v>
      </c>
      <c r="E69" s="224">
        <v>75000</v>
      </c>
      <c r="F69" s="12"/>
    </row>
    <row r="70" spans="1:6" ht="20.100000000000001" customHeight="1">
      <c r="A70" s="9">
        <v>7</v>
      </c>
      <c r="B70" s="10" t="s">
        <v>439</v>
      </c>
      <c r="C70" s="3" t="s">
        <v>64</v>
      </c>
      <c r="D70" s="9" t="s">
        <v>32</v>
      </c>
      <c r="E70" s="224">
        <v>45000</v>
      </c>
      <c r="F70" s="12"/>
    </row>
    <row r="71" spans="1:6" ht="20.100000000000001" customHeight="1">
      <c r="A71" s="9">
        <v>8</v>
      </c>
      <c r="B71" s="10" t="s">
        <v>441</v>
      </c>
      <c r="C71" s="16" t="s">
        <v>34</v>
      </c>
      <c r="D71" s="14" t="s">
        <v>32</v>
      </c>
      <c r="E71" s="224">
        <v>45000</v>
      </c>
      <c r="F71" s="12"/>
    </row>
    <row r="72" spans="1:6" ht="20.100000000000001" customHeight="1">
      <c r="A72" s="9">
        <v>9</v>
      </c>
      <c r="B72" s="10" t="s">
        <v>442</v>
      </c>
      <c r="C72" s="16" t="s">
        <v>34</v>
      </c>
      <c r="D72" s="14" t="s">
        <v>32</v>
      </c>
      <c r="E72" s="224">
        <v>45000</v>
      </c>
      <c r="F72" s="12"/>
    </row>
    <row r="73" spans="1:6" ht="20.100000000000001" customHeight="1">
      <c r="A73" s="9">
        <v>10</v>
      </c>
      <c r="B73" s="10" t="s">
        <v>443</v>
      </c>
      <c r="C73" s="3" t="s">
        <v>444</v>
      </c>
      <c r="D73" s="9" t="s">
        <v>440</v>
      </c>
      <c r="E73" s="224">
        <v>45000</v>
      </c>
      <c r="F73" s="12"/>
    </row>
    <row r="74" spans="1:6" ht="20.100000000000001" customHeight="1">
      <c r="A74" s="9">
        <v>11</v>
      </c>
      <c r="B74" s="10" t="s">
        <v>1215</v>
      </c>
      <c r="C74" s="16" t="s">
        <v>64</v>
      </c>
      <c r="D74" s="9" t="s">
        <v>409</v>
      </c>
      <c r="E74" s="224">
        <v>45000</v>
      </c>
      <c r="F74" s="12"/>
    </row>
    <row r="75" spans="1:6" ht="20.100000000000001" customHeight="1">
      <c r="A75" s="9">
        <v>12</v>
      </c>
      <c r="B75" s="10" t="s">
        <v>389</v>
      </c>
      <c r="C75" s="16" t="s">
        <v>382</v>
      </c>
      <c r="D75" s="9" t="s">
        <v>391</v>
      </c>
      <c r="E75" s="224">
        <v>45000</v>
      </c>
      <c r="F75" s="12"/>
    </row>
    <row r="76" spans="1:6" ht="20.100000000000001" customHeight="1">
      <c r="A76" s="9">
        <v>13</v>
      </c>
      <c r="B76" s="13" t="s">
        <v>381</v>
      </c>
      <c r="C76" s="16" t="s">
        <v>382</v>
      </c>
      <c r="D76" s="9" t="s">
        <v>402</v>
      </c>
      <c r="E76" s="224">
        <v>45000</v>
      </c>
      <c r="F76" s="12"/>
    </row>
    <row r="77" spans="1:6" ht="20.100000000000001" customHeight="1">
      <c r="A77" s="9"/>
      <c r="B77" s="19" t="s">
        <v>42</v>
      </c>
      <c r="C77" s="20">
        <v>13</v>
      </c>
      <c r="D77" s="20"/>
      <c r="E77" s="227">
        <f>SUM(E64:E76)</f>
        <v>945000</v>
      </c>
      <c r="F77" s="12"/>
    </row>
    <row r="78" spans="1:6" ht="20.100000000000001" customHeight="1">
      <c r="A78" s="9"/>
      <c r="B78" s="21"/>
      <c r="C78" s="20"/>
      <c r="D78" s="20"/>
      <c r="E78" s="228"/>
      <c r="F78" s="12"/>
    </row>
    <row r="79" spans="1:6" ht="20.100000000000001" customHeight="1">
      <c r="A79" s="9"/>
      <c r="B79" s="19" t="s">
        <v>65</v>
      </c>
      <c r="C79" s="20"/>
      <c r="D79" s="20"/>
      <c r="E79" s="228"/>
      <c r="F79" s="12"/>
    </row>
    <row r="80" spans="1:6" ht="20.100000000000001" customHeight="1">
      <c r="A80" s="9">
        <v>1</v>
      </c>
      <c r="B80" s="10" t="s">
        <v>446</v>
      </c>
      <c r="C80" s="3" t="s">
        <v>447</v>
      </c>
      <c r="D80" s="9" t="s">
        <v>405</v>
      </c>
      <c r="E80" s="224">
        <v>225000</v>
      </c>
      <c r="F80" s="12"/>
    </row>
    <row r="81" spans="1:6" ht="20.100000000000001" customHeight="1">
      <c r="A81" s="9">
        <v>2</v>
      </c>
      <c r="B81" s="13" t="s">
        <v>331</v>
      </c>
      <c r="C81" s="3" t="s">
        <v>76</v>
      </c>
      <c r="D81" s="14" t="s">
        <v>1054</v>
      </c>
      <c r="E81" s="224">
        <v>105000</v>
      </c>
      <c r="F81" s="12"/>
    </row>
    <row r="82" spans="1:6" ht="20.100000000000001" customHeight="1">
      <c r="A82" s="9">
        <v>3</v>
      </c>
      <c r="B82" s="13" t="s">
        <v>1216</v>
      </c>
      <c r="C82" s="3" t="s">
        <v>1217</v>
      </c>
      <c r="D82" s="14" t="s">
        <v>1054</v>
      </c>
      <c r="E82" s="224">
        <v>105000</v>
      </c>
      <c r="F82" s="12"/>
    </row>
    <row r="83" spans="1:6" ht="20.100000000000001" customHeight="1">
      <c r="A83" s="9">
        <v>4</v>
      </c>
      <c r="B83" s="10" t="s">
        <v>448</v>
      </c>
      <c r="C83" s="3" t="s">
        <v>1069</v>
      </c>
      <c r="D83" s="14" t="s">
        <v>375</v>
      </c>
      <c r="E83" s="224">
        <v>75000</v>
      </c>
      <c r="F83" s="12"/>
    </row>
    <row r="84" spans="1:6" ht="20.100000000000001" customHeight="1">
      <c r="A84" s="9">
        <v>5</v>
      </c>
      <c r="B84" s="10" t="s">
        <v>451</v>
      </c>
      <c r="C84" s="3" t="s">
        <v>452</v>
      </c>
      <c r="D84" s="9" t="s">
        <v>409</v>
      </c>
      <c r="E84" s="224">
        <v>45000</v>
      </c>
      <c r="F84" s="12"/>
    </row>
    <row r="85" spans="1:6" ht="20.100000000000001" customHeight="1">
      <c r="A85" s="9"/>
      <c r="B85" s="19" t="s">
        <v>42</v>
      </c>
      <c r="C85" s="20">
        <v>5</v>
      </c>
      <c r="D85" s="20"/>
      <c r="E85" s="227">
        <f>SUM(E80:E84)</f>
        <v>555000</v>
      </c>
      <c r="F85" s="12"/>
    </row>
    <row r="86" spans="1:6" ht="20.100000000000001" customHeight="1">
      <c r="A86" s="9"/>
      <c r="B86" s="19"/>
      <c r="C86" s="20"/>
      <c r="D86" s="20"/>
      <c r="E86" s="224"/>
      <c r="F86" s="12"/>
    </row>
    <row r="87" spans="1:6" ht="20.100000000000001" customHeight="1">
      <c r="A87" s="9"/>
      <c r="B87" s="19" t="s">
        <v>74</v>
      </c>
      <c r="C87" s="24"/>
      <c r="D87" s="20"/>
      <c r="E87" s="224"/>
      <c r="F87" s="12"/>
    </row>
    <row r="88" spans="1:6" ht="20.100000000000001" customHeight="1">
      <c r="A88" s="9">
        <v>1</v>
      </c>
      <c r="B88" s="10" t="s">
        <v>457</v>
      </c>
      <c r="C88" s="3" t="s">
        <v>418</v>
      </c>
      <c r="D88" s="9" t="s">
        <v>358</v>
      </c>
      <c r="E88" s="224">
        <v>105000</v>
      </c>
      <c r="F88" s="12"/>
    </row>
    <row r="89" spans="1:6" ht="20.100000000000001" customHeight="1">
      <c r="A89" s="9">
        <v>2</v>
      </c>
      <c r="B89" s="10" t="s">
        <v>458</v>
      </c>
      <c r="C89" s="3" t="s">
        <v>418</v>
      </c>
      <c r="D89" s="9" t="s">
        <v>358</v>
      </c>
      <c r="E89" s="224">
        <v>105000</v>
      </c>
      <c r="F89" s="12"/>
    </row>
    <row r="90" spans="1:6" ht="20.100000000000001" customHeight="1">
      <c r="A90" s="9">
        <v>3</v>
      </c>
      <c r="B90" s="13" t="s">
        <v>493</v>
      </c>
      <c r="C90" s="3" t="s">
        <v>365</v>
      </c>
      <c r="D90" s="9" t="s">
        <v>363</v>
      </c>
      <c r="E90" s="224">
        <v>75000</v>
      </c>
      <c r="F90" s="12"/>
    </row>
    <row r="91" spans="1:6" ht="20.100000000000001" customHeight="1">
      <c r="A91" s="9">
        <v>4</v>
      </c>
      <c r="B91" s="10" t="s">
        <v>459</v>
      </c>
      <c r="C91" s="3" t="s">
        <v>368</v>
      </c>
      <c r="D91" s="9" t="s">
        <v>366</v>
      </c>
      <c r="E91" s="224">
        <v>75000</v>
      </c>
      <c r="F91" s="12"/>
    </row>
    <row r="92" spans="1:6" ht="21.6" customHeight="1">
      <c r="A92" s="9">
        <v>5</v>
      </c>
      <c r="B92" s="10" t="s">
        <v>460</v>
      </c>
      <c r="C92" s="3" t="s">
        <v>461</v>
      </c>
      <c r="D92" s="14" t="s">
        <v>375</v>
      </c>
      <c r="E92" s="224">
        <v>75000</v>
      </c>
      <c r="F92" s="12"/>
    </row>
    <row r="93" spans="1:6" ht="21.6" customHeight="1">
      <c r="A93" s="9">
        <v>6</v>
      </c>
      <c r="B93" s="10" t="s">
        <v>462</v>
      </c>
      <c r="C93" s="11" t="s">
        <v>231</v>
      </c>
      <c r="D93" s="14" t="s">
        <v>1052</v>
      </c>
      <c r="E93" s="224">
        <v>75000</v>
      </c>
      <c r="F93" s="12"/>
    </row>
    <row r="94" spans="1:6" ht="21.6" customHeight="1">
      <c r="A94" s="9">
        <v>7</v>
      </c>
      <c r="B94" s="10" t="s">
        <v>463</v>
      </c>
      <c r="C94" s="11" t="s">
        <v>231</v>
      </c>
      <c r="D94" s="14" t="s">
        <v>1052</v>
      </c>
      <c r="E94" s="224">
        <v>75000</v>
      </c>
      <c r="F94" s="12"/>
    </row>
    <row r="95" spans="1:6" ht="21.6" customHeight="1">
      <c r="A95" s="9">
        <v>8</v>
      </c>
      <c r="B95" s="10" t="s">
        <v>464</v>
      </c>
      <c r="C95" s="16" t="s">
        <v>34</v>
      </c>
      <c r="D95" s="14" t="s">
        <v>32</v>
      </c>
      <c r="E95" s="224">
        <v>45000</v>
      </c>
      <c r="F95" s="12"/>
    </row>
    <row r="96" spans="1:6" ht="21.6" customHeight="1">
      <c r="A96" s="9">
        <v>9</v>
      </c>
      <c r="B96" s="10" t="s">
        <v>466</v>
      </c>
      <c r="C96" s="3" t="s">
        <v>467</v>
      </c>
      <c r="D96" s="9" t="s">
        <v>37</v>
      </c>
      <c r="E96" s="224">
        <v>45000</v>
      </c>
      <c r="F96" s="12"/>
    </row>
    <row r="97" spans="1:6" ht="21.6" customHeight="1">
      <c r="A97" s="9">
        <v>10</v>
      </c>
      <c r="B97" s="10" t="s">
        <v>468</v>
      </c>
      <c r="C97" s="16" t="s">
        <v>469</v>
      </c>
      <c r="D97" s="14" t="s">
        <v>402</v>
      </c>
      <c r="E97" s="224">
        <v>45000</v>
      </c>
      <c r="F97" s="12"/>
    </row>
    <row r="98" spans="1:6" ht="20.100000000000001" customHeight="1">
      <c r="A98" s="9"/>
      <c r="B98" s="19" t="s">
        <v>42</v>
      </c>
      <c r="C98" s="20">
        <v>10</v>
      </c>
      <c r="D98" s="20"/>
      <c r="E98" s="227">
        <f>SUM(E88:E97)</f>
        <v>720000</v>
      </c>
      <c r="F98" s="12"/>
    </row>
    <row r="99" spans="1:6" ht="20.100000000000001" customHeight="1">
      <c r="A99" s="9"/>
      <c r="B99" s="21"/>
      <c r="C99" s="20"/>
      <c r="D99" s="20"/>
      <c r="E99" s="228"/>
      <c r="F99" s="12"/>
    </row>
    <row r="100" spans="1:6" ht="20.100000000000001" customHeight="1">
      <c r="A100" s="9"/>
      <c r="B100" s="19" t="s">
        <v>84</v>
      </c>
      <c r="C100" s="20"/>
      <c r="D100" s="20"/>
      <c r="E100" s="228"/>
      <c r="F100" s="12"/>
    </row>
    <row r="101" spans="1:6" ht="20.100000000000001" customHeight="1">
      <c r="A101" s="9">
        <v>1</v>
      </c>
      <c r="B101" s="17" t="s">
        <v>341</v>
      </c>
      <c r="C101" s="9" t="s">
        <v>342</v>
      </c>
      <c r="D101" s="14" t="s">
        <v>416</v>
      </c>
      <c r="E101" s="224">
        <v>150000</v>
      </c>
      <c r="F101" s="12"/>
    </row>
    <row r="102" spans="1:6" ht="20.100000000000001" customHeight="1">
      <c r="A102" s="9">
        <v>2</v>
      </c>
      <c r="B102" s="10" t="s">
        <v>359</v>
      </c>
      <c r="C102" s="3" t="s">
        <v>474</v>
      </c>
      <c r="D102" s="9" t="s">
        <v>366</v>
      </c>
      <c r="E102" s="224">
        <v>75000</v>
      </c>
      <c r="F102" s="12"/>
    </row>
    <row r="103" spans="1:6" ht="20.100000000000001" customHeight="1">
      <c r="A103" s="9">
        <v>3</v>
      </c>
      <c r="B103" s="10" t="s">
        <v>475</v>
      </c>
      <c r="C103" s="3" t="s">
        <v>476</v>
      </c>
      <c r="D103" s="14" t="s">
        <v>440</v>
      </c>
      <c r="E103" s="224">
        <v>45000</v>
      </c>
      <c r="F103" s="12"/>
    </row>
    <row r="104" spans="1:6" ht="20.100000000000001" customHeight="1">
      <c r="A104" s="9">
        <v>4</v>
      </c>
      <c r="B104" s="10" t="s">
        <v>1218</v>
      </c>
      <c r="C104" s="3" t="s">
        <v>1219</v>
      </c>
      <c r="D104" s="14" t="s">
        <v>1048</v>
      </c>
      <c r="E104" s="224">
        <v>45000</v>
      </c>
      <c r="F104" s="12"/>
    </row>
    <row r="105" spans="1:6" ht="20.100000000000001" customHeight="1">
      <c r="A105" s="3"/>
      <c r="B105" s="19" t="s">
        <v>42</v>
      </c>
      <c r="C105" s="20">
        <v>3</v>
      </c>
      <c r="D105" s="25"/>
      <c r="E105" s="227">
        <f>SUM(E101:E104)</f>
        <v>315000</v>
      </c>
      <c r="F105" s="12"/>
    </row>
    <row r="106" spans="1:6" ht="20.100000000000001" customHeight="1">
      <c r="A106" s="3"/>
      <c r="B106" s="21"/>
      <c r="C106" s="20"/>
      <c r="D106" s="25"/>
      <c r="E106" s="228"/>
      <c r="F106" s="12"/>
    </row>
    <row r="107" spans="1:6" ht="20.100000000000001" customHeight="1">
      <c r="A107" s="3"/>
      <c r="B107" s="19" t="s">
        <v>479</v>
      </c>
      <c r="C107" s="3"/>
      <c r="D107" s="3"/>
      <c r="E107" s="229"/>
      <c r="F107" s="12"/>
    </row>
    <row r="108" spans="1:6" ht="20.100000000000001" customHeight="1">
      <c r="A108" s="3">
        <v>1</v>
      </c>
      <c r="B108" s="10" t="s">
        <v>480</v>
      </c>
      <c r="C108" s="11" t="s">
        <v>481</v>
      </c>
      <c r="D108" s="14" t="s">
        <v>405</v>
      </c>
      <c r="E108" s="224">
        <v>225000</v>
      </c>
      <c r="F108" s="12"/>
    </row>
    <row r="109" spans="1:6" ht="20.100000000000001" customHeight="1">
      <c r="A109" s="3">
        <v>2</v>
      </c>
      <c r="B109" s="10" t="s">
        <v>482</v>
      </c>
      <c r="C109" s="3" t="s">
        <v>483</v>
      </c>
      <c r="D109" s="15" t="s">
        <v>416</v>
      </c>
      <c r="E109" s="224">
        <v>150000</v>
      </c>
      <c r="F109" s="12"/>
    </row>
    <row r="110" spans="1:6" ht="20.100000000000001" customHeight="1">
      <c r="A110" s="3">
        <v>3</v>
      </c>
      <c r="B110" s="10" t="s">
        <v>484</v>
      </c>
      <c r="C110" s="3" t="s">
        <v>485</v>
      </c>
      <c r="D110" s="9" t="s">
        <v>372</v>
      </c>
      <c r="E110" s="224">
        <v>75000</v>
      </c>
      <c r="F110" s="12"/>
    </row>
    <row r="111" spans="1:6" ht="20.100000000000001" customHeight="1">
      <c r="A111" s="3">
        <v>4</v>
      </c>
      <c r="B111" s="10" t="s">
        <v>486</v>
      </c>
      <c r="C111" s="3" t="s">
        <v>485</v>
      </c>
      <c r="D111" s="9" t="s">
        <v>372</v>
      </c>
      <c r="E111" s="224">
        <v>75000</v>
      </c>
      <c r="F111" s="12"/>
    </row>
    <row r="112" spans="1:6" ht="20.100000000000001" customHeight="1">
      <c r="A112" s="3">
        <v>5</v>
      </c>
      <c r="B112" s="10" t="s">
        <v>487</v>
      </c>
      <c r="C112" s="3" t="s">
        <v>488</v>
      </c>
      <c r="D112" s="14" t="s">
        <v>491</v>
      </c>
      <c r="E112" s="224">
        <v>45000</v>
      </c>
      <c r="F112" s="12"/>
    </row>
    <row r="113" spans="1:6" ht="20.100000000000001" customHeight="1">
      <c r="A113" s="3">
        <v>6</v>
      </c>
      <c r="B113" s="17" t="s">
        <v>490</v>
      </c>
      <c r="C113" s="3" t="s">
        <v>488</v>
      </c>
      <c r="D113" s="9" t="s">
        <v>1048</v>
      </c>
      <c r="E113" s="224">
        <v>45000</v>
      </c>
      <c r="F113" s="12"/>
    </row>
    <row r="114" spans="1:6" ht="20.100000000000001" customHeight="1">
      <c r="A114" s="3">
        <v>7</v>
      </c>
      <c r="B114" s="17" t="s">
        <v>492</v>
      </c>
      <c r="C114" s="3" t="s">
        <v>488</v>
      </c>
      <c r="D114" s="14" t="s">
        <v>402</v>
      </c>
      <c r="E114" s="224">
        <v>45000</v>
      </c>
      <c r="F114" s="12"/>
    </row>
    <row r="115" spans="1:6" ht="20.100000000000001" customHeight="1">
      <c r="A115" s="3"/>
      <c r="B115" s="19" t="s">
        <v>42</v>
      </c>
      <c r="C115" s="20">
        <v>7</v>
      </c>
      <c r="D115" s="3"/>
      <c r="E115" s="230">
        <f>SUM(E108:E114)</f>
        <v>660000</v>
      </c>
      <c r="F115" s="12"/>
    </row>
    <row r="116" spans="1:6" ht="20.100000000000001" customHeight="1">
      <c r="A116" s="3"/>
      <c r="B116" s="19"/>
      <c r="C116" s="20"/>
      <c r="D116" s="3"/>
      <c r="E116" s="230"/>
      <c r="F116" s="12"/>
    </row>
    <row r="117" spans="1:6" ht="48.75" customHeight="1">
      <c r="A117" s="9"/>
      <c r="B117" s="19" t="s">
        <v>1222</v>
      </c>
      <c r="C117" s="20"/>
      <c r="D117" s="20"/>
      <c r="E117" s="230"/>
      <c r="F117" s="12"/>
    </row>
    <row r="118" spans="1:6" ht="27" customHeight="1">
      <c r="A118" s="9">
        <v>1</v>
      </c>
      <c r="B118" s="10" t="s">
        <v>1133</v>
      </c>
      <c r="C118" s="16" t="s">
        <v>34</v>
      </c>
      <c r="D118" s="14" t="s">
        <v>380</v>
      </c>
      <c r="E118" s="224">
        <v>45000</v>
      </c>
      <c r="F118" s="12"/>
    </row>
    <row r="119" spans="1:6" ht="27" customHeight="1">
      <c r="A119" s="9">
        <v>2</v>
      </c>
      <c r="B119" s="10" t="s">
        <v>494</v>
      </c>
      <c r="C119" s="3" t="s">
        <v>495</v>
      </c>
      <c r="D119" s="14" t="s">
        <v>440</v>
      </c>
      <c r="E119" s="224">
        <v>45000</v>
      </c>
      <c r="F119" s="12"/>
    </row>
    <row r="120" spans="1:6" ht="27" customHeight="1">
      <c r="A120" s="3"/>
      <c r="B120" s="19" t="s">
        <v>42</v>
      </c>
      <c r="C120" s="20">
        <v>2</v>
      </c>
      <c r="D120" s="25"/>
      <c r="E120" s="230">
        <f>SUM(E118:E119)</f>
        <v>90000</v>
      </c>
      <c r="F120" s="12"/>
    </row>
    <row r="121" spans="1:6" ht="20.100000000000001" customHeight="1">
      <c r="A121" s="3"/>
      <c r="B121" s="21"/>
      <c r="C121" s="9"/>
      <c r="D121" s="3"/>
      <c r="E121" s="231"/>
      <c r="F121" s="12"/>
    </row>
    <row r="122" spans="1:6" ht="20.100000000000001" customHeight="1">
      <c r="A122" s="3"/>
      <c r="B122" s="19" t="s">
        <v>97</v>
      </c>
      <c r="C122" s="20"/>
      <c r="D122" s="20"/>
      <c r="E122" s="224"/>
      <c r="F122" s="12"/>
    </row>
    <row r="123" spans="1:6" ht="20.100000000000001" customHeight="1">
      <c r="A123" s="3">
        <v>1</v>
      </c>
      <c r="B123" s="10" t="s">
        <v>499</v>
      </c>
      <c r="C123" s="11" t="s">
        <v>500</v>
      </c>
      <c r="D123" s="14" t="s">
        <v>405</v>
      </c>
      <c r="E123" s="224">
        <v>225000</v>
      </c>
      <c r="F123" s="12"/>
    </row>
    <row r="124" spans="1:6" ht="20.100000000000001" customHeight="1">
      <c r="A124" s="3">
        <v>2</v>
      </c>
      <c r="B124" s="10" t="s">
        <v>178</v>
      </c>
      <c r="C124" s="11" t="s">
        <v>337</v>
      </c>
      <c r="D124" s="14" t="s">
        <v>358</v>
      </c>
      <c r="E124" s="224">
        <v>105000</v>
      </c>
      <c r="F124" s="12"/>
    </row>
    <row r="125" spans="1:6" ht="20.100000000000001" customHeight="1">
      <c r="A125" s="3">
        <v>3</v>
      </c>
      <c r="B125" s="13" t="s">
        <v>502</v>
      </c>
      <c r="C125" s="11" t="s">
        <v>337</v>
      </c>
      <c r="D125" s="14" t="s">
        <v>358</v>
      </c>
      <c r="E125" s="224">
        <v>105000</v>
      </c>
      <c r="F125" s="12"/>
    </row>
    <row r="126" spans="1:6" ht="20.100000000000001" customHeight="1">
      <c r="A126" s="3">
        <v>4</v>
      </c>
      <c r="B126" s="13" t="s">
        <v>336</v>
      </c>
      <c r="C126" s="11" t="s">
        <v>337</v>
      </c>
      <c r="D126" s="14" t="s">
        <v>99</v>
      </c>
      <c r="E126" s="224">
        <v>105000</v>
      </c>
      <c r="F126" s="12"/>
    </row>
    <row r="127" spans="1:6" ht="20.100000000000001" customHeight="1">
      <c r="A127" s="3">
        <v>5</v>
      </c>
      <c r="B127" s="10" t="s">
        <v>503</v>
      </c>
      <c r="C127" s="11" t="s">
        <v>504</v>
      </c>
      <c r="D127" s="14" t="s">
        <v>450</v>
      </c>
      <c r="E127" s="224">
        <v>75000</v>
      </c>
      <c r="F127" s="12"/>
    </row>
    <row r="128" spans="1:6" ht="20.100000000000001" customHeight="1">
      <c r="A128" s="3">
        <v>6</v>
      </c>
      <c r="B128" s="10" t="s">
        <v>505</v>
      </c>
      <c r="C128" s="11" t="s">
        <v>506</v>
      </c>
      <c r="D128" s="14" t="s">
        <v>375</v>
      </c>
      <c r="E128" s="224">
        <v>75000</v>
      </c>
      <c r="F128" s="12"/>
    </row>
    <row r="129" spans="1:6" ht="20.100000000000001" customHeight="1">
      <c r="A129" s="3">
        <v>7</v>
      </c>
      <c r="B129" s="10" t="s">
        <v>507</v>
      </c>
      <c r="C129" s="11" t="s">
        <v>1071</v>
      </c>
      <c r="D129" s="14" t="s">
        <v>375</v>
      </c>
      <c r="E129" s="224">
        <v>75000</v>
      </c>
      <c r="F129" s="12"/>
    </row>
    <row r="130" spans="1:6" ht="20.100000000000001" customHeight="1">
      <c r="A130" s="3">
        <v>8</v>
      </c>
      <c r="B130" s="10" t="s">
        <v>508</v>
      </c>
      <c r="C130" s="11" t="s">
        <v>509</v>
      </c>
      <c r="D130" s="9" t="s">
        <v>391</v>
      </c>
      <c r="E130" s="224">
        <v>45000</v>
      </c>
      <c r="F130" s="12"/>
    </row>
    <row r="131" spans="1:6" ht="20.100000000000001" customHeight="1">
      <c r="A131" s="3">
        <v>9</v>
      </c>
      <c r="B131" s="17" t="s">
        <v>510</v>
      </c>
      <c r="C131" s="11" t="s">
        <v>511</v>
      </c>
      <c r="D131" s="14" t="s">
        <v>402</v>
      </c>
      <c r="E131" s="224">
        <v>45000</v>
      </c>
      <c r="F131" s="12"/>
    </row>
    <row r="132" spans="1:6" ht="20.100000000000001" customHeight="1">
      <c r="A132" s="3"/>
      <c r="B132" s="19" t="s">
        <v>42</v>
      </c>
      <c r="C132" s="25" t="s">
        <v>124</v>
      </c>
      <c r="D132" s="14"/>
      <c r="E132" s="232">
        <f>SUM(E123:E131)</f>
        <v>855000</v>
      </c>
      <c r="F132" s="12"/>
    </row>
    <row r="133" spans="1:6" ht="20.100000000000001" customHeight="1">
      <c r="A133" s="3"/>
      <c r="B133" s="21"/>
      <c r="C133" s="25"/>
      <c r="D133" s="14"/>
      <c r="E133" s="228"/>
      <c r="F133" s="12"/>
    </row>
    <row r="134" spans="1:6" ht="20.100000000000001" customHeight="1">
      <c r="A134" s="3"/>
      <c r="B134" s="19" t="s">
        <v>103</v>
      </c>
      <c r="C134" s="11"/>
      <c r="D134" s="14"/>
      <c r="E134" s="224"/>
      <c r="F134" s="12"/>
    </row>
    <row r="135" spans="1:6" ht="20.100000000000001" customHeight="1">
      <c r="A135" s="26">
        <v>1</v>
      </c>
      <c r="B135" s="10" t="s">
        <v>514</v>
      </c>
      <c r="C135" s="11" t="s">
        <v>515</v>
      </c>
      <c r="D135" s="14" t="s">
        <v>405</v>
      </c>
      <c r="E135" s="224">
        <v>225000</v>
      </c>
      <c r="F135" s="12"/>
    </row>
    <row r="136" spans="1:6" ht="20.100000000000001" customHeight="1">
      <c r="A136" s="26">
        <v>2</v>
      </c>
      <c r="B136" s="10" t="s">
        <v>338</v>
      </c>
      <c r="C136" s="11" t="s">
        <v>339</v>
      </c>
      <c r="D136" s="14" t="s">
        <v>340</v>
      </c>
      <c r="E136" s="224">
        <v>150000</v>
      </c>
      <c r="F136" s="12"/>
    </row>
    <row r="137" spans="1:6" ht="20.100000000000001" customHeight="1">
      <c r="A137" s="26">
        <v>3</v>
      </c>
      <c r="B137" s="13" t="s">
        <v>516</v>
      </c>
      <c r="C137" s="3" t="s">
        <v>517</v>
      </c>
      <c r="D137" s="15" t="s">
        <v>416</v>
      </c>
      <c r="E137" s="224">
        <v>150000</v>
      </c>
      <c r="F137" s="12"/>
    </row>
    <row r="138" spans="1:6" ht="20.100000000000001" customHeight="1">
      <c r="A138" s="26">
        <v>4</v>
      </c>
      <c r="B138" s="10" t="s">
        <v>518</v>
      </c>
      <c r="C138" s="11" t="s">
        <v>519</v>
      </c>
      <c r="D138" s="14" t="s">
        <v>366</v>
      </c>
      <c r="E138" s="224">
        <v>75000</v>
      </c>
      <c r="F138" s="12"/>
    </row>
    <row r="139" spans="1:6" ht="20.100000000000001" customHeight="1">
      <c r="A139" s="26">
        <v>5</v>
      </c>
      <c r="B139" s="10" t="s">
        <v>520</v>
      </c>
      <c r="C139" s="3" t="s">
        <v>521</v>
      </c>
      <c r="D139" s="14" t="s">
        <v>366</v>
      </c>
      <c r="E139" s="224">
        <v>75000</v>
      </c>
      <c r="F139" s="12"/>
    </row>
    <row r="140" spans="1:6" ht="20.100000000000001" customHeight="1">
      <c r="A140" s="26">
        <v>6</v>
      </c>
      <c r="B140" s="10" t="s">
        <v>473</v>
      </c>
      <c r="C140" s="3" t="s">
        <v>527</v>
      </c>
      <c r="D140" s="14" t="s">
        <v>375</v>
      </c>
      <c r="E140" s="224">
        <v>75000</v>
      </c>
      <c r="F140" s="12"/>
    </row>
    <row r="141" spans="1:6" ht="20.100000000000001" customHeight="1">
      <c r="A141" s="26">
        <v>7</v>
      </c>
      <c r="B141" s="10" t="s">
        <v>523</v>
      </c>
      <c r="C141" s="11" t="s">
        <v>524</v>
      </c>
      <c r="D141" s="14" t="s">
        <v>380</v>
      </c>
      <c r="E141" s="224">
        <v>45000</v>
      </c>
      <c r="F141" s="12"/>
    </row>
    <row r="142" spans="1:6" ht="20.100000000000001" customHeight="1">
      <c r="A142" s="26">
        <v>8</v>
      </c>
      <c r="B142" s="10" t="s">
        <v>525</v>
      </c>
      <c r="C142" s="11" t="s">
        <v>524</v>
      </c>
      <c r="D142" s="14" t="s">
        <v>380</v>
      </c>
      <c r="E142" s="224">
        <v>45000</v>
      </c>
      <c r="F142" s="12"/>
    </row>
    <row r="143" spans="1:6" ht="20.100000000000001" customHeight="1">
      <c r="A143" s="26">
        <v>9</v>
      </c>
      <c r="B143" s="10" t="s">
        <v>526</v>
      </c>
      <c r="C143" s="3" t="s">
        <v>527</v>
      </c>
      <c r="D143" s="14" t="s">
        <v>380</v>
      </c>
      <c r="E143" s="224">
        <v>45000</v>
      </c>
      <c r="F143" s="12"/>
    </row>
    <row r="144" spans="1:6" ht="20.100000000000001" customHeight="1">
      <c r="A144" s="26">
        <v>10</v>
      </c>
      <c r="B144" s="10" t="s">
        <v>528</v>
      </c>
      <c r="C144" s="11" t="s">
        <v>533</v>
      </c>
      <c r="D144" s="14" t="s">
        <v>440</v>
      </c>
      <c r="E144" s="224">
        <v>45000</v>
      </c>
      <c r="F144" s="12"/>
    </row>
    <row r="145" spans="1:6" ht="20.100000000000001" customHeight="1">
      <c r="A145" s="26">
        <v>11</v>
      </c>
      <c r="B145" s="10" t="s">
        <v>530</v>
      </c>
      <c r="C145" s="11" t="s">
        <v>1072</v>
      </c>
      <c r="D145" s="14" t="s">
        <v>539</v>
      </c>
      <c r="E145" s="224">
        <v>45000</v>
      </c>
      <c r="F145" s="12"/>
    </row>
    <row r="146" spans="1:6" ht="20.100000000000001" customHeight="1">
      <c r="A146" s="26">
        <v>12</v>
      </c>
      <c r="B146" s="10" t="s">
        <v>532</v>
      </c>
      <c r="C146" s="11" t="s">
        <v>533</v>
      </c>
      <c r="D146" s="14" t="s">
        <v>380</v>
      </c>
      <c r="E146" s="224">
        <v>45000</v>
      </c>
      <c r="F146" s="12"/>
    </row>
    <row r="147" spans="1:6" ht="20.100000000000001" customHeight="1">
      <c r="A147" s="26">
        <v>13</v>
      </c>
      <c r="B147" s="17" t="s">
        <v>534</v>
      </c>
      <c r="C147" s="3" t="s">
        <v>544</v>
      </c>
      <c r="D147" s="14" t="s">
        <v>539</v>
      </c>
      <c r="E147" s="224">
        <v>45000</v>
      </c>
      <c r="F147" s="12"/>
    </row>
    <row r="148" spans="1:6" ht="20.100000000000001" customHeight="1">
      <c r="A148" s="26">
        <v>14</v>
      </c>
      <c r="B148" s="10" t="s">
        <v>536</v>
      </c>
      <c r="C148" s="3" t="s">
        <v>537</v>
      </c>
      <c r="D148" s="14" t="s">
        <v>409</v>
      </c>
      <c r="E148" s="224">
        <v>45000</v>
      </c>
      <c r="F148" s="12"/>
    </row>
    <row r="149" spans="1:6" ht="20.100000000000001" customHeight="1">
      <c r="A149" s="26">
        <v>15</v>
      </c>
      <c r="B149" s="10" t="s">
        <v>538</v>
      </c>
      <c r="C149" s="3" t="s">
        <v>537</v>
      </c>
      <c r="D149" s="14" t="s">
        <v>453</v>
      </c>
      <c r="E149" s="224">
        <v>45000</v>
      </c>
      <c r="F149" s="12"/>
    </row>
    <row r="150" spans="1:6" ht="20.100000000000001" customHeight="1">
      <c r="A150" s="26">
        <v>16</v>
      </c>
      <c r="B150" s="10" t="s">
        <v>540</v>
      </c>
      <c r="C150" s="3" t="s">
        <v>537</v>
      </c>
      <c r="D150" s="14" t="s">
        <v>453</v>
      </c>
      <c r="E150" s="224">
        <v>45000</v>
      </c>
      <c r="F150" s="12"/>
    </row>
    <row r="151" spans="1:6" ht="20.100000000000001" customHeight="1">
      <c r="A151" s="26">
        <v>17</v>
      </c>
      <c r="B151" s="10" t="s">
        <v>541</v>
      </c>
      <c r="C151" s="11" t="s">
        <v>542</v>
      </c>
      <c r="D151" s="14" t="s">
        <v>37</v>
      </c>
      <c r="E151" s="224">
        <v>45000</v>
      </c>
      <c r="F151" s="12"/>
    </row>
    <row r="152" spans="1:6" ht="20.100000000000001" customHeight="1">
      <c r="A152" s="26">
        <v>18</v>
      </c>
      <c r="B152" s="10" t="s">
        <v>1055</v>
      </c>
      <c r="C152" s="11" t="s">
        <v>544</v>
      </c>
      <c r="D152" s="9" t="s">
        <v>55</v>
      </c>
      <c r="E152" s="224">
        <v>45000</v>
      </c>
      <c r="F152" s="12"/>
    </row>
    <row r="153" spans="1:6" ht="20.100000000000001" customHeight="1">
      <c r="A153" s="26">
        <v>19</v>
      </c>
      <c r="B153" s="10" t="s">
        <v>545</v>
      </c>
      <c r="C153" s="11" t="s">
        <v>546</v>
      </c>
      <c r="D153" s="14" t="s">
        <v>409</v>
      </c>
      <c r="E153" s="224">
        <v>45000</v>
      </c>
      <c r="F153" s="12"/>
    </row>
    <row r="154" spans="1:6" ht="20.100000000000001" customHeight="1">
      <c r="A154" s="26">
        <v>20</v>
      </c>
      <c r="B154" s="10" t="s">
        <v>547</v>
      </c>
      <c r="C154" s="11" t="s">
        <v>548</v>
      </c>
      <c r="D154" s="14" t="s">
        <v>391</v>
      </c>
      <c r="E154" s="224">
        <v>45000</v>
      </c>
      <c r="F154" s="12"/>
    </row>
    <row r="155" spans="1:6" ht="20.100000000000001" customHeight="1">
      <c r="A155" s="26">
        <v>21</v>
      </c>
      <c r="B155" s="10" t="s">
        <v>549</v>
      </c>
      <c r="C155" s="11" t="s">
        <v>550</v>
      </c>
      <c r="D155" s="14" t="s">
        <v>409</v>
      </c>
      <c r="E155" s="224">
        <v>45000</v>
      </c>
      <c r="F155" s="12"/>
    </row>
    <row r="156" spans="1:6" ht="20.100000000000001" customHeight="1">
      <c r="A156" s="26">
        <v>22</v>
      </c>
      <c r="B156" s="10" t="s">
        <v>551</v>
      </c>
      <c r="C156" s="11" t="s">
        <v>552</v>
      </c>
      <c r="D156" s="14" t="s">
        <v>391</v>
      </c>
      <c r="E156" s="224">
        <v>45000</v>
      </c>
      <c r="F156" s="12"/>
    </row>
    <row r="157" spans="1:6" ht="20.100000000000001" customHeight="1">
      <c r="A157" s="26">
        <v>23</v>
      </c>
      <c r="B157" s="17" t="s">
        <v>553</v>
      </c>
      <c r="C157" s="11" t="s">
        <v>558</v>
      </c>
      <c r="D157" s="14" t="s">
        <v>1048</v>
      </c>
      <c r="E157" s="224">
        <v>45000</v>
      </c>
      <c r="F157" s="12"/>
    </row>
    <row r="158" spans="1:6" ht="20.100000000000001" customHeight="1">
      <c r="A158" s="26">
        <v>24</v>
      </c>
      <c r="B158" s="17" t="s">
        <v>555</v>
      </c>
      <c r="C158" s="11" t="s">
        <v>556</v>
      </c>
      <c r="D158" s="14" t="s">
        <v>72</v>
      </c>
      <c r="E158" s="224">
        <v>45000</v>
      </c>
      <c r="F158" s="12"/>
    </row>
    <row r="159" spans="1:6" ht="20.100000000000001" customHeight="1">
      <c r="A159" s="26">
        <v>25</v>
      </c>
      <c r="B159" s="17" t="s">
        <v>557</v>
      </c>
      <c r="C159" s="11" t="s">
        <v>558</v>
      </c>
      <c r="D159" s="14" t="s">
        <v>72</v>
      </c>
      <c r="E159" s="224">
        <v>45000</v>
      </c>
      <c r="F159" s="12"/>
    </row>
    <row r="160" spans="1:6" ht="20.100000000000001" customHeight="1">
      <c r="A160" s="26">
        <v>26</v>
      </c>
      <c r="B160" s="17" t="s">
        <v>559</v>
      </c>
      <c r="C160" s="11" t="s">
        <v>560</v>
      </c>
      <c r="D160" s="14" t="s">
        <v>402</v>
      </c>
      <c r="E160" s="224">
        <v>45000</v>
      </c>
      <c r="F160" s="12"/>
    </row>
    <row r="161" spans="1:6" ht="20.100000000000001" customHeight="1">
      <c r="A161" s="26">
        <v>27</v>
      </c>
      <c r="B161" s="17" t="s">
        <v>561</v>
      </c>
      <c r="C161" s="11" t="s">
        <v>562</v>
      </c>
      <c r="D161" s="14" t="s">
        <v>402</v>
      </c>
      <c r="E161" s="224">
        <v>45000</v>
      </c>
      <c r="F161" s="12"/>
    </row>
    <row r="162" spans="1:6" ht="20.100000000000001" customHeight="1">
      <c r="A162" s="26">
        <v>28</v>
      </c>
      <c r="B162" s="10" t="s">
        <v>564</v>
      </c>
      <c r="C162" s="11" t="s">
        <v>565</v>
      </c>
      <c r="D162" s="14" t="s">
        <v>572</v>
      </c>
      <c r="E162" s="224">
        <v>30000</v>
      </c>
      <c r="F162" s="12"/>
    </row>
    <row r="163" spans="1:6" ht="20.100000000000001" customHeight="1">
      <c r="A163" s="26">
        <v>29</v>
      </c>
      <c r="B163" s="10" t="s">
        <v>567</v>
      </c>
      <c r="C163" s="11" t="s">
        <v>565</v>
      </c>
      <c r="D163" s="14" t="s">
        <v>572</v>
      </c>
      <c r="E163" s="224">
        <v>30000</v>
      </c>
      <c r="F163" s="12"/>
    </row>
    <row r="164" spans="1:6" ht="20.100000000000001" customHeight="1">
      <c r="A164" s="26">
        <v>30</v>
      </c>
      <c r="B164" s="10" t="s">
        <v>568</v>
      </c>
      <c r="C164" s="11" t="s">
        <v>565</v>
      </c>
      <c r="D164" s="14" t="s">
        <v>572</v>
      </c>
      <c r="E164" s="224">
        <v>30000</v>
      </c>
      <c r="F164" s="12"/>
    </row>
    <row r="165" spans="1:6" ht="20.100000000000001" customHeight="1">
      <c r="A165" s="26">
        <v>32</v>
      </c>
      <c r="B165" s="10" t="s">
        <v>569</v>
      </c>
      <c r="C165" s="11" t="s">
        <v>565</v>
      </c>
      <c r="D165" s="14" t="s">
        <v>572</v>
      </c>
      <c r="E165" s="224">
        <v>30000</v>
      </c>
      <c r="F165" s="12"/>
    </row>
    <row r="166" spans="1:6" ht="20.100000000000001" customHeight="1">
      <c r="A166" s="26">
        <v>33</v>
      </c>
      <c r="B166" s="10" t="s">
        <v>570</v>
      </c>
      <c r="C166" s="11" t="s">
        <v>565</v>
      </c>
      <c r="D166" s="14" t="s">
        <v>572</v>
      </c>
      <c r="E166" s="224">
        <v>30000</v>
      </c>
      <c r="F166" s="12"/>
    </row>
    <row r="167" spans="1:6" ht="20.100000000000001" customHeight="1">
      <c r="A167" s="26">
        <v>34</v>
      </c>
      <c r="B167" s="10" t="s">
        <v>571</v>
      </c>
      <c r="C167" s="11" t="s">
        <v>565</v>
      </c>
      <c r="D167" s="14" t="s">
        <v>583</v>
      </c>
      <c r="E167" s="224">
        <v>30000</v>
      </c>
      <c r="F167" s="12"/>
    </row>
    <row r="168" spans="1:6" ht="20.100000000000001" customHeight="1">
      <c r="A168" s="26">
        <v>35</v>
      </c>
      <c r="B168" s="10" t="s">
        <v>573</v>
      </c>
      <c r="C168" s="11" t="s">
        <v>565</v>
      </c>
      <c r="D168" s="14" t="s">
        <v>583</v>
      </c>
      <c r="E168" s="224">
        <v>30000</v>
      </c>
      <c r="F168" s="12"/>
    </row>
    <row r="169" spans="1:6" ht="20.100000000000001" customHeight="1">
      <c r="A169" s="26">
        <v>36</v>
      </c>
      <c r="B169" s="13" t="s">
        <v>574</v>
      </c>
      <c r="C169" s="11" t="s">
        <v>565</v>
      </c>
      <c r="D169" s="14" t="s">
        <v>583</v>
      </c>
      <c r="E169" s="224">
        <v>30000</v>
      </c>
      <c r="F169" s="12"/>
    </row>
    <row r="170" spans="1:6" ht="20.100000000000001" customHeight="1">
      <c r="A170" s="26">
        <v>37</v>
      </c>
      <c r="B170" s="10" t="s">
        <v>575</v>
      </c>
      <c r="C170" s="11" t="s">
        <v>565</v>
      </c>
      <c r="D170" s="14" t="s">
        <v>583</v>
      </c>
      <c r="E170" s="224">
        <v>30000</v>
      </c>
      <c r="F170" s="12"/>
    </row>
    <row r="171" spans="1:6" ht="20.100000000000001" customHeight="1">
      <c r="A171" s="26">
        <v>38</v>
      </c>
      <c r="B171" s="17" t="s">
        <v>576</v>
      </c>
      <c r="C171" s="11" t="s">
        <v>565</v>
      </c>
      <c r="D171" s="14" t="s">
        <v>583</v>
      </c>
      <c r="E171" s="224">
        <v>30000</v>
      </c>
      <c r="F171" s="12"/>
    </row>
    <row r="172" spans="1:6" ht="20.100000000000001" customHeight="1">
      <c r="A172" s="26">
        <v>39</v>
      </c>
      <c r="B172" s="17" t="s">
        <v>577</v>
      </c>
      <c r="C172" s="11" t="s">
        <v>565</v>
      </c>
      <c r="D172" s="14" t="s">
        <v>583</v>
      </c>
      <c r="E172" s="224">
        <v>30000</v>
      </c>
      <c r="F172" s="12"/>
    </row>
    <row r="173" spans="1:6" ht="20.100000000000001" customHeight="1">
      <c r="A173" s="26">
        <v>40</v>
      </c>
      <c r="B173" s="10" t="s">
        <v>578</v>
      </c>
      <c r="C173" s="11" t="s">
        <v>585</v>
      </c>
      <c r="D173" s="14" t="s">
        <v>586</v>
      </c>
      <c r="E173" s="224">
        <v>30000</v>
      </c>
      <c r="F173" s="12"/>
    </row>
    <row r="174" spans="1:6" ht="20.100000000000001" customHeight="1">
      <c r="A174" s="26">
        <v>41</v>
      </c>
      <c r="B174" s="10" t="s">
        <v>581</v>
      </c>
      <c r="C174" s="11" t="s">
        <v>585</v>
      </c>
      <c r="D174" s="14" t="s">
        <v>586</v>
      </c>
      <c r="E174" s="224">
        <v>30000</v>
      </c>
      <c r="F174" s="12"/>
    </row>
    <row r="175" spans="1:6" ht="20.100000000000001" customHeight="1">
      <c r="A175" s="26">
        <v>42</v>
      </c>
      <c r="B175" s="17" t="s">
        <v>582</v>
      </c>
      <c r="C175" s="11" t="s">
        <v>585</v>
      </c>
      <c r="D175" s="14" t="s">
        <v>1050</v>
      </c>
      <c r="E175" s="224">
        <v>30000</v>
      </c>
      <c r="F175" s="12"/>
    </row>
    <row r="176" spans="1:6" ht="20.100000000000001" customHeight="1">
      <c r="A176" s="26">
        <v>43</v>
      </c>
      <c r="B176" s="10" t="s">
        <v>584</v>
      </c>
      <c r="C176" s="11" t="s">
        <v>585</v>
      </c>
      <c r="D176" s="14" t="s">
        <v>1056</v>
      </c>
      <c r="E176" s="224">
        <v>30000</v>
      </c>
      <c r="F176" s="12"/>
    </row>
    <row r="177" spans="1:6" ht="20.100000000000001" customHeight="1">
      <c r="A177" s="26">
        <v>44</v>
      </c>
      <c r="B177" s="10" t="s">
        <v>587</v>
      </c>
      <c r="C177" s="11" t="s">
        <v>588</v>
      </c>
      <c r="D177" s="14" t="s">
        <v>1057</v>
      </c>
      <c r="E177" s="224">
        <v>30000</v>
      </c>
      <c r="F177" s="12"/>
    </row>
    <row r="178" spans="1:6" ht="20.100000000000001" customHeight="1">
      <c r="A178" s="26">
        <v>45</v>
      </c>
      <c r="B178" s="10" t="s">
        <v>590</v>
      </c>
      <c r="C178" s="11" t="s">
        <v>588</v>
      </c>
      <c r="D178" s="14" t="s">
        <v>1057</v>
      </c>
      <c r="E178" s="224">
        <v>30000</v>
      </c>
      <c r="F178" s="12"/>
    </row>
    <row r="179" spans="1:6" ht="20.100000000000001" customHeight="1">
      <c r="A179" s="26">
        <v>46</v>
      </c>
      <c r="B179" s="10" t="s">
        <v>591</v>
      </c>
      <c r="C179" s="11" t="s">
        <v>588</v>
      </c>
      <c r="D179" s="14" t="s">
        <v>1057</v>
      </c>
      <c r="E179" s="224">
        <v>30000</v>
      </c>
      <c r="F179" s="12"/>
    </row>
    <row r="180" spans="1:6" ht="20.100000000000001" customHeight="1">
      <c r="A180" s="26">
        <v>47</v>
      </c>
      <c r="B180" s="10" t="s">
        <v>592</v>
      </c>
      <c r="C180" s="11" t="s">
        <v>588</v>
      </c>
      <c r="D180" s="14" t="s">
        <v>1057</v>
      </c>
      <c r="E180" s="224">
        <v>30000</v>
      </c>
      <c r="F180" s="12"/>
    </row>
    <row r="181" spans="1:6" ht="20.100000000000001" customHeight="1">
      <c r="A181" s="26">
        <v>48</v>
      </c>
      <c r="B181" s="10" t="s">
        <v>593</v>
      </c>
      <c r="C181" s="11" t="s">
        <v>588</v>
      </c>
      <c r="D181" s="14" t="s">
        <v>1057</v>
      </c>
      <c r="E181" s="224">
        <v>30000</v>
      </c>
      <c r="F181" s="12"/>
    </row>
    <row r="182" spans="1:6" ht="20.100000000000001" customHeight="1">
      <c r="A182" s="26">
        <v>49</v>
      </c>
      <c r="B182" s="17" t="s">
        <v>594</v>
      </c>
      <c r="C182" s="11" t="s">
        <v>588</v>
      </c>
      <c r="D182" s="14" t="s">
        <v>1057</v>
      </c>
      <c r="E182" s="224">
        <v>30000</v>
      </c>
      <c r="F182" s="12"/>
    </row>
    <row r="183" spans="1:6" ht="20.100000000000001" customHeight="1">
      <c r="A183" s="26">
        <v>50</v>
      </c>
      <c r="B183" s="17" t="s">
        <v>595</v>
      </c>
      <c r="C183" s="11" t="s">
        <v>588</v>
      </c>
      <c r="D183" s="14" t="s">
        <v>1057</v>
      </c>
      <c r="E183" s="224">
        <v>30000</v>
      </c>
      <c r="F183" s="12"/>
    </row>
    <row r="184" spans="1:6" ht="20.100000000000001" customHeight="1">
      <c r="A184" s="26">
        <v>51</v>
      </c>
      <c r="B184" s="10" t="s">
        <v>596</v>
      </c>
      <c r="C184" s="11" t="s">
        <v>585</v>
      </c>
      <c r="D184" s="14" t="s">
        <v>1057</v>
      </c>
      <c r="E184" s="224">
        <v>30000</v>
      </c>
      <c r="F184" s="12"/>
    </row>
    <row r="185" spans="1:6" ht="20.100000000000001" customHeight="1">
      <c r="A185" s="26">
        <v>52</v>
      </c>
      <c r="B185" s="10" t="s">
        <v>597</v>
      </c>
      <c r="C185" s="11" t="s">
        <v>585</v>
      </c>
      <c r="D185" s="14" t="s">
        <v>1057</v>
      </c>
      <c r="E185" s="224">
        <v>30000</v>
      </c>
      <c r="F185" s="12"/>
    </row>
    <row r="186" spans="1:6" ht="20.100000000000001" customHeight="1">
      <c r="A186" s="26">
        <v>53</v>
      </c>
      <c r="B186" s="17" t="s">
        <v>598</v>
      </c>
      <c r="C186" s="11" t="s">
        <v>588</v>
      </c>
      <c r="D186" s="14" t="s">
        <v>1073</v>
      </c>
      <c r="E186" s="224">
        <v>30000</v>
      </c>
      <c r="F186" s="12"/>
    </row>
    <row r="187" spans="1:6" ht="20.100000000000001" customHeight="1">
      <c r="A187" s="26">
        <v>54</v>
      </c>
      <c r="B187" s="17" t="s">
        <v>600</v>
      </c>
      <c r="C187" s="11" t="s">
        <v>588</v>
      </c>
      <c r="D187" s="14" t="s">
        <v>1058</v>
      </c>
      <c r="E187" s="224">
        <v>30000</v>
      </c>
      <c r="F187" s="12"/>
    </row>
    <row r="188" spans="1:6" ht="20.100000000000001" customHeight="1">
      <c r="A188" s="26"/>
      <c r="B188" s="7" t="s">
        <v>42</v>
      </c>
      <c r="C188" s="27" t="s">
        <v>1223</v>
      </c>
      <c r="D188" s="28"/>
      <c r="E188" s="233">
        <f>SUM(E135:E187)</f>
        <v>2475000</v>
      </c>
      <c r="F188" s="12"/>
    </row>
    <row r="189" spans="1:6" ht="9" customHeight="1">
      <c r="A189" s="26"/>
      <c r="B189" s="7"/>
      <c r="C189" s="27"/>
      <c r="D189" s="28"/>
      <c r="E189" s="233"/>
      <c r="F189" s="12"/>
    </row>
    <row r="190" spans="1:6" ht="30" customHeight="1">
      <c r="A190" s="3"/>
      <c r="B190" s="234" t="s">
        <v>125</v>
      </c>
      <c r="C190" s="235">
        <f>C36+C41+C56+C61+C77+C85+C98+C105+C115+C132+C188</f>
        <v>146</v>
      </c>
      <c r="D190" s="236"/>
      <c r="E190" s="237">
        <f>E188+E132+E120+E115+E105+E98+E85+E77+E61+E56+E41+E36</f>
        <v>11040000</v>
      </c>
      <c r="F190" s="12"/>
    </row>
    <row r="191" spans="1:6" ht="20.100000000000001" customHeight="1">
      <c r="A191" s="2"/>
      <c r="B191" s="32"/>
      <c r="C191" s="2"/>
      <c r="D191" s="33"/>
      <c r="E191" s="90"/>
      <c r="F191" s="34"/>
    </row>
    <row r="192" spans="1:6" ht="65.25" customHeight="1">
      <c r="A192" s="2"/>
      <c r="B192" s="32"/>
      <c r="C192" s="33"/>
      <c r="D192" s="33"/>
      <c r="E192" s="91"/>
      <c r="F192" s="238">
        <f>'[13]Sallah Welfare June 2023 '!$D$73</f>
        <v>2842500</v>
      </c>
    </row>
    <row r="193" spans="6:6" ht="20.100000000000001" customHeight="1">
      <c r="F193" s="238">
        <v>830000</v>
      </c>
    </row>
    <row r="194" spans="6:6" ht="20.100000000000001" customHeight="1">
      <c r="F194" s="238">
        <f>E190</f>
        <v>11040000</v>
      </c>
    </row>
    <row r="195" spans="6:6" ht="20.100000000000001" customHeight="1">
      <c r="F195" s="238">
        <f>SUM(F192:F194)</f>
        <v>14712500</v>
      </c>
    </row>
  </sheetData>
  <pageMargins left="0.23622047244094499" right="0.23622047244094499" top="0.98425196850393704" bottom="0.98425196850393704" header="0.511811023622047" footer="0.511811023622047"/>
  <pageSetup paperSize="9" scale="72" orientation="portrait" horizontalDpi="1200" verticalDpi="1200" r:id="rId1"/>
  <headerFooter alignWithMargins="0"/>
  <rowBreaks count="4" manualBreakCount="4">
    <brk id="42" max="26" man="1"/>
    <brk id="77" max="26" man="1"/>
    <brk id="120" max="26" man="1"/>
    <brk id="159" max="4" man="1"/>
  </row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4"/>
  <sheetViews>
    <sheetView view="pageBreakPreview" zoomScaleNormal="100" workbookViewId="0">
      <pane xSplit="3" ySplit="7" topLeftCell="D8" activePane="bottomRight" state="frozen"/>
      <selection pane="topRight"/>
      <selection pane="bottomLeft"/>
      <selection pane="bottomRight" activeCell="F169" sqref="F169"/>
    </sheetView>
  </sheetViews>
  <sheetFormatPr defaultColWidth="9.140625" defaultRowHeight="20.100000000000001" customHeight="1"/>
  <cols>
    <col min="1" max="1" width="5.42578125" style="1" customWidth="1"/>
    <col min="2" max="2" width="44.5703125" style="1" customWidth="1"/>
    <col min="3" max="3" width="37.5703125" style="1" customWidth="1"/>
    <col min="4" max="4" width="12.42578125" style="1" customWidth="1"/>
    <col min="5" max="5" width="21.5703125" style="1" customWidth="1"/>
    <col min="6" max="6" width="21.7109375" style="1" customWidth="1"/>
    <col min="7" max="10" width="9.140625" style="1"/>
    <col min="11" max="11" width="8.42578125" style="1" customWidth="1"/>
    <col min="12" max="16384" width="9.140625" style="1"/>
  </cols>
  <sheetData>
    <row r="1" spans="1:6" ht="27" customHeight="1">
      <c r="A1" s="218" t="s">
        <v>0</v>
      </c>
      <c r="B1" s="218"/>
      <c r="C1" s="218"/>
      <c r="D1" s="218"/>
      <c r="E1" s="218"/>
    </row>
    <row r="2" spans="1:6" ht="33.75" customHeight="1">
      <c r="A2" s="218" t="s">
        <v>1205</v>
      </c>
      <c r="B2" s="64"/>
      <c r="C2" s="63"/>
      <c r="D2" s="63"/>
      <c r="E2" s="63"/>
    </row>
    <row r="3" spans="1:6" ht="9.75" customHeight="1">
      <c r="A3" s="2"/>
      <c r="B3" s="2"/>
      <c r="C3" s="2"/>
      <c r="D3" s="2"/>
      <c r="E3" s="2"/>
    </row>
    <row r="4" spans="1:6" ht="49.5" customHeight="1">
      <c r="A4" s="219"/>
      <c r="B4" s="220" t="s">
        <v>2</v>
      </c>
      <c r="C4" s="221" t="s">
        <v>3</v>
      </c>
      <c r="D4" s="222" t="s">
        <v>4</v>
      </c>
      <c r="E4" s="223" t="s">
        <v>201</v>
      </c>
    </row>
    <row r="5" spans="1:6" ht="17.25" customHeight="1">
      <c r="C5" s="7"/>
      <c r="D5" s="7"/>
      <c r="E5" s="212" t="s">
        <v>20</v>
      </c>
    </row>
    <row r="6" spans="1:6" ht="20.100000000000001" customHeight="1">
      <c r="A6" s="8" t="s">
        <v>21</v>
      </c>
      <c r="B6" s="7" t="s">
        <v>22</v>
      </c>
      <c r="C6" s="7"/>
      <c r="D6" s="7"/>
      <c r="E6" s="212"/>
    </row>
    <row r="7" spans="1:6" ht="20.100000000000001" customHeight="1">
      <c r="A7" s="9">
        <v>1</v>
      </c>
      <c r="B7" s="10" t="s">
        <v>345</v>
      </c>
      <c r="C7" s="11" t="s">
        <v>346</v>
      </c>
      <c r="D7" s="11" t="s">
        <v>347</v>
      </c>
      <c r="E7" s="224">
        <v>540000</v>
      </c>
      <c r="F7" s="12"/>
    </row>
    <row r="8" spans="1:6" ht="20.100000000000001" customHeight="1">
      <c r="A8" s="9">
        <v>2</v>
      </c>
      <c r="B8" s="10" t="s">
        <v>1116</v>
      </c>
      <c r="C8" s="3" t="s">
        <v>1206</v>
      </c>
      <c r="D8" s="9" t="s">
        <v>340</v>
      </c>
      <c r="E8" s="224">
        <v>180000</v>
      </c>
      <c r="F8" s="12"/>
    </row>
    <row r="9" spans="1:6" ht="20.100000000000001" customHeight="1">
      <c r="A9" s="9">
        <v>3</v>
      </c>
      <c r="B9" s="10" t="s">
        <v>348</v>
      </c>
      <c r="C9" s="11" t="s">
        <v>349</v>
      </c>
      <c r="D9" s="9" t="s">
        <v>343</v>
      </c>
      <c r="E9" s="224">
        <v>180000</v>
      </c>
      <c r="F9" s="12"/>
    </row>
    <row r="10" spans="1:6" ht="20.100000000000001" customHeight="1">
      <c r="A10" s="9">
        <v>4</v>
      </c>
      <c r="B10" s="13" t="s">
        <v>350</v>
      </c>
      <c r="C10" s="3" t="s">
        <v>351</v>
      </c>
      <c r="D10" s="14" t="s">
        <v>416</v>
      </c>
      <c r="E10" s="224">
        <v>180000</v>
      </c>
      <c r="F10" s="12"/>
    </row>
    <row r="11" spans="1:6" ht="20.100000000000001" customHeight="1">
      <c r="A11" s="9">
        <v>5</v>
      </c>
      <c r="B11" s="13" t="s">
        <v>470</v>
      </c>
      <c r="C11" s="3" t="s">
        <v>1118</v>
      </c>
      <c r="D11" s="15" t="s">
        <v>416</v>
      </c>
      <c r="E11" s="224">
        <v>180000</v>
      </c>
      <c r="F11" s="12"/>
    </row>
    <row r="12" spans="1:6" ht="20.100000000000001" customHeight="1">
      <c r="A12" s="9">
        <v>6</v>
      </c>
      <c r="B12" s="10" t="s">
        <v>352</v>
      </c>
      <c r="C12" s="16" t="s">
        <v>353</v>
      </c>
      <c r="D12" s="15" t="s">
        <v>416</v>
      </c>
      <c r="E12" s="224">
        <v>180000</v>
      </c>
      <c r="F12" s="12"/>
    </row>
    <row r="13" spans="1:6" ht="20.100000000000001" customHeight="1">
      <c r="A13" s="9">
        <v>7</v>
      </c>
      <c r="B13" s="13" t="s">
        <v>354</v>
      </c>
      <c r="C13" s="3" t="s">
        <v>355</v>
      </c>
      <c r="D13" s="15" t="s">
        <v>416</v>
      </c>
      <c r="E13" s="224">
        <v>180000</v>
      </c>
      <c r="F13" s="12"/>
    </row>
    <row r="14" spans="1:6" ht="20.100000000000001" customHeight="1">
      <c r="A14" s="9">
        <v>8</v>
      </c>
      <c r="B14" s="10" t="s">
        <v>356</v>
      </c>
      <c r="C14" s="11" t="s">
        <v>357</v>
      </c>
      <c r="D14" s="14" t="s">
        <v>358</v>
      </c>
      <c r="E14" s="224">
        <v>126000</v>
      </c>
      <c r="F14" s="12"/>
    </row>
    <row r="15" spans="1:6" ht="20.100000000000001" customHeight="1">
      <c r="A15" s="9">
        <v>9</v>
      </c>
      <c r="B15" s="17" t="s">
        <v>333</v>
      </c>
      <c r="C15" s="11" t="s">
        <v>334</v>
      </c>
      <c r="D15" s="9" t="s">
        <v>332</v>
      </c>
      <c r="E15" s="224">
        <v>126000</v>
      </c>
      <c r="F15" s="12"/>
    </row>
    <row r="16" spans="1:6" ht="20.100000000000001" customHeight="1">
      <c r="A16" s="9">
        <v>10</v>
      </c>
      <c r="B16" s="18" t="s">
        <v>1209</v>
      </c>
      <c r="C16" s="3" t="s">
        <v>1210</v>
      </c>
      <c r="D16" s="15" t="s">
        <v>366</v>
      </c>
      <c r="E16" s="224">
        <v>90000</v>
      </c>
      <c r="F16" s="12"/>
    </row>
    <row r="17" spans="1:6" ht="19.5" customHeight="1">
      <c r="A17" s="9">
        <v>11</v>
      </c>
      <c r="B17" s="13" t="s">
        <v>1119</v>
      </c>
      <c r="C17" s="3" t="s">
        <v>362</v>
      </c>
      <c r="D17" s="9" t="s">
        <v>366</v>
      </c>
      <c r="E17" s="224">
        <v>90000</v>
      </c>
      <c r="F17" s="12"/>
    </row>
    <row r="18" spans="1:6" ht="19.5" customHeight="1">
      <c r="A18" s="9">
        <v>12</v>
      </c>
      <c r="B18" s="13" t="s">
        <v>1211</v>
      </c>
      <c r="C18" s="3" t="s">
        <v>1212</v>
      </c>
      <c r="D18" s="9" t="s">
        <v>366</v>
      </c>
      <c r="E18" s="224">
        <v>90000</v>
      </c>
      <c r="F18" s="12"/>
    </row>
    <row r="19" spans="1:6" ht="20.100000000000001" customHeight="1">
      <c r="A19" s="9">
        <v>13</v>
      </c>
      <c r="B19" s="10" t="s">
        <v>361</v>
      </c>
      <c r="C19" s="3" t="s">
        <v>362</v>
      </c>
      <c r="D19" s="14" t="s">
        <v>366</v>
      </c>
      <c r="E19" s="224">
        <v>90000</v>
      </c>
      <c r="F19" s="12"/>
    </row>
    <row r="20" spans="1:6" ht="20.100000000000001" customHeight="1">
      <c r="A20" s="9">
        <v>14</v>
      </c>
      <c r="B20" s="10" t="s">
        <v>373</v>
      </c>
      <c r="C20" s="11" t="s">
        <v>374</v>
      </c>
      <c r="D20" s="14" t="s">
        <v>1052</v>
      </c>
      <c r="E20" s="224">
        <v>90000</v>
      </c>
      <c r="F20" s="12"/>
    </row>
    <row r="21" spans="1:6" ht="20.100000000000001" customHeight="1">
      <c r="A21" s="9">
        <v>15</v>
      </c>
      <c r="B21" s="17" t="s">
        <v>376</v>
      </c>
      <c r="C21" s="3" t="s">
        <v>377</v>
      </c>
      <c r="D21" s="14" t="s">
        <v>1053</v>
      </c>
      <c r="E21" s="224">
        <v>90000</v>
      </c>
      <c r="F21" s="12"/>
    </row>
    <row r="22" spans="1:6" ht="20.100000000000001" customHeight="1">
      <c r="A22" s="9">
        <v>16</v>
      </c>
      <c r="B22" s="10" t="s">
        <v>496</v>
      </c>
      <c r="C22" s="11" t="s">
        <v>497</v>
      </c>
      <c r="D22" s="14" t="s">
        <v>380</v>
      </c>
      <c r="E22" s="224">
        <v>54000</v>
      </c>
      <c r="F22" s="12"/>
    </row>
    <row r="23" spans="1:6" ht="18.75" customHeight="1">
      <c r="A23" s="9">
        <v>17</v>
      </c>
      <c r="B23" s="10" t="s">
        <v>379</v>
      </c>
      <c r="C23" s="11" t="s">
        <v>233</v>
      </c>
      <c r="D23" s="14" t="s">
        <v>440</v>
      </c>
      <c r="E23" s="224">
        <v>54000</v>
      </c>
      <c r="F23" s="12"/>
    </row>
    <row r="24" spans="1:6" ht="18.75" customHeight="1">
      <c r="A24" s="9">
        <v>18</v>
      </c>
      <c r="B24" s="17" t="s">
        <v>1213</v>
      </c>
      <c r="C24" s="11" t="s">
        <v>401</v>
      </c>
      <c r="D24" s="14" t="s">
        <v>453</v>
      </c>
      <c r="E24" s="224">
        <v>54000</v>
      </c>
      <c r="F24" s="12"/>
    </row>
    <row r="25" spans="1:6" ht="18.75" customHeight="1">
      <c r="A25" s="9">
        <v>19</v>
      </c>
      <c r="B25" s="3" t="s">
        <v>386</v>
      </c>
      <c r="C25" s="3" t="s">
        <v>289</v>
      </c>
      <c r="D25" s="9" t="s">
        <v>391</v>
      </c>
      <c r="E25" s="224">
        <v>54000</v>
      </c>
      <c r="F25" s="12"/>
    </row>
    <row r="26" spans="1:6" ht="18.75" customHeight="1">
      <c r="A26" s="9">
        <v>20</v>
      </c>
      <c r="B26" s="17" t="s">
        <v>388</v>
      </c>
      <c r="C26" s="11" t="s">
        <v>289</v>
      </c>
      <c r="D26" s="14" t="s">
        <v>391</v>
      </c>
      <c r="E26" s="224">
        <v>54000</v>
      </c>
      <c r="F26" s="12"/>
    </row>
    <row r="27" spans="1:6" ht="18.75" customHeight="1">
      <c r="A27" s="9">
        <v>21</v>
      </c>
      <c r="B27" s="10" t="s">
        <v>1120</v>
      </c>
      <c r="C27" s="11" t="s">
        <v>1121</v>
      </c>
      <c r="D27" s="14" t="s">
        <v>391</v>
      </c>
      <c r="E27" s="224">
        <v>54000</v>
      </c>
      <c r="F27" s="12"/>
    </row>
    <row r="28" spans="1:6" ht="18.75" customHeight="1">
      <c r="A28" s="9">
        <v>22</v>
      </c>
      <c r="B28" s="17" t="s">
        <v>390</v>
      </c>
      <c r="C28" s="11" t="s">
        <v>1068</v>
      </c>
      <c r="D28" s="14" t="s">
        <v>1048</v>
      </c>
      <c r="E28" s="224">
        <v>54000</v>
      </c>
      <c r="F28" s="12"/>
    </row>
    <row r="29" spans="1:6" ht="18.75" customHeight="1">
      <c r="A29" s="9">
        <v>23</v>
      </c>
      <c r="B29" s="17" t="s">
        <v>392</v>
      </c>
      <c r="C29" s="3" t="s">
        <v>1122</v>
      </c>
      <c r="D29" s="9" t="s">
        <v>1048</v>
      </c>
      <c r="E29" s="224">
        <v>54000</v>
      </c>
      <c r="F29" s="12"/>
    </row>
    <row r="30" spans="1:6" ht="18.75" customHeight="1">
      <c r="A30" s="9">
        <v>24</v>
      </c>
      <c r="B30" s="17" t="s">
        <v>395</v>
      </c>
      <c r="C30" s="16" t="s">
        <v>396</v>
      </c>
      <c r="D30" s="14" t="s">
        <v>391</v>
      </c>
      <c r="E30" s="224">
        <v>54000</v>
      </c>
      <c r="F30" s="12"/>
    </row>
    <row r="31" spans="1:6" ht="18.75" customHeight="1">
      <c r="A31" s="9">
        <v>25</v>
      </c>
      <c r="B31" s="17" t="s">
        <v>397</v>
      </c>
      <c r="C31" s="3" t="s">
        <v>398</v>
      </c>
      <c r="D31" s="9" t="s">
        <v>402</v>
      </c>
      <c r="E31" s="224">
        <v>54000</v>
      </c>
      <c r="F31" s="12"/>
    </row>
    <row r="32" spans="1:6" ht="18.75" customHeight="1">
      <c r="A32" s="9">
        <v>26</v>
      </c>
      <c r="B32" s="17" t="s">
        <v>1036</v>
      </c>
      <c r="C32" s="11" t="s">
        <v>401</v>
      </c>
      <c r="D32" s="14" t="s">
        <v>402</v>
      </c>
      <c r="E32" s="224">
        <v>54000</v>
      </c>
      <c r="F32" s="12"/>
    </row>
    <row r="33" spans="1:6" ht="18.75" customHeight="1">
      <c r="A33" s="9">
        <v>27</v>
      </c>
      <c r="B33" s="17" t="s">
        <v>1214</v>
      </c>
      <c r="C33" s="11" t="s">
        <v>401</v>
      </c>
      <c r="D33" s="14" t="s">
        <v>402</v>
      </c>
      <c r="E33" s="224">
        <v>54000</v>
      </c>
      <c r="F33" s="12"/>
    </row>
    <row r="34" spans="1:6" ht="18.75" customHeight="1">
      <c r="A34" s="9">
        <v>28</v>
      </c>
      <c r="B34" s="17" t="s">
        <v>512</v>
      </c>
      <c r="C34" s="11" t="s">
        <v>248</v>
      </c>
      <c r="D34" s="14" t="s">
        <v>72</v>
      </c>
      <c r="E34" s="224">
        <v>54000</v>
      </c>
      <c r="F34" s="12"/>
    </row>
    <row r="35" spans="1:6" ht="26.25" customHeight="1">
      <c r="A35" s="9"/>
      <c r="B35" s="19" t="s">
        <v>42</v>
      </c>
      <c r="C35" s="20">
        <v>28</v>
      </c>
      <c r="D35" s="14"/>
      <c r="E35" s="225">
        <f>SUM(E7:E34)</f>
        <v>3114000</v>
      </c>
      <c r="F35" s="12"/>
    </row>
    <row r="36" spans="1:6" ht="18.75" customHeight="1">
      <c r="A36" s="9"/>
      <c r="B36" s="21"/>
      <c r="C36" s="3"/>
      <c r="D36" s="14"/>
      <c r="E36" s="226"/>
      <c r="F36" s="12"/>
    </row>
    <row r="37" spans="1:6" ht="18.75" customHeight="1">
      <c r="A37" s="9"/>
      <c r="B37" s="19" t="s">
        <v>225</v>
      </c>
      <c r="C37" s="3"/>
      <c r="D37" s="14"/>
      <c r="E37" s="224"/>
      <c r="F37" s="12"/>
    </row>
    <row r="38" spans="1:6" ht="18.75" customHeight="1">
      <c r="A38" s="9">
        <v>1</v>
      </c>
      <c r="B38" s="17" t="s">
        <v>403</v>
      </c>
      <c r="C38" s="3" t="s">
        <v>404</v>
      </c>
      <c r="D38" s="9" t="s">
        <v>405</v>
      </c>
      <c r="E38" s="224">
        <v>270000</v>
      </c>
      <c r="F38" s="12"/>
    </row>
    <row r="39" spans="1:6" ht="18.75" customHeight="1">
      <c r="A39" s="9">
        <v>2</v>
      </c>
      <c r="B39" s="17" t="s">
        <v>406</v>
      </c>
      <c r="C39" s="3" t="s">
        <v>642</v>
      </c>
      <c r="D39" s="9" t="s">
        <v>72</v>
      </c>
      <c r="E39" s="224">
        <v>54000</v>
      </c>
      <c r="F39" s="12"/>
    </row>
    <row r="40" spans="1:6" ht="19.5" customHeight="1">
      <c r="A40" s="9"/>
      <c r="B40" s="13"/>
      <c r="C40" s="20">
        <v>2</v>
      </c>
      <c r="D40" s="9"/>
      <c r="E40" s="225">
        <v>324000</v>
      </c>
      <c r="F40" s="12"/>
    </row>
    <row r="41" spans="1:6" ht="20.100000000000001" customHeight="1">
      <c r="A41" s="9"/>
      <c r="B41" s="13"/>
      <c r="C41" s="3"/>
      <c r="D41" s="9"/>
      <c r="E41" s="224"/>
      <c r="F41" s="12"/>
    </row>
    <row r="42" spans="1:6" ht="20.100000000000001" customHeight="1">
      <c r="A42" s="9"/>
      <c r="B42" s="22" t="s">
        <v>43</v>
      </c>
      <c r="C42" s="4"/>
      <c r="D42" s="23"/>
      <c r="E42" s="224"/>
      <c r="F42" s="12"/>
    </row>
    <row r="43" spans="1:6" ht="20.100000000000001" customHeight="1">
      <c r="A43" s="9">
        <v>1</v>
      </c>
      <c r="B43" s="10" t="s">
        <v>410</v>
      </c>
      <c r="C43" s="3" t="s">
        <v>411</v>
      </c>
      <c r="D43" s="9" t="s">
        <v>405</v>
      </c>
      <c r="E43" s="224">
        <v>270000</v>
      </c>
      <c r="F43" s="12"/>
    </row>
    <row r="44" spans="1:6" ht="20.100000000000001" customHeight="1">
      <c r="A44" s="9">
        <v>2</v>
      </c>
      <c r="B44" s="10" t="s">
        <v>412</v>
      </c>
      <c r="C44" s="3" t="s">
        <v>413</v>
      </c>
      <c r="D44" s="9" t="s">
        <v>358</v>
      </c>
      <c r="E44" s="224">
        <v>126000</v>
      </c>
      <c r="F44" s="12"/>
    </row>
    <row r="45" spans="1:6" ht="20.100000000000001" customHeight="1">
      <c r="A45" s="9">
        <v>3</v>
      </c>
      <c r="B45" s="10" t="s">
        <v>414</v>
      </c>
      <c r="C45" s="3" t="s">
        <v>418</v>
      </c>
      <c r="D45" s="9" t="s">
        <v>358</v>
      </c>
      <c r="E45" s="224">
        <v>126000</v>
      </c>
      <c r="F45" s="12"/>
    </row>
    <row r="46" spans="1:6" ht="20.100000000000001" customHeight="1">
      <c r="A46" s="9">
        <v>4</v>
      </c>
      <c r="B46" s="10" t="s">
        <v>417</v>
      </c>
      <c r="C46" s="3" t="s">
        <v>418</v>
      </c>
      <c r="D46" s="9" t="s">
        <v>358</v>
      </c>
      <c r="E46" s="224">
        <v>126000</v>
      </c>
      <c r="F46" s="12"/>
    </row>
    <row r="47" spans="1:6" ht="20.100000000000001" customHeight="1">
      <c r="A47" s="9">
        <v>5</v>
      </c>
      <c r="B47" s="10" t="s">
        <v>419</v>
      </c>
      <c r="C47" s="3" t="s">
        <v>418</v>
      </c>
      <c r="D47" s="9" t="s">
        <v>435</v>
      </c>
      <c r="E47" s="224">
        <v>126000</v>
      </c>
      <c r="F47" s="12"/>
    </row>
    <row r="48" spans="1:6" ht="20.100000000000001" customHeight="1">
      <c r="A48" s="9">
        <v>6</v>
      </c>
      <c r="B48" s="10" t="s">
        <v>420</v>
      </c>
      <c r="C48" s="3" t="s">
        <v>368</v>
      </c>
      <c r="D48" s="9" t="s">
        <v>366</v>
      </c>
      <c r="E48" s="224">
        <v>90000</v>
      </c>
      <c r="F48" s="12"/>
    </row>
    <row r="49" spans="1:6" ht="20.100000000000001" customHeight="1">
      <c r="A49" s="9">
        <v>7</v>
      </c>
      <c r="B49" s="13" t="s">
        <v>421</v>
      </c>
      <c r="C49" s="3" t="s">
        <v>365</v>
      </c>
      <c r="D49" s="15" t="s">
        <v>366</v>
      </c>
      <c r="E49" s="224">
        <v>90000</v>
      </c>
      <c r="F49" s="12"/>
    </row>
    <row r="50" spans="1:6" ht="20.100000000000001" customHeight="1">
      <c r="A50" s="9">
        <v>8</v>
      </c>
      <c r="B50" s="10" t="s">
        <v>1125</v>
      </c>
      <c r="C50" s="3" t="s">
        <v>365</v>
      </c>
      <c r="D50" s="9" t="s">
        <v>450</v>
      </c>
      <c r="E50" s="224">
        <v>90000</v>
      </c>
      <c r="F50" s="12"/>
    </row>
    <row r="51" spans="1:6" ht="20.100000000000001" customHeight="1">
      <c r="A51" s="9">
        <v>9</v>
      </c>
      <c r="B51" s="10" t="s">
        <v>367</v>
      </c>
      <c r="C51" s="3" t="s">
        <v>461</v>
      </c>
      <c r="D51" s="9" t="s">
        <v>375</v>
      </c>
      <c r="E51" s="224">
        <v>90000</v>
      </c>
      <c r="F51" s="12"/>
    </row>
    <row r="52" spans="1:6" ht="20.100000000000001" customHeight="1">
      <c r="A52" s="9">
        <v>10</v>
      </c>
      <c r="B52" s="10" t="s">
        <v>423</v>
      </c>
      <c r="C52" s="3" t="s">
        <v>64</v>
      </c>
      <c r="D52" s="9" t="s">
        <v>55</v>
      </c>
      <c r="E52" s="224">
        <v>54000</v>
      </c>
      <c r="F52" s="12"/>
    </row>
    <row r="53" spans="1:6" ht="20.100000000000001" customHeight="1">
      <c r="A53" s="9">
        <v>11</v>
      </c>
      <c r="B53" s="10" t="s">
        <v>424</v>
      </c>
      <c r="C53" s="3" t="s">
        <v>64</v>
      </c>
      <c r="D53" s="9" t="s">
        <v>55</v>
      </c>
      <c r="E53" s="224">
        <v>54000</v>
      </c>
      <c r="F53" s="12"/>
    </row>
    <row r="54" spans="1:6" ht="20.100000000000001" customHeight="1">
      <c r="A54" s="9">
        <v>12</v>
      </c>
      <c r="B54" s="10" t="s">
        <v>425</v>
      </c>
      <c r="C54" s="3" t="s">
        <v>64</v>
      </c>
      <c r="D54" s="9" t="s">
        <v>55</v>
      </c>
      <c r="E54" s="224">
        <v>54000</v>
      </c>
      <c r="F54" s="12"/>
    </row>
    <row r="55" spans="1:6" ht="25.5" customHeight="1">
      <c r="A55" s="9"/>
      <c r="B55" s="19" t="s">
        <v>42</v>
      </c>
      <c r="C55" s="20">
        <v>12</v>
      </c>
      <c r="D55" s="20"/>
      <c r="E55" s="227">
        <v>1296000</v>
      </c>
      <c r="F55" s="12"/>
    </row>
    <row r="56" spans="1:6" ht="20.100000000000001" customHeight="1">
      <c r="A56" s="9"/>
      <c r="B56" s="21"/>
      <c r="C56" s="20"/>
      <c r="D56" s="20"/>
      <c r="E56" s="228"/>
      <c r="F56" s="12"/>
    </row>
    <row r="57" spans="1:6" ht="20.100000000000001" customHeight="1">
      <c r="A57" s="9"/>
      <c r="B57" s="19" t="s">
        <v>426</v>
      </c>
      <c r="C57" s="20"/>
      <c r="D57" s="20"/>
      <c r="E57" s="228"/>
      <c r="F57" s="12"/>
    </row>
    <row r="58" spans="1:6" ht="20.100000000000001" customHeight="1">
      <c r="A58" s="9">
        <v>1</v>
      </c>
      <c r="B58" s="10" t="s">
        <v>427</v>
      </c>
      <c r="C58" s="11" t="s">
        <v>428</v>
      </c>
      <c r="D58" s="14" t="s">
        <v>405</v>
      </c>
      <c r="E58" s="224">
        <v>270000</v>
      </c>
      <c r="F58" s="12"/>
    </row>
    <row r="59" spans="1:6" ht="20.100000000000001" customHeight="1">
      <c r="A59" s="9">
        <v>2</v>
      </c>
      <c r="B59" s="10" t="s">
        <v>429</v>
      </c>
      <c r="C59" s="11" t="s">
        <v>430</v>
      </c>
      <c r="D59" s="14" t="s">
        <v>332</v>
      </c>
      <c r="E59" s="224">
        <v>126000</v>
      </c>
      <c r="F59" s="12"/>
    </row>
    <row r="60" spans="1:6" ht="20.100000000000001" customHeight="1">
      <c r="A60" s="9"/>
      <c r="B60" s="19" t="s">
        <v>42</v>
      </c>
      <c r="C60" s="20">
        <v>2</v>
      </c>
      <c r="D60" s="20"/>
      <c r="E60" s="227">
        <v>396000</v>
      </c>
      <c r="F60" s="12"/>
    </row>
    <row r="61" spans="1:6" ht="20.100000000000001" customHeight="1">
      <c r="A61" s="9"/>
      <c r="B61" s="19"/>
      <c r="C61" s="20"/>
      <c r="D61" s="20"/>
      <c r="E61" s="228"/>
      <c r="F61" s="12"/>
    </row>
    <row r="62" spans="1:6" ht="20.100000000000001" customHeight="1">
      <c r="A62" s="9"/>
      <c r="B62" s="19" t="s">
        <v>60</v>
      </c>
      <c r="C62" s="20"/>
      <c r="D62" s="20"/>
      <c r="E62" s="228"/>
      <c r="F62" s="12"/>
    </row>
    <row r="63" spans="1:6" ht="20.100000000000001" customHeight="1">
      <c r="A63" s="9">
        <v>1</v>
      </c>
      <c r="B63" s="10" t="s">
        <v>431</v>
      </c>
      <c r="C63" s="16" t="s">
        <v>432</v>
      </c>
      <c r="D63" s="9" t="s">
        <v>405</v>
      </c>
      <c r="E63" s="224">
        <v>270000</v>
      </c>
      <c r="F63" s="12"/>
    </row>
    <row r="64" spans="1:6" ht="20.100000000000001" customHeight="1">
      <c r="A64" s="9">
        <v>2</v>
      </c>
      <c r="B64" s="17" t="s">
        <v>433</v>
      </c>
      <c r="C64" s="16" t="s">
        <v>434</v>
      </c>
      <c r="D64" s="14" t="s">
        <v>1054</v>
      </c>
      <c r="E64" s="224">
        <v>126000</v>
      </c>
      <c r="F64" s="12"/>
    </row>
    <row r="65" spans="1:6" ht="20.100000000000001" customHeight="1">
      <c r="A65" s="9">
        <v>3</v>
      </c>
      <c r="B65" s="10" t="s">
        <v>436</v>
      </c>
      <c r="C65" s="3" t="s">
        <v>231</v>
      </c>
      <c r="D65" s="9" t="s">
        <v>375</v>
      </c>
      <c r="E65" s="224">
        <v>90000</v>
      </c>
      <c r="F65" s="12"/>
    </row>
    <row r="66" spans="1:6" ht="20.100000000000001" customHeight="1">
      <c r="A66" s="9">
        <v>4</v>
      </c>
      <c r="B66" s="17" t="s">
        <v>437</v>
      </c>
      <c r="C66" s="16" t="s">
        <v>231</v>
      </c>
      <c r="D66" s="14" t="s">
        <v>1052</v>
      </c>
      <c r="E66" s="224">
        <v>90000</v>
      </c>
      <c r="F66" s="12"/>
    </row>
    <row r="67" spans="1:6" ht="20.100000000000001" customHeight="1">
      <c r="A67" s="9">
        <v>5</v>
      </c>
      <c r="B67" s="13" t="s">
        <v>438</v>
      </c>
      <c r="C67" s="16" t="s">
        <v>365</v>
      </c>
      <c r="D67" s="14" t="s">
        <v>366</v>
      </c>
      <c r="E67" s="224">
        <v>90000</v>
      </c>
      <c r="F67" s="12"/>
    </row>
    <row r="68" spans="1:6" ht="20.100000000000001" customHeight="1">
      <c r="A68" s="9">
        <v>6</v>
      </c>
      <c r="B68" s="13" t="s">
        <v>364</v>
      </c>
      <c r="C68" s="16" t="s">
        <v>365</v>
      </c>
      <c r="D68" s="14" t="s">
        <v>450</v>
      </c>
      <c r="E68" s="224">
        <v>90000</v>
      </c>
      <c r="F68" s="12"/>
    </row>
    <row r="69" spans="1:6" ht="20.100000000000001" customHeight="1">
      <c r="A69" s="9">
        <v>7</v>
      </c>
      <c r="B69" s="10" t="s">
        <v>439</v>
      </c>
      <c r="C69" s="3" t="s">
        <v>64</v>
      </c>
      <c r="D69" s="9" t="s">
        <v>32</v>
      </c>
      <c r="E69" s="224">
        <v>54000</v>
      </c>
      <c r="F69" s="12"/>
    </row>
    <row r="70" spans="1:6" ht="20.100000000000001" customHeight="1">
      <c r="A70" s="9">
        <v>8</v>
      </c>
      <c r="B70" s="10" t="s">
        <v>441</v>
      </c>
      <c r="C70" s="16" t="s">
        <v>34</v>
      </c>
      <c r="D70" s="14" t="s">
        <v>32</v>
      </c>
      <c r="E70" s="224">
        <v>54000</v>
      </c>
      <c r="F70" s="12"/>
    </row>
    <row r="71" spans="1:6" ht="20.100000000000001" customHeight="1">
      <c r="A71" s="9">
        <v>9</v>
      </c>
      <c r="B71" s="10" t="s">
        <v>442</v>
      </c>
      <c r="C71" s="16" t="s">
        <v>34</v>
      </c>
      <c r="D71" s="14" t="s">
        <v>32</v>
      </c>
      <c r="E71" s="224">
        <v>54000</v>
      </c>
      <c r="F71" s="12"/>
    </row>
    <row r="72" spans="1:6" ht="20.100000000000001" customHeight="1">
      <c r="A72" s="9">
        <v>10</v>
      </c>
      <c r="B72" s="10" t="s">
        <v>443</v>
      </c>
      <c r="C72" s="3" t="s">
        <v>444</v>
      </c>
      <c r="D72" s="9" t="s">
        <v>440</v>
      </c>
      <c r="E72" s="224">
        <v>54000</v>
      </c>
      <c r="F72" s="12"/>
    </row>
    <row r="73" spans="1:6" ht="20.100000000000001" customHeight="1">
      <c r="A73" s="9">
        <v>11</v>
      </c>
      <c r="B73" s="10" t="s">
        <v>1215</v>
      </c>
      <c r="C73" s="16" t="s">
        <v>64</v>
      </c>
      <c r="D73" s="9" t="s">
        <v>409</v>
      </c>
      <c r="E73" s="224">
        <v>54000</v>
      </c>
      <c r="F73" s="12"/>
    </row>
    <row r="74" spans="1:6" ht="20.100000000000001" customHeight="1">
      <c r="A74" s="9">
        <v>12</v>
      </c>
      <c r="B74" s="10" t="s">
        <v>389</v>
      </c>
      <c r="C74" s="16" t="s">
        <v>382</v>
      </c>
      <c r="D74" s="9" t="s">
        <v>391</v>
      </c>
      <c r="E74" s="224">
        <v>54000</v>
      </c>
      <c r="F74" s="12"/>
    </row>
    <row r="75" spans="1:6" ht="20.100000000000001" customHeight="1">
      <c r="A75" s="9">
        <v>13</v>
      </c>
      <c r="B75" s="13" t="s">
        <v>381</v>
      </c>
      <c r="C75" s="16" t="s">
        <v>382</v>
      </c>
      <c r="D75" s="9" t="s">
        <v>402</v>
      </c>
      <c r="E75" s="224">
        <v>54000</v>
      </c>
      <c r="F75" s="12"/>
    </row>
    <row r="76" spans="1:6" ht="20.100000000000001" customHeight="1">
      <c r="A76" s="9"/>
      <c r="B76" s="19" t="s">
        <v>42</v>
      </c>
      <c r="C76" s="20">
        <v>13</v>
      </c>
      <c r="D76" s="20"/>
      <c r="E76" s="227">
        <v>1134000</v>
      </c>
      <c r="F76" s="12"/>
    </row>
    <row r="77" spans="1:6" ht="20.100000000000001" customHeight="1">
      <c r="A77" s="9"/>
      <c r="B77" s="21"/>
      <c r="C77" s="20"/>
      <c r="D77" s="20"/>
      <c r="E77" s="228"/>
      <c r="F77" s="12"/>
    </row>
    <row r="78" spans="1:6" ht="20.100000000000001" customHeight="1">
      <c r="A78" s="9"/>
      <c r="B78" s="19" t="s">
        <v>65</v>
      </c>
      <c r="C78" s="20"/>
      <c r="D78" s="20"/>
      <c r="E78" s="228"/>
      <c r="F78" s="12"/>
    </row>
    <row r="79" spans="1:6" ht="20.100000000000001" customHeight="1">
      <c r="A79" s="9">
        <v>1</v>
      </c>
      <c r="B79" s="10" t="s">
        <v>446</v>
      </c>
      <c r="C79" s="3" t="s">
        <v>447</v>
      </c>
      <c r="D79" s="9" t="s">
        <v>405</v>
      </c>
      <c r="E79" s="224">
        <v>270000</v>
      </c>
      <c r="F79" s="12"/>
    </row>
    <row r="80" spans="1:6" ht="20.100000000000001" customHeight="1">
      <c r="A80" s="9">
        <v>2</v>
      </c>
      <c r="B80" s="13" t="s">
        <v>331</v>
      </c>
      <c r="C80" s="3" t="s">
        <v>76</v>
      </c>
      <c r="D80" s="14" t="s">
        <v>1054</v>
      </c>
      <c r="E80" s="224">
        <v>126000</v>
      </c>
      <c r="F80" s="12"/>
    </row>
    <row r="81" spans="1:6" ht="20.100000000000001" customHeight="1">
      <c r="A81" s="9">
        <v>3</v>
      </c>
      <c r="B81" s="13" t="s">
        <v>1216</v>
      </c>
      <c r="C81" s="3" t="s">
        <v>1217</v>
      </c>
      <c r="D81" s="14" t="s">
        <v>1054</v>
      </c>
      <c r="E81" s="224">
        <v>126000</v>
      </c>
      <c r="F81" s="12"/>
    </row>
    <row r="82" spans="1:6" ht="20.100000000000001" customHeight="1">
      <c r="A82" s="9">
        <v>4</v>
      </c>
      <c r="B82" s="10" t="s">
        <v>448</v>
      </c>
      <c r="C82" s="3" t="s">
        <v>1069</v>
      </c>
      <c r="D82" s="14" t="s">
        <v>375</v>
      </c>
      <c r="E82" s="224">
        <v>90000</v>
      </c>
      <c r="F82" s="12"/>
    </row>
    <row r="83" spans="1:6" ht="20.100000000000001" customHeight="1">
      <c r="A83" s="9">
        <v>5</v>
      </c>
      <c r="B83" s="10" t="s">
        <v>451</v>
      </c>
      <c r="C83" s="3" t="s">
        <v>452</v>
      </c>
      <c r="D83" s="9" t="s">
        <v>409</v>
      </c>
      <c r="E83" s="224">
        <v>54000</v>
      </c>
      <c r="F83" s="12"/>
    </row>
    <row r="84" spans="1:6" ht="20.100000000000001" customHeight="1">
      <c r="A84" s="9"/>
      <c r="B84" s="19" t="s">
        <v>42</v>
      </c>
      <c r="C84" s="20">
        <v>5</v>
      </c>
      <c r="D84" s="20"/>
      <c r="E84" s="227">
        <v>666000</v>
      </c>
      <c r="F84" s="12"/>
    </row>
    <row r="85" spans="1:6" ht="20.100000000000001" customHeight="1">
      <c r="A85" s="9"/>
      <c r="B85" s="19"/>
      <c r="C85" s="20"/>
      <c r="D85" s="20"/>
      <c r="E85" s="224"/>
      <c r="F85" s="12"/>
    </row>
    <row r="86" spans="1:6" ht="20.100000000000001" customHeight="1">
      <c r="A86" s="9"/>
      <c r="B86" s="19" t="s">
        <v>74</v>
      </c>
      <c r="C86" s="24"/>
      <c r="D86" s="20"/>
      <c r="E86" s="224"/>
      <c r="F86" s="12"/>
    </row>
    <row r="87" spans="1:6" ht="20.100000000000001" customHeight="1">
      <c r="A87" s="9">
        <v>1</v>
      </c>
      <c r="B87" s="10" t="s">
        <v>457</v>
      </c>
      <c r="C87" s="3" t="s">
        <v>418</v>
      </c>
      <c r="D87" s="9" t="s">
        <v>358</v>
      </c>
      <c r="E87" s="224">
        <v>126000</v>
      </c>
      <c r="F87" s="12"/>
    </row>
    <row r="88" spans="1:6" ht="20.100000000000001" customHeight="1">
      <c r="A88" s="9">
        <v>2</v>
      </c>
      <c r="B88" s="10" t="s">
        <v>458</v>
      </c>
      <c r="C88" s="3" t="s">
        <v>418</v>
      </c>
      <c r="D88" s="9" t="s">
        <v>358</v>
      </c>
      <c r="E88" s="224">
        <v>126000</v>
      </c>
      <c r="F88" s="12"/>
    </row>
    <row r="89" spans="1:6" ht="20.100000000000001" customHeight="1">
      <c r="A89" s="9">
        <v>3</v>
      </c>
      <c r="B89" s="13" t="s">
        <v>493</v>
      </c>
      <c r="C89" s="3" t="s">
        <v>365</v>
      </c>
      <c r="D89" s="9" t="s">
        <v>363</v>
      </c>
      <c r="E89" s="224">
        <v>90000</v>
      </c>
      <c r="F89" s="12"/>
    </row>
    <row r="90" spans="1:6" ht="20.100000000000001" customHeight="1">
      <c r="A90" s="9">
        <v>4</v>
      </c>
      <c r="B90" s="10" t="s">
        <v>459</v>
      </c>
      <c r="C90" s="3" t="s">
        <v>368</v>
      </c>
      <c r="D90" s="9" t="s">
        <v>366</v>
      </c>
      <c r="E90" s="224">
        <v>90000</v>
      </c>
      <c r="F90" s="12"/>
    </row>
    <row r="91" spans="1:6" ht="21.6" customHeight="1">
      <c r="A91" s="9">
        <v>5</v>
      </c>
      <c r="B91" s="10" t="s">
        <v>460</v>
      </c>
      <c r="C91" s="3" t="s">
        <v>461</v>
      </c>
      <c r="D91" s="14" t="s">
        <v>375</v>
      </c>
      <c r="E91" s="224">
        <v>90000</v>
      </c>
      <c r="F91" s="12"/>
    </row>
    <row r="92" spans="1:6" ht="21.6" customHeight="1">
      <c r="A92" s="9">
        <v>6</v>
      </c>
      <c r="B92" s="10" t="s">
        <v>462</v>
      </c>
      <c r="C92" s="11" t="s">
        <v>231</v>
      </c>
      <c r="D92" s="14" t="s">
        <v>1052</v>
      </c>
      <c r="E92" s="224">
        <v>90000</v>
      </c>
      <c r="F92" s="12"/>
    </row>
    <row r="93" spans="1:6" ht="21.6" customHeight="1">
      <c r="A93" s="9">
        <v>7</v>
      </c>
      <c r="B93" s="10" t="s">
        <v>463</v>
      </c>
      <c r="C93" s="11" t="s">
        <v>231</v>
      </c>
      <c r="D93" s="14" t="s">
        <v>1052</v>
      </c>
      <c r="E93" s="224">
        <v>90000</v>
      </c>
      <c r="F93" s="12"/>
    </row>
    <row r="94" spans="1:6" ht="21.6" customHeight="1">
      <c r="A94" s="9">
        <v>8</v>
      </c>
      <c r="B94" s="10" t="s">
        <v>464</v>
      </c>
      <c r="C94" s="16" t="s">
        <v>34</v>
      </c>
      <c r="D94" s="14" t="s">
        <v>32</v>
      </c>
      <c r="E94" s="224">
        <v>54000</v>
      </c>
      <c r="F94" s="12"/>
    </row>
    <row r="95" spans="1:6" ht="21.6" customHeight="1">
      <c r="A95" s="9">
        <v>9</v>
      </c>
      <c r="B95" s="10" t="s">
        <v>466</v>
      </c>
      <c r="C95" s="3" t="s">
        <v>467</v>
      </c>
      <c r="D95" s="9" t="s">
        <v>37</v>
      </c>
      <c r="E95" s="224">
        <v>54000</v>
      </c>
      <c r="F95" s="12"/>
    </row>
    <row r="96" spans="1:6" ht="21.6" customHeight="1">
      <c r="A96" s="9">
        <v>10</v>
      </c>
      <c r="B96" s="10" t="s">
        <v>468</v>
      </c>
      <c r="C96" s="16" t="s">
        <v>469</v>
      </c>
      <c r="D96" s="14" t="s">
        <v>402</v>
      </c>
      <c r="E96" s="224">
        <v>54000</v>
      </c>
      <c r="F96" s="12"/>
    </row>
    <row r="97" spans="1:6" ht="20.100000000000001" customHeight="1">
      <c r="A97" s="9"/>
      <c r="B97" s="19" t="s">
        <v>42</v>
      </c>
      <c r="C97" s="20">
        <v>10</v>
      </c>
      <c r="D97" s="20"/>
      <c r="E97" s="227">
        <v>864000</v>
      </c>
      <c r="F97" s="12"/>
    </row>
    <row r="98" spans="1:6" ht="20.100000000000001" customHeight="1">
      <c r="A98" s="9"/>
      <c r="B98" s="21"/>
      <c r="C98" s="20"/>
      <c r="D98" s="20"/>
      <c r="E98" s="228"/>
      <c r="F98" s="12"/>
    </row>
    <row r="99" spans="1:6" ht="20.100000000000001" customHeight="1">
      <c r="A99" s="9"/>
      <c r="B99" s="19" t="s">
        <v>84</v>
      </c>
      <c r="C99" s="20"/>
      <c r="D99" s="20"/>
      <c r="E99" s="228"/>
      <c r="F99" s="12"/>
    </row>
    <row r="100" spans="1:6" ht="20.100000000000001" customHeight="1">
      <c r="A100" s="9">
        <v>1</v>
      </c>
      <c r="B100" s="17" t="s">
        <v>341</v>
      </c>
      <c r="C100" s="9" t="s">
        <v>342</v>
      </c>
      <c r="D100" s="14" t="s">
        <v>416</v>
      </c>
      <c r="E100" s="224">
        <v>180000</v>
      </c>
      <c r="F100" s="12"/>
    </row>
    <row r="101" spans="1:6" ht="20.100000000000001" customHeight="1">
      <c r="A101" s="9">
        <v>2</v>
      </c>
      <c r="B101" s="10" t="s">
        <v>359</v>
      </c>
      <c r="C101" s="3" t="s">
        <v>474</v>
      </c>
      <c r="D101" s="9" t="s">
        <v>366</v>
      </c>
      <c r="E101" s="224">
        <v>90000</v>
      </c>
      <c r="F101" s="12"/>
    </row>
    <row r="102" spans="1:6" ht="20.100000000000001" customHeight="1">
      <c r="A102" s="9">
        <v>3</v>
      </c>
      <c r="B102" s="10" t="s">
        <v>475</v>
      </c>
      <c r="C102" s="3" t="s">
        <v>476</v>
      </c>
      <c r="D102" s="14" t="s">
        <v>440</v>
      </c>
      <c r="E102" s="224">
        <v>54000</v>
      </c>
      <c r="F102" s="12"/>
    </row>
    <row r="103" spans="1:6" ht="20.100000000000001" customHeight="1">
      <c r="A103" s="9">
        <v>4</v>
      </c>
      <c r="B103" s="10" t="s">
        <v>1218</v>
      </c>
      <c r="C103" s="3" t="s">
        <v>1219</v>
      </c>
      <c r="D103" s="14" t="s">
        <v>1048</v>
      </c>
      <c r="E103" s="224">
        <v>54000</v>
      </c>
      <c r="F103" s="12"/>
    </row>
    <row r="104" spans="1:6" ht="20.100000000000001" customHeight="1">
      <c r="A104" s="3"/>
      <c r="B104" s="19" t="s">
        <v>42</v>
      </c>
      <c r="C104" s="20">
        <v>3</v>
      </c>
      <c r="D104" s="25"/>
      <c r="E104" s="227">
        <v>378000</v>
      </c>
      <c r="F104" s="12"/>
    </row>
    <row r="105" spans="1:6" ht="20.100000000000001" customHeight="1">
      <c r="A105" s="3"/>
      <c r="B105" s="21"/>
      <c r="C105" s="20"/>
      <c r="D105" s="25"/>
      <c r="E105" s="228"/>
      <c r="F105" s="12"/>
    </row>
    <row r="106" spans="1:6" ht="20.100000000000001" customHeight="1">
      <c r="A106" s="3"/>
      <c r="B106" s="19" t="s">
        <v>479</v>
      </c>
      <c r="C106" s="3"/>
      <c r="D106" s="3"/>
      <c r="E106" s="229"/>
      <c r="F106" s="12"/>
    </row>
    <row r="107" spans="1:6" ht="20.100000000000001" customHeight="1">
      <c r="A107" s="3">
        <v>1</v>
      </c>
      <c r="B107" s="10" t="s">
        <v>480</v>
      </c>
      <c r="C107" s="11" t="s">
        <v>481</v>
      </c>
      <c r="D107" s="14" t="s">
        <v>405</v>
      </c>
      <c r="E107" s="224">
        <v>270000</v>
      </c>
      <c r="F107" s="12"/>
    </row>
    <row r="108" spans="1:6" ht="20.100000000000001" customHeight="1">
      <c r="A108" s="3">
        <v>2</v>
      </c>
      <c r="B108" s="10" t="s">
        <v>482</v>
      </c>
      <c r="C108" s="3" t="s">
        <v>483</v>
      </c>
      <c r="D108" s="15" t="s">
        <v>416</v>
      </c>
      <c r="E108" s="224">
        <v>180000</v>
      </c>
      <c r="F108" s="12"/>
    </row>
    <row r="109" spans="1:6" ht="20.100000000000001" customHeight="1">
      <c r="A109" s="3">
        <v>3</v>
      </c>
      <c r="B109" s="10" t="s">
        <v>484</v>
      </c>
      <c r="C109" s="3" t="s">
        <v>485</v>
      </c>
      <c r="D109" s="9" t="s">
        <v>372</v>
      </c>
      <c r="E109" s="224">
        <v>90000</v>
      </c>
      <c r="F109" s="12"/>
    </row>
    <row r="110" spans="1:6" ht="20.100000000000001" customHeight="1">
      <c r="A110" s="3">
        <v>4</v>
      </c>
      <c r="B110" s="10" t="s">
        <v>486</v>
      </c>
      <c r="C110" s="3" t="s">
        <v>485</v>
      </c>
      <c r="D110" s="9" t="s">
        <v>372</v>
      </c>
      <c r="E110" s="224">
        <v>90000</v>
      </c>
      <c r="F110" s="12"/>
    </row>
    <row r="111" spans="1:6" ht="20.100000000000001" customHeight="1">
      <c r="A111" s="3">
        <v>5</v>
      </c>
      <c r="B111" s="10" t="s">
        <v>487</v>
      </c>
      <c r="C111" s="3" t="s">
        <v>488</v>
      </c>
      <c r="D111" s="14" t="s">
        <v>491</v>
      </c>
      <c r="E111" s="224">
        <v>54000</v>
      </c>
      <c r="F111" s="12"/>
    </row>
    <row r="112" spans="1:6" ht="20.100000000000001" customHeight="1">
      <c r="A112" s="3">
        <v>6</v>
      </c>
      <c r="B112" s="17" t="s">
        <v>490</v>
      </c>
      <c r="C112" s="3" t="s">
        <v>488</v>
      </c>
      <c r="D112" s="9" t="s">
        <v>1048</v>
      </c>
      <c r="E112" s="224">
        <v>54000</v>
      </c>
      <c r="F112" s="12"/>
    </row>
    <row r="113" spans="1:6" ht="20.100000000000001" customHeight="1">
      <c r="A113" s="3">
        <v>7</v>
      </c>
      <c r="B113" s="17" t="s">
        <v>492</v>
      </c>
      <c r="C113" s="3" t="s">
        <v>488</v>
      </c>
      <c r="D113" s="14" t="s">
        <v>402</v>
      </c>
      <c r="E113" s="224">
        <v>54000</v>
      </c>
      <c r="F113" s="12"/>
    </row>
    <row r="114" spans="1:6" ht="20.100000000000001" customHeight="1">
      <c r="A114" s="3"/>
      <c r="B114" s="19" t="s">
        <v>42</v>
      </c>
      <c r="C114" s="20">
        <v>7</v>
      </c>
      <c r="D114" s="3"/>
      <c r="E114" s="230">
        <v>792000</v>
      </c>
      <c r="F114" s="12"/>
    </row>
    <row r="115" spans="1:6" ht="20.100000000000001" customHeight="1">
      <c r="A115" s="3"/>
      <c r="B115" s="19"/>
      <c r="C115" s="20"/>
      <c r="D115" s="3"/>
      <c r="E115" s="230"/>
      <c r="F115" s="12"/>
    </row>
    <row r="116" spans="1:6" ht="43.5" customHeight="1">
      <c r="A116" s="9"/>
      <c r="B116" s="19" t="s">
        <v>1224</v>
      </c>
      <c r="C116" s="20"/>
      <c r="D116" s="20"/>
      <c r="E116" s="230"/>
      <c r="F116" s="12"/>
    </row>
    <row r="117" spans="1:6" ht="27" customHeight="1">
      <c r="A117" s="9">
        <v>1</v>
      </c>
      <c r="B117" s="10" t="s">
        <v>1133</v>
      </c>
      <c r="C117" s="16" t="s">
        <v>34</v>
      </c>
      <c r="D117" s="14" t="s">
        <v>380</v>
      </c>
      <c r="E117" s="224">
        <v>54000</v>
      </c>
      <c r="F117" s="12"/>
    </row>
    <row r="118" spans="1:6" ht="27" customHeight="1">
      <c r="A118" s="9">
        <v>2</v>
      </c>
      <c r="B118" s="10" t="s">
        <v>494</v>
      </c>
      <c r="C118" s="3" t="s">
        <v>495</v>
      </c>
      <c r="D118" s="14" t="s">
        <v>440</v>
      </c>
      <c r="E118" s="224">
        <v>54000</v>
      </c>
      <c r="F118" s="12"/>
    </row>
    <row r="119" spans="1:6" ht="27" customHeight="1">
      <c r="A119" s="3"/>
      <c r="B119" s="19" t="s">
        <v>42</v>
      </c>
      <c r="C119" s="20">
        <v>2</v>
      </c>
      <c r="D119" s="25"/>
      <c r="E119" s="230">
        <v>108000</v>
      </c>
      <c r="F119" s="12"/>
    </row>
    <row r="120" spans="1:6" ht="20.100000000000001" customHeight="1">
      <c r="A120" s="3"/>
      <c r="B120" s="21"/>
      <c r="C120" s="9"/>
      <c r="D120" s="3"/>
      <c r="E120" s="231"/>
      <c r="F120" s="12"/>
    </row>
    <row r="121" spans="1:6" ht="20.100000000000001" customHeight="1">
      <c r="A121" s="3"/>
      <c r="B121" s="19" t="s">
        <v>97</v>
      </c>
      <c r="C121" s="20"/>
      <c r="D121" s="20"/>
      <c r="E121" s="224"/>
      <c r="F121" s="12"/>
    </row>
    <row r="122" spans="1:6" ht="20.100000000000001" customHeight="1">
      <c r="A122" s="3">
        <v>1</v>
      </c>
      <c r="B122" s="10" t="s">
        <v>499</v>
      </c>
      <c r="C122" s="11" t="s">
        <v>500</v>
      </c>
      <c r="D122" s="14" t="s">
        <v>405</v>
      </c>
      <c r="E122" s="224">
        <v>270000</v>
      </c>
      <c r="F122" s="12"/>
    </row>
    <row r="123" spans="1:6" ht="20.100000000000001" customHeight="1">
      <c r="A123" s="3">
        <v>2</v>
      </c>
      <c r="B123" s="10" t="s">
        <v>178</v>
      </c>
      <c r="C123" s="11" t="s">
        <v>337</v>
      </c>
      <c r="D123" s="14" t="s">
        <v>358</v>
      </c>
      <c r="E123" s="224">
        <v>126000</v>
      </c>
      <c r="F123" s="12"/>
    </row>
    <row r="124" spans="1:6" ht="20.100000000000001" customHeight="1">
      <c r="A124" s="3">
        <v>3</v>
      </c>
      <c r="B124" s="13" t="s">
        <v>502</v>
      </c>
      <c r="C124" s="11" t="s">
        <v>337</v>
      </c>
      <c r="D124" s="14" t="s">
        <v>358</v>
      </c>
      <c r="E124" s="224">
        <v>126000</v>
      </c>
      <c r="F124" s="12"/>
    </row>
    <row r="125" spans="1:6" ht="20.100000000000001" customHeight="1">
      <c r="A125" s="3">
        <v>4</v>
      </c>
      <c r="B125" s="13" t="s">
        <v>336</v>
      </c>
      <c r="C125" s="11" t="s">
        <v>337</v>
      </c>
      <c r="D125" s="14" t="s">
        <v>99</v>
      </c>
      <c r="E125" s="224">
        <v>126000</v>
      </c>
      <c r="F125" s="12"/>
    </row>
    <row r="126" spans="1:6" ht="20.100000000000001" customHeight="1">
      <c r="A126" s="3">
        <v>5</v>
      </c>
      <c r="B126" s="10" t="s">
        <v>503</v>
      </c>
      <c r="C126" s="11" t="s">
        <v>504</v>
      </c>
      <c r="D126" s="14" t="s">
        <v>450</v>
      </c>
      <c r="E126" s="224">
        <v>90000</v>
      </c>
      <c r="F126" s="12"/>
    </row>
    <row r="127" spans="1:6" ht="20.100000000000001" customHeight="1">
      <c r="A127" s="3">
        <v>6</v>
      </c>
      <c r="B127" s="10" t="s">
        <v>505</v>
      </c>
      <c r="C127" s="11" t="s">
        <v>506</v>
      </c>
      <c r="D127" s="14" t="s">
        <v>375</v>
      </c>
      <c r="E127" s="224">
        <v>90000</v>
      </c>
      <c r="F127" s="12"/>
    </row>
    <row r="128" spans="1:6" ht="20.100000000000001" customHeight="1">
      <c r="A128" s="3">
        <v>7</v>
      </c>
      <c r="B128" s="10" t="s">
        <v>507</v>
      </c>
      <c r="C128" s="11" t="s">
        <v>1071</v>
      </c>
      <c r="D128" s="14" t="s">
        <v>375</v>
      </c>
      <c r="E128" s="224">
        <v>90000</v>
      </c>
      <c r="F128" s="12"/>
    </row>
    <row r="129" spans="1:6" ht="20.100000000000001" customHeight="1">
      <c r="A129" s="3">
        <v>8</v>
      </c>
      <c r="B129" s="10" t="s">
        <v>508</v>
      </c>
      <c r="C129" s="11" t="s">
        <v>509</v>
      </c>
      <c r="D129" s="9" t="s">
        <v>391</v>
      </c>
      <c r="E129" s="224">
        <v>54000</v>
      </c>
      <c r="F129" s="12"/>
    </row>
    <row r="130" spans="1:6" ht="20.100000000000001" customHeight="1">
      <c r="A130" s="3">
        <v>9</v>
      </c>
      <c r="B130" s="17" t="s">
        <v>510</v>
      </c>
      <c r="C130" s="11" t="s">
        <v>511</v>
      </c>
      <c r="D130" s="14" t="s">
        <v>402</v>
      </c>
      <c r="E130" s="224">
        <v>54000</v>
      </c>
      <c r="F130" s="12"/>
    </row>
    <row r="131" spans="1:6" ht="20.100000000000001" customHeight="1">
      <c r="A131" s="3"/>
      <c r="B131" s="19" t="s">
        <v>42</v>
      </c>
      <c r="C131" s="25" t="s">
        <v>124</v>
      </c>
      <c r="D131" s="14"/>
      <c r="E131" s="232">
        <v>1026000</v>
      </c>
      <c r="F131" s="12"/>
    </row>
    <row r="132" spans="1:6" ht="20.100000000000001" customHeight="1">
      <c r="A132" s="3"/>
      <c r="B132" s="21"/>
      <c r="C132" s="25"/>
      <c r="D132" s="14"/>
      <c r="E132" s="228"/>
      <c r="F132" s="12"/>
    </row>
    <row r="133" spans="1:6" ht="20.100000000000001" customHeight="1">
      <c r="A133" s="3"/>
      <c r="B133" s="19" t="s">
        <v>103</v>
      </c>
      <c r="C133" s="11"/>
      <c r="D133" s="14"/>
      <c r="E133" s="224"/>
      <c r="F133" s="12"/>
    </row>
    <row r="134" spans="1:6" ht="20.100000000000001" customHeight="1">
      <c r="A134" s="26">
        <v>1</v>
      </c>
      <c r="B134" s="10" t="s">
        <v>514</v>
      </c>
      <c r="C134" s="11" t="s">
        <v>515</v>
      </c>
      <c r="D134" s="14" t="s">
        <v>405</v>
      </c>
      <c r="E134" s="224">
        <v>270000</v>
      </c>
      <c r="F134" s="12"/>
    </row>
    <row r="135" spans="1:6" ht="20.100000000000001" customHeight="1">
      <c r="A135" s="26">
        <v>2</v>
      </c>
      <c r="B135" s="10" t="s">
        <v>338</v>
      </c>
      <c r="C135" s="11" t="s">
        <v>339</v>
      </c>
      <c r="D135" s="14" t="s">
        <v>340</v>
      </c>
      <c r="E135" s="224">
        <v>180000</v>
      </c>
      <c r="F135" s="12"/>
    </row>
    <row r="136" spans="1:6" ht="20.100000000000001" customHeight="1">
      <c r="A136" s="26">
        <v>3</v>
      </c>
      <c r="B136" s="13" t="s">
        <v>516</v>
      </c>
      <c r="C136" s="3" t="s">
        <v>517</v>
      </c>
      <c r="D136" s="15" t="s">
        <v>416</v>
      </c>
      <c r="E136" s="224">
        <v>180000</v>
      </c>
      <c r="F136" s="12"/>
    </row>
    <row r="137" spans="1:6" ht="20.100000000000001" customHeight="1">
      <c r="A137" s="26">
        <v>4</v>
      </c>
      <c r="B137" s="10" t="s">
        <v>518</v>
      </c>
      <c r="C137" s="11" t="s">
        <v>519</v>
      </c>
      <c r="D137" s="14" t="s">
        <v>366</v>
      </c>
      <c r="E137" s="224">
        <v>90000</v>
      </c>
      <c r="F137" s="12"/>
    </row>
    <row r="138" spans="1:6" ht="20.100000000000001" customHeight="1">
      <c r="A138" s="26">
        <v>5</v>
      </c>
      <c r="B138" s="10" t="s">
        <v>520</v>
      </c>
      <c r="C138" s="3" t="s">
        <v>521</v>
      </c>
      <c r="D138" s="14" t="s">
        <v>366</v>
      </c>
      <c r="E138" s="224">
        <v>90000</v>
      </c>
      <c r="F138" s="12"/>
    </row>
    <row r="139" spans="1:6" ht="20.100000000000001" customHeight="1">
      <c r="A139" s="26">
        <v>6</v>
      </c>
      <c r="B139" s="10" t="s">
        <v>473</v>
      </c>
      <c r="C139" s="3" t="s">
        <v>527</v>
      </c>
      <c r="D139" s="14" t="s">
        <v>375</v>
      </c>
      <c r="E139" s="224">
        <v>90000</v>
      </c>
      <c r="F139" s="12"/>
    </row>
    <row r="140" spans="1:6" ht="20.100000000000001" customHeight="1">
      <c r="A140" s="26">
        <v>7</v>
      </c>
      <c r="B140" s="10" t="s">
        <v>523</v>
      </c>
      <c r="C140" s="11" t="s">
        <v>524</v>
      </c>
      <c r="D140" s="14" t="s">
        <v>380</v>
      </c>
      <c r="E140" s="224">
        <v>54000</v>
      </c>
      <c r="F140" s="12"/>
    </row>
    <row r="141" spans="1:6" ht="20.100000000000001" customHeight="1">
      <c r="A141" s="26">
        <v>8</v>
      </c>
      <c r="B141" s="10" t="s">
        <v>525</v>
      </c>
      <c r="C141" s="11" t="s">
        <v>524</v>
      </c>
      <c r="D141" s="14" t="s">
        <v>380</v>
      </c>
      <c r="E141" s="224">
        <v>54000</v>
      </c>
      <c r="F141" s="12"/>
    </row>
    <row r="142" spans="1:6" ht="20.100000000000001" customHeight="1">
      <c r="A142" s="26">
        <v>9</v>
      </c>
      <c r="B142" s="10" t="s">
        <v>526</v>
      </c>
      <c r="C142" s="3" t="s">
        <v>527</v>
      </c>
      <c r="D142" s="14" t="s">
        <v>380</v>
      </c>
      <c r="E142" s="224">
        <v>54000</v>
      </c>
      <c r="F142" s="12"/>
    </row>
    <row r="143" spans="1:6" ht="20.100000000000001" customHeight="1">
      <c r="A143" s="26">
        <v>10</v>
      </c>
      <c r="B143" s="10" t="s">
        <v>528</v>
      </c>
      <c r="C143" s="11" t="s">
        <v>533</v>
      </c>
      <c r="D143" s="14" t="s">
        <v>440</v>
      </c>
      <c r="E143" s="224">
        <v>54000</v>
      </c>
      <c r="F143" s="12"/>
    </row>
    <row r="144" spans="1:6" ht="20.100000000000001" customHeight="1">
      <c r="A144" s="26">
        <v>11</v>
      </c>
      <c r="B144" s="10" t="s">
        <v>530</v>
      </c>
      <c r="C144" s="11" t="s">
        <v>1072</v>
      </c>
      <c r="D144" s="14" t="s">
        <v>539</v>
      </c>
      <c r="E144" s="224">
        <v>54000</v>
      </c>
      <c r="F144" s="12"/>
    </row>
    <row r="145" spans="1:6" ht="20.100000000000001" customHeight="1">
      <c r="A145" s="26">
        <v>12</v>
      </c>
      <c r="B145" s="10" t="s">
        <v>532</v>
      </c>
      <c r="C145" s="11" t="s">
        <v>533</v>
      </c>
      <c r="D145" s="14" t="s">
        <v>380</v>
      </c>
      <c r="E145" s="224">
        <v>54000</v>
      </c>
      <c r="F145" s="12"/>
    </row>
    <row r="146" spans="1:6" ht="20.100000000000001" customHeight="1">
      <c r="A146" s="26">
        <v>13</v>
      </c>
      <c r="B146" s="17" t="s">
        <v>534</v>
      </c>
      <c r="C146" s="3" t="s">
        <v>544</v>
      </c>
      <c r="D146" s="14" t="s">
        <v>539</v>
      </c>
      <c r="E146" s="224">
        <v>54000</v>
      </c>
      <c r="F146" s="12"/>
    </row>
    <row r="147" spans="1:6" ht="20.100000000000001" customHeight="1">
      <c r="A147" s="26">
        <v>14</v>
      </c>
      <c r="B147" s="10" t="s">
        <v>536</v>
      </c>
      <c r="C147" s="3" t="s">
        <v>537</v>
      </c>
      <c r="D147" s="14" t="s">
        <v>409</v>
      </c>
      <c r="E147" s="224">
        <v>54000</v>
      </c>
      <c r="F147" s="12"/>
    </row>
    <row r="148" spans="1:6" ht="20.100000000000001" customHeight="1">
      <c r="A148" s="26">
        <v>15</v>
      </c>
      <c r="B148" s="10" t="s">
        <v>538</v>
      </c>
      <c r="C148" s="3" t="s">
        <v>537</v>
      </c>
      <c r="D148" s="14" t="s">
        <v>453</v>
      </c>
      <c r="E148" s="224">
        <v>54000</v>
      </c>
      <c r="F148" s="12"/>
    </row>
    <row r="149" spans="1:6" ht="20.100000000000001" customHeight="1">
      <c r="A149" s="26">
        <v>16</v>
      </c>
      <c r="B149" s="10" t="s">
        <v>540</v>
      </c>
      <c r="C149" s="3" t="s">
        <v>537</v>
      </c>
      <c r="D149" s="14" t="s">
        <v>453</v>
      </c>
      <c r="E149" s="224">
        <v>54000</v>
      </c>
      <c r="F149" s="12"/>
    </row>
    <row r="150" spans="1:6" ht="20.100000000000001" customHeight="1">
      <c r="A150" s="26">
        <v>17</v>
      </c>
      <c r="B150" s="10" t="s">
        <v>541</v>
      </c>
      <c r="C150" s="11" t="s">
        <v>542</v>
      </c>
      <c r="D150" s="14" t="s">
        <v>37</v>
      </c>
      <c r="E150" s="224">
        <v>54000</v>
      </c>
      <c r="F150" s="12"/>
    </row>
    <row r="151" spans="1:6" ht="20.100000000000001" customHeight="1">
      <c r="A151" s="26">
        <v>18</v>
      </c>
      <c r="B151" s="10" t="s">
        <v>1055</v>
      </c>
      <c r="C151" s="11" t="s">
        <v>544</v>
      </c>
      <c r="D151" s="9" t="s">
        <v>55</v>
      </c>
      <c r="E151" s="224">
        <v>54000</v>
      </c>
      <c r="F151" s="12"/>
    </row>
    <row r="152" spans="1:6" ht="20.100000000000001" customHeight="1">
      <c r="A152" s="26">
        <v>19</v>
      </c>
      <c r="B152" s="10" t="s">
        <v>545</v>
      </c>
      <c r="C152" s="11" t="s">
        <v>546</v>
      </c>
      <c r="D152" s="14" t="s">
        <v>409</v>
      </c>
      <c r="E152" s="224">
        <v>54000</v>
      </c>
      <c r="F152" s="12"/>
    </row>
    <row r="153" spans="1:6" ht="20.100000000000001" customHeight="1">
      <c r="A153" s="26">
        <v>20</v>
      </c>
      <c r="B153" s="10" t="s">
        <v>547</v>
      </c>
      <c r="C153" s="11" t="s">
        <v>548</v>
      </c>
      <c r="D153" s="14" t="s">
        <v>391</v>
      </c>
      <c r="E153" s="224">
        <v>54000</v>
      </c>
      <c r="F153" s="12"/>
    </row>
    <row r="154" spans="1:6" ht="20.100000000000001" customHeight="1">
      <c r="A154" s="26">
        <v>21</v>
      </c>
      <c r="B154" s="10" t="s">
        <v>549</v>
      </c>
      <c r="C154" s="11" t="s">
        <v>550</v>
      </c>
      <c r="D154" s="14" t="s">
        <v>409</v>
      </c>
      <c r="E154" s="224">
        <v>54000</v>
      </c>
      <c r="F154" s="12"/>
    </row>
    <row r="155" spans="1:6" ht="20.100000000000001" customHeight="1">
      <c r="A155" s="26">
        <v>22</v>
      </c>
      <c r="B155" s="10" t="s">
        <v>551</v>
      </c>
      <c r="C155" s="11" t="s">
        <v>552</v>
      </c>
      <c r="D155" s="14" t="s">
        <v>391</v>
      </c>
      <c r="E155" s="224">
        <v>54000</v>
      </c>
      <c r="F155" s="12"/>
    </row>
    <row r="156" spans="1:6" ht="20.100000000000001" customHeight="1">
      <c r="A156" s="26">
        <v>23</v>
      </c>
      <c r="B156" s="17" t="s">
        <v>553</v>
      </c>
      <c r="C156" s="11" t="s">
        <v>558</v>
      </c>
      <c r="D156" s="14" t="s">
        <v>1048</v>
      </c>
      <c r="E156" s="224">
        <v>54000</v>
      </c>
      <c r="F156" s="12"/>
    </row>
    <row r="157" spans="1:6" ht="20.100000000000001" customHeight="1">
      <c r="A157" s="26">
        <v>24</v>
      </c>
      <c r="B157" s="17" t="s">
        <v>555</v>
      </c>
      <c r="C157" s="11" t="s">
        <v>556</v>
      </c>
      <c r="D157" s="14" t="s">
        <v>72</v>
      </c>
      <c r="E157" s="224">
        <v>54000</v>
      </c>
      <c r="F157" s="12"/>
    </row>
    <row r="158" spans="1:6" ht="20.100000000000001" customHeight="1">
      <c r="A158" s="26">
        <v>25</v>
      </c>
      <c r="B158" s="17" t="s">
        <v>557</v>
      </c>
      <c r="C158" s="11" t="s">
        <v>558</v>
      </c>
      <c r="D158" s="14" t="s">
        <v>72</v>
      </c>
      <c r="E158" s="224">
        <v>54000</v>
      </c>
      <c r="F158" s="12"/>
    </row>
    <row r="159" spans="1:6" ht="20.100000000000001" customHeight="1">
      <c r="A159" s="26">
        <v>26</v>
      </c>
      <c r="B159" s="17" t="s">
        <v>559</v>
      </c>
      <c r="C159" s="11" t="s">
        <v>560</v>
      </c>
      <c r="D159" s="14" t="s">
        <v>402</v>
      </c>
      <c r="E159" s="224">
        <v>54000</v>
      </c>
      <c r="F159" s="12"/>
    </row>
    <row r="160" spans="1:6" ht="20.100000000000001" customHeight="1">
      <c r="A160" s="26">
        <v>27</v>
      </c>
      <c r="B160" s="17" t="s">
        <v>561</v>
      </c>
      <c r="C160" s="11" t="s">
        <v>562</v>
      </c>
      <c r="D160" s="14" t="s">
        <v>402</v>
      </c>
      <c r="E160" s="224">
        <v>54000</v>
      </c>
      <c r="F160" s="12"/>
    </row>
    <row r="161" spans="1:6" ht="20.100000000000001" customHeight="1">
      <c r="A161" s="26">
        <v>28</v>
      </c>
      <c r="B161" s="10" t="s">
        <v>564</v>
      </c>
      <c r="C161" s="11" t="s">
        <v>565</v>
      </c>
      <c r="D161" s="14" t="s">
        <v>572</v>
      </c>
      <c r="E161" s="224">
        <v>36000</v>
      </c>
      <c r="F161" s="12"/>
    </row>
    <row r="162" spans="1:6" ht="20.100000000000001" customHeight="1">
      <c r="A162" s="26">
        <v>29</v>
      </c>
      <c r="B162" s="10" t="s">
        <v>567</v>
      </c>
      <c r="C162" s="11" t="s">
        <v>565</v>
      </c>
      <c r="D162" s="14" t="s">
        <v>572</v>
      </c>
      <c r="E162" s="224">
        <v>36000</v>
      </c>
      <c r="F162" s="12"/>
    </row>
    <row r="163" spans="1:6" ht="20.100000000000001" customHeight="1">
      <c r="A163" s="26">
        <v>30</v>
      </c>
      <c r="B163" s="10" t="s">
        <v>568</v>
      </c>
      <c r="C163" s="11" t="s">
        <v>565</v>
      </c>
      <c r="D163" s="14" t="s">
        <v>572</v>
      </c>
      <c r="E163" s="224">
        <v>36000</v>
      </c>
      <c r="F163" s="12"/>
    </row>
    <row r="164" spans="1:6" ht="20.100000000000001" customHeight="1">
      <c r="A164" s="26">
        <v>32</v>
      </c>
      <c r="B164" s="10" t="s">
        <v>569</v>
      </c>
      <c r="C164" s="11" t="s">
        <v>565</v>
      </c>
      <c r="D164" s="14" t="s">
        <v>572</v>
      </c>
      <c r="E164" s="224">
        <v>36000</v>
      </c>
      <c r="F164" s="12"/>
    </row>
    <row r="165" spans="1:6" ht="20.100000000000001" customHeight="1">
      <c r="A165" s="26">
        <v>33</v>
      </c>
      <c r="B165" s="10" t="s">
        <v>570</v>
      </c>
      <c r="C165" s="11" t="s">
        <v>565</v>
      </c>
      <c r="D165" s="14" t="s">
        <v>572</v>
      </c>
      <c r="E165" s="224">
        <v>36000</v>
      </c>
      <c r="F165" s="12"/>
    </row>
    <row r="166" spans="1:6" ht="20.100000000000001" customHeight="1">
      <c r="A166" s="26">
        <v>34</v>
      </c>
      <c r="B166" s="10" t="s">
        <v>571</v>
      </c>
      <c r="C166" s="11" t="s">
        <v>565</v>
      </c>
      <c r="D166" s="14" t="s">
        <v>583</v>
      </c>
      <c r="E166" s="224">
        <v>36000</v>
      </c>
      <c r="F166" s="12"/>
    </row>
    <row r="167" spans="1:6" ht="20.100000000000001" customHeight="1">
      <c r="A167" s="26">
        <v>35</v>
      </c>
      <c r="B167" s="10" t="s">
        <v>573</v>
      </c>
      <c r="C167" s="11" t="s">
        <v>565</v>
      </c>
      <c r="D167" s="14" t="s">
        <v>583</v>
      </c>
      <c r="E167" s="224">
        <v>36000</v>
      </c>
      <c r="F167" s="12"/>
    </row>
    <row r="168" spans="1:6" ht="20.100000000000001" customHeight="1">
      <c r="A168" s="26">
        <v>36</v>
      </c>
      <c r="B168" s="13" t="s">
        <v>574</v>
      </c>
      <c r="C168" s="11" t="s">
        <v>565</v>
      </c>
      <c r="D168" s="14" t="s">
        <v>583</v>
      </c>
      <c r="E168" s="224">
        <v>36000</v>
      </c>
      <c r="F168" s="12"/>
    </row>
    <row r="169" spans="1:6" ht="20.100000000000001" customHeight="1">
      <c r="A169" s="26">
        <v>37</v>
      </c>
      <c r="B169" s="10" t="s">
        <v>575</v>
      </c>
      <c r="C169" s="11" t="s">
        <v>565</v>
      </c>
      <c r="D169" s="14" t="s">
        <v>583</v>
      </c>
      <c r="E169" s="224">
        <v>36000</v>
      </c>
      <c r="F169" s="12"/>
    </row>
    <row r="170" spans="1:6" ht="20.100000000000001" customHeight="1">
      <c r="A170" s="26">
        <v>38</v>
      </c>
      <c r="B170" s="17" t="s">
        <v>576</v>
      </c>
      <c r="C170" s="11" t="s">
        <v>565</v>
      </c>
      <c r="D170" s="14" t="s">
        <v>583</v>
      </c>
      <c r="E170" s="224">
        <v>36000</v>
      </c>
      <c r="F170" s="12"/>
    </row>
    <row r="171" spans="1:6" ht="20.100000000000001" customHeight="1">
      <c r="A171" s="26">
        <v>39</v>
      </c>
      <c r="B171" s="17" t="s">
        <v>577</v>
      </c>
      <c r="C171" s="11" t="s">
        <v>565</v>
      </c>
      <c r="D171" s="14" t="s">
        <v>583</v>
      </c>
      <c r="E171" s="224">
        <v>36000</v>
      </c>
      <c r="F171" s="12"/>
    </row>
    <row r="172" spans="1:6" ht="20.100000000000001" customHeight="1">
      <c r="A172" s="26">
        <v>40</v>
      </c>
      <c r="B172" s="10" t="s">
        <v>578</v>
      </c>
      <c r="C172" s="11" t="s">
        <v>585</v>
      </c>
      <c r="D172" s="14" t="s">
        <v>586</v>
      </c>
      <c r="E172" s="224">
        <v>36000</v>
      </c>
      <c r="F172" s="12"/>
    </row>
    <row r="173" spans="1:6" ht="20.100000000000001" customHeight="1">
      <c r="A173" s="26">
        <v>41</v>
      </c>
      <c r="B173" s="10" t="s">
        <v>581</v>
      </c>
      <c r="C173" s="11" t="s">
        <v>585</v>
      </c>
      <c r="D173" s="14" t="s">
        <v>586</v>
      </c>
      <c r="E173" s="224">
        <v>36000</v>
      </c>
      <c r="F173" s="12"/>
    </row>
    <row r="174" spans="1:6" ht="20.100000000000001" customHeight="1">
      <c r="A174" s="26">
        <v>42</v>
      </c>
      <c r="B174" s="17" t="s">
        <v>582</v>
      </c>
      <c r="C174" s="11" t="s">
        <v>585</v>
      </c>
      <c r="D174" s="14" t="s">
        <v>1050</v>
      </c>
      <c r="E174" s="224">
        <v>36000</v>
      </c>
      <c r="F174" s="12"/>
    </row>
    <row r="175" spans="1:6" ht="20.100000000000001" customHeight="1">
      <c r="A175" s="26">
        <v>43</v>
      </c>
      <c r="B175" s="10" t="s">
        <v>584</v>
      </c>
      <c r="C175" s="11" t="s">
        <v>585</v>
      </c>
      <c r="D175" s="14" t="s">
        <v>1056</v>
      </c>
      <c r="E175" s="224">
        <v>36000</v>
      </c>
      <c r="F175" s="12"/>
    </row>
    <row r="176" spans="1:6" ht="20.100000000000001" customHeight="1">
      <c r="A176" s="26">
        <v>44</v>
      </c>
      <c r="B176" s="10" t="s">
        <v>587</v>
      </c>
      <c r="C176" s="11" t="s">
        <v>588</v>
      </c>
      <c r="D176" s="14" t="s">
        <v>1057</v>
      </c>
      <c r="E176" s="224">
        <v>36000</v>
      </c>
      <c r="F176" s="12"/>
    </row>
    <row r="177" spans="1:6" ht="20.100000000000001" customHeight="1">
      <c r="A177" s="26">
        <v>45</v>
      </c>
      <c r="B177" s="10" t="s">
        <v>590</v>
      </c>
      <c r="C177" s="11" t="s">
        <v>588</v>
      </c>
      <c r="D177" s="14" t="s">
        <v>1057</v>
      </c>
      <c r="E177" s="224">
        <v>36000</v>
      </c>
      <c r="F177" s="12"/>
    </row>
    <row r="178" spans="1:6" ht="20.100000000000001" customHeight="1">
      <c r="A178" s="26">
        <v>46</v>
      </c>
      <c r="B178" s="10" t="s">
        <v>591</v>
      </c>
      <c r="C178" s="11" t="s">
        <v>588</v>
      </c>
      <c r="D178" s="14" t="s">
        <v>1057</v>
      </c>
      <c r="E178" s="224">
        <v>36000</v>
      </c>
      <c r="F178" s="12"/>
    </row>
    <row r="179" spans="1:6" ht="20.100000000000001" customHeight="1">
      <c r="A179" s="26">
        <v>47</v>
      </c>
      <c r="B179" s="10" t="s">
        <v>592</v>
      </c>
      <c r="C179" s="11" t="s">
        <v>588</v>
      </c>
      <c r="D179" s="14" t="s">
        <v>1057</v>
      </c>
      <c r="E179" s="224">
        <v>36000</v>
      </c>
      <c r="F179" s="12"/>
    </row>
    <row r="180" spans="1:6" ht="20.100000000000001" customHeight="1">
      <c r="A180" s="26">
        <v>48</v>
      </c>
      <c r="B180" s="10" t="s">
        <v>593</v>
      </c>
      <c r="C180" s="11" t="s">
        <v>588</v>
      </c>
      <c r="D180" s="14" t="s">
        <v>1057</v>
      </c>
      <c r="E180" s="224">
        <v>36000</v>
      </c>
      <c r="F180" s="12"/>
    </row>
    <row r="181" spans="1:6" ht="20.100000000000001" customHeight="1">
      <c r="A181" s="26">
        <v>49</v>
      </c>
      <c r="B181" s="17" t="s">
        <v>594</v>
      </c>
      <c r="C181" s="11" t="s">
        <v>588</v>
      </c>
      <c r="D181" s="14" t="s">
        <v>1057</v>
      </c>
      <c r="E181" s="224">
        <v>36000</v>
      </c>
      <c r="F181" s="12"/>
    </row>
    <row r="182" spans="1:6" ht="20.100000000000001" customHeight="1">
      <c r="A182" s="26">
        <v>50</v>
      </c>
      <c r="B182" s="17" t="s">
        <v>595</v>
      </c>
      <c r="C182" s="11" t="s">
        <v>588</v>
      </c>
      <c r="D182" s="14" t="s">
        <v>1057</v>
      </c>
      <c r="E182" s="224">
        <v>36000</v>
      </c>
      <c r="F182" s="12"/>
    </row>
    <row r="183" spans="1:6" ht="20.100000000000001" customHeight="1">
      <c r="A183" s="26">
        <v>51</v>
      </c>
      <c r="B183" s="10" t="s">
        <v>596</v>
      </c>
      <c r="C183" s="11" t="s">
        <v>585</v>
      </c>
      <c r="D183" s="14" t="s">
        <v>1057</v>
      </c>
      <c r="E183" s="224">
        <v>36000</v>
      </c>
      <c r="F183" s="12"/>
    </row>
    <row r="184" spans="1:6" ht="20.100000000000001" customHeight="1">
      <c r="A184" s="26">
        <v>52</v>
      </c>
      <c r="B184" s="10" t="s">
        <v>597</v>
      </c>
      <c r="C184" s="11" t="s">
        <v>585</v>
      </c>
      <c r="D184" s="14" t="s">
        <v>1057</v>
      </c>
      <c r="E184" s="224">
        <v>36000</v>
      </c>
      <c r="F184" s="12"/>
    </row>
    <row r="185" spans="1:6" ht="20.100000000000001" customHeight="1">
      <c r="A185" s="26">
        <v>53</v>
      </c>
      <c r="B185" s="17" t="s">
        <v>598</v>
      </c>
      <c r="C185" s="11" t="s">
        <v>588</v>
      </c>
      <c r="D185" s="14" t="s">
        <v>1073</v>
      </c>
      <c r="E185" s="224">
        <v>36000</v>
      </c>
      <c r="F185" s="12"/>
    </row>
    <row r="186" spans="1:6" ht="20.100000000000001" customHeight="1">
      <c r="A186" s="26">
        <v>54</v>
      </c>
      <c r="B186" s="17" t="s">
        <v>600</v>
      </c>
      <c r="C186" s="11" t="s">
        <v>588</v>
      </c>
      <c r="D186" s="14" t="s">
        <v>1058</v>
      </c>
      <c r="E186" s="224">
        <v>36000</v>
      </c>
      <c r="F186" s="12"/>
    </row>
    <row r="187" spans="1:6" ht="20.100000000000001" customHeight="1">
      <c r="A187" s="26"/>
      <c r="B187" s="7" t="s">
        <v>42</v>
      </c>
      <c r="C187" s="27" t="s">
        <v>1223</v>
      </c>
      <c r="D187" s="28"/>
      <c r="E187" s="233">
        <v>2970000</v>
      </c>
      <c r="F187" s="12"/>
    </row>
    <row r="188" spans="1:6" ht="9" customHeight="1">
      <c r="A188" s="26"/>
      <c r="B188" s="7"/>
      <c r="C188" s="27"/>
      <c r="D188" s="28"/>
      <c r="E188" s="233"/>
      <c r="F188" s="12"/>
    </row>
    <row r="189" spans="1:6" ht="40.5" customHeight="1">
      <c r="A189" s="3"/>
      <c r="B189" s="234" t="s">
        <v>125</v>
      </c>
      <c r="C189" s="235">
        <f>C35+C40+C55+C60+C76+C84+C97+C104+C114+C131+C187</f>
        <v>145</v>
      </c>
      <c r="D189" s="236"/>
      <c r="E189" s="237">
        <f>E187+E131+E119+E114+E104+E97+E84+E76+E60+E55+E40+E35</f>
        <v>13068000</v>
      </c>
      <c r="F189" s="12"/>
    </row>
    <row r="190" spans="1:6" ht="20.100000000000001" customHeight="1">
      <c r="A190" s="2"/>
      <c r="B190" s="32"/>
      <c r="C190" s="2"/>
      <c r="D190" s="33"/>
      <c r="E190" s="33"/>
      <c r="F190" s="34"/>
    </row>
    <row r="191" spans="1:6" ht="65.25" customHeight="1">
      <c r="A191" s="2"/>
      <c r="B191" s="32"/>
      <c r="C191" s="33"/>
      <c r="D191" s="33"/>
      <c r="E191" s="33"/>
      <c r="F191" s="238"/>
    </row>
    <row r="192" spans="1:6" ht="20.100000000000001" customHeight="1">
      <c r="F192" s="238"/>
    </row>
    <row r="193" spans="6:6" ht="20.100000000000001" customHeight="1">
      <c r="F193" s="238"/>
    </row>
    <row r="194" spans="6:6" ht="20.100000000000001" customHeight="1">
      <c r="F194" s="238">
        <f>SUM(F191:F193)</f>
        <v>0</v>
      </c>
    </row>
  </sheetData>
  <pageMargins left="0.23622047244094499" right="0.23622047244094499" top="0.98425196850393704" bottom="0.98425196850393704" header="0.511811023622047" footer="0.511811023622047"/>
  <pageSetup paperSize="9" scale="76" orientation="portrait" horizontalDpi="1200" verticalDpi="1200" r:id="rId1"/>
  <headerFooter alignWithMargins="0"/>
  <rowBreaks count="4" manualBreakCount="4">
    <brk id="41" max="5" man="1"/>
    <brk id="84" max="5" man="1"/>
    <brk id="119" max="5" man="1"/>
    <brk id="158" max="5" man="1"/>
  </row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2.7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1"/>
  <sheetViews>
    <sheetView view="pageBreakPreview" zoomScaleNormal="100" workbookViewId="0">
      <pane xSplit="3" ySplit="6" topLeftCell="D28" activePane="bottomRight" state="frozen"/>
      <selection pane="topRight"/>
      <selection pane="bottomLeft"/>
      <selection pane="bottomRight" activeCell="E49" sqref="E49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1.5703125" style="1" customWidth="1"/>
    <col min="5" max="5" width="17.7109375" style="1" customWidth="1"/>
    <col min="6" max="6" width="20.42578125" style="1" customWidth="1"/>
    <col min="7" max="7" width="19.5703125" style="1" customWidth="1"/>
    <col min="8" max="8" width="20.140625" style="1" customWidth="1"/>
    <col min="9" max="9" width="21.7109375" style="1" customWidth="1"/>
    <col min="10" max="16384" width="9.140625" style="1"/>
  </cols>
  <sheetData>
    <row r="1" spans="1:9" ht="27" customHeight="1">
      <c r="A1" s="838" t="s">
        <v>0</v>
      </c>
      <c r="B1" s="838"/>
      <c r="C1" s="838"/>
      <c r="D1" s="838"/>
    </row>
    <row r="2" spans="1:9" ht="33.75" customHeight="1">
      <c r="A2" s="63" t="s">
        <v>1225</v>
      </c>
      <c r="B2" s="64"/>
      <c r="C2" s="63"/>
      <c r="D2" s="63"/>
      <c r="E2" s="65"/>
      <c r="F2" s="65"/>
      <c r="G2" s="65"/>
    </row>
    <row r="3" spans="1:9" ht="9.75" customHeight="1">
      <c r="A3" s="2"/>
      <c r="B3" s="2"/>
      <c r="C3" s="2"/>
      <c r="D3" s="2"/>
    </row>
    <row r="4" spans="1:9" ht="45" customHeight="1">
      <c r="A4" s="3"/>
      <c r="B4" s="4" t="s">
        <v>2</v>
      </c>
      <c r="C4" s="5" t="s">
        <v>3</v>
      </c>
      <c r="D4" s="6" t="s">
        <v>4</v>
      </c>
      <c r="E4" s="23" t="s">
        <v>614</v>
      </c>
      <c r="F4" s="23" t="s">
        <v>621</v>
      </c>
      <c r="G4" s="67" t="s">
        <v>1226</v>
      </c>
    </row>
    <row r="5" spans="1:9" ht="20.100000000000001" customHeight="1">
      <c r="A5" s="8" t="s">
        <v>21</v>
      </c>
      <c r="B5" s="7" t="s">
        <v>22</v>
      </c>
      <c r="C5" s="7"/>
      <c r="D5" s="7"/>
      <c r="E5" s="69" t="s">
        <v>20</v>
      </c>
      <c r="F5" s="212" t="s">
        <v>20</v>
      </c>
      <c r="G5" s="69" t="s">
        <v>20</v>
      </c>
    </row>
    <row r="6" spans="1:9" ht="20.100000000000001" customHeight="1">
      <c r="A6" s="9">
        <v>1</v>
      </c>
      <c r="B6" s="10" t="s">
        <v>345</v>
      </c>
      <c r="C6" s="11" t="s">
        <v>346</v>
      </c>
      <c r="D6" s="11" t="s">
        <v>347</v>
      </c>
      <c r="E6" s="72">
        <f>201165.84</f>
        <v>201165.84</v>
      </c>
      <c r="F6" s="213">
        <v>201165.83594666701</v>
      </c>
      <c r="G6" s="72">
        <v>0</v>
      </c>
      <c r="H6" s="12"/>
      <c r="I6" s="12"/>
    </row>
    <row r="7" spans="1:9" ht="20.100000000000001" customHeight="1">
      <c r="A7" s="9">
        <v>2</v>
      </c>
      <c r="B7" s="10" t="s">
        <v>1116</v>
      </c>
      <c r="C7" s="3" t="s">
        <v>1206</v>
      </c>
      <c r="D7" s="9" t="s">
        <v>340</v>
      </c>
      <c r="E7" s="72" t="e">
        <f>#REF!</f>
        <v>#REF!</v>
      </c>
      <c r="F7" s="213">
        <v>128510.394458667</v>
      </c>
      <c r="G7" s="72" t="e">
        <f>F7-E7</f>
        <v>#REF!</v>
      </c>
      <c r="H7" s="12"/>
      <c r="I7" s="12"/>
    </row>
    <row r="8" spans="1:9" ht="20.100000000000001" customHeight="1">
      <c r="A8" s="9">
        <v>3</v>
      </c>
      <c r="B8" s="13" t="s">
        <v>1207</v>
      </c>
      <c r="C8" s="3" t="s">
        <v>1208</v>
      </c>
      <c r="D8" s="9" t="s">
        <v>340</v>
      </c>
      <c r="E8" s="72">
        <f>116473.51</f>
        <v>116473.51</v>
      </c>
      <c r="F8" s="213">
        <v>119107.951418667</v>
      </c>
      <c r="G8" s="72">
        <f t="shared" ref="G8:G36" si="0">F8-E8</f>
        <v>2634.4414186670001</v>
      </c>
      <c r="H8" s="12"/>
      <c r="I8" s="12"/>
    </row>
    <row r="9" spans="1:9" ht="20.100000000000001" customHeight="1">
      <c r="A9" s="9">
        <v>4</v>
      </c>
      <c r="B9" s="10" t="s">
        <v>348</v>
      </c>
      <c r="C9" s="11" t="s">
        <v>349</v>
      </c>
      <c r="D9" s="9" t="s">
        <v>343</v>
      </c>
      <c r="E9" s="72">
        <f>79993.51</f>
        <v>79993.509999999995</v>
      </c>
      <c r="F9" s="213">
        <v>82627.951418666693</v>
      </c>
      <c r="G9" s="72">
        <f t="shared" si="0"/>
        <v>2634.4414186667</v>
      </c>
      <c r="H9" s="12"/>
      <c r="I9" s="12"/>
    </row>
    <row r="10" spans="1:9" ht="20.100000000000001" customHeight="1">
      <c r="A10" s="9">
        <v>5</v>
      </c>
      <c r="B10" s="13" t="s">
        <v>350</v>
      </c>
      <c r="C10" s="3" t="s">
        <v>351</v>
      </c>
      <c r="D10" s="14" t="s">
        <v>416</v>
      </c>
      <c r="E10" s="72">
        <f>107095.69</f>
        <v>107095.69</v>
      </c>
      <c r="F10" s="213">
        <v>109730.053370667</v>
      </c>
      <c r="G10" s="72">
        <f t="shared" si="0"/>
        <v>2634.3633706669898</v>
      </c>
      <c r="H10" s="12"/>
      <c r="I10" s="12"/>
    </row>
    <row r="11" spans="1:9" ht="20.100000000000001" customHeight="1">
      <c r="A11" s="9">
        <v>6</v>
      </c>
      <c r="B11" s="13" t="s">
        <v>470</v>
      </c>
      <c r="C11" s="3" t="s">
        <v>1118</v>
      </c>
      <c r="D11" s="15" t="s">
        <v>416</v>
      </c>
      <c r="E11" s="72" t="e">
        <f>#REF!</f>
        <v>#REF!</v>
      </c>
      <c r="F11" s="213">
        <v>99032.677850666703</v>
      </c>
      <c r="G11" s="72" t="e">
        <f t="shared" si="0"/>
        <v>#REF!</v>
      </c>
      <c r="H11" s="12"/>
      <c r="I11" s="12"/>
    </row>
    <row r="12" spans="1:9" ht="20.100000000000001" customHeight="1">
      <c r="A12" s="9">
        <v>7</v>
      </c>
      <c r="B12" s="10" t="s">
        <v>352</v>
      </c>
      <c r="C12" s="16" t="s">
        <v>353</v>
      </c>
      <c r="D12" s="15" t="s">
        <v>416</v>
      </c>
      <c r="E12" s="72" t="e">
        <f>#REF!</f>
        <v>#REF!</v>
      </c>
      <c r="F12" s="213">
        <v>79832.677850666703</v>
      </c>
      <c r="G12" s="72" t="e">
        <f t="shared" si="0"/>
        <v>#REF!</v>
      </c>
      <c r="H12" s="12"/>
      <c r="I12" s="12"/>
    </row>
    <row r="13" spans="1:9" ht="20.100000000000001" customHeight="1">
      <c r="A13" s="9">
        <v>8</v>
      </c>
      <c r="B13" s="13" t="s">
        <v>354</v>
      </c>
      <c r="C13" s="3" t="s">
        <v>355</v>
      </c>
      <c r="D13" s="15" t="s">
        <v>416</v>
      </c>
      <c r="E13" s="72" t="e">
        <f>#REF!</f>
        <v>#REF!</v>
      </c>
      <c r="F13" s="213">
        <v>79832.677850666703</v>
      </c>
      <c r="G13" s="72" t="e">
        <f t="shared" si="0"/>
        <v>#REF!</v>
      </c>
      <c r="H13" s="12"/>
      <c r="I13" s="12"/>
    </row>
    <row r="14" spans="1:9" ht="20.100000000000001" customHeight="1">
      <c r="A14" s="9">
        <v>9</v>
      </c>
      <c r="B14" s="10" t="s">
        <v>356</v>
      </c>
      <c r="C14" s="11" t="s">
        <v>357</v>
      </c>
      <c r="D14" s="14" t="s">
        <v>358</v>
      </c>
      <c r="E14" s="72">
        <f>64436.1</f>
        <v>64436.1</v>
      </c>
      <c r="F14" s="213">
        <v>64436.103146666697</v>
      </c>
      <c r="G14" s="72">
        <f t="shared" si="0"/>
        <v>3.14666669873986E-3</v>
      </c>
      <c r="H14" s="12"/>
      <c r="I14" s="12"/>
    </row>
    <row r="15" spans="1:9" ht="20.100000000000001" customHeight="1">
      <c r="A15" s="9">
        <v>10</v>
      </c>
      <c r="B15" s="17" t="s">
        <v>333</v>
      </c>
      <c r="C15" s="11" t="s">
        <v>334</v>
      </c>
      <c r="D15" s="9" t="s">
        <v>332</v>
      </c>
      <c r="E15" s="72">
        <f>60212.92</f>
        <v>60212.92</v>
      </c>
      <c r="F15" s="213">
        <v>62404.980266666702</v>
      </c>
      <c r="G15" s="72">
        <f t="shared" si="0"/>
        <v>2192.0602666667</v>
      </c>
      <c r="H15" s="12"/>
      <c r="I15" s="12"/>
    </row>
    <row r="16" spans="1:9" ht="20.100000000000001" customHeight="1">
      <c r="A16" s="9">
        <v>11</v>
      </c>
      <c r="B16" s="18" t="s">
        <v>1209</v>
      </c>
      <c r="C16" s="3" t="s">
        <v>1210</v>
      </c>
      <c r="D16" s="15" t="s">
        <v>366</v>
      </c>
      <c r="E16" s="72">
        <f>52638.9</f>
        <v>52638.9</v>
      </c>
      <c r="F16" s="213">
        <v>54186.609434666701</v>
      </c>
      <c r="G16" s="72">
        <f t="shared" si="0"/>
        <v>1547.7094346667</v>
      </c>
      <c r="H16" s="12"/>
      <c r="I16" s="12"/>
    </row>
    <row r="17" spans="1:9" ht="19.5" customHeight="1">
      <c r="A17" s="9">
        <v>12</v>
      </c>
      <c r="B17" s="13" t="s">
        <v>1119</v>
      </c>
      <c r="C17" s="3" t="s">
        <v>362</v>
      </c>
      <c r="D17" s="9" t="s">
        <v>366</v>
      </c>
      <c r="E17" s="72">
        <f>43380</f>
        <v>43380</v>
      </c>
      <c r="F17" s="213">
        <v>44734.339388666704</v>
      </c>
      <c r="G17" s="72">
        <f t="shared" si="0"/>
        <v>1354.3393886667</v>
      </c>
      <c r="H17" s="12"/>
      <c r="I17" s="12"/>
    </row>
    <row r="18" spans="1:9" ht="19.5" customHeight="1">
      <c r="A18" s="9">
        <v>13</v>
      </c>
      <c r="B18" s="13" t="s">
        <v>1211</v>
      </c>
      <c r="C18" s="3" t="s">
        <v>1212</v>
      </c>
      <c r="D18" s="9" t="s">
        <v>366</v>
      </c>
      <c r="E18" s="72">
        <f>85278.9</f>
        <v>85278.9</v>
      </c>
      <c r="F18" s="213">
        <v>86826.609434666694</v>
      </c>
      <c r="G18" s="72">
        <f t="shared" si="0"/>
        <v>1547.7094346667</v>
      </c>
      <c r="H18" s="12"/>
      <c r="I18" s="12"/>
    </row>
    <row r="19" spans="1:9" ht="20.100000000000001" customHeight="1">
      <c r="A19" s="9">
        <v>14</v>
      </c>
      <c r="B19" s="10" t="s">
        <v>361</v>
      </c>
      <c r="C19" s="3" t="s">
        <v>362</v>
      </c>
      <c r="D19" s="14" t="s">
        <v>366</v>
      </c>
      <c r="E19" s="72" t="e">
        <f>#REF!</f>
        <v>#REF!</v>
      </c>
      <c r="F19" s="213">
        <v>44006.6165886667</v>
      </c>
      <c r="G19" s="72" t="e">
        <f t="shared" si="0"/>
        <v>#REF!</v>
      </c>
      <c r="H19" s="12"/>
      <c r="I19" s="12"/>
    </row>
    <row r="20" spans="1:9" ht="20.100000000000001" customHeight="1">
      <c r="A20" s="9">
        <v>15</v>
      </c>
      <c r="B20" s="10" t="s">
        <v>373</v>
      </c>
      <c r="C20" s="11" t="s">
        <v>374</v>
      </c>
      <c r="D20" s="14" t="s">
        <v>1052</v>
      </c>
      <c r="E20" s="72">
        <f>46673.26</f>
        <v>46673.26</v>
      </c>
      <c r="F20" s="213">
        <v>46666.666666666701</v>
      </c>
      <c r="G20" s="72">
        <f t="shared" si="0"/>
        <v>-6.5933333333014197</v>
      </c>
      <c r="H20" s="12"/>
      <c r="I20" s="12"/>
    </row>
    <row r="21" spans="1:9" ht="20.100000000000001" customHeight="1">
      <c r="A21" s="9">
        <v>16</v>
      </c>
      <c r="B21" s="17" t="s">
        <v>376</v>
      </c>
      <c r="C21" s="3" t="s">
        <v>377</v>
      </c>
      <c r="D21" s="14" t="s">
        <v>1053</v>
      </c>
      <c r="E21" s="72">
        <f>63364.81</f>
        <v>63364.81</v>
      </c>
      <c r="F21" s="213">
        <v>64913.263658666699</v>
      </c>
      <c r="G21" s="72">
        <f t="shared" si="0"/>
        <v>1548.4536586667</v>
      </c>
      <c r="H21" s="12"/>
      <c r="I21" s="12"/>
    </row>
    <row r="22" spans="1:9" ht="20.100000000000001" customHeight="1">
      <c r="A22" s="9">
        <v>17</v>
      </c>
      <c r="B22" s="10" t="s">
        <v>496</v>
      </c>
      <c r="C22" s="11" t="s">
        <v>497</v>
      </c>
      <c r="D22" s="14" t="s">
        <v>380</v>
      </c>
      <c r="E22" s="72">
        <f>31848.56</f>
        <v>31848.560000000001</v>
      </c>
      <c r="F22" s="213">
        <v>34871.967414666702</v>
      </c>
      <c r="G22" s="72">
        <f t="shared" si="0"/>
        <v>3023.4074146666999</v>
      </c>
      <c r="H22" s="12"/>
      <c r="I22" s="12"/>
    </row>
    <row r="23" spans="1:9" ht="18.75" customHeight="1">
      <c r="A23" s="9">
        <v>18</v>
      </c>
      <c r="B23" s="10" t="s">
        <v>379</v>
      </c>
      <c r="C23" s="11" t="s">
        <v>233</v>
      </c>
      <c r="D23" s="14" t="s">
        <v>440</v>
      </c>
      <c r="E23" s="72" t="e">
        <f>#REF!</f>
        <v>#REF!</v>
      </c>
      <c r="F23" s="213">
        <v>32008.5634586667</v>
      </c>
      <c r="G23" s="72" t="e">
        <f t="shared" si="0"/>
        <v>#REF!</v>
      </c>
      <c r="H23" s="12"/>
      <c r="I23" s="12"/>
    </row>
    <row r="24" spans="1:9" ht="18.75" customHeight="1">
      <c r="A24" s="9">
        <v>19</v>
      </c>
      <c r="B24" s="10" t="s">
        <v>494</v>
      </c>
      <c r="C24" s="3" t="s">
        <v>495</v>
      </c>
      <c r="D24" s="14" t="s">
        <v>440</v>
      </c>
      <c r="E24" s="72" t="e">
        <f>#REF!</f>
        <v>#REF!</v>
      </c>
      <c r="F24" s="213">
        <v>32098.951098666701</v>
      </c>
      <c r="G24" s="72" t="e">
        <f t="shared" si="0"/>
        <v>#REF!</v>
      </c>
      <c r="H24" s="12"/>
      <c r="I24" s="12"/>
    </row>
    <row r="25" spans="1:9" ht="18.75" customHeight="1">
      <c r="A25" s="9">
        <v>20</v>
      </c>
      <c r="B25" s="17" t="s">
        <v>534</v>
      </c>
      <c r="C25" s="3" t="s">
        <v>1227</v>
      </c>
      <c r="D25" s="14" t="s">
        <v>539</v>
      </c>
      <c r="E25" s="72">
        <f>27105.99</f>
        <v>27105.99</v>
      </c>
      <c r="F25" s="213">
        <v>27873.079686666701</v>
      </c>
      <c r="G25" s="72">
        <f t="shared" si="0"/>
        <v>767.08968666669898</v>
      </c>
      <c r="H25" s="12"/>
      <c r="I25" s="12"/>
    </row>
    <row r="26" spans="1:9" ht="18.75" customHeight="1">
      <c r="A26" s="9">
        <v>21</v>
      </c>
      <c r="B26" s="17" t="s">
        <v>1213</v>
      </c>
      <c r="C26" s="11" t="s">
        <v>401</v>
      </c>
      <c r="D26" s="14" t="s">
        <v>453</v>
      </c>
      <c r="E26" s="202">
        <f>26339.08</f>
        <v>26339.08</v>
      </c>
      <c r="F26" s="213">
        <v>27105.986562666702</v>
      </c>
      <c r="G26" s="72">
        <f t="shared" si="0"/>
        <v>766.90656266669998</v>
      </c>
      <c r="H26" s="12"/>
      <c r="I26" s="12"/>
    </row>
    <row r="27" spans="1:9" ht="18.75" customHeight="1">
      <c r="A27" s="9">
        <v>22</v>
      </c>
      <c r="B27" s="3" t="s">
        <v>386</v>
      </c>
      <c r="C27" s="3" t="s">
        <v>289</v>
      </c>
      <c r="D27" s="9" t="s">
        <v>391</v>
      </c>
      <c r="E27" s="72">
        <v>21640.95</v>
      </c>
      <c r="F27" s="213">
        <v>21640.952862666702</v>
      </c>
      <c r="G27" s="72">
        <f t="shared" si="0"/>
        <v>2.8626667008211401E-3</v>
      </c>
      <c r="H27" s="12"/>
      <c r="I27" s="12"/>
    </row>
    <row r="28" spans="1:9" ht="18.75" customHeight="1">
      <c r="A28" s="9">
        <v>23</v>
      </c>
      <c r="B28" s="17" t="s">
        <v>388</v>
      </c>
      <c r="C28" s="11" t="s">
        <v>289</v>
      </c>
      <c r="D28" s="14" t="s">
        <v>391</v>
      </c>
      <c r="E28" s="72">
        <f>21640.95</f>
        <v>21640.95</v>
      </c>
      <c r="F28" s="213">
        <v>22338.4826046667</v>
      </c>
      <c r="G28" s="72">
        <f t="shared" si="0"/>
        <v>697.53260466669997</v>
      </c>
      <c r="H28" s="12"/>
      <c r="I28" s="12"/>
    </row>
    <row r="29" spans="1:9" ht="18.75" customHeight="1">
      <c r="A29" s="9">
        <v>24</v>
      </c>
      <c r="B29" s="10" t="s">
        <v>1120</v>
      </c>
      <c r="C29" s="11" t="s">
        <v>1121</v>
      </c>
      <c r="D29" s="14" t="s">
        <v>391</v>
      </c>
      <c r="E29" s="72">
        <v>21640.95</v>
      </c>
      <c r="F29" s="213">
        <v>22338.4826046667</v>
      </c>
      <c r="G29" s="72">
        <f t="shared" si="0"/>
        <v>697.53260466669997</v>
      </c>
      <c r="H29" s="12"/>
      <c r="I29" s="12"/>
    </row>
    <row r="30" spans="1:9" ht="18.75" customHeight="1">
      <c r="A30" s="9">
        <v>25</v>
      </c>
      <c r="B30" s="17" t="s">
        <v>390</v>
      </c>
      <c r="C30" s="11" t="s">
        <v>1068</v>
      </c>
      <c r="D30" s="14" t="s">
        <v>1228</v>
      </c>
      <c r="E30" s="72">
        <f>17572.89</f>
        <v>17572.89</v>
      </c>
      <c r="F30" s="213">
        <v>18102.902732666698</v>
      </c>
      <c r="G30" s="72">
        <f t="shared" si="0"/>
        <v>530.01273266669898</v>
      </c>
      <c r="H30" s="12"/>
      <c r="I30" s="12"/>
    </row>
    <row r="31" spans="1:9" ht="18.75" customHeight="1">
      <c r="A31" s="9">
        <v>26</v>
      </c>
      <c r="B31" s="10" t="s">
        <v>477</v>
      </c>
      <c r="C31" s="16" t="s">
        <v>1229</v>
      </c>
      <c r="D31" s="14" t="s">
        <v>1048</v>
      </c>
      <c r="E31" s="202">
        <f>17572.89</f>
        <v>17572.89</v>
      </c>
      <c r="F31" s="213">
        <v>18102.902732666698</v>
      </c>
      <c r="G31" s="72">
        <f t="shared" si="0"/>
        <v>530.01273266669898</v>
      </c>
      <c r="H31" s="12"/>
      <c r="I31" s="12"/>
    </row>
    <row r="32" spans="1:9" ht="18.75" customHeight="1">
      <c r="A32" s="9">
        <v>27</v>
      </c>
      <c r="B32" s="17" t="s">
        <v>392</v>
      </c>
      <c r="C32" s="3" t="s">
        <v>1122</v>
      </c>
      <c r="D32" s="9" t="s">
        <v>1048</v>
      </c>
      <c r="E32" s="72">
        <f>17572.89</f>
        <v>17572.89</v>
      </c>
      <c r="F32" s="213">
        <v>18102.902732666698</v>
      </c>
      <c r="G32" s="72">
        <f t="shared" si="0"/>
        <v>530.01273266669898</v>
      </c>
      <c r="H32" s="12"/>
      <c r="I32" s="12"/>
    </row>
    <row r="33" spans="1:9" ht="18.75" customHeight="1">
      <c r="A33" s="9">
        <v>28</v>
      </c>
      <c r="B33" s="17" t="s">
        <v>395</v>
      </c>
      <c r="C33" s="16" t="s">
        <v>396</v>
      </c>
      <c r="D33" s="14" t="s">
        <v>391</v>
      </c>
      <c r="E33" s="202">
        <v>21640.95</v>
      </c>
      <c r="F33" s="213">
        <v>22338.4826046667</v>
      </c>
      <c r="G33" s="72">
        <f t="shared" si="0"/>
        <v>697.53260466669997</v>
      </c>
      <c r="H33" s="12"/>
      <c r="I33" s="12"/>
    </row>
    <row r="34" spans="1:9" ht="18.75" customHeight="1">
      <c r="A34" s="9">
        <v>29</v>
      </c>
      <c r="B34" s="17" t="s">
        <v>397</v>
      </c>
      <c r="C34" s="3" t="s">
        <v>1230</v>
      </c>
      <c r="D34" s="9" t="s">
        <v>402</v>
      </c>
      <c r="E34" s="72">
        <f>16512.68</f>
        <v>16512.68</v>
      </c>
      <c r="F34" s="213">
        <v>17042.713866666702</v>
      </c>
      <c r="G34" s="72">
        <f t="shared" si="0"/>
        <v>530.03386666670099</v>
      </c>
      <c r="H34" s="12"/>
      <c r="I34" s="12"/>
    </row>
    <row r="35" spans="1:9" ht="18.75" customHeight="1">
      <c r="A35" s="9">
        <v>30</v>
      </c>
      <c r="B35" s="17" t="s">
        <v>1036</v>
      </c>
      <c r="C35" s="11" t="s">
        <v>401</v>
      </c>
      <c r="D35" s="14" t="s">
        <v>402</v>
      </c>
      <c r="E35" s="72">
        <f t="shared" ref="E35:E36" si="1">16512.68</f>
        <v>16512.68</v>
      </c>
      <c r="F35" s="213">
        <v>17042.8658666667</v>
      </c>
      <c r="G35" s="72">
        <f t="shared" si="0"/>
        <v>530.18586666669898</v>
      </c>
      <c r="H35" s="12"/>
      <c r="I35" s="12"/>
    </row>
    <row r="36" spans="1:9" ht="18.75" customHeight="1">
      <c r="A36" s="9">
        <v>31</v>
      </c>
      <c r="B36" s="17" t="s">
        <v>1214</v>
      </c>
      <c r="C36" s="11" t="s">
        <v>401</v>
      </c>
      <c r="D36" s="14" t="s">
        <v>402</v>
      </c>
      <c r="E36" s="72">
        <f t="shared" si="1"/>
        <v>16512.68</v>
      </c>
      <c r="F36" s="213">
        <v>17043.017866666702</v>
      </c>
      <c r="G36" s="72">
        <f t="shared" si="0"/>
        <v>530.33786666670096</v>
      </c>
      <c r="H36" s="12"/>
      <c r="I36" s="12"/>
    </row>
    <row r="37" spans="1:9" ht="26.25" customHeight="1">
      <c r="A37" s="9"/>
      <c r="B37" s="19" t="s">
        <v>42</v>
      </c>
      <c r="C37" s="20">
        <v>31</v>
      </c>
      <c r="D37" s="14"/>
      <c r="E37" s="203" t="e">
        <f t="shared" ref="E37" si="2">SUM(E6:E36)</f>
        <v>#REF!</v>
      </c>
      <c r="F37" s="203">
        <f t="shared" ref="F37" si="3">SUM(F6:F36)</f>
        <v>1716067.6634466699</v>
      </c>
      <c r="G37" s="203" t="e">
        <f t="shared" ref="G37" si="4">SUM(G6:G36)</f>
        <v>#REF!</v>
      </c>
      <c r="H37" s="12"/>
      <c r="I37" s="12"/>
    </row>
    <row r="38" spans="1:9" ht="18.75" customHeight="1">
      <c r="A38" s="9"/>
      <c r="B38" s="21"/>
      <c r="C38" s="3"/>
      <c r="D38" s="14"/>
      <c r="E38" s="203"/>
      <c r="F38" s="214"/>
      <c r="G38" s="203"/>
      <c r="H38" s="12"/>
      <c r="I38" s="12"/>
    </row>
    <row r="39" spans="1:9" ht="18.75" customHeight="1">
      <c r="A39" s="9"/>
      <c r="B39" s="19" t="s">
        <v>225</v>
      </c>
      <c r="C39" s="3"/>
      <c r="D39" s="14"/>
      <c r="E39" s="72"/>
      <c r="F39" s="213"/>
      <c r="G39" s="72"/>
      <c r="H39" s="12"/>
      <c r="I39" s="12"/>
    </row>
    <row r="40" spans="1:9" ht="18.75" customHeight="1">
      <c r="A40" s="9">
        <v>1</v>
      </c>
      <c r="B40" s="17" t="s">
        <v>403</v>
      </c>
      <c r="C40" s="3" t="s">
        <v>404</v>
      </c>
      <c r="D40" s="9" t="s">
        <v>405</v>
      </c>
      <c r="E40" s="72">
        <f>156349.82</f>
        <v>156349.82</v>
      </c>
      <c r="F40" s="213">
        <v>161106.806858667</v>
      </c>
      <c r="G40" s="72">
        <f>F40-E40</f>
        <v>4756.98685866699</v>
      </c>
      <c r="H40" s="12"/>
      <c r="I40" s="12"/>
    </row>
    <row r="41" spans="1:9" ht="18.75" customHeight="1">
      <c r="A41" s="9">
        <v>2</v>
      </c>
      <c r="B41" s="17" t="s">
        <v>406</v>
      </c>
      <c r="C41" s="3" t="s">
        <v>642</v>
      </c>
      <c r="D41" s="9" t="s">
        <v>72</v>
      </c>
      <c r="E41" s="72">
        <f>16512.68</f>
        <v>16512.68</v>
      </c>
      <c r="F41" s="213">
        <v>16512.682190666699</v>
      </c>
      <c r="G41" s="72">
        <f>F41-E41</f>
        <v>2.1906666988797999E-3</v>
      </c>
      <c r="H41" s="12"/>
      <c r="I41" s="12"/>
    </row>
    <row r="42" spans="1:9" ht="19.5" customHeight="1">
      <c r="A42" s="9"/>
      <c r="B42" s="13"/>
      <c r="C42" s="20">
        <v>2</v>
      </c>
      <c r="D42" s="9"/>
      <c r="E42" s="203">
        <f>SUM(E40:E41)</f>
        <v>172862.5</v>
      </c>
      <c r="F42" s="214">
        <f>SUM(F40:F41)</f>
        <v>177619.48904933399</v>
      </c>
      <c r="G42" s="214">
        <f>SUM(G40:G41)</f>
        <v>4756.9890493336898</v>
      </c>
      <c r="H42" s="12"/>
      <c r="I42" s="12"/>
    </row>
    <row r="43" spans="1:9" ht="20.100000000000001" customHeight="1">
      <c r="A43" s="9"/>
      <c r="B43" s="13"/>
      <c r="C43" s="3"/>
      <c r="D43" s="9"/>
      <c r="E43" s="203"/>
      <c r="F43" s="213"/>
      <c r="G43" s="72"/>
      <c r="H43" s="12"/>
      <c r="I43" s="12"/>
    </row>
    <row r="44" spans="1:9" ht="20.100000000000001" customHeight="1">
      <c r="A44" s="9"/>
      <c r="B44" s="22" t="s">
        <v>43</v>
      </c>
      <c r="C44" s="4"/>
      <c r="D44" s="23"/>
      <c r="E44" s="72"/>
      <c r="F44" s="213"/>
      <c r="G44" s="72"/>
      <c r="H44" s="12"/>
      <c r="I44" s="12"/>
    </row>
    <row r="45" spans="1:9" ht="20.100000000000001" customHeight="1">
      <c r="A45" s="9">
        <v>1</v>
      </c>
      <c r="B45" s="10" t="s">
        <v>410</v>
      </c>
      <c r="C45" s="3" t="s">
        <v>411</v>
      </c>
      <c r="D45" s="9" t="s">
        <v>405</v>
      </c>
      <c r="E45" s="72">
        <f>180306.81</f>
        <v>180306.81</v>
      </c>
      <c r="F45" s="213">
        <v>180306.806858667</v>
      </c>
      <c r="G45" s="72">
        <f>F45-E45</f>
        <v>-3.1413329998031302E-3</v>
      </c>
      <c r="H45" s="12"/>
      <c r="I45" s="12"/>
    </row>
    <row r="46" spans="1:9" ht="20.100000000000001" customHeight="1">
      <c r="A46" s="9">
        <v>2</v>
      </c>
      <c r="B46" s="10" t="s">
        <v>412</v>
      </c>
      <c r="C46" s="3" t="s">
        <v>413</v>
      </c>
      <c r="D46" s="9" t="s">
        <v>358</v>
      </c>
      <c r="E46" s="72">
        <f>79956.94</f>
        <v>79956.94</v>
      </c>
      <c r="F46" s="213">
        <v>79956.9391466667</v>
      </c>
      <c r="G46" s="72">
        <f t="shared" ref="G46:G56" si="5">F46-E46</f>
        <v>-8.53333302075043E-4</v>
      </c>
      <c r="H46" s="12"/>
      <c r="I46" s="12"/>
    </row>
    <row r="47" spans="1:9" ht="20.100000000000001" customHeight="1">
      <c r="A47" s="9">
        <v>3</v>
      </c>
      <c r="B47" s="10" t="s">
        <v>414</v>
      </c>
      <c r="C47" s="3" t="s">
        <v>418</v>
      </c>
      <c r="D47" s="9" t="s">
        <v>358</v>
      </c>
      <c r="E47" s="72">
        <f>79956.94</f>
        <v>79956.94</v>
      </c>
      <c r="F47" s="213">
        <v>79956.9391466667</v>
      </c>
      <c r="G47" s="72">
        <f t="shared" si="5"/>
        <v>-8.53333302075043E-4</v>
      </c>
      <c r="H47" s="12"/>
      <c r="I47" s="12"/>
    </row>
    <row r="48" spans="1:9" ht="20.100000000000001" customHeight="1">
      <c r="A48" s="9">
        <v>4</v>
      </c>
      <c r="B48" s="10" t="s">
        <v>417</v>
      </c>
      <c r="C48" s="3" t="s">
        <v>418</v>
      </c>
      <c r="D48" s="9" t="s">
        <v>358</v>
      </c>
      <c r="E48" s="72">
        <f>77764.98</f>
        <v>77764.98</v>
      </c>
      <c r="F48" s="213">
        <v>79956.9391466667</v>
      </c>
      <c r="G48" s="72">
        <f t="shared" si="5"/>
        <v>2191.9591466666998</v>
      </c>
      <c r="H48" s="12"/>
      <c r="I48" s="12"/>
    </row>
    <row r="49" spans="1:9" ht="20.100000000000001" customHeight="1">
      <c r="A49" s="9">
        <v>5</v>
      </c>
      <c r="B49" s="10" t="s">
        <v>419</v>
      </c>
      <c r="C49" s="3" t="s">
        <v>418</v>
      </c>
      <c r="D49" s="9" t="s">
        <v>435</v>
      </c>
      <c r="E49" s="72" t="e">
        <f>#REF!</f>
        <v>#REF!</v>
      </c>
      <c r="F49" s="213">
        <v>70061.5197866667</v>
      </c>
      <c r="G49" s="72" t="e">
        <f t="shared" si="5"/>
        <v>#REF!</v>
      </c>
      <c r="H49" s="12"/>
      <c r="I49" s="12"/>
    </row>
    <row r="50" spans="1:9" ht="20.100000000000001" customHeight="1">
      <c r="A50" s="9">
        <v>6</v>
      </c>
      <c r="B50" s="10" t="s">
        <v>420</v>
      </c>
      <c r="C50" s="3" t="s">
        <v>368</v>
      </c>
      <c r="D50" s="9" t="s">
        <v>366</v>
      </c>
      <c r="E50" s="72">
        <f>56478.9</f>
        <v>56478.9</v>
      </c>
      <c r="F50" s="213">
        <v>57889.864794666697</v>
      </c>
      <c r="G50" s="72">
        <f t="shared" si="5"/>
        <v>1410.9647946667001</v>
      </c>
      <c r="H50" s="12"/>
      <c r="I50" s="12"/>
    </row>
    <row r="51" spans="1:9" ht="20.100000000000001" customHeight="1">
      <c r="A51" s="9">
        <v>7</v>
      </c>
      <c r="B51" s="13" t="s">
        <v>421</v>
      </c>
      <c r="C51" s="3" t="s">
        <v>365</v>
      </c>
      <c r="D51" s="15" t="s">
        <v>366</v>
      </c>
      <c r="E51" s="72">
        <f>56478.9</f>
        <v>56478.9</v>
      </c>
      <c r="F51" s="213">
        <v>58026.609434666701</v>
      </c>
      <c r="G51" s="72">
        <f t="shared" si="5"/>
        <v>1547.7094346667</v>
      </c>
      <c r="H51" s="12"/>
      <c r="I51" s="12"/>
    </row>
    <row r="52" spans="1:9" ht="20.100000000000001" customHeight="1">
      <c r="A52" s="9">
        <v>8</v>
      </c>
      <c r="B52" s="10" t="s">
        <v>1125</v>
      </c>
      <c r="C52" s="3" t="s">
        <v>365</v>
      </c>
      <c r="D52" s="9" t="s">
        <v>450</v>
      </c>
      <c r="E52" s="72" t="e">
        <f>#REF!</f>
        <v>#REF!</v>
      </c>
      <c r="F52" s="213">
        <v>55518.902906666699</v>
      </c>
      <c r="G52" s="72" t="e">
        <f t="shared" si="5"/>
        <v>#REF!</v>
      </c>
      <c r="H52" s="12"/>
      <c r="I52" s="12"/>
    </row>
    <row r="53" spans="1:9" ht="20.100000000000001" customHeight="1">
      <c r="A53" s="9">
        <v>9</v>
      </c>
      <c r="B53" s="10" t="s">
        <v>367</v>
      </c>
      <c r="C53" s="3" t="s">
        <v>461</v>
      </c>
      <c r="D53" s="9" t="s">
        <v>375</v>
      </c>
      <c r="E53" s="72">
        <f>48052.11</f>
        <v>48052.11</v>
      </c>
      <c r="F53" s="213">
        <v>49548.776186666699</v>
      </c>
      <c r="G53" s="72">
        <f t="shared" si="5"/>
        <v>1496.6661866667</v>
      </c>
      <c r="H53" s="12"/>
      <c r="I53" s="12"/>
    </row>
    <row r="54" spans="1:9" ht="20.100000000000001" customHeight="1">
      <c r="A54" s="9">
        <v>10</v>
      </c>
      <c r="B54" s="10" t="s">
        <v>423</v>
      </c>
      <c r="C54" s="3" t="s">
        <v>64</v>
      </c>
      <c r="D54" s="9" t="s">
        <v>55</v>
      </c>
      <c r="E54" s="72">
        <f>28360.95</f>
        <v>28360.95</v>
      </c>
      <c r="F54" s="213">
        <v>28360.952862666702</v>
      </c>
      <c r="G54" s="72">
        <f t="shared" si="5"/>
        <v>2.8626667008211401E-3</v>
      </c>
      <c r="H54" s="12"/>
      <c r="I54" s="12"/>
    </row>
    <row r="55" spans="1:9" ht="20.100000000000001" customHeight="1">
      <c r="A55" s="9">
        <v>11</v>
      </c>
      <c r="B55" s="10" t="s">
        <v>424</v>
      </c>
      <c r="C55" s="3" t="s">
        <v>64</v>
      </c>
      <c r="D55" s="9" t="s">
        <v>55</v>
      </c>
      <c r="E55" s="72">
        <f>28360.95</f>
        <v>28360.95</v>
      </c>
      <c r="F55" s="213">
        <v>28360.952862666702</v>
      </c>
      <c r="G55" s="72">
        <f t="shared" si="5"/>
        <v>2.8626667008211401E-3</v>
      </c>
      <c r="H55" s="12"/>
      <c r="I55" s="12"/>
    </row>
    <row r="56" spans="1:9" ht="20.100000000000001" customHeight="1">
      <c r="A56" s="9">
        <v>12</v>
      </c>
      <c r="B56" s="10" t="s">
        <v>425</v>
      </c>
      <c r="C56" s="3" t="s">
        <v>64</v>
      </c>
      <c r="D56" s="9" t="s">
        <v>55</v>
      </c>
      <c r="E56" s="72">
        <f>28360.95</f>
        <v>28360.95</v>
      </c>
      <c r="F56" s="213">
        <v>28360.952862666702</v>
      </c>
      <c r="G56" s="72">
        <f t="shared" si="5"/>
        <v>2.8626667008211401E-3</v>
      </c>
      <c r="H56" s="12"/>
      <c r="I56" s="12"/>
    </row>
    <row r="57" spans="1:9" ht="25.5" customHeight="1">
      <c r="A57" s="9"/>
      <c r="B57" s="19" t="s">
        <v>42</v>
      </c>
      <c r="C57" s="20">
        <v>12</v>
      </c>
      <c r="D57" s="20"/>
      <c r="E57" s="80" t="e">
        <f t="shared" ref="E57:G57" si="6">SUM(E45:E56)</f>
        <v>#REF!</v>
      </c>
      <c r="F57" s="80">
        <f t="shared" si="6"/>
        <v>796306.15599600098</v>
      </c>
      <c r="G57" s="80" t="e">
        <f t="shared" si="6"/>
        <v>#REF!</v>
      </c>
      <c r="H57" s="12"/>
      <c r="I57" s="12"/>
    </row>
    <row r="58" spans="1:9" ht="20.100000000000001" customHeight="1">
      <c r="A58" s="9"/>
      <c r="B58" s="21"/>
      <c r="C58" s="20"/>
      <c r="D58" s="20"/>
      <c r="E58" s="134"/>
      <c r="F58" s="215"/>
      <c r="G58" s="134"/>
      <c r="H58" s="12"/>
      <c r="I58" s="12"/>
    </row>
    <row r="59" spans="1:9" ht="20.100000000000001" customHeight="1">
      <c r="A59" s="9"/>
      <c r="B59" s="19" t="s">
        <v>426</v>
      </c>
      <c r="C59" s="20"/>
      <c r="D59" s="20"/>
      <c r="E59" s="134"/>
      <c r="F59" s="215"/>
      <c r="G59" s="134"/>
      <c r="H59" s="12"/>
      <c r="I59" s="12"/>
    </row>
    <row r="60" spans="1:9" ht="20.100000000000001" customHeight="1">
      <c r="A60" s="9">
        <v>1</v>
      </c>
      <c r="B60" s="10" t="s">
        <v>427</v>
      </c>
      <c r="C60" s="11" t="s">
        <v>428</v>
      </c>
      <c r="D60" s="14" t="s">
        <v>405</v>
      </c>
      <c r="E60" s="72">
        <f>180306.81</f>
        <v>180306.81</v>
      </c>
      <c r="F60" s="213">
        <f>'[14]August 2022  (2)'!$AA$56</f>
        <v>180306.806858667</v>
      </c>
      <c r="G60" s="72">
        <f>F60-E60</f>
        <v>-3.1413329998031302E-3</v>
      </c>
      <c r="H60" s="12"/>
      <c r="I60" s="12"/>
    </row>
    <row r="61" spans="1:9" ht="20.100000000000001" customHeight="1">
      <c r="A61" s="9"/>
      <c r="B61" s="19" t="s">
        <v>42</v>
      </c>
      <c r="C61" s="20">
        <v>1</v>
      </c>
      <c r="D61" s="20"/>
      <c r="E61" s="80">
        <f>SUM(E60:E60)</f>
        <v>180306.81</v>
      </c>
      <c r="F61" s="80">
        <f>SUM(F60:F60)</f>
        <v>180306.806858667</v>
      </c>
      <c r="G61" s="72">
        <f>F61-E61</f>
        <v>-3.1413329998031302E-3</v>
      </c>
      <c r="H61" s="12"/>
      <c r="I61" s="12"/>
    </row>
    <row r="62" spans="1:9" ht="20.100000000000001" customHeight="1">
      <c r="A62" s="9"/>
      <c r="B62" s="19"/>
      <c r="C62" s="20"/>
      <c r="D62" s="20"/>
      <c r="E62" s="134"/>
      <c r="F62" s="215"/>
      <c r="G62" s="134"/>
      <c r="H62" s="12"/>
      <c r="I62" s="12"/>
    </row>
    <row r="63" spans="1:9" ht="20.100000000000001" customHeight="1">
      <c r="A63" s="9"/>
      <c r="B63" s="19" t="s">
        <v>60</v>
      </c>
      <c r="C63" s="20"/>
      <c r="D63" s="20"/>
      <c r="E63" s="134"/>
      <c r="F63" s="215"/>
      <c r="G63" s="134"/>
      <c r="H63" s="12"/>
      <c r="I63" s="12"/>
    </row>
    <row r="64" spans="1:9" ht="20.100000000000001" customHeight="1">
      <c r="A64" s="9">
        <v>1</v>
      </c>
      <c r="B64" s="10" t="s">
        <v>431</v>
      </c>
      <c r="C64" s="16" t="s">
        <v>432</v>
      </c>
      <c r="D64" s="9" t="s">
        <v>405</v>
      </c>
      <c r="E64" s="72">
        <f>180306.81</f>
        <v>180306.81</v>
      </c>
      <c r="F64" s="213">
        <v>180306.806858667</v>
      </c>
      <c r="G64" s="72">
        <f>F64-E64</f>
        <v>-3.1413329998031302E-3</v>
      </c>
      <c r="H64" s="12"/>
      <c r="I64" s="12"/>
    </row>
    <row r="65" spans="1:9" ht="20.100000000000001" customHeight="1">
      <c r="A65" s="9">
        <v>2</v>
      </c>
      <c r="B65" s="17" t="s">
        <v>433</v>
      </c>
      <c r="C65" s="16" t="s">
        <v>434</v>
      </c>
      <c r="D65" s="14" t="s">
        <v>1054</v>
      </c>
      <c r="E65" s="72">
        <v>75572.92</v>
      </c>
      <c r="F65" s="213">
        <v>75572.915690666705</v>
      </c>
      <c r="G65" s="72">
        <f t="shared" ref="G65:G76" si="7">F65-E65</f>
        <v>-4.3093332933494804E-3</v>
      </c>
      <c r="H65" s="12"/>
      <c r="I65" s="12"/>
    </row>
    <row r="66" spans="1:9" ht="20.100000000000001" customHeight="1">
      <c r="A66" s="9">
        <v>3</v>
      </c>
      <c r="B66" s="10" t="s">
        <v>436</v>
      </c>
      <c r="C66" s="3" t="s">
        <v>231</v>
      </c>
      <c r="D66" s="9" t="s">
        <v>375</v>
      </c>
      <c r="E66" s="72">
        <f>48170.87</f>
        <v>48170.87</v>
      </c>
      <c r="F66" s="213">
        <v>49548.776186666699</v>
      </c>
      <c r="G66" s="72">
        <f t="shared" si="7"/>
        <v>1377.9061866667</v>
      </c>
      <c r="H66" s="12"/>
      <c r="I66" s="12"/>
    </row>
    <row r="67" spans="1:9" ht="20.100000000000001" customHeight="1">
      <c r="A67" s="9">
        <v>4</v>
      </c>
      <c r="B67" s="17" t="s">
        <v>437</v>
      </c>
      <c r="C67" s="16" t="s">
        <v>231</v>
      </c>
      <c r="D67" s="14" t="s">
        <v>1052</v>
      </c>
      <c r="E67" s="72">
        <f>46673.26</f>
        <v>46673.26</v>
      </c>
      <c r="F67" s="213">
        <v>48170.870282666699</v>
      </c>
      <c r="G67" s="72">
        <f t="shared" si="7"/>
        <v>1497.6102826667</v>
      </c>
      <c r="H67" s="12"/>
      <c r="I67" s="12"/>
    </row>
    <row r="68" spans="1:9" ht="20.100000000000001" customHeight="1">
      <c r="A68" s="9">
        <v>5</v>
      </c>
      <c r="B68" s="13" t="s">
        <v>438</v>
      </c>
      <c r="C68" s="16" t="s">
        <v>365</v>
      </c>
      <c r="D68" s="14" t="s">
        <v>366</v>
      </c>
      <c r="E68" s="72">
        <v>56478.9</v>
      </c>
      <c r="F68" s="213">
        <v>58026.609434666701</v>
      </c>
      <c r="G68" s="72">
        <f t="shared" si="7"/>
        <v>1547.7094346667</v>
      </c>
      <c r="H68" s="12"/>
      <c r="I68" s="12"/>
    </row>
    <row r="69" spans="1:9" ht="20.100000000000001" customHeight="1">
      <c r="A69" s="9">
        <v>6</v>
      </c>
      <c r="B69" s="10" t="s">
        <v>439</v>
      </c>
      <c r="C69" s="3" t="s">
        <v>64</v>
      </c>
      <c r="D69" s="9" t="s">
        <v>1231</v>
      </c>
      <c r="E69" s="72">
        <v>36127.269999999997</v>
      </c>
      <c r="F69" s="213">
        <v>37661.421354666702</v>
      </c>
      <c r="G69" s="72">
        <f t="shared" si="7"/>
        <v>1534.1513546666999</v>
      </c>
      <c r="H69" s="12"/>
      <c r="I69" s="12"/>
    </row>
    <row r="70" spans="1:9" ht="20.100000000000001" customHeight="1">
      <c r="A70" s="9">
        <v>7</v>
      </c>
      <c r="B70" s="10" t="s">
        <v>1133</v>
      </c>
      <c r="C70" s="16" t="s">
        <v>34</v>
      </c>
      <c r="D70" s="14" t="s">
        <v>380</v>
      </c>
      <c r="E70" s="72">
        <v>41248.559999999998</v>
      </c>
      <c r="F70" s="213">
        <v>43278.494774666702</v>
      </c>
      <c r="G70" s="72">
        <f t="shared" si="7"/>
        <v>2029.9347746666999</v>
      </c>
      <c r="H70" s="12"/>
      <c r="I70" s="12"/>
    </row>
    <row r="71" spans="1:9" ht="20.100000000000001" customHeight="1">
      <c r="A71" s="9">
        <v>8</v>
      </c>
      <c r="B71" s="10" t="s">
        <v>441</v>
      </c>
      <c r="C71" s="16" t="s">
        <v>34</v>
      </c>
      <c r="D71" s="14" t="s">
        <v>32</v>
      </c>
      <c r="E71" s="72">
        <f>40149.18</f>
        <v>40149.18</v>
      </c>
      <c r="F71" s="213">
        <v>40149.175266666702</v>
      </c>
      <c r="G71" s="72">
        <f t="shared" si="7"/>
        <v>-4.7333332986454497E-3</v>
      </c>
      <c r="H71" s="12"/>
      <c r="I71" s="12"/>
    </row>
    <row r="72" spans="1:9" ht="20.100000000000001" customHeight="1">
      <c r="A72" s="9">
        <v>9</v>
      </c>
      <c r="B72" s="10" t="s">
        <v>442</v>
      </c>
      <c r="C72" s="16" t="s">
        <v>34</v>
      </c>
      <c r="D72" s="14" t="s">
        <v>32</v>
      </c>
      <c r="E72" s="72">
        <f>40149.18</f>
        <v>40149.18</v>
      </c>
      <c r="F72" s="213">
        <v>40149.175266666702</v>
      </c>
      <c r="G72" s="72">
        <f t="shared" si="7"/>
        <v>-4.7333332986454497E-3</v>
      </c>
      <c r="H72" s="12"/>
      <c r="I72" s="12"/>
    </row>
    <row r="73" spans="1:9" ht="20.100000000000001" customHeight="1">
      <c r="A73" s="9">
        <v>10</v>
      </c>
      <c r="B73" s="10" t="s">
        <v>443</v>
      </c>
      <c r="C73" s="3" t="s">
        <v>444</v>
      </c>
      <c r="D73" s="9" t="s">
        <v>440</v>
      </c>
      <c r="E73" s="72" t="e">
        <f>#REF!</f>
        <v>#REF!</v>
      </c>
      <c r="F73" s="213">
        <f>'[14]August 2022  (2)'!$Z$69</f>
        <v>41338.951098666701</v>
      </c>
      <c r="G73" s="72" t="e">
        <f t="shared" si="7"/>
        <v>#REF!</v>
      </c>
      <c r="H73" s="12"/>
      <c r="I73" s="12"/>
    </row>
    <row r="74" spans="1:9" ht="20.100000000000001" customHeight="1">
      <c r="A74" s="9">
        <v>11</v>
      </c>
      <c r="B74" s="10" t="s">
        <v>1215</v>
      </c>
      <c r="C74" s="16" t="s">
        <v>64</v>
      </c>
      <c r="D74" s="9" t="s">
        <v>409</v>
      </c>
      <c r="E74" s="72">
        <f>32291.82</f>
        <v>32291.82</v>
      </c>
      <c r="F74" s="213">
        <v>33059.078406666697</v>
      </c>
      <c r="G74" s="72">
        <f t="shared" si="7"/>
        <v>767.25840666669706</v>
      </c>
      <c r="H74" s="12"/>
      <c r="I74" s="12"/>
    </row>
    <row r="75" spans="1:9" ht="20.100000000000001" customHeight="1">
      <c r="A75" s="9">
        <v>12</v>
      </c>
      <c r="B75" s="10" t="s">
        <v>389</v>
      </c>
      <c r="C75" s="16" t="s">
        <v>382</v>
      </c>
      <c r="D75" s="9" t="s">
        <v>391</v>
      </c>
      <c r="E75" s="72">
        <f>24685.95</f>
        <v>24685.95</v>
      </c>
      <c r="F75" s="213">
        <v>29058.4826046667</v>
      </c>
      <c r="G75" s="72">
        <f t="shared" si="7"/>
        <v>4372.5326046666996</v>
      </c>
      <c r="H75" s="12"/>
      <c r="I75" s="12"/>
    </row>
    <row r="76" spans="1:9" ht="20.100000000000001" customHeight="1">
      <c r="A76" s="9">
        <v>13</v>
      </c>
      <c r="B76" s="13" t="s">
        <v>381</v>
      </c>
      <c r="C76" s="16" t="s">
        <v>382</v>
      </c>
      <c r="D76" s="9" t="s">
        <v>402</v>
      </c>
      <c r="E76" s="72">
        <f>24685.95</f>
        <v>24685.95</v>
      </c>
      <c r="F76" s="213">
        <v>25271.771466666702</v>
      </c>
      <c r="G76" s="72">
        <f t="shared" si="7"/>
        <v>585.82146666670099</v>
      </c>
      <c r="H76" s="12"/>
      <c r="I76" s="12"/>
    </row>
    <row r="77" spans="1:9" ht="20.100000000000001" customHeight="1">
      <c r="A77" s="9"/>
      <c r="B77" s="19" t="s">
        <v>42</v>
      </c>
      <c r="C77" s="20">
        <v>13</v>
      </c>
      <c r="D77" s="20"/>
      <c r="E77" s="80" t="e">
        <f t="shared" ref="E77:G77" si="8">SUM(E64:E76)</f>
        <v>#REF!</v>
      </c>
      <c r="F77" s="80">
        <f t="shared" si="8"/>
        <v>701592.52869266702</v>
      </c>
      <c r="G77" s="80" t="e">
        <f t="shared" si="8"/>
        <v>#REF!</v>
      </c>
      <c r="H77" s="12"/>
      <c r="I77" s="12"/>
    </row>
    <row r="78" spans="1:9" ht="20.100000000000001" customHeight="1">
      <c r="A78" s="9"/>
      <c r="B78" s="21"/>
      <c r="C78" s="20"/>
      <c r="D78" s="20"/>
      <c r="E78" s="134"/>
      <c r="F78" s="215"/>
      <c r="G78" s="134"/>
      <c r="H78" s="12"/>
      <c r="I78" s="12"/>
    </row>
    <row r="79" spans="1:9" ht="20.100000000000001" customHeight="1">
      <c r="A79" s="9"/>
      <c r="B79" s="19" t="s">
        <v>65</v>
      </c>
      <c r="C79" s="20"/>
      <c r="D79" s="20"/>
      <c r="E79" s="134"/>
      <c r="F79" s="215"/>
      <c r="G79" s="134"/>
      <c r="H79" s="12"/>
      <c r="I79" s="12"/>
    </row>
    <row r="80" spans="1:9" ht="20.100000000000001" customHeight="1">
      <c r="A80" s="9">
        <v>1</v>
      </c>
      <c r="B80" s="10" t="s">
        <v>446</v>
      </c>
      <c r="C80" s="3" t="s">
        <v>447</v>
      </c>
      <c r="D80" s="9" t="s">
        <v>405</v>
      </c>
      <c r="E80" s="72">
        <f>180306.81</f>
        <v>180306.81</v>
      </c>
      <c r="F80" s="213">
        <v>180306.806858667</v>
      </c>
      <c r="G80" s="72">
        <f>F80-E80</f>
        <v>-3.1413329998031302E-3</v>
      </c>
      <c r="H80" s="12"/>
      <c r="I80" s="12"/>
    </row>
    <row r="81" spans="1:9" ht="20.100000000000001" customHeight="1">
      <c r="A81" s="9">
        <v>2</v>
      </c>
      <c r="B81" s="13" t="s">
        <v>331</v>
      </c>
      <c r="C81" s="3" t="s">
        <v>76</v>
      </c>
      <c r="D81" s="14" t="s">
        <v>1054</v>
      </c>
      <c r="E81" s="72">
        <f>75572.92</f>
        <v>75572.92</v>
      </c>
      <c r="F81" s="213">
        <v>75572.915690666705</v>
      </c>
      <c r="G81" s="72">
        <f t="shared" ref="G81:G84" si="9">F81-E81</f>
        <v>-4.3093332933494804E-3</v>
      </c>
      <c r="H81" s="12"/>
      <c r="I81" s="12"/>
    </row>
    <row r="82" spans="1:9" ht="20.100000000000001" customHeight="1">
      <c r="A82" s="9">
        <v>3</v>
      </c>
      <c r="B82" s="13" t="s">
        <v>1216</v>
      </c>
      <c r="C82" s="3" t="s">
        <v>1217</v>
      </c>
      <c r="D82" s="14" t="s">
        <v>1054</v>
      </c>
      <c r="E82" s="72">
        <f>75572.92</f>
        <v>75572.92</v>
      </c>
      <c r="F82" s="213">
        <v>75572.915690666705</v>
      </c>
      <c r="G82" s="72">
        <f t="shared" si="9"/>
        <v>-4.3093332933494804E-3</v>
      </c>
      <c r="H82" s="12"/>
      <c r="I82" s="12"/>
    </row>
    <row r="83" spans="1:9" ht="20.100000000000001" customHeight="1">
      <c r="A83" s="9">
        <v>4</v>
      </c>
      <c r="B83" s="10" t="s">
        <v>448</v>
      </c>
      <c r="C83" s="3" t="s">
        <v>1069</v>
      </c>
      <c r="D83" s="14" t="s">
        <v>375</v>
      </c>
      <c r="E83" s="72">
        <v>48170.87</v>
      </c>
      <c r="F83" s="213">
        <v>49548.776186666699</v>
      </c>
      <c r="G83" s="72">
        <f t="shared" si="9"/>
        <v>1377.9061866667</v>
      </c>
      <c r="H83" s="12"/>
      <c r="I83" s="12"/>
    </row>
    <row r="84" spans="1:9" ht="20.100000000000001" customHeight="1">
      <c r="A84" s="9">
        <v>5</v>
      </c>
      <c r="B84" s="10" t="s">
        <v>451</v>
      </c>
      <c r="C84" s="3" t="s">
        <v>452</v>
      </c>
      <c r="D84" s="9" t="s">
        <v>409</v>
      </c>
      <c r="E84" s="72">
        <f>32291.82</f>
        <v>32291.82</v>
      </c>
      <c r="F84" s="213">
        <v>33059.078406666697</v>
      </c>
      <c r="G84" s="72">
        <f t="shared" si="9"/>
        <v>767.25840666669706</v>
      </c>
      <c r="H84" s="12"/>
      <c r="I84" s="12"/>
    </row>
    <row r="85" spans="1:9" ht="20.100000000000001" customHeight="1">
      <c r="A85" s="9"/>
      <c r="B85" s="19" t="s">
        <v>42</v>
      </c>
      <c r="C85" s="20">
        <v>5</v>
      </c>
      <c r="D85" s="20"/>
      <c r="E85" s="80">
        <f t="shared" ref="E85:G85" si="10">SUM(E80:E84)</f>
        <v>411915.34</v>
      </c>
      <c r="F85" s="80">
        <f t="shared" si="10"/>
        <v>414060.49283333402</v>
      </c>
      <c r="G85" s="80">
        <f t="shared" si="10"/>
        <v>2145.1528333338101</v>
      </c>
      <c r="H85" s="12"/>
      <c r="I85" s="12"/>
    </row>
    <row r="86" spans="1:9" ht="20.100000000000001" customHeight="1">
      <c r="A86" s="9"/>
      <c r="B86" s="19"/>
      <c r="C86" s="20"/>
      <c r="D86" s="20"/>
      <c r="E86" s="134"/>
      <c r="F86" s="213"/>
      <c r="G86" s="72"/>
      <c r="H86" s="12"/>
      <c r="I86" s="12"/>
    </row>
    <row r="87" spans="1:9" ht="20.100000000000001" customHeight="1">
      <c r="A87" s="9"/>
      <c r="B87" s="19" t="s">
        <v>74</v>
      </c>
      <c r="C87" s="24"/>
      <c r="D87" s="20"/>
      <c r="E87" s="134"/>
      <c r="F87" s="213"/>
      <c r="G87" s="72"/>
      <c r="H87" s="12"/>
      <c r="I87" s="12"/>
    </row>
    <row r="88" spans="1:9" ht="23.25" customHeight="1">
      <c r="A88" s="9">
        <v>1</v>
      </c>
      <c r="B88" s="10" t="s">
        <v>1232</v>
      </c>
      <c r="C88" s="3" t="s">
        <v>1233</v>
      </c>
      <c r="D88" s="9" t="s">
        <v>340</v>
      </c>
      <c r="E88" s="72">
        <f>97273.51</f>
        <v>97273.51</v>
      </c>
      <c r="F88" s="213">
        <v>99907.951418666693</v>
      </c>
      <c r="G88" s="72">
        <f>F88-E88</f>
        <v>2634.4414186667</v>
      </c>
      <c r="H88" s="12"/>
      <c r="I88" s="12"/>
    </row>
    <row r="89" spans="1:9" ht="20.100000000000001" customHeight="1">
      <c r="A89" s="9">
        <v>2</v>
      </c>
      <c r="B89" s="10" t="s">
        <v>457</v>
      </c>
      <c r="C89" s="3" t="s">
        <v>418</v>
      </c>
      <c r="D89" s="9" t="s">
        <v>358</v>
      </c>
      <c r="E89" s="72">
        <f>79956.94</f>
        <v>79956.94</v>
      </c>
      <c r="F89" s="213">
        <v>79956.9391466667</v>
      </c>
      <c r="G89" s="72">
        <f t="shared" ref="G89:G98" si="11">F89-E89</f>
        <v>-8.53333302075043E-4</v>
      </c>
      <c r="H89" s="12"/>
      <c r="I89" s="12"/>
    </row>
    <row r="90" spans="1:9" ht="20.100000000000001" customHeight="1">
      <c r="A90" s="9">
        <v>3</v>
      </c>
      <c r="B90" s="10" t="s">
        <v>458</v>
      </c>
      <c r="C90" s="3" t="s">
        <v>418</v>
      </c>
      <c r="D90" s="9" t="s">
        <v>358</v>
      </c>
      <c r="E90" s="72">
        <f>79796.1</f>
        <v>79796.100000000006</v>
      </c>
      <c r="F90" s="213">
        <v>79796.103146666603</v>
      </c>
      <c r="G90" s="72">
        <f t="shared" si="11"/>
        <v>3.1466665968764599E-3</v>
      </c>
      <c r="H90" s="12"/>
      <c r="I90" s="12"/>
    </row>
    <row r="91" spans="1:9" ht="20.100000000000001" customHeight="1">
      <c r="A91" s="9">
        <v>4</v>
      </c>
      <c r="B91" s="13" t="s">
        <v>493</v>
      </c>
      <c r="C91" s="3" t="s">
        <v>365</v>
      </c>
      <c r="D91" s="9" t="s">
        <v>363</v>
      </c>
      <c r="E91" s="72">
        <f>57894.08</f>
        <v>57894.080000000002</v>
      </c>
      <c r="F91" s="213">
        <v>59441.782042666702</v>
      </c>
      <c r="G91" s="72">
        <f t="shared" si="11"/>
        <v>1547.7020426667</v>
      </c>
      <c r="H91" s="12"/>
      <c r="I91" s="12"/>
    </row>
    <row r="92" spans="1:9" ht="20.100000000000001" customHeight="1">
      <c r="A92" s="9">
        <v>5</v>
      </c>
      <c r="B92" s="10" t="s">
        <v>459</v>
      </c>
      <c r="C92" s="3" t="s">
        <v>368</v>
      </c>
      <c r="D92" s="9" t="s">
        <v>366</v>
      </c>
      <c r="E92" s="72">
        <f>56478.9</f>
        <v>56478.9</v>
      </c>
      <c r="F92" s="213">
        <v>58026.609434666701</v>
      </c>
      <c r="G92" s="72">
        <f t="shared" si="11"/>
        <v>1547.7094346667</v>
      </c>
      <c r="H92" s="12"/>
      <c r="I92" s="12"/>
    </row>
    <row r="93" spans="1:9" ht="21.6" customHeight="1">
      <c r="A93" s="9">
        <v>6</v>
      </c>
      <c r="B93" s="10" t="s">
        <v>460</v>
      </c>
      <c r="C93" s="3" t="s">
        <v>461</v>
      </c>
      <c r="D93" s="14" t="s">
        <v>375</v>
      </c>
      <c r="E93" s="72">
        <f>48170.87</f>
        <v>48170.87</v>
      </c>
      <c r="F93" s="213">
        <v>49548.776186666699</v>
      </c>
      <c r="G93" s="72">
        <f t="shared" si="11"/>
        <v>1377.9061866667</v>
      </c>
      <c r="H93" s="12"/>
      <c r="I93" s="12"/>
    </row>
    <row r="94" spans="1:9" ht="21.6" customHeight="1">
      <c r="A94" s="9">
        <v>7</v>
      </c>
      <c r="B94" s="10" t="s">
        <v>462</v>
      </c>
      <c r="C94" s="11" t="s">
        <v>231</v>
      </c>
      <c r="D94" s="14" t="s">
        <v>1052</v>
      </c>
      <c r="E94" s="72">
        <f>46673.26</f>
        <v>46673.26</v>
      </c>
      <c r="F94" s="213">
        <v>48170.870282666699</v>
      </c>
      <c r="G94" s="72">
        <f t="shared" si="11"/>
        <v>1497.6102826667</v>
      </c>
      <c r="H94" s="12"/>
      <c r="I94" s="12"/>
    </row>
    <row r="95" spans="1:9" ht="21.6" customHeight="1">
      <c r="A95" s="9">
        <v>8</v>
      </c>
      <c r="B95" s="10" t="s">
        <v>463</v>
      </c>
      <c r="C95" s="11" t="s">
        <v>231</v>
      </c>
      <c r="D95" s="14" t="s">
        <v>1052</v>
      </c>
      <c r="E95" s="72">
        <f>46673.26</f>
        <v>46673.26</v>
      </c>
      <c r="F95" s="213">
        <v>48170.870282666699</v>
      </c>
      <c r="G95" s="72">
        <f t="shared" si="11"/>
        <v>1497.6102826667</v>
      </c>
      <c r="H95" s="12"/>
      <c r="I95" s="12"/>
    </row>
    <row r="96" spans="1:9" ht="21.6" customHeight="1">
      <c r="A96" s="9">
        <v>9</v>
      </c>
      <c r="B96" s="10" t="s">
        <v>464</v>
      </c>
      <c r="C96" s="16" t="s">
        <v>34</v>
      </c>
      <c r="D96" s="14" t="s">
        <v>32</v>
      </c>
      <c r="E96" s="72">
        <f>40149.18</f>
        <v>40149.18</v>
      </c>
      <c r="F96" s="213">
        <v>40149.175266666702</v>
      </c>
      <c r="G96" s="72">
        <f t="shared" si="11"/>
        <v>-4.7333332986454497E-3</v>
      </c>
      <c r="H96" s="12"/>
      <c r="I96" s="12"/>
    </row>
    <row r="97" spans="1:9" ht="21.6" customHeight="1">
      <c r="A97" s="9">
        <v>10</v>
      </c>
      <c r="B97" s="10" t="s">
        <v>466</v>
      </c>
      <c r="C97" s="3" t="s">
        <v>467</v>
      </c>
      <c r="D97" s="9" t="s">
        <v>37</v>
      </c>
      <c r="E97" s="72">
        <v>0</v>
      </c>
      <c r="F97" s="213">
        <v>0</v>
      </c>
      <c r="G97" s="72">
        <f t="shared" si="11"/>
        <v>0</v>
      </c>
      <c r="H97" s="12"/>
      <c r="I97" s="12"/>
    </row>
    <row r="98" spans="1:9" ht="21.6" customHeight="1">
      <c r="A98" s="9">
        <v>11</v>
      </c>
      <c r="B98" s="10" t="s">
        <v>468</v>
      </c>
      <c r="C98" s="16" t="s">
        <v>469</v>
      </c>
      <c r="D98" s="14" t="s">
        <v>402</v>
      </c>
      <c r="E98" s="72">
        <f>24685.95</f>
        <v>24685.95</v>
      </c>
      <c r="F98" s="213">
        <v>24749.797062666701</v>
      </c>
      <c r="G98" s="72">
        <f t="shared" si="11"/>
        <v>63.847062666700403</v>
      </c>
      <c r="H98" s="12"/>
      <c r="I98" s="12"/>
    </row>
    <row r="99" spans="1:9" ht="20.100000000000001" customHeight="1">
      <c r="A99" s="9"/>
      <c r="B99" s="19" t="s">
        <v>42</v>
      </c>
      <c r="C99" s="20">
        <v>11</v>
      </c>
      <c r="D99" s="20"/>
      <c r="E99" s="80">
        <f>SUM(E88:E98)</f>
        <v>577752.05000000005</v>
      </c>
      <c r="F99" s="80">
        <f t="shared" ref="F99:G99" si="12">SUM(F88:F98)</f>
        <v>587918.87427066697</v>
      </c>
      <c r="G99" s="80">
        <f t="shared" si="12"/>
        <v>10166.824270666901</v>
      </c>
      <c r="H99" s="12"/>
      <c r="I99" s="12"/>
    </row>
    <row r="100" spans="1:9" ht="20.100000000000001" customHeight="1">
      <c r="A100" s="9"/>
      <c r="B100" s="21"/>
      <c r="C100" s="20"/>
      <c r="D100" s="20"/>
      <c r="E100" s="134"/>
      <c r="F100" s="215"/>
      <c r="G100" s="134"/>
      <c r="H100" s="12"/>
      <c r="I100" s="12"/>
    </row>
    <row r="101" spans="1:9" ht="20.100000000000001" customHeight="1">
      <c r="A101" s="9"/>
      <c r="B101" s="19" t="s">
        <v>84</v>
      </c>
      <c r="C101" s="20"/>
      <c r="D101" s="20"/>
      <c r="E101" s="134"/>
      <c r="F101" s="215"/>
      <c r="G101" s="134"/>
      <c r="H101" s="12"/>
      <c r="I101" s="12"/>
    </row>
    <row r="102" spans="1:9" ht="20.100000000000001" customHeight="1">
      <c r="A102" s="9">
        <v>1</v>
      </c>
      <c r="B102" s="17" t="s">
        <v>341</v>
      </c>
      <c r="C102" s="9" t="s">
        <v>342</v>
      </c>
      <c r="D102" s="14" t="s">
        <v>416</v>
      </c>
      <c r="E102" s="72">
        <f>79993.51</f>
        <v>79993.509999999995</v>
      </c>
      <c r="F102" s="213">
        <v>79993.513850666699</v>
      </c>
      <c r="G102" s="72">
        <f>F102-E102</f>
        <v>3.8506667042383898E-3</v>
      </c>
      <c r="H102" s="12"/>
      <c r="I102" s="12"/>
    </row>
    <row r="103" spans="1:9" ht="20.100000000000001" customHeight="1">
      <c r="A103" s="9">
        <v>2</v>
      </c>
      <c r="B103" s="10" t="s">
        <v>359</v>
      </c>
      <c r="C103" s="3" t="s">
        <v>474</v>
      </c>
      <c r="D103" s="9" t="s">
        <v>366</v>
      </c>
      <c r="E103" s="72">
        <f>43380.1</f>
        <v>43380.1</v>
      </c>
      <c r="F103" s="213">
        <v>44734.339388666704</v>
      </c>
      <c r="G103" s="72">
        <f t="shared" ref="G103:G105" si="13">F103-E103</f>
        <v>1354.2393886667101</v>
      </c>
      <c r="H103" s="12"/>
      <c r="I103" s="12"/>
    </row>
    <row r="104" spans="1:9" ht="20.100000000000001" customHeight="1">
      <c r="A104" s="9">
        <v>3</v>
      </c>
      <c r="B104" s="17" t="s">
        <v>1234</v>
      </c>
      <c r="C104" s="3" t="s">
        <v>1235</v>
      </c>
      <c r="D104" s="14" t="s">
        <v>1052</v>
      </c>
      <c r="E104" s="72">
        <f>38272.44</f>
        <v>38272.44</v>
      </c>
      <c r="F104" s="213">
        <v>39582.844830666698</v>
      </c>
      <c r="G104" s="72">
        <f t="shared" si="13"/>
        <v>1310.4048306667</v>
      </c>
      <c r="H104" s="12"/>
      <c r="I104" s="12"/>
    </row>
    <row r="105" spans="1:9" ht="20.100000000000001" customHeight="1">
      <c r="A105" s="9">
        <v>4</v>
      </c>
      <c r="B105" s="10" t="s">
        <v>475</v>
      </c>
      <c r="C105" s="3" t="s">
        <v>476</v>
      </c>
      <c r="D105" s="14" t="s">
        <v>440</v>
      </c>
      <c r="E105" s="72" t="e">
        <f>#REF!</f>
        <v>#REF!</v>
      </c>
      <c r="F105" s="213">
        <v>32098.951098666701</v>
      </c>
      <c r="G105" s="72" t="e">
        <f t="shared" si="13"/>
        <v>#REF!</v>
      </c>
      <c r="H105" s="12"/>
      <c r="I105" s="12"/>
    </row>
    <row r="106" spans="1:9" ht="20.100000000000001" customHeight="1">
      <c r="A106" s="3"/>
      <c r="B106" s="19" t="s">
        <v>42</v>
      </c>
      <c r="C106" s="20">
        <v>4</v>
      </c>
      <c r="D106" s="25"/>
      <c r="E106" s="80" t="e">
        <f t="shared" ref="E106:G106" si="14">SUM(E102:E105)</f>
        <v>#REF!</v>
      </c>
      <c r="F106" s="80">
        <f t="shared" si="14"/>
        <v>196409.64916866701</v>
      </c>
      <c r="G106" s="80" t="e">
        <f t="shared" si="14"/>
        <v>#REF!</v>
      </c>
      <c r="H106" s="12"/>
      <c r="I106" s="12"/>
    </row>
    <row r="107" spans="1:9" ht="20.100000000000001" customHeight="1">
      <c r="A107" s="3"/>
      <c r="B107" s="21"/>
      <c r="C107" s="20"/>
      <c r="D107" s="25"/>
      <c r="E107" s="134"/>
      <c r="F107" s="215"/>
      <c r="G107" s="134"/>
      <c r="H107" s="12"/>
      <c r="I107" s="12"/>
    </row>
    <row r="108" spans="1:9" ht="20.100000000000001" customHeight="1">
      <c r="A108" s="3"/>
      <c r="B108" s="19" t="s">
        <v>479</v>
      </c>
      <c r="C108" s="3"/>
      <c r="D108" s="3"/>
      <c r="E108" s="3"/>
      <c r="F108" s="216"/>
      <c r="G108" s="3"/>
      <c r="H108" s="12"/>
      <c r="I108" s="12"/>
    </row>
    <row r="109" spans="1:9" ht="20.100000000000001" customHeight="1">
      <c r="A109" s="3">
        <v>1</v>
      </c>
      <c r="B109" s="10" t="s">
        <v>480</v>
      </c>
      <c r="C109" s="11" t="s">
        <v>481</v>
      </c>
      <c r="D109" s="14" t="s">
        <v>405</v>
      </c>
      <c r="E109" s="72">
        <f>180306.81</f>
        <v>180306.81</v>
      </c>
      <c r="F109" s="213">
        <v>180145.97085866699</v>
      </c>
      <c r="G109" s="72">
        <f>F109-E109</f>
        <v>-160.83914133300999</v>
      </c>
      <c r="H109" s="12"/>
      <c r="I109" s="12"/>
    </row>
    <row r="110" spans="1:9" ht="20.100000000000001" customHeight="1">
      <c r="A110" s="3">
        <v>2</v>
      </c>
      <c r="B110" s="10" t="s">
        <v>482</v>
      </c>
      <c r="C110" s="3" t="s">
        <v>483</v>
      </c>
      <c r="D110" s="15" t="s">
        <v>416</v>
      </c>
      <c r="E110" s="72" t="e">
        <f>#REF!</f>
        <v>#REF!</v>
      </c>
      <c r="F110" s="213">
        <v>97147.085210666701</v>
      </c>
      <c r="G110" s="72" t="e">
        <f t="shared" ref="G110:G115" si="15">F110-E110</f>
        <v>#REF!</v>
      </c>
      <c r="H110" s="12"/>
      <c r="I110" s="12"/>
    </row>
    <row r="111" spans="1:9" ht="20.100000000000001" customHeight="1">
      <c r="A111" s="3">
        <v>3</v>
      </c>
      <c r="B111" s="10" t="s">
        <v>484</v>
      </c>
      <c r="C111" s="3" t="s">
        <v>485</v>
      </c>
      <c r="D111" s="9" t="s">
        <v>372</v>
      </c>
      <c r="E111" s="72">
        <f>58814.67</f>
        <v>58814.67</v>
      </c>
      <c r="F111" s="213">
        <v>58941.101743466701</v>
      </c>
      <c r="G111" s="72">
        <f t="shared" si="15"/>
        <v>126.431743466703</v>
      </c>
      <c r="H111" s="12"/>
      <c r="I111" s="12"/>
    </row>
    <row r="112" spans="1:9" ht="20.100000000000001" customHeight="1">
      <c r="A112" s="3">
        <v>4</v>
      </c>
      <c r="B112" s="10" t="s">
        <v>486</v>
      </c>
      <c r="C112" s="3" t="s">
        <v>485</v>
      </c>
      <c r="D112" s="9" t="s">
        <v>372</v>
      </c>
      <c r="E112" s="72">
        <f>57194.24</f>
        <v>57194.239999999998</v>
      </c>
      <c r="F112" s="213">
        <v>58941.101743466701</v>
      </c>
      <c r="G112" s="72">
        <f t="shared" si="15"/>
        <v>1746.8617434667001</v>
      </c>
      <c r="H112" s="12"/>
      <c r="I112" s="12"/>
    </row>
    <row r="113" spans="1:9" ht="20.100000000000001" customHeight="1">
      <c r="A113" s="3">
        <v>5</v>
      </c>
      <c r="B113" s="10" t="s">
        <v>487</v>
      </c>
      <c r="C113" s="3" t="s">
        <v>488</v>
      </c>
      <c r="D113" s="14" t="s">
        <v>491</v>
      </c>
      <c r="E113" s="72">
        <f>30699.58</f>
        <v>30699.58</v>
      </c>
      <c r="F113" s="213">
        <v>31285.603203306699</v>
      </c>
      <c r="G113" s="72">
        <f t="shared" si="15"/>
        <v>586.02320330669704</v>
      </c>
      <c r="H113" s="12"/>
      <c r="I113" s="12"/>
    </row>
    <row r="114" spans="1:9" ht="20.100000000000001" customHeight="1">
      <c r="A114" s="3">
        <v>6</v>
      </c>
      <c r="B114" s="17" t="s">
        <v>490</v>
      </c>
      <c r="C114" s="3" t="s">
        <v>488</v>
      </c>
      <c r="D114" s="9" t="s">
        <v>1048</v>
      </c>
      <c r="E114" s="72">
        <f>30049.31</f>
        <v>30049.31</v>
      </c>
      <c r="F114" s="213">
        <v>30635.120688666699</v>
      </c>
      <c r="G114" s="72">
        <f t="shared" si="15"/>
        <v>585.81068866669705</v>
      </c>
      <c r="H114" s="12"/>
      <c r="I114" s="12"/>
    </row>
    <row r="115" spans="1:9" ht="20.100000000000001" customHeight="1">
      <c r="A115" s="3">
        <v>7</v>
      </c>
      <c r="B115" s="17" t="s">
        <v>492</v>
      </c>
      <c r="C115" s="3" t="s">
        <v>488</v>
      </c>
      <c r="D115" s="14" t="s">
        <v>402</v>
      </c>
      <c r="E115" s="72">
        <f>28813.07</f>
        <v>28813.07</v>
      </c>
      <c r="F115" s="213">
        <v>29055.584161426701</v>
      </c>
      <c r="G115" s="72">
        <f t="shared" si="15"/>
        <v>242.51416142670101</v>
      </c>
      <c r="H115" s="12"/>
      <c r="I115" s="12"/>
    </row>
    <row r="116" spans="1:9" ht="20.100000000000001" customHeight="1">
      <c r="A116" s="3"/>
      <c r="B116" s="19" t="s">
        <v>42</v>
      </c>
      <c r="C116" s="20">
        <v>7</v>
      </c>
      <c r="D116" s="3"/>
      <c r="E116" s="205" t="e">
        <f t="shared" ref="E116:G116" si="16">SUM(E109:E115)</f>
        <v>#REF!</v>
      </c>
      <c r="F116" s="205">
        <f t="shared" si="16"/>
        <v>486151.56760966702</v>
      </c>
      <c r="G116" s="205" t="e">
        <f t="shared" si="16"/>
        <v>#REF!</v>
      </c>
      <c r="H116" s="12"/>
      <c r="I116" s="12"/>
    </row>
    <row r="117" spans="1:9" ht="20.100000000000001" customHeight="1">
      <c r="A117" s="3"/>
      <c r="B117" s="21"/>
      <c r="C117" s="9"/>
      <c r="D117" s="3"/>
      <c r="E117" s="206"/>
      <c r="F117" s="217"/>
      <c r="G117" s="206"/>
      <c r="H117" s="12"/>
      <c r="I117" s="12"/>
    </row>
    <row r="118" spans="1:9" ht="20.100000000000001" customHeight="1">
      <c r="A118" s="3"/>
      <c r="B118" s="19" t="s">
        <v>97</v>
      </c>
      <c r="C118" s="20"/>
      <c r="D118" s="20"/>
      <c r="E118" s="134"/>
      <c r="F118" s="213"/>
      <c r="G118" s="72"/>
      <c r="H118" s="12"/>
      <c r="I118" s="12"/>
    </row>
    <row r="119" spans="1:9" ht="20.100000000000001" customHeight="1">
      <c r="A119" s="3">
        <v>1</v>
      </c>
      <c r="B119" s="10" t="s">
        <v>499</v>
      </c>
      <c r="C119" s="11" t="s">
        <v>500</v>
      </c>
      <c r="D119" s="14" t="s">
        <v>405</v>
      </c>
      <c r="E119" s="72">
        <f>179914.45</f>
        <v>179914.45</v>
      </c>
      <c r="F119" s="213">
        <v>179914.45469866699</v>
      </c>
      <c r="G119" s="72">
        <f>F119-E119</f>
        <v>4.6986669767647999E-3</v>
      </c>
      <c r="H119" s="12"/>
      <c r="I119" s="12"/>
    </row>
    <row r="120" spans="1:9" ht="20.100000000000001" customHeight="1">
      <c r="A120" s="3" t="s">
        <v>1236</v>
      </c>
      <c r="B120" s="10" t="s">
        <v>1237</v>
      </c>
      <c r="C120" s="11" t="s">
        <v>1238</v>
      </c>
      <c r="D120" s="14" t="s">
        <v>340</v>
      </c>
      <c r="E120" s="72">
        <f>101827.95</f>
        <v>101827.95</v>
      </c>
      <c r="F120" s="213">
        <v>101827.951418667</v>
      </c>
      <c r="G120" s="72">
        <f t="shared" ref="G120:G129" si="17">F120-E120</f>
        <v>1.41866700141691E-3</v>
      </c>
      <c r="H120" s="12"/>
      <c r="I120" s="12"/>
    </row>
    <row r="121" spans="1:9" ht="20.100000000000001" customHeight="1">
      <c r="A121" s="3">
        <v>3</v>
      </c>
      <c r="B121" s="10" t="s">
        <v>178</v>
      </c>
      <c r="C121" s="11" t="s">
        <v>337</v>
      </c>
      <c r="D121" s="14" t="s">
        <v>358</v>
      </c>
      <c r="E121" s="72">
        <f>83636.1</f>
        <v>83636.100000000006</v>
      </c>
      <c r="F121" s="213">
        <v>83636.103146666603</v>
      </c>
      <c r="G121" s="72">
        <f t="shared" si="17"/>
        <v>3.1466665968764599E-3</v>
      </c>
      <c r="H121" s="12"/>
      <c r="I121" s="12"/>
    </row>
    <row r="122" spans="1:9" ht="20.100000000000001" customHeight="1">
      <c r="A122" s="3">
        <v>4</v>
      </c>
      <c r="B122" s="13" t="s">
        <v>502</v>
      </c>
      <c r="C122" s="11" t="s">
        <v>337</v>
      </c>
      <c r="D122" s="14" t="s">
        <v>358</v>
      </c>
      <c r="E122" s="72">
        <f>64436.1</f>
        <v>64436.1</v>
      </c>
      <c r="F122" s="213">
        <v>64436.103146666697</v>
      </c>
      <c r="G122" s="72">
        <f t="shared" si="17"/>
        <v>3.14666669873986E-3</v>
      </c>
      <c r="H122" s="12"/>
      <c r="I122" s="12"/>
    </row>
    <row r="123" spans="1:9" ht="20.100000000000001" customHeight="1">
      <c r="A123" s="3">
        <v>5</v>
      </c>
      <c r="B123" s="13" t="s">
        <v>336</v>
      </c>
      <c r="C123" s="11" t="s">
        <v>337</v>
      </c>
      <c r="D123" s="14" t="s">
        <v>99</v>
      </c>
      <c r="E123" s="72">
        <f>60212.92</f>
        <v>60212.92</v>
      </c>
      <c r="F123" s="213">
        <v>60212.915690666698</v>
      </c>
      <c r="G123" s="72">
        <f t="shared" si="17"/>
        <v>-4.3093333006254397E-3</v>
      </c>
      <c r="H123" s="12"/>
      <c r="I123" s="12"/>
    </row>
    <row r="124" spans="1:9" ht="20.100000000000001" customHeight="1">
      <c r="A124" s="3">
        <v>6</v>
      </c>
      <c r="B124" s="10" t="s">
        <v>503</v>
      </c>
      <c r="C124" s="11" t="s">
        <v>504</v>
      </c>
      <c r="D124" s="14" t="s">
        <v>450</v>
      </c>
      <c r="E124" s="72" t="e">
        <f>#REF!</f>
        <v>#REF!</v>
      </c>
      <c r="F124" s="213">
        <v>42652.373376666699</v>
      </c>
      <c r="G124" s="72" t="e">
        <f t="shared" si="17"/>
        <v>#REF!</v>
      </c>
      <c r="H124" s="12"/>
      <c r="I124" s="12"/>
    </row>
    <row r="125" spans="1:9" ht="20.100000000000001" customHeight="1">
      <c r="A125" s="3">
        <v>7</v>
      </c>
      <c r="B125" s="10" t="s">
        <v>505</v>
      </c>
      <c r="C125" s="11" t="s">
        <v>506</v>
      </c>
      <c r="D125" s="14" t="s">
        <v>375</v>
      </c>
      <c r="E125" s="72">
        <f>44518.93</f>
        <v>44518.93</v>
      </c>
      <c r="F125" s="213">
        <v>45724.599176666699</v>
      </c>
      <c r="G125" s="72">
        <f t="shared" si="17"/>
        <v>1205.6691766667</v>
      </c>
      <c r="H125" s="12"/>
      <c r="I125" s="12"/>
    </row>
    <row r="126" spans="1:9" ht="20.100000000000001" customHeight="1">
      <c r="A126" s="3">
        <v>8</v>
      </c>
      <c r="B126" s="10" t="s">
        <v>507</v>
      </c>
      <c r="C126" s="11" t="s">
        <v>1071</v>
      </c>
      <c r="D126" s="14" t="s">
        <v>375</v>
      </c>
      <c r="E126" s="72">
        <f>39478.93</f>
        <v>39478.93</v>
      </c>
      <c r="F126" s="213">
        <v>40684.599176666699</v>
      </c>
      <c r="G126" s="72">
        <f t="shared" si="17"/>
        <v>1205.6691766667</v>
      </c>
      <c r="H126" s="12"/>
      <c r="I126" s="12"/>
    </row>
    <row r="127" spans="1:9" ht="20.100000000000001" customHeight="1">
      <c r="A127" s="3">
        <v>9</v>
      </c>
      <c r="B127" s="17" t="s">
        <v>1239</v>
      </c>
      <c r="C127" s="11" t="s">
        <v>1240</v>
      </c>
      <c r="D127" s="14" t="s">
        <v>378</v>
      </c>
      <c r="E127" s="72">
        <f>38272.44</f>
        <v>38272.44</v>
      </c>
      <c r="F127" s="213">
        <v>39582.844830666698</v>
      </c>
      <c r="G127" s="72">
        <f t="shared" si="17"/>
        <v>1310.4048306667</v>
      </c>
      <c r="H127" s="12"/>
      <c r="I127" s="12"/>
    </row>
    <row r="128" spans="1:9" ht="20.100000000000001" customHeight="1">
      <c r="A128" s="3">
        <v>10</v>
      </c>
      <c r="B128" s="10" t="s">
        <v>508</v>
      </c>
      <c r="C128" s="11" t="s">
        <v>509</v>
      </c>
      <c r="D128" s="9" t="s">
        <v>391</v>
      </c>
      <c r="E128" s="72">
        <f>21640.95</f>
        <v>21640.95</v>
      </c>
      <c r="F128" s="213">
        <v>22338.4826046667</v>
      </c>
      <c r="G128" s="72">
        <f t="shared" si="17"/>
        <v>697.53260466669997</v>
      </c>
      <c r="H128" s="12"/>
      <c r="I128" s="12"/>
    </row>
    <row r="129" spans="1:9" ht="20.100000000000001" customHeight="1">
      <c r="A129" s="3">
        <v>11</v>
      </c>
      <c r="B129" s="17" t="s">
        <v>510</v>
      </c>
      <c r="C129" s="11" t="s">
        <v>511</v>
      </c>
      <c r="D129" s="14" t="s">
        <v>402</v>
      </c>
      <c r="E129" s="72">
        <f>25245.23</f>
        <v>25245.23</v>
      </c>
      <c r="F129" s="213">
        <v>17042.713866666702</v>
      </c>
      <c r="G129" s="72">
        <f t="shared" si="17"/>
        <v>-8202.5161333332999</v>
      </c>
      <c r="H129" s="12"/>
      <c r="I129" s="12"/>
    </row>
    <row r="130" spans="1:9" ht="20.100000000000001" customHeight="1">
      <c r="A130" s="3"/>
      <c r="B130" s="19" t="s">
        <v>42</v>
      </c>
      <c r="C130" s="25" t="s">
        <v>1241</v>
      </c>
      <c r="D130" s="14"/>
      <c r="E130" s="80" t="e">
        <f t="shared" ref="E130:G130" si="18">SUM(E119:E129)</f>
        <v>#REF!</v>
      </c>
      <c r="F130" s="80">
        <f t="shared" si="18"/>
        <v>698053.14113333402</v>
      </c>
      <c r="G130" s="80" t="e">
        <f t="shared" si="18"/>
        <v>#REF!</v>
      </c>
      <c r="H130" s="12"/>
      <c r="I130" s="12"/>
    </row>
    <row r="131" spans="1:9" ht="20.100000000000001" customHeight="1">
      <c r="A131" s="3"/>
      <c r="B131" s="21"/>
      <c r="C131" s="25"/>
      <c r="D131" s="14"/>
      <c r="E131" s="134"/>
      <c r="F131" s="215"/>
      <c r="G131" s="134"/>
      <c r="H131" s="12"/>
      <c r="I131" s="12"/>
    </row>
    <row r="132" spans="1:9" ht="20.100000000000001" customHeight="1">
      <c r="A132" s="3"/>
      <c r="B132" s="19" t="s">
        <v>103</v>
      </c>
      <c r="C132" s="11"/>
      <c r="D132" s="14"/>
      <c r="E132" s="72"/>
      <c r="F132" s="213"/>
      <c r="G132" s="72"/>
      <c r="H132" s="12"/>
      <c r="I132" s="12"/>
    </row>
    <row r="133" spans="1:9" ht="20.100000000000001" customHeight="1">
      <c r="A133" s="26">
        <v>1</v>
      </c>
      <c r="B133" s="10" t="s">
        <v>514</v>
      </c>
      <c r="C133" s="11" t="s">
        <v>515</v>
      </c>
      <c r="D133" s="14" t="s">
        <v>405</v>
      </c>
      <c r="E133" s="72">
        <f>161106.81</f>
        <v>161106.81</v>
      </c>
      <c r="F133" s="213">
        <v>161106.806858667</v>
      </c>
      <c r="G133" s="72">
        <f>F133-E133</f>
        <v>-3.1413329998031302E-3</v>
      </c>
      <c r="H133" s="12"/>
      <c r="I133" s="12"/>
    </row>
    <row r="134" spans="1:9" ht="20.100000000000001" customHeight="1">
      <c r="A134" s="26">
        <v>2</v>
      </c>
      <c r="B134" s="10" t="s">
        <v>338</v>
      </c>
      <c r="C134" s="11" t="s">
        <v>339</v>
      </c>
      <c r="D134" s="14" t="s">
        <v>340</v>
      </c>
      <c r="E134" s="72">
        <v>82627.95</v>
      </c>
      <c r="F134" s="213">
        <v>82467.115418666697</v>
      </c>
      <c r="G134" s="72">
        <f t="shared" ref="G134:G187" si="19">F134-E134</f>
        <v>-160.83458133330001</v>
      </c>
      <c r="H134" s="12"/>
      <c r="I134" s="12"/>
    </row>
    <row r="135" spans="1:9" ht="20.100000000000001" customHeight="1">
      <c r="A135" s="26">
        <v>3</v>
      </c>
      <c r="B135" s="13" t="s">
        <v>516</v>
      </c>
      <c r="C135" s="3" t="s">
        <v>517</v>
      </c>
      <c r="D135" s="15" t="s">
        <v>416</v>
      </c>
      <c r="E135" s="72" t="e">
        <f>#REF!</f>
        <v>#REF!</v>
      </c>
      <c r="F135" s="213">
        <v>89465.197050666698</v>
      </c>
      <c r="G135" s="72" t="e">
        <f t="shared" si="19"/>
        <v>#REF!</v>
      </c>
      <c r="H135" s="12"/>
      <c r="I135" s="12"/>
    </row>
    <row r="136" spans="1:9" ht="20.100000000000001" customHeight="1">
      <c r="A136" s="26">
        <v>4</v>
      </c>
      <c r="B136" s="10" t="s">
        <v>518</v>
      </c>
      <c r="C136" s="11" t="s">
        <v>519</v>
      </c>
      <c r="D136" s="14" t="s">
        <v>366</v>
      </c>
      <c r="E136" s="72">
        <f>43380.1</f>
        <v>43380.1</v>
      </c>
      <c r="F136" s="213">
        <v>44734.339388666704</v>
      </c>
      <c r="G136" s="72">
        <f t="shared" si="19"/>
        <v>1354.2393886667101</v>
      </c>
      <c r="H136" s="12"/>
      <c r="I136" s="12"/>
    </row>
    <row r="137" spans="1:9" ht="20.100000000000001" customHeight="1">
      <c r="A137" s="26">
        <v>5</v>
      </c>
      <c r="B137" s="10" t="s">
        <v>520</v>
      </c>
      <c r="C137" s="3" t="s">
        <v>521</v>
      </c>
      <c r="D137" s="14" t="s">
        <v>366</v>
      </c>
      <c r="E137" s="72">
        <f>43380.1</f>
        <v>43380.1</v>
      </c>
      <c r="F137" s="213">
        <v>44846.6165886667</v>
      </c>
      <c r="G137" s="72">
        <f t="shared" si="19"/>
        <v>1466.5165886667</v>
      </c>
      <c r="H137" s="12"/>
      <c r="I137" s="12"/>
    </row>
    <row r="138" spans="1:9" ht="20.100000000000001" customHeight="1">
      <c r="A138" s="26">
        <v>6</v>
      </c>
      <c r="B138" s="10" t="s">
        <v>473</v>
      </c>
      <c r="C138" s="3" t="s">
        <v>527</v>
      </c>
      <c r="D138" s="14" t="s">
        <v>375</v>
      </c>
      <c r="E138" s="72">
        <f>39582.84</f>
        <v>39582.839999999997</v>
      </c>
      <c r="F138" s="213">
        <v>40698.124856666698</v>
      </c>
      <c r="G138" s="72">
        <f t="shared" si="19"/>
        <v>1115.2848566667001</v>
      </c>
      <c r="H138" s="12"/>
      <c r="I138" s="12"/>
    </row>
    <row r="139" spans="1:9" ht="20.100000000000001" customHeight="1">
      <c r="A139" s="26">
        <v>7</v>
      </c>
      <c r="B139" s="10" t="s">
        <v>523</v>
      </c>
      <c r="C139" s="11" t="s">
        <v>524</v>
      </c>
      <c r="D139" s="14" t="s">
        <v>380</v>
      </c>
      <c r="E139" s="72">
        <f>32848.56</f>
        <v>32848.559999999998</v>
      </c>
      <c r="F139" s="213">
        <v>34968.882414666703</v>
      </c>
      <c r="G139" s="72">
        <f t="shared" si="19"/>
        <v>2120.3224146667098</v>
      </c>
      <c r="H139" s="12"/>
      <c r="I139" s="12"/>
    </row>
    <row r="140" spans="1:9" ht="20.100000000000001" customHeight="1">
      <c r="A140" s="26">
        <v>8</v>
      </c>
      <c r="B140" s="10" t="s">
        <v>525</v>
      </c>
      <c r="C140" s="11" t="s">
        <v>524</v>
      </c>
      <c r="D140" s="14" t="s">
        <v>380</v>
      </c>
      <c r="E140" s="72">
        <f>32938.95</f>
        <v>32938.949999999997</v>
      </c>
      <c r="F140" s="213">
        <v>34968.882414666703</v>
      </c>
      <c r="G140" s="72">
        <f t="shared" si="19"/>
        <v>2029.93241466671</v>
      </c>
      <c r="H140" s="12"/>
      <c r="I140" s="12"/>
    </row>
    <row r="141" spans="1:9" ht="20.100000000000001" customHeight="1">
      <c r="A141" s="26">
        <v>9</v>
      </c>
      <c r="B141" s="10" t="s">
        <v>526</v>
      </c>
      <c r="C141" s="3" t="s">
        <v>527</v>
      </c>
      <c r="D141" s="14" t="s">
        <v>380</v>
      </c>
      <c r="E141" s="72">
        <f>32938.95</f>
        <v>32938.949999999997</v>
      </c>
      <c r="F141" s="213">
        <v>34968.882414666703</v>
      </c>
      <c r="G141" s="72">
        <f t="shared" si="19"/>
        <v>2029.93241466671</v>
      </c>
      <c r="H141" s="12"/>
      <c r="I141" s="12"/>
    </row>
    <row r="142" spans="1:9" ht="20.100000000000001" customHeight="1">
      <c r="A142" s="26">
        <v>10</v>
      </c>
      <c r="B142" s="10" t="s">
        <v>528</v>
      </c>
      <c r="C142" s="11" t="s">
        <v>533</v>
      </c>
      <c r="D142" s="14" t="s">
        <v>440</v>
      </c>
      <c r="E142" s="72" t="e">
        <f>#REF!</f>
        <v>#REF!</v>
      </c>
      <c r="F142" s="213">
        <v>32022.168238666702</v>
      </c>
      <c r="G142" s="72" t="e">
        <f t="shared" si="19"/>
        <v>#REF!</v>
      </c>
      <c r="H142" s="12"/>
      <c r="I142" s="12"/>
    </row>
    <row r="143" spans="1:9" ht="20.100000000000001" customHeight="1">
      <c r="A143" s="26">
        <v>11</v>
      </c>
      <c r="B143" s="10" t="s">
        <v>530</v>
      </c>
      <c r="C143" s="11" t="s">
        <v>1072</v>
      </c>
      <c r="D143" s="14" t="s">
        <v>539</v>
      </c>
      <c r="E143" s="72">
        <f>27029.2</f>
        <v>27029.200000000001</v>
      </c>
      <c r="F143" s="213">
        <v>27794.206626666699</v>
      </c>
      <c r="G143" s="72">
        <f t="shared" si="19"/>
        <v>765.00662666669803</v>
      </c>
      <c r="H143" s="12"/>
      <c r="I143" s="12"/>
    </row>
    <row r="144" spans="1:9" ht="20.100000000000001" customHeight="1">
      <c r="A144" s="26">
        <v>12</v>
      </c>
      <c r="B144" s="10" t="s">
        <v>532</v>
      </c>
      <c r="C144" s="11" t="s">
        <v>533</v>
      </c>
      <c r="D144" s="14" t="s">
        <v>380</v>
      </c>
      <c r="E144" s="72" t="e">
        <f>#REF!</f>
        <v>#REF!</v>
      </c>
      <c r="F144" s="213">
        <v>34128.882414666703</v>
      </c>
      <c r="G144" s="72" t="e">
        <f t="shared" si="19"/>
        <v>#REF!</v>
      </c>
      <c r="H144" s="12"/>
      <c r="I144" s="12"/>
    </row>
    <row r="145" spans="1:9" ht="20.100000000000001" customHeight="1">
      <c r="A145" s="26">
        <v>13</v>
      </c>
      <c r="B145" s="10" t="s">
        <v>536</v>
      </c>
      <c r="C145" s="3" t="s">
        <v>537</v>
      </c>
      <c r="D145" s="14" t="s">
        <v>409</v>
      </c>
      <c r="E145" s="72">
        <f>26339.08</f>
        <v>26339.08</v>
      </c>
      <c r="F145" s="213">
        <v>27031.2933426667</v>
      </c>
      <c r="G145" s="72">
        <f t="shared" si="19"/>
        <v>692.21334266669896</v>
      </c>
      <c r="H145" s="12"/>
      <c r="I145" s="12"/>
    </row>
    <row r="146" spans="1:9" ht="20.100000000000001" customHeight="1">
      <c r="A146" s="26">
        <v>14</v>
      </c>
      <c r="B146" s="10" t="s">
        <v>538</v>
      </c>
      <c r="C146" s="3" t="s">
        <v>537</v>
      </c>
      <c r="D146" s="14" t="s">
        <v>453</v>
      </c>
      <c r="E146" s="72">
        <f>26264.39</f>
        <v>26264.39</v>
      </c>
      <c r="F146" s="213">
        <v>27105.986562666702</v>
      </c>
      <c r="G146" s="72">
        <f t="shared" si="19"/>
        <v>841.59656266670197</v>
      </c>
      <c r="H146" s="12"/>
      <c r="I146" s="12"/>
    </row>
    <row r="147" spans="1:9" ht="20.100000000000001" customHeight="1">
      <c r="A147" s="26">
        <v>15</v>
      </c>
      <c r="B147" s="10" t="s">
        <v>540</v>
      </c>
      <c r="C147" s="3" t="s">
        <v>537</v>
      </c>
      <c r="D147" s="14" t="s">
        <v>453</v>
      </c>
      <c r="E147" s="72">
        <f>26339.08</f>
        <v>26339.08</v>
      </c>
      <c r="F147" s="213">
        <v>27105.986562666702</v>
      </c>
      <c r="G147" s="72">
        <f t="shared" si="19"/>
        <v>766.90656266669998</v>
      </c>
      <c r="H147" s="12"/>
      <c r="I147" s="12"/>
    </row>
    <row r="148" spans="1:9" ht="20.100000000000001" customHeight="1">
      <c r="A148" s="26">
        <v>16</v>
      </c>
      <c r="B148" s="10" t="s">
        <v>541</v>
      </c>
      <c r="C148" s="11" t="s">
        <v>542</v>
      </c>
      <c r="D148" s="14" t="s">
        <v>37</v>
      </c>
      <c r="E148" s="72">
        <f>25571.82</f>
        <v>25571.82</v>
      </c>
      <c r="F148" s="213">
        <v>25571.815728666701</v>
      </c>
      <c r="G148" s="72">
        <f t="shared" si="19"/>
        <v>-4.27133329867502E-3</v>
      </c>
      <c r="H148" s="12"/>
      <c r="I148" s="12"/>
    </row>
    <row r="149" spans="1:9" ht="20.100000000000001" customHeight="1">
      <c r="A149" s="26">
        <v>17</v>
      </c>
      <c r="B149" s="10" t="s">
        <v>1055</v>
      </c>
      <c r="C149" s="11" t="s">
        <v>544</v>
      </c>
      <c r="D149" s="9" t="s">
        <v>55</v>
      </c>
      <c r="E149" s="72">
        <f>21640.95</f>
        <v>21640.95</v>
      </c>
      <c r="F149" s="213">
        <v>21640.952862666702</v>
      </c>
      <c r="G149" s="72">
        <f t="shared" si="19"/>
        <v>2.8626667008211401E-3</v>
      </c>
      <c r="H149" s="12"/>
      <c r="I149" s="12"/>
    </row>
    <row r="150" spans="1:9" ht="20.100000000000001" customHeight="1">
      <c r="A150" s="26">
        <v>18</v>
      </c>
      <c r="B150" s="10" t="s">
        <v>545</v>
      </c>
      <c r="C150" s="11" t="s">
        <v>546</v>
      </c>
      <c r="D150" s="14" t="s">
        <v>409</v>
      </c>
      <c r="E150" s="72" t="e">
        <f>#REF!</f>
        <v>#REF!</v>
      </c>
      <c r="F150" s="213">
        <v>27105.986562666702</v>
      </c>
      <c r="G150" s="72" t="e">
        <f t="shared" si="19"/>
        <v>#REF!</v>
      </c>
      <c r="H150" s="12"/>
      <c r="I150" s="12"/>
    </row>
    <row r="151" spans="1:9" ht="20.100000000000001" customHeight="1">
      <c r="A151" s="26">
        <v>19</v>
      </c>
      <c r="B151" s="10" t="s">
        <v>547</v>
      </c>
      <c r="C151" s="11" t="s">
        <v>548</v>
      </c>
      <c r="D151" s="14" t="s">
        <v>391</v>
      </c>
      <c r="E151" s="72">
        <v>21640.95</v>
      </c>
      <c r="F151" s="213">
        <v>22281.815364666701</v>
      </c>
      <c r="G151" s="72">
        <f t="shared" si="19"/>
        <v>640.865364666701</v>
      </c>
      <c r="H151" s="12"/>
      <c r="I151" s="12"/>
    </row>
    <row r="152" spans="1:9" ht="20.100000000000001" customHeight="1">
      <c r="A152" s="26">
        <v>20</v>
      </c>
      <c r="B152" s="10" t="s">
        <v>549</v>
      </c>
      <c r="C152" s="11" t="s">
        <v>550</v>
      </c>
      <c r="D152" s="14" t="s">
        <v>409</v>
      </c>
      <c r="E152" s="72">
        <v>25571.708040666701</v>
      </c>
      <c r="F152" s="213">
        <v>27105.986562666702</v>
      </c>
      <c r="G152" s="72">
        <f t="shared" si="19"/>
        <v>1534.2785220000001</v>
      </c>
      <c r="H152" s="12"/>
      <c r="I152" s="12"/>
    </row>
    <row r="153" spans="1:9" ht="20.100000000000001" customHeight="1">
      <c r="A153" s="26">
        <v>21</v>
      </c>
      <c r="B153" s="10" t="s">
        <v>551</v>
      </c>
      <c r="C153" s="11" t="s">
        <v>552</v>
      </c>
      <c r="D153" s="14" t="s">
        <v>391</v>
      </c>
      <c r="E153" s="72">
        <f>18102.9+3538.05</f>
        <v>21640.95</v>
      </c>
      <c r="F153" s="213">
        <v>22338.4826046667</v>
      </c>
      <c r="G153" s="72">
        <f t="shared" si="19"/>
        <v>697.53260466669997</v>
      </c>
      <c r="H153" s="12"/>
      <c r="I153" s="12"/>
    </row>
    <row r="154" spans="1:9" ht="20.100000000000001" customHeight="1">
      <c r="A154" s="26">
        <v>22</v>
      </c>
      <c r="B154" s="17" t="s">
        <v>553</v>
      </c>
      <c r="C154" s="11" t="s">
        <v>558</v>
      </c>
      <c r="D154" s="14" t="s">
        <v>1228</v>
      </c>
      <c r="E154" s="72">
        <f>17572.89</f>
        <v>17572.89</v>
      </c>
      <c r="F154" s="213">
        <v>18102.902732666698</v>
      </c>
      <c r="G154" s="72">
        <f t="shared" si="19"/>
        <v>530.01273266669898</v>
      </c>
      <c r="H154" s="12"/>
      <c r="I154" s="12"/>
    </row>
    <row r="155" spans="1:9" ht="20.100000000000001" customHeight="1">
      <c r="A155" s="26">
        <v>23</v>
      </c>
      <c r="B155" s="17" t="s">
        <v>1242</v>
      </c>
      <c r="C155" s="11" t="s">
        <v>556</v>
      </c>
      <c r="D155" s="14" t="s">
        <v>402</v>
      </c>
      <c r="E155" s="72">
        <f>16512.68</f>
        <v>16512.68</v>
      </c>
      <c r="F155" s="213">
        <v>17042.713866666702</v>
      </c>
      <c r="G155" s="72">
        <f t="shared" si="19"/>
        <v>530.03386666670099</v>
      </c>
      <c r="H155" s="12"/>
      <c r="I155" s="12"/>
    </row>
    <row r="156" spans="1:9" ht="20.100000000000001" customHeight="1">
      <c r="A156" s="26">
        <v>24</v>
      </c>
      <c r="B156" s="17" t="s">
        <v>555</v>
      </c>
      <c r="C156" s="11" t="s">
        <v>556</v>
      </c>
      <c r="D156" s="14" t="s">
        <v>72</v>
      </c>
      <c r="E156" s="72">
        <f>16512.68</f>
        <v>16512.68</v>
      </c>
      <c r="F156" s="213">
        <v>16512.682190666699</v>
      </c>
      <c r="G156" s="72">
        <f t="shared" si="19"/>
        <v>2.1906666988797999E-3</v>
      </c>
      <c r="H156" s="12"/>
      <c r="I156" s="12"/>
    </row>
    <row r="157" spans="1:9" ht="20.100000000000001" customHeight="1">
      <c r="A157" s="26">
        <v>25</v>
      </c>
      <c r="B157" s="17" t="s">
        <v>557</v>
      </c>
      <c r="C157" s="11" t="s">
        <v>558</v>
      </c>
      <c r="D157" s="14" t="s">
        <v>72</v>
      </c>
      <c r="E157" s="72">
        <f t="shared" ref="E157:E159" si="20">16512.68</f>
        <v>16512.68</v>
      </c>
      <c r="F157" s="213">
        <v>16514.228790666701</v>
      </c>
      <c r="G157" s="72">
        <f t="shared" si="19"/>
        <v>1.5487906667003699</v>
      </c>
      <c r="H157" s="12"/>
      <c r="I157" s="12"/>
    </row>
    <row r="158" spans="1:9" ht="20.100000000000001" customHeight="1">
      <c r="A158" s="26">
        <v>26</v>
      </c>
      <c r="B158" s="17" t="s">
        <v>559</v>
      </c>
      <c r="C158" s="11" t="s">
        <v>560</v>
      </c>
      <c r="D158" s="14" t="s">
        <v>402</v>
      </c>
      <c r="E158" s="72">
        <f t="shared" si="20"/>
        <v>16512.68</v>
      </c>
      <c r="F158" s="213">
        <v>17043.017866666702</v>
      </c>
      <c r="G158" s="72">
        <f t="shared" si="19"/>
        <v>530.33786666670096</v>
      </c>
      <c r="H158" s="12"/>
      <c r="I158" s="12"/>
    </row>
    <row r="159" spans="1:9" ht="20.100000000000001" customHeight="1">
      <c r="A159" s="26">
        <v>27</v>
      </c>
      <c r="B159" s="17" t="s">
        <v>561</v>
      </c>
      <c r="C159" s="11" t="s">
        <v>562</v>
      </c>
      <c r="D159" s="14" t="s">
        <v>402</v>
      </c>
      <c r="E159" s="72">
        <f t="shared" si="20"/>
        <v>16512.68</v>
      </c>
      <c r="F159" s="213">
        <v>17008.323359999999</v>
      </c>
      <c r="G159" s="72">
        <f t="shared" si="19"/>
        <v>495.64335999999798</v>
      </c>
      <c r="H159" s="12"/>
      <c r="I159" s="12"/>
    </row>
    <row r="160" spans="1:9" ht="20.100000000000001" customHeight="1">
      <c r="A160" s="26">
        <v>28</v>
      </c>
      <c r="B160" s="10" t="s">
        <v>564</v>
      </c>
      <c r="C160" s="11" t="s">
        <v>565</v>
      </c>
      <c r="D160" s="14" t="s">
        <v>572</v>
      </c>
      <c r="E160" s="72">
        <f>9117.05</f>
        <v>9117.0499999999993</v>
      </c>
      <c r="F160" s="213">
        <v>10776.457626666701</v>
      </c>
      <c r="G160" s="72">
        <f t="shared" si="19"/>
        <v>1659.4076266667</v>
      </c>
      <c r="H160" s="12"/>
      <c r="I160" s="12"/>
    </row>
    <row r="161" spans="1:9" ht="20.100000000000001" customHeight="1">
      <c r="A161" s="26">
        <v>29</v>
      </c>
      <c r="B161" s="10" t="s">
        <v>567</v>
      </c>
      <c r="C161" s="11" t="s">
        <v>565</v>
      </c>
      <c r="D161" s="14" t="s">
        <v>572</v>
      </c>
      <c r="E161" s="72">
        <f>9504.2</f>
        <v>9504.2000000000007</v>
      </c>
      <c r="F161" s="213">
        <v>11232.457626666701</v>
      </c>
      <c r="G161" s="72">
        <f t="shared" si="19"/>
        <v>1728.2576266666999</v>
      </c>
      <c r="H161" s="12"/>
      <c r="I161" s="12"/>
    </row>
    <row r="162" spans="1:9" ht="20.100000000000001" customHeight="1">
      <c r="A162" s="26">
        <v>30</v>
      </c>
      <c r="B162" s="10" t="s">
        <v>568</v>
      </c>
      <c r="C162" s="11" t="s">
        <v>565</v>
      </c>
      <c r="D162" s="14" t="s">
        <v>572</v>
      </c>
      <c r="E162" s="72">
        <f>9144.2</f>
        <v>9144.2000000000007</v>
      </c>
      <c r="F162" s="213">
        <v>10776.457626666701</v>
      </c>
      <c r="G162" s="72">
        <f t="shared" si="19"/>
        <v>1632.2576266666999</v>
      </c>
      <c r="H162" s="12"/>
      <c r="I162" s="12"/>
    </row>
    <row r="163" spans="1:9" ht="20.100000000000001" customHeight="1">
      <c r="A163" s="26">
        <v>31</v>
      </c>
      <c r="B163" s="10" t="s">
        <v>767</v>
      </c>
      <c r="C163" s="11" t="s">
        <v>565</v>
      </c>
      <c r="D163" s="14" t="s">
        <v>572</v>
      </c>
      <c r="E163" s="72">
        <f>9144.2</f>
        <v>9144.2000000000007</v>
      </c>
      <c r="F163" s="213">
        <v>10776.457626666701</v>
      </c>
      <c r="G163" s="72">
        <f t="shared" si="19"/>
        <v>1632.2576266666999</v>
      </c>
      <c r="H163" s="12"/>
      <c r="I163" s="12"/>
    </row>
    <row r="164" spans="1:9" ht="20.100000000000001" customHeight="1">
      <c r="A164" s="26">
        <v>32</v>
      </c>
      <c r="B164" s="10" t="s">
        <v>569</v>
      </c>
      <c r="C164" s="11" t="s">
        <v>565</v>
      </c>
      <c r="D164" s="14" t="s">
        <v>572</v>
      </c>
      <c r="E164" s="72">
        <f>9117.05</f>
        <v>9117.0499999999993</v>
      </c>
      <c r="F164" s="213">
        <v>10743.7372</v>
      </c>
      <c r="G164" s="72">
        <f t="shared" si="19"/>
        <v>1626.6872000000001</v>
      </c>
      <c r="H164" s="12"/>
      <c r="I164" s="12"/>
    </row>
    <row r="165" spans="1:9" ht="20.100000000000001" customHeight="1">
      <c r="A165" s="26">
        <v>33</v>
      </c>
      <c r="B165" s="10" t="s">
        <v>570</v>
      </c>
      <c r="C165" s="11" t="s">
        <v>565</v>
      </c>
      <c r="D165" s="14" t="s">
        <v>572</v>
      </c>
      <c r="E165" s="72">
        <f>9144.2</f>
        <v>9144.2000000000007</v>
      </c>
      <c r="F165" s="213">
        <v>10776.457626666701</v>
      </c>
      <c r="G165" s="72">
        <f t="shared" si="19"/>
        <v>1632.2576266666999</v>
      </c>
      <c r="H165" s="12"/>
      <c r="I165" s="12"/>
    </row>
    <row r="166" spans="1:9" ht="20.100000000000001" customHeight="1">
      <c r="A166" s="26">
        <v>34</v>
      </c>
      <c r="B166" s="10" t="s">
        <v>571</v>
      </c>
      <c r="C166" s="11" t="s">
        <v>565</v>
      </c>
      <c r="D166" s="14" t="s">
        <v>583</v>
      </c>
      <c r="E166" s="72">
        <v>9152.6</v>
      </c>
      <c r="F166" s="213">
        <v>9504.2041399999998</v>
      </c>
      <c r="G166" s="72">
        <f t="shared" si="19"/>
        <v>351.60413999999901</v>
      </c>
      <c r="H166" s="12"/>
      <c r="I166" s="12"/>
    </row>
    <row r="167" spans="1:9" ht="20.100000000000001" customHeight="1">
      <c r="A167" s="26">
        <v>35</v>
      </c>
      <c r="B167" s="10" t="s">
        <v>573</v>
      </c>
      <c r="C167" s="11" t="s">
        <v>565</v>
      </c>
      <c r="D167" s="14" t="s">
        <v>583</v>
      </c>
      <c r="E167" s="72">
        <v>8792.6</v>
      </c>
      <c r="F167" s="213">
        <v>9144.2041399999998</v>
      </c>
      <c r="G167" s="72">
        <f t="shared" si="19"/>
        <v>351.60413999999901</v>
      </c>
      <c r="H167" s="12"/>
      <c r="I167" s="12"/>
    </row>
    <row r="168" spans="1:9" ht="20.100000000000001" customHeight="1">
      <c r="A168" s="26">
        <v>36</v>
      </c>
      <c r="B168" s="10" t="s">
        <v>1220</v>
      </c>
      <c r="C168" s="11" t="s">
        <v>565</v>
      </c>
      <c r="D168" s="14" t="s">
        <v>583</v>
      </c>
      <c r="E168" s="72">
        <v>8792.6</v>
      </c>
      <c r="F168" s="213">
        <v>9144.2041399999998</v>
      </c>
      <c r="G168" s="72">
        <f t="shared" si="19"/>
        <v>351.60413999999901</v>
      </c>
      <c r="H168" s="12"/>
      <c r="I168" s="12"/>
    </row>
    <row r="169" spans="1:9" ht="20.100000000000001" customHeight="1">
      <c r="A169" s="26">
        <v>37</v>
      </c>
      <c r="B169" s="13" t="s">
        <v>574</v>
      </c>
      <c r="C169" s="11" t="s">
        <v>565</v>
      </c>
      <c r="D169" s="14" t="s">
        <v>583</v>
      </c>
      <c r="E169" s="72">
        <v>9152.6</v>
      </c>
      <c r="F169" s="213">
        <v>9504.2041399999998</v>
      </c>
      <c r="G169" s="72">
        <f t="shared" si="19"/>
        <v>351.60413999999901</v>
      </c>
      <c r="H169" s="12"/>
      <c r="I169" s="12"/>
    </row>
    <row r="170" spans="1:9" ht="20.100000000000001" customHeight="1">
      <c r="A170" s="26">
        <v>38</v>
      </c>
      <c r="B170" s="10" t="s">
        <v>575</v>
      </c>
      <c r="C170" s="11" t="s">
        <v>565</v>
      </c>
      <c r="D170" s="14" t="s">
        <v>583</v>
      </c>
      <c r="E170" s="72">
        <v>8792.6</v>
      </c>
      <c r="F170" s="213">
        <v>9144.2041399999998</v>
      </c>
      <c r="G170" s="72">
        <f t="shared" si="19"/>
        <v>351.60413999999901</v>
      </c>
      <c r="H170" s="12"/>
      <c r="I170" s="12"/>
    </row>
    <row r="171" spans="1:9" ht="20.100000000000001" customHeight="1">
      <c r="A171" s="26">
        <v>39</v>
      </c>
      <c r="B171" s="17" t="s">
        <v>576</v>
      </c>
      <c r="C171" s="11" t="s">
        <v>565</v>
      </c>
      <c r="D171" s="14" t="s">
        <v>583</v>
      </c>
      <c r="E171" s="72">
        <v>8792.6</v>
      </c>
      <c r="F171" s="213">
        <v>9144.2041399999998</v>
      </c>
      <c r="G171" s="72">
        <f t="shared" si="19"/>
        <v>351.60413999999901</v>
      </c>
      <c r="H171" s="12"/>
      <c r="I171" s="12"/>
    </row>
    <row r="172" spans="1:9" ht="20.100000000000001" customHeight="1">
      <c r="A172" s="26">
        <v>40</v>
      </c>
      <c r="B172" s="17" t="s">
        <v>577</v>
      </c>
      <c r="C172" s="11" t="s">
        <v>565</v>
      </c>
      <c r="D172" s="14" t="s">
        <v>583</v>
      </c>
      <c r="E172" s="72">
        <v>9152.6</v>
      </c>
      <c r="F172" s="213">
        <v>9504.2041399999998</v>
      </c>
      <c r="G172" s="72">
        <f t="shared" si="19"/>
        <v>351.60413999999901</v>
      </c>
      <c r="H172" s="12"/>
      <c r="I172" s="12"/>
    </row>
    <row r="173" spans="1:9" ht="20.100000000000001" customHeight="1">
      <c r="A173" s="26">
        <v>41</v>
      </c>
      <c r="B173" s="10" t="s">
        <v>578</v>
      </c>
      <c r="C173" s="11" t="s">
        <v>585</v>
      </c>
      <c r="D173" s="14" t="s">
        <v>586</v>
      </c>
      <c r="E173" s="72">
        <f>4227.52</f>
        <v>4227.5200000000004</v>
      </c>
      <c r="F173" s="213">
        <v>4365.3307546666701</v>
      </c>
      <c r="G173" s="72">
        <f t="shared" si="19"/>
        <v>137.81075466666999</v>
      </c>
      <c r="H173" s="12"/>
      <c r="I173" s="12"/>
    </row>
    <row r="174" spans="1:9" ht="20.100000000000001" customHeight="1">
      <c r="A174" s="26">
        <v>42</v>
      </c>
      <c r="B174" s="10" t="s">
        <v>581</v>
      </c>
      <c r="C174" s="11" t="s">
        <v>585</v>
      </c>
      <c r="D174" s="14" t="s">
        <v>586</v>
      </c>
      <c r="E174" s="72">
        <f>4227.52</f>
        <v>4227.5200000000004</v>
      </c>
      <c r="F174" s="213">
        <v>4365.3307546666701</v>
      </c>
      <c r="G174" s="72">
        <f t="shared" si="19"/>
        <v>137.81075466666999</v>
      </c>
      <c r="H174" s="12"/>
      <c r="I174" s="12"/>
    </row>
    <row r="175" spans="1:9" ht="20.100000000000001" customHeight="1">
      <c r="A175" s="26">
        <v>43</v>
      </c>
      <c r="B175" s="17" t="s">
        <v>582</v>
      </c>
      <c r="C175" s="11" t="s">
        <v>585</v>
      </c>
      <c r="D175" s="14" t="s">
        <v>1050</v>
      </c>
      <c r="E175" s="72">
        <f>4365.33</f>
        <v>4365.33</v>
      </c>
      <c r="F175" s="213">
        <v>4504.4109200000003</v>
      </c>
      <c r="G175" s="72">
        <f t="shared" si="19"/>
        <v>139.08091999999999</v>
      </c>
      <c r="H175" s="12"/>
      <c r="I175" s="12"/>
    </row>
    <row r="176" spans="1:9" ht="20.100000000000001" customHeight="1">
      <c r="A176" s="26">
        <v>44</v>
      </c>
      <c r="B176" s="10" t="s">
        <v>584</v>
      </c>
      <c r="C176" s="11" t="s">
        <v>585</v>
      </c>
      <c r="D176" s="14" t="s">
        <v>1056</v>
      </c>
      <c r="E176" s="72">
        <f>4089.72</f>
        <v>4089.72</v>
      </c>
      <c r="F176" s="213">
        <v>4227.5237226666704</v>
      </c>
      <c r="G176" s="72">
        <f t="shared" si="19"/>
        <v>137.80372266667101</v>
      </c>
      <c r="H176" s="12"/>
      <c r="I176" s="12"/>
    </row>
    <row r="177" spans="1:9" ht="20.100000000000001" customHeight="1">
      <c r="A177" s="26">
        <v>45</v>
      </c>
      <c r="B177" s="10" t="s">
        <v>587</v>
      </c>
      <c r="C177" s="11" t="s">
        <v>588</v>
      </c>
      <c r="D177" s="14" t="s">
        <v>1057</v>
      </c>
      <c r="E177" s="72">
        <f>3951.8</f>
        <v>3951.8</v>
      </c>
      <c r="F177" s="213">
        <v>4089.7166906666698</v>
      </c>
      <c r="G177" s="72">
        <f t="shared" si="19"/>
        <v>137.91669066667001</v>
      </c>
      <c r="H177" s="12"/>
      <c r="I177" s="12"/>
    </row>
    <row r="178" spans="1:9" ht="20.100000000000001" customHeight="1">
      <c r="A178" s="26">
        <v>46</v>
      </c>
      <c r="B178" s="10" t="s">
        <v>590</v>
      </c>
      <c r="C178" s="11" t="s">
        <v>588</v>
      </c>
      <c r="D178" s="14" t="s">
        <v>1057</v>
      </c>
      <c r="E178" s="72">
        <f>3687.8</f>
        <v>3687.8</v>
      </c>
      <c r="F178" s="213">
        <v>3825.7166906666698</v>
      </c>
      <c r="G178" s="72">
        <f t="shared" si="19"/>
        <v>137.91669066667001</v>
      </c>
      <c r="H178" s="12"/>
      <c r="I178" s="12"/>
    </row>
    <row r="179" spans="1:9" ht="20.100000000000001" customHeight="1">
      <c r="A179" s="26">
        <v>47</v>
      </c>
      <c r="B179" s="10" t="s">
        <v>591</v>
      </c>
      <c r="C179" s="11" t="s">
        <v>588</v>
      </c>
      <c r="D179" s="14" t="s">
        <v>1057</v>
      </c>
      <c r="E179" s="72">
        <f>3951.8</f>
        <v>3951.8</v>
      </c>
      <c r="F179" s="213">
        <v>4089.7166906666698</v>
      </c>
      <c r="G179" s="72">
        <f t="shared" si="19"/>
        <v>137.91669066667001</v>
      </c>
      <c r="H179" s="12"/>
      <c r="I179" s="12"/>
    </row>
    <row r="180" spans="1:9" ht="20.100000000000001" customHeight="1">
      <c r="A180" s="26">
        <v>48</v>
      </c>
      <c r="B180" s="10" t="s">
        <v>592</v>
      </c>
      <c r="C180" s="11" t="s">
        <v>588</v>
      </c>
      <c r="D180" s="14" t="s">
        <v>1057</v>
      </c>
      <c r="E180" s="72">
        <f>3687.8</f>
        <v>3687.8</v>
      </c>
      <c r="F180" s="213">
        <v>3825.7166906666698</v>
      </c>
      <c r="G180" s="72">
        <f t="shared" si="19"/>
        <v>137.91669066667001</v>
      </c>
      <c r="H180" s="12"/>
      <c r="I180" s="12"/>
    </row>
    <row r="181" spans="1:9" ht="20.100000000000001" customHeight="1">
      <c r="A181" s="26">
        <v>49</v>
      </c>
      <c r="B181" s="10" t="s">
        <v>593</v>
      </c>
      <c r="C181" s="11" t="s">
        <v>588</v>
      </c>
      <c r="D181" s="14" t="s">
        <v>1057</v>
      </c>
      <c r="E181" s="72">
        <f>3951.8</f>
        <v>3951.8</v>
      </c>
      <c r="F181" s="213">
        <v>4089.7166906666698</v>
      </c>
      <c r="G181" s="72">
        <f t="shared" si="19"/>
        <v>137.91669066667001</v>
      </c>
      <c r="H181" s="12"/>
      <c r="I181" s="12"/>
    </row>
    <row r="182" spans="1:9" ht="20.100000000000001" customHeight="1">
      <c r="A182" s="26">
        <v>50</v>
      </c>
      <c r="B182" s="17" t="s">
        <v>594</v>
      </c>
      <c r="C182" s="11" t="s">
        <v>588</v>
      </c>
      <c r="D182" s="14" t="s">
        <v>1057</v>
      </c>
      <c r="E182" s="72">
        <f>3687.8</f>
        <v>3687.8</v>
      </c>
      <c r="F182" s="213">
        <v>3825.7166906666698</v>
      </c>
      <c r="G182" s="72">
        <f t="shared" si="19"/>
        <v>137.91669066667001</v>
      </c>
      <c r="H182" s="12"/>
      <c r="I182" s="12"/>
    </row>
    <row r="183" spans="1:9" ht="20.100000000000001" customHeight="1">
      <c r="A183" s="26">
        <v>51</v>
      </c>
      <c r="B183" s="17" t="s">
        <v>595</v>
      </c>
      <c r="C183" s="11" t="s">
        <v>588</v>
      </c>
      <c r="D183" s="14" t="s">
        <v>1057</v>
      </c>
      <c r="E183" s="72">
        <f>3951.8</f>
        <v>3951.8</v>
      </c>
      <c r="F183" s="213">
        <v>4089.7166906666698</v>
      </c>
      <c r="G183" s="72">
        <f t="shared" si="19"/>
        <v>137.91669066667001</v>
      </c>
      <c r="H183" s="12"/>
      <c r="I183" s="12"/>
    </row>
    <row r="184" spans="1:9" ht="20.100000000000001" customHeight="1">
      <c r="A184" s="26">
        <v>52</v>
      </c>
      <c r="B184" s="10" t="s">
        <v>596</v>
      </c>
      <c r="C184" s="11" t="s">
        <v>585</v>
      </c>
      <c r="D184" s="14" t="s">
        <v>1057</v>
      </c>
      <c r="E184" s="72">
        <f>3951.8</f>
        <v>3951.8</v>
      </c>
      <c r="F184" s="213">
        <v>4089.7166906666698</v>
      </c>
      <c r="G184" s="72">
        <f t="shared" si="19"/>
        <v>137.91669066667001</v>
      </c>
      <c r="H184" s="12"/>
      <c r="I184" s="12"/>
    </row>
    <row r="185" spans="1:9" ht="20.100000000000001" customHeight="1">
      <c r="A185" s="26">
        <v>53</v>
      </c>
      <c r="B185" s="10" t="s">
        <v>597</v>
      </c>
      <c r="C185" s="11" t="s">
        <v>585</v>
      </c>
      <c r="D185" s="14" t="s">
        <v>1057</v>
      </c>
      <c r="E185" s="72">
        <f>3951.8</f>
        <v>3951.8</v>
      </c>
      <c r="F185" s="213">
        <v>4089.7166906666698</v>
      </c>
      <c r="G185" s="72">
        <f t="shared" si="19"/>
        <v>137.91669066667001</v>
      </c>
      <c r="H185" s="12"/>
      <c r="I185" s="12"/>
    </row>
    <row r="186" spans="1:9" ht="20.100000000000001" customHeight="1">
      <c r="A186" s="26">
        <v>54</v>
      </c>
      <c r="B186" s="17" t="s">
        <v>598</v>
      </c>
      <c r="C186" s="11" t="s">
        <v>588</v>
      </c>
      <c r="D186" s="14" t="s">
        <v>1073</v>
      </c>
      <c r="E186" s="72">
        <f>3183.66</f>
        <v>3183.66</v>
      </c>
      <c r="F186" s="213">
        <v>3064.8720786666699</v>
      </c>
      <c r="G186" s="72">
        <f t="shared" si="19"/>
        <v>-118.78792133333</v>
      </c>
      <c r="H186" s="12"/>
      <c r="I186" s="12"/>
    </row>
    <row r="187" spans="1:9" ht="20.100000000000001" customHeight="1">
      <c r="A187" s="26">
        <v>55</v>
      </c>
      <c r="B187" s="17" t="s">
        <v>600</v>
      </c>
      <c r="C187" s="11" t="s">
        <v>588</v>
      </c>
      <c r="D187" s="14" t="s">
        <v>1058</v>
      </c>
      <c r="E187" s="72">
        <f>2972.91</f>
        <v>2972.91</v>
      </c>
      <c r="F187" s="213">
        <v>3091.5368486666698</v>
      </c>
      <c r="G187" s="72">
        <f t="shared" si="19"/>
        <v>118.62684866667</v>
      </c>
      <c r="H187" s="12"/>
      <c r="I187" s="12"/>
    </row>
    <row r="188" spans="1:9" ht="20.100000000000001" customHeight="1">
      <c r="A188" s="26"/>
      <c r="B188" s="7" t="s">
        <v>42</v>
      </c>
      <c r="C188" s="27" t="s">
        <v>1221</v>
      </c>
      <c r="D188" s="28"/>
      <c r="E188" s="80" t="e">
        <f>SUM(E133:E187)</f>
        <v>#REF!</v>
      </c>
      <c r="F188" s="80">
        <f t="shared" ref="F188:G188" si="21">SUM(F133:F187)</f>
        <v>1181488.1892560001</v>
      </c>
      <c r="G188" s="80" t="e">
        <f t="shared" si="21"/>
        <v>#REF!</v>
      </c>
      <c r="H188" s="12"/>
      <c r="I188" s="12"/>
    </row>
    <row r="189" spans="1:9" ht="20.100000000000001" customHeight="1">
      <c r="A189" s="3"/>
      <c r="B189" s="29" t="s">
        <v>125</v>
      </c>
      <c r="C189" s="30">
        <f>C37+C42+C57+C61+C77+C85+C99+C106+C116+C130+C188+2</f>
        <v>154</v>
      </c>
      <c r="D189" s="31"/>
      <c r="E189" s="209" t="e">
        <f>E37+E42+E57+E61+E77+E85+E99+E106+E116+E130+E188</f>
        <v>#REF!</v>
      </c>
      <c r="F189" s="209">
        <f t="shared" ref="F189:G189" si="22">F37+F42+F57+F61+F77+F85+F99+F106+F116+F130+F188</f>
        <v>7135974.5583150098</v>
      </c>
      <c r="G189" s="209" t="e">
        <f t="shared" si="22"/>
        <v>#REF!</v>
      </c>
      <c r="H189" s="12"/>
      <c r="I189" s="12"/>
    </row>
    <row r="190" spans="1:9" ht="20.100000000000001" customHeight="1">
      <c r="A190" s="2"/>
      <c r="B190" s="32"/>
      <c r="C190" s="2"/>
      <c r="D190" s="33"/>
      <c r="E190" s="211"/>
      <c r="F190" s="211"/>
      <c r="G190" s="211"/>
      <c r="I190" s="34"/>
    </row>
    <row r="191" spans="1:9" ht="65.25" customHeight="1">
      <c r="A191" s="2"/>
      <c r="B191" s="32"/>
      <c r="C191" s="33"/>
      <c r="D191" s="33"/>
      <c r="E191" s="211"/>
      <c r="F191" s="211"/>
      <c r="G191" s="211"/>
    </row>
  </sheetData>
  <mergeCells count="1">
    <mergeCell ref="A1:D1"/>
  </mergeCells>
  <pageMargins left="0.23622047244094499" right="0.23622047244094499" top="0.98425196850393704" bottom="0.98425196850393704" header="0.511811023622047" footer="0.511811023622047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1"/>
  <sheetViews>
    <sheetView view="pageBreakPreview" zoomScaleNormal="100" workbookViewId="0">
      <pane xSplit="3" ySplit="6" topLeftCell="D188" activePane="bottomRight" state="frozen"/>
      <selection pane="topRight"/>
      <selection pane="bottomLeft"/>
      <selection pane="bottomRight" activeCell="D191" sqref="D191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1.5703125" style="1" customWidth="1"/>
    <col min="5" max="5" width="17.85546875" style="1" customWidth="1"/>
    <col min="6" max="7" width="14.85546875" style="1" customWidth="1"/>
    <col min="8" max="8" width="17.7109375" style="1" customWidth="1"/>
    <col min="9" max="9" width="21.7109375" style="1" customWidth="1"/>
    <col min="10" max="16384" width="9.140625" style="1"/>
  </cols>
  <sheetData>
    <row r="1" spans="1:9" ht="27" customHeight="1">
      <c r="A1" s="838" t="s">
        <v>0</v>
      </c>
      <c r="B1" s="838"/>
      <c r="C1" s="838"/>
      <c r="D1" s="838"/>
      <c r="E1" s="838"/>
    </row>
    <row r="2" spans="1:9" ht="33.75" customHeight="1">
      <c r="A2" s="63" t="s">
        <v>1225</v>
      </c>
      <c r="B2" s="64"/>
      <c r="C2" s="63"/>
      <c r="D2" s="63"/>
      <c r="E2" s="198"/>
      <c r="F2" s="65"/>
      <c r="G2" s="65"/>
      <c r="H2" s="65"/>
    </row>
    <row r="3" spans="1:9" ht="9.75" customHeight="1">
      <c r="A3" s="2"/>
      <c r="B3" s="2"/>
      <c r="C3" s="2"/>
      <c r="D3" s="2"/>
      <c r="E3" s="199" t="e">
        <f>'[1]FEB 08'!E11/'[1]FEB 08'!M11</f>
        <v>#REF!</v>
      </c>
    </row>
    <row r="4" spans="1:9" ht="45" customHeight="1">
      <c r="A4" s="3"/>
      <c r="B4" s="4" t="s">
        <v>2</v>
      </c>
      <c r="C4" s="5" t="s">
        <v>3</v>
      </c>
      <c r="D4" s="6" t="s">
        <v>4</v>
      </c>
      <c r="E4" s="200" t="s">
        <v>5</v>
      </c>
      <c r="F4" s="200" t="s">
        <v>1243</v>
      </c>
      <c r="G4" s="200" t="s">
        <v>1244</v>
      </c>
      <c r="H4" s="23" t="s">
        <v>616</v>
      </c>
    </row>
    <row r="5" spans="1:9" ht="20.100000000000001" customHeight="1">
      <c r="A5" s="8" t="s">
        <v>21</v>
      </c>
      <c r="B5" s="7" t="s">
        <v>22</v>
      </c>
      <c r="C5" s="7"/>
      <c r="D5" s="7"/>
      <c r="E5" s="69" t="s">
        <v>20</v>
      </c>
      <c r="F5" s="69" t="s">
        <v>20</v>
      </c>
      <c r="G5" s="69" t="s">
        <v>20</v>
      </c>
      <c r="H5" s="69" t="s">
        <v>20</v>
      </c>
    </row>
    <row r="6" spans="1:9" ht="20.100000000000001" customHeight="1">
      <c r="A6" s="9">
        <v>1</v>
      </c>
      <c r="B6" s="10" t="s">
        <v>345</v>
      </c>
      <c r="C6" s="11" t="s">
        <v>346</v>
      </c>
      <c r="D6" s="11" t="s">
        <v>347</v>
      </c>
      <c r="E6" s="72">
        <v>160488.75</v>
      </c>
      <c r="F6" s="72"/>
      <c r="G6" s="72"/>
      <c r="H6" s="72"/>
      <c r="I6" s="12"/>
    </row>
    <row r="7" spans="1:9" ht="20.100000000000001" customHeight="1">
      <c r="A7" s="9">
        <v>2</v>
      </c>
      <c r="B7" s="10" t="s">
        <v>1116</v>
      </c>
      <c r="C7" s="3" t="s">
        <v>1206</v>
      </c>
      <c r="D7" s="9" t="s">
        <v>340</v>
      </c>
      <c r="E7" s="72">
        <f>42653.17</f>
        <v>42653.17</v>
      </c>
      <c r="F7" s="72">
        <f>0.025*E7</f>
        <v>1066.32925</v>
      </c>
      <c r="G7" s="72">
        <f>'[15]April 2022'!$H$26</f>
        <v>1028.9422500000001</v>
      </c>
      <c r="H7" s="72">
        <f>F7-G7</f>
        <v>37.386999999999901</v>
      </c>
      <c r="I7" s="12"/>
    </row>
    <row r="8" spans="1:9" ht="20.100000000000001" customHeight="1">
      <c r="A8" s="9">
        <v>3</v>
      </c>
      <c r="B8" s="13" t="s">
        <v>1207</v>
      </c>
      <c r="C8" s="3" t="s">
        <v>1208</v>
      </c>
      <c r="D8" s="9" t="s">
        <v>340</v>
      </c>
      <c r="E8" s="72">
        <f>42653.17</f>
        <v>42653.17</v>
      </c>
      <c r="F8" s="72"/>
      <c r="G8" s="72"/>
      <c r="H8" s="72">
        <f t="shared" ref="H8:H71" si="0">F8-G8</f>
        <v>0</v>
      </c>
      <c r="I8" s="12"/>
    </row>
    <row r="9" spans="1:9" ht="20.100000000000001" customHeight="1">
      <c r="A9" s="9">
        <v>4</v>
      </c>
      <c r="B9" s="10" t="s">
        <v>348</v>
      </c>
      <c r="C9" s="11" t="s">
        <v>349</v>
      </c>
      <c r="D9" s="9" t="s">
        <v>343</v>
      </c>
      <c r="E9" s="72">
        <f>42653.17</f>
        <v>42653.17</v>
      </c>
      <c r="F9" s="72"/>
      <c r="G9" s="72"/>
      <c r="H9" s="72">
        <f t="shared" si="0"/>
        <v>0</v>
      </c>
      <c r="I9" s="12"/>
    </row>
    <row r="10" spans="1:9" ht="20.100000000000001" customHeight="1">
      <c r="A10" s="9">
        <v>5</v>
      </c>
      <c r="B10" s="13" t="s">
        <v>350</v>
      </c>
      <c r="C10" s="3" t="s">
        <v>351</v>
      </c>
      <c r="D10" s="14" t="s">
        <v>416</v>
      </c>
      <c r="E10" s="72">
        <v>41157.69</v>
      </c>
      <c r="F10" s="72"/>
      <c r="G10" s="72"/>
      <c r="H10" s="72">
        <f t="shared" si="0"/>
        <v>0</v>
      </c>
      <c r="I10" s="12"/>
    </row>
    <row r="11" spans="1:9" ht="20.100000000000001" customHeight="1">
      <c r="A11" s="9">
        <v>6</v>
      </c>
      <c r="B11" s="13" t="s">
        <v>470</v>
      </c>
      <c r="C11" s="3" t="s">
        <v>1118</v>
      </c>
      <c r="D11" s="15" t="s">
        <v>416</v>
      </c>
      <c r="E11" s="72">
        <f>41157.69</f>
        <v>41157.69</v>
      </c>
      <c r="F11" s="72">
        <f>0.025*E11</f>
        <v>1028.9422500000001</v>
      </c>
      <c r="G11" s="72">
        <f>G7</f>
        <v>1028.9422500000001</v>
      </c>
      <c r="H11" s="72">
        <f t="shared" si="0"/>
        <v>0</v>
      </c>
      <c r="I11" s="12"/>
    </row>
    <row r="12" spans="1:9" ht="20.100000000000001" customHeight="1">
      <c r="A12" s="9">
        <v>7</v>
      </c>
      <c r="B12" s="10" t="s">
        <v>352</v>
      </c>
      <c r="C12" s="16" t="s">
        <v>353</v>
      </c>
      <c r="D12" s="15" t="s">
        <v>416</v>
      </c>
      <c r="E12" s="72">
        <f t="shared" ref="E12:E13" si="1">41157.69</f>
        <v>41157.69</v>
      </c>
      <c r="F12" s="72">
        <f>0.025*E12</f>
        <v>1028.9422500000001</v>
      </c>
      <c r="G12" s="72">
        <f>1028.94</f>
        <v>1028.94</v>
      </c>
      <c r="H12" s="72">
        <f t="shared" si="0"/>
        <v>2.2500000000036401E-3</v>
      </c>
      <c r="I12" s="12"/>
    </row>
    <row r="13" spans="1:9" ht="20.100000000000001" customHeight="1">
      <c r="A13" s="9">
        <v>8</v>
      </c>
      <c r="B13" s="13" t="s">
        <v>354</v>
      </c>
      <c r="C13" s="3" t="s">
        <v>355</v>
      </c>
      <c r="D13" s="15" t="s">
        <v>416</v>
      </c>
      <c r="E13" s="72">
        <f t="shared" si="1"/>
        <v>41157.69</v>
      </c>
      <c r="F13" s="72">
        <f>0.025*E13</f>
        <v>1028.9422500000001</v>
      </c>
      <c r="G13" s="72">
        <f>1028.94</f>
        <v>1028.94</v>
      </c>
      <c r="H13" s="72">
        <f t="shared" si="0"/>
        <v>2.2500000000036401E-3</v>
      </c>
      <c r="I13" s="12"/>
    </row>
    <row r="14" spans="1:9" ht="20.100000000000001" customHeight="1">
      <c r="A14" s="9">
        <v>9</v>
      </c>
      <c r="B14" s="10" t="s">
        <v>356</v>
      </c>
      <c r="C14" s="11" t="s">
        <v>357</v>
      </c>
      <c r="D14" s="14" t="s">
        <v>358</v>
      </c>
      <c r="E14" s="72">
        <v>33507.5</v>
      </c>
      <c r="F14" s="72">
        <f>0.025*E14</f>
        <v>837.6875</v>
      </c>
      <c r="G14" s="72">
        <f>'[15]April 2022'!$H$28</f>
        <v>837.6875</v>
      </c>
      <c r="H14" s="72">
        <f t="shared" si="0"/>
        <v>0</v>
      </c>
      <c r="I14" s="12"/>
    </row>
    <row r="15" spans="1:9" ht="20.100000000000001" customHeight="1">
      <c r="A15" s="9">
        <v>10</v>
      </c>
      <c r="B15" s="17" t="s">
        <v>333</v>
      </c>
      <c r="C15" s="11" t="s">
        <v>334</v>
      </c>
      <c r="D15" s="9" t="s">
        <v>332</v>
      </c>
      <c r="E15" s="72">
        <v>32263.200000000001</v>
      </c>
      <c r="F15" s="72"/>
      <c r="G15" s="72"/>
      <c r="H15" s="72">
        <f t="shared" si="0"/>
        <v>0</v>
      </c>
      <c r="I15" s="12"/>
    </row>
    <row r="16" spans="1:9" ht="20.100000000000001" customHeight="1">
      <c r="A16" s="9">
        <v>11</v>
      </c>
      <c r="B16" s="18" t="s">
        <v>1209</v>
      </c>
      <c r="C16" s="3" t="s">
        <v>1210</v>
      </c>
      <c r="D16" s="15" t="s">
        <v>366</v>
      </c>
      <c r="E16" s="72">
        <v>27611.23</v>
      </c>
      <c r="F16" s="72">
        <v>0</v>
      </c>
      <c r="G16" s="72">
        <v>0</v>
      </c>
      <c r="H16" s="72">
        <f t="shared" si="0"/>
        <v>0</v>
      </c>
      <c r="I16" s="12"/>
    </row>
    <row r="17" spans="1:9" ht="19.5" customHeight="1">
      <c r="A17" s="9">
        <v>12</v>
      </c>
      <c r="B17" s="13" t="s">
        <v>1119</v>
      </c>
      <c r="C17" s="3" t="s">
        <v>362</v>
      </c>
      <c r="D17" s="9" t="s">
        <v>366</v>
      </c>
      <c r="E17" s="72">
        <v>27611.23</v>
      </c>
      <c r="F17" s="72">
        <f>0.025*E17</f>
        <v>690.28075000000001</v>
      </c>
      <c r="G17" s="72">
        <f>'[15]April 2022'!$H$27</f>
        <v>668.31624999999997</v>
      </c>
      <c r="H17" s="72">
        <f t="shared" si="0"/>
        <v>21.964500000000001</v>
      </c>
      <c r="I17" s="12"/>
    </row>
    <row r="18" spans="1:9" ht="19.5" customHeight="1">
      <c r="A18" s="9">
        <v>13</v>
      </c>
      <c r="B18" s="13" t="s">
        <v>1211</v>
      </c>
      <c r="C18" s="3" t="s">
        <v>1212</v>
      </c>
      <c r="D18" s="9" t="s">
        <v>366</v>
      </c>
      <c r="E18" s="72">
        <v>27611.23</v>
      </c>
      <c r="F18" s="72"/>
      <c r="G18" s="72"/>
      <c r="H18" s="72">
        <f t="shared" si="0"/>
        <v>0</v>
      </c>
      <c r="I18" s="12"/>
    </row>
    <row r="19" spans="1:9" ht="20.100000000000001" customHeight="1">
      <c r="A19" s="9">
        <v>14</v>
      </c>
      <c r="B19" s="10" t="s">
        <v>361</v>
      </c>
      <c r="C19" s="3" t="s">
        <v>362</v>
      </c>
      <c r="D19" s="14" t="s">
        <v>366</v>
      </c>
      <c r="E19" s="72">
        <v>27611.23</v>
      </c>
      <c r="F19" s="72"/>
      <c r="G19" s="72"/>
      <c r="H19" s="72">
        <f t="shared" si="0"/>
        <v>0</v>
      </c>
      <c r="I19" s="12"/>
    </row>
    <row r="20" spans="1:9" ht="20.100000000000001" customHeight="1">
      <c r="A20" s="9">
        <v>15</v>
      </c>
      <c r="B20" s="10" t="s">
        <v>373</v>
      </c>
      <c r="C20" s="11" t="s">
        <v>374</v>
      </c>
      <c r="D20" s="14" t="s">
        <v>1052</v>
      </c>
      <c r="E20" s="72">
        <v>24741.26</v>
      </c>
      <c r="F20" s="72"/>
      <c r="G20" s="72"/>
      <c r="H20" s="72">
        <f t="shared" si="0"/>
        <v>0</v>
      </c>
      <c r="I20" s="12"/>
    </row>
    <row r="21" spans="1:9" ht="20.100000000000001" customHeight="1">
      <c r="A21" s="9">
        <v>16</v>
      </c>
      <c r="B21" s="17" t="s">
        <v>376</v>
      </c>
      <c r="C21" s="3" t="s">
        <v>377</v>
      </c>
      <c r="D21" s="14" t="s">
        <v>1053</v>
      </c>
      <c r="E21" s="72">
        <f>23891.12</f>
        <v>23891.119999999999</v>
      </c>
      <c r="F21" s="72">
        <f>0.025*E21</f>
        <v>597.27800000000002</v>
      </c>
      <c r="G21" s="72">
        <f>'[15]April 2022'!$H$52</f>
        <v>576.87474999999995</v>
      </c>
      <c r="H21" s="72">
        <f t="shared" si="0"/>
        <v>20.403250000000099</v>
      </c>
      <c r="I21" s="12"/>
    </row>
    <row r="22" spans="1:9" ht="20.100000000000001" customHeight="1">
      <c r="A22" s="9">
        <v>17</v>
      </c>
      <c r="B22" s="10" t="s">
        <v>496</v>
      </c>
      <c r="C22" s="11" t="s">
        <v>497</v>
      </c>
      <c r="D22" s="14" t="s">
        <v>380</v>
      </c>
      <c r="E22" s="72">
        <f>22837.82</f>
        <v>22837.82</v>
      </c>
      <c r="F22" s="72">
        <f>0.025*E22</f>
        <v>570.94550000000004</v>
      </c>
      <c r="G22" s="72">
        <f>'[15]April 2022'!$H$45</f>
        <v>538.02200000000005</v>
      </c>
      <c r="H22" s="72">
        <f t="shared" si="0"/>
        <v>32.923499999999997</v>
      </c>
      <c r="I22" s="12"/>
    </row>
    <row r="23" spans="1:9" ht="18.75" customHeight="1">
      <c r="A23" s="9">
        <v>18</v>
      </c>
      <c r="B23" s="10" t="s">
        <v>379</v>
      </c>
      <c r="C23" s="11" t="s">
        <v>233</v>
      </c>
      <c r="D23" s="14" t="s">
        <v>440</v>
      </c>
      <c r="E23" s="72">
        <v>21520.880000000001</v>
      </c>
      <c r="F23" s="72"/>
      <c r="G23" s="72"/>
      <c r="H23" s="72">
        <f t="shared" si="0"/>
        <v>0</v>
      </c>
      <c r="I23" s="12"/>
    </row>
    <row r="24" spans="1:9" ht="18.75" customHeight="1">
      <c r="A24" s="9">
        <v>19</v>
      </c>
      <c r="B24" s="10" t="s">
        <v>494</v>
      </c>
      <c r="C24" s="3" t="s">
        <v>495</v>
      </c>
      <c r="D24" s="14" t="s">
        <v>440</v>
      </c>
      <c r="E24" s="72">
        <v>21520.880000000001</v>
      </c>
      <c r="F24" s="72"/>
      <c r="G24" s="72"/>
      <c r="H24" s="72">
        <f t="shared" si="0"/>
        <v>0</v>
      </c>
      <c r="I24" s="12"/>
    </row>
    <row r="25" spans="1:9" ht="18.75" customHeight="1">
      <c r="A25" s="9">
        <v>20</v>
      </c>
      <c r="B25" s="17" t="s">
        <v>534</v>
      </c>
      <c r="C25" s="3" t="s">
        <v>1227</v>
      </c>
      <c r="D25" s="14" t="s">
        <v>539</v>
      </c>
      <c r="E25" s="72">
        <f>18779.3</f>
        <v>18779.3</v>
      </c>
      <c r="F25" s="72">
        <f>0</f>
        <v>0</v>
      </c>
      <c r="G25" s="72">
        <f>0</f>
        <v>0</v>
      </c>
      <c r="H25" s="72">
        <f t="shared" si="0"/>
        <v>0</v>
      </c>
      <c r="I25" s="12"/>
    </row>
    <row r="26" spans="1:9" ht="18.75" customHeight="1">
      <c r="A26" s="9">
        <v>21</v>
      </c>
      <c r="B26" s="17" t="s">
        <v>1213</v>
      </c>
      <c r="C26" s="11" t="s">
        <v>401</v>
      </c>
      <c r="D26" s="14" t="s">
        <v>453</v>
      </c>
      <c r="E26" s="72">
        <v>18281.64</v>
      </c>
      <c r="F26" s="72"/>
      <c r="G26" s="72"/>
      <c r="H26" s="72">
        <f t="shared" si="0"/>
        <v>0</v>
      </c>
      <c r="I26" s="12"/>
    </row>
    <row r="27" spans="1:9" ht="18.75" customHeight="1">
      <c r="A27" s="9">
        <v>22</v>
      </c>
      <c r="B27" s="3" t="s">
        <v>386</v>
      </c>
      <c r="C27" s="3" t="s">
        <v>289</v>
      </c>
      <c r="D27" s="9" t="s">
        <v>391</v>
      </c>
      <c r="E27" s="201">
        <v>14736.14</v>
      </c>
      <c r="F27" s="72"/>
      <c r="G27" s="72"/>
      <c r="H27" s="72">
        <f t="shared" si="0"/>
        <v>0</v>
      </c>
      <c r="I27" s="12"/>
    </row>
    <row r="28" spans="1:9" ht="18.75" customHeight="1">
      <c r="A28" s="9">
        <v>23</v>
      </c>
      <c r="B28" s="17" t="s">
        <v>388</v>
      </c>
      <c r="C28" s="11" t="s">
        <v>289</v>
      </c>
      <c r="D28" s="14" t="s">
        <v>391</v>
      </c>
      <c r="E28" s="72">
        <f t="shared" ref="E28:E29" si="2">15188.67</f>
        <v>15188.67</v>
      </c>
      <c r="F28" s="72"/>
      <c r="G28" s="72"/>
      <c r="H28" s="72">
        <f t="shared" si="0"/>
        <v>0</v>
      </c>
      <c r="I28" s="12"/>
    </row>
    <row r="29" spans="1:9" ht="18.75" customHeight="1">
      <c r="A29" s="9">
        <v>24</v>
      </c>
      <c r="B29" s="10" t="s">
        <v>1120</v>
      </c>
      <c r="C29" s="11" t="s">
        <v>1121</v>
      </c>
      <c r="D29" s="14" t="s">
        <v>391</v>
      </c>
      <c r="E29" s="72">
        <f t="shared" si="2"/>
        <v>15188.67</v>
      </c>
      <c r="F29" s="72"/>
      <c r="G29" s="72"/>
      <c r="H29" s="72">
        <f t="shared" si="0"/>
        <v>0</v>
      </c>
      <c r="I29" s="12"/>
    </row>
    <row r="30" spans="1:9" ht="18.75" customHeight="1">
      <c r="A30" s="9">
        <v>25</v>
      </c>
      <c r="B30" s="17" t="s">
        <v>390</v>
      </c>
      <c r="C30" s="11" t="s">
        <v>1068</v>
      </c>
      <c r="D30" s="14" t="s">
        <v>1228</v>
      </c>
      <c r="E30" s="202">
        <v>13492.21</v>
      </c>
      <c r="F30" s="72"/>
      <c r="G30" s="72"/>
      <c r="H30" s="72">
        <f t="shared" si="0"/>
        <v>0</v>
      </c>
      <c r="I30" s="12"/>
    </row>
    <row r="31" spans="1:9" ht="18.75" customHeight="1">
      <c r="A31" s="9">
        <v>26</v>
      </c>
      <c r="B31" s="10" t="s">
        <v>477</v>
      </c>
      <c r="C31" s="16" t="s">
        <v>1229</v>
      </c>
      <c r="D31" s="14" t="s">
        <v>1048</v>
      </c>
      <c r="E31" s="72">
        <v>13492.21</v>
      </c>
      <c r="F31" s="72"/>
      <c r="G31" s="72"/>
      <c r="H31" s="72">
        <f t="shared" si="0"/>
        <v>0</v>
      </c>
      <c r="I31" s="12"/>
    </row>
    <row r="32" spans="1:9" ht="18.75" customHeight="1">
      <c r="A32" s="9">
        <v>27</v>
      </c>
      <c r="B32" s="17" t="s">
        <v>392</v>
      </c>
      <c r="C32" s="3" t="s">
        <v>1122</v>
      </c>
      <c r="D32" s="9" t="s">
        <v>1048</v>
      </c>
      <c r="E32" s="72">
        <v>13492.21</v>
      </c>
      <c r="F32" s="72"/>
      <c r="G32" s="72"/>
      <c r="H32" s="72">
        <f t="shared" si="0"/>
        <v>0</v>
      </c>
      <c r="I32" s="12"/>
    </row>
    <row r="33" spans="1:9" ht="18.75" customHeight="1">
      <c r="A33" s="9">
        <v>28</v>
      </c>
      <c r="B33" s="17" t="s">
        <v>395</v>
      </c>
      <c r="C33" s="16" t="s">
        <v>396</v>
      </c>
      <c r="D33" s="14" t="s">
        <v>391</v>
      </c>
      <c r="E33" s="72">
        <v>15188.67</v>
      </c>
      <c r="F33" s="72">
        <f>0</f>
        <v>0</v>
      </c>
      <c r="G33" s="72">
        <f>0</f>
        <v>0</v>
      </c>
      <c r="H33" s="72">
        <f t="shared" si="0"/>
        <v>0</v>
      </c>
      <c r="I33" s="12"/>
    </row>
    <row r="34" spans="1:9" ht="18.75" customHeight="1">
      <c r="A34" s="9">
        <v>29</v>
      </c>
      <c r="B34" s="17" t="s">
        <v>397</v>
      </c>
      <c r="C34" s="3" t="s">
        <v>1230</v>
      </c>
      <c r="D34" s="9" t="s">
        <v>402</v>
      </c>
      <c r="E34" s="72">
        <f>12732</f>
        <v>12732</v>
      </c>
      <c r="F34" s="72"/>
      <c r="G34" s="72"/>
      <c r="H34" s="72">
        <f t="shared" si="0"/>
        <v>0</v>
      </c>
      <c r="I34" s="12"/>
    </row>
    <row r="35" spans="1:9" ht="18.75" customHeight="1">
      <c r="A35" s="9">
        <v>30</v>
      </c>
      <c r="B35" s="17" t="s">
        <v>1036</v>
      </c>
      <c r="C35" s="11" t="s">
        <v>401</v>
      </c>
      <c r="D35" s="14" t="s">
        <v>402</v>
      </c>
      <c r="E35" s="72">
        <f>12732</f>
        <v>12732</v>
      </c>
      <c r="F35" s="72"/>
      <c r="G35" s="72"/>
      <c r="H35" s="72">
        <f t="shared" si="0"/>
        <v>0</v>
      </c>
      <c r="I35" s="12"/>
    </row>
    <row r="36" spans="1:9" ht="18.75" customHeight="1">
      <c r="A36" s="9">
        <v>31</v>
      </c>
      <c r="B36" s="17" t="s">
        <v>1214</v>
      </c>
      <c r="C36" s="11" t="s">
        <v>401</v>
      </c>
      <c r="D36" s="14" t="s">
        <v>402</v>
      </c>
      <c r="E36" s="72">
        <f>12732</f>
        <v>12732</v>
      </c>
      <c r="F36" s="72"/>
      <c r="G36" s="72"/>
      <c r="H36" s="72">
        <f t="shared" si="0"/>
        <v>0</v>
      </c>
      <c r="I36" s="12"/>
    </row>
    <row r="37" spans="1:9" ht="26.25" customHeight="1">
      <c r="A37" s="9"/>
      <c r="B37" s="19" t="s">
        <v>42</v>
      </c>
      <c r="C37" s="20">
        <v>31</v>
      </c>
      <c r="D37" s="14"/>
      <c r="E37" s="203">
        <f t="shared" ref="E37:F37" si="3">SUM(E6:E36)</f>
        <v>919842.32</v>
      </c>
      <c r="F37" s="203">
        <f t="shared" si="3"/>
        <v>6849.3477499999999</v>
      </c>
      <c r="G37" s="203">
        <f t="shared" ref="G37" si="4">SUM(G6:G36)</f>
        <v>6736.665</v>
      </c>
      <c r="H37" s="134">
        <f t="shared" si="0"/>
        <v>112.68275</v>
      </c>
      <c r="I37" s="12"/>
    </row>
    <row r="38" spans="1:9" ht="18.75" customHeight="1">
      <c r="A38" s="9"/>
      <c r="B38" s="21"/>
      <c r="C38" s="3"/>
      <c r="D38" s="14"/>
      <c r="E38" s="203"/>
      <c r="F38" s="203"/>
      <c r="G38" s="203"/>
      <c r="H38" s="72">
        <f t="shared" si="0"/>
        <v>0</v>
      </c>
      <c r="I38" s="12"/>
    </row>
    <row r="39" spans="1:9" ht="18.75" customHeight="1">
      <c r="A39" s="9"/>
      <c r="B39" s="19" t="s">
        <v>225</v>
      </c>
      <c r="C39" s="3"/>
      <c r="D39" s="14"/>
      <c r="E39" s="72"/>
      <c r="F39" s="72"/>
      <c r="G39" s="72"/>
      <c r="H39" s="72">
        <f t="shared" si="0"/>
        <v>0</v>
      </c>
      <c r="I39" s="12"/>
    </row>
    <row r="40" spans="1:9" ht="18.75" customHeight="1">
      <c r="A40" s="9">
        <v>1</v>
      </c>
      <c r="B40" s="17" t="s">
        <v>403</v>
      </c>
      <c r="C40" s="3" t="s">
        <v>404</v>
      </c>
      <c r="D40" s="9" t="s">
        <v>405</v>
      </c>
      <c r="E40" s="72">
        <v>81740.02</v>
      </c>
      <c r="F40" s="72"/>
      <c r="G40" s="72"/>
      <c r="H40" s="72">
        <f t="shared" si="0"/>
        <v>0</v>
      </c>
      <c r="I40" s="12"/>
    </row>
    <row r="41" spans="1:9" ht="18.75" customHeight="1">
      <c r="A41" s="9">
        <v>2</v>
      </c>
      <c r="B41" s="17" t="s">
        <v>406</v>
      </c>
      <c r="C41" s="3" t="s">
        <v>642</v>
      </c>
      <c r="D41" s="9" t="s">
        <v>72</v>
      </c>
      <c r="E41" s="201">
        <v>12351.94</v>
      </c>
      <c r="F41" s="72">
        <f>0</f>
        <v>0</v>
      </c>
      <c r="G41" s="72">
        <f>0</f>
        <v>0</v>
      </c>
      <c r="H41" s="72">
        <f t="shared" si="0"/>
        <v>0</v>
      </c>
      <c r="I41" s="12"/>
    </row>
    <row r="42" spans="1:9" ht="19.5" customHeight="1">
      <c r="A42" s="9"/>
      <c r="B42" s="13"/>
      <c r="C42" s="20">
        <v>2</v>
      </c>
      <c r="D42" s="9"/>
      <c r="E42" s="203">
        <f>SUM(E40:E41)</f>
        <v>94091.96</v>
      </c>
      <c r="F42" s="203">
        <f>SUM(F40:F41)</f>
        <v>0</v>
      </c>
      <c r="G42" s="203">
        <f>SUM(G40:G41)</f>
        <v>0</v>
      </c>
      <c r="H42" s="72">
        <f t="shared" si="0"/>
        <v>0</v>
      </c>
      <c r="I42" s="12"/>
    </row>
    <row r="43" spans="1:9" ht="20.100000000000001" customHeight="1">
      <c r="A43" s="9"/>
      <c r="B43" s="13"/>
      <c r="C43" s="3"/>
      <c r="D43" s="9"/>
      <c r="E43" s="203"/>
      <c r="F43" s="203"/>
      <c r="G43" s="203"/>
      <c r="H43" s="72">
        <f t="shared" si="0"/>
        <v>0</v>
      </c>
      <c r="I43" s="12"/>
    </row>
    <row r="44" spans="1:9" ht="20.100000000000001" customHeight="1">
      <c r="A44" s="9"/>
      <c r="B44" s="22" t="s">
        <v>43</v>
      </c>
      <c r="C44" s="4"/>
      <c r="D44" s="23"/>
      <c r="E44" s="203"/>
      <c r="F44" s="72"/>
      <c r="G44" s="72"/>
      <c r="H44" s="72">
        <f t="shared" si="0"/>
        <v>0</v>
      </c>
      <c r="I44" s="12"/>
    </row>
    <row r="45" spans="1:9" ht="20.100000000000001" customHeight="1">
      <c r="A45" s="9">
        <v>1</v>
      </c>
      <c r="B45" s="10" t="s">
        <v>410</v>
      </c>
      <c r="C45" s="3" t="s">
        <v>411</v>
      </c>
      <c r="D45" s="9" t="s">
        <v>405</v>
      </c>
      <c r="E45" s="72">
        <v>81740.02</v>
      </c>
      <c r="F45" s="72"/>
      <c r="G45" s="72"/>
      <c r="H45" s="72">
        <f t="shared" si="0"/>
        <v>0</v>
      </c>
      <c r="I45" s="12"/>
    </row>
    <row r="46" spans="1:9" ht="20.100000000000001" customHeight="1">
      <c r="A46" s="9">
        <v>2</v>
      </c>
      <c r="B46" s="10" t="s">
        <v>412</v>
      </c>
      <c r="C46" s="3" t="s">
        <v>413</v>
      </c>
      <c r="D46" s="9" t="s">
        <v>358</v>
      </c>
      <c r="E46" s="72">
        <v>33507.5</v>
      </c>
      <c r="F46" s="72"/>
      <c r="G46" s="72"/>
      <c r="H46" s="72">
        <f t="shared" si="0"/>
        <v>0</v>
      </c>
      <c r="I46" s="12"/>
    </row>
    <row r="47" spans="1:9" ht="20.100000000000001" customHeight="1">
      <c r="A47" s="9">
        <v>3</v>
      </c>
      <c r="B47" s="10" t="s">
        <v>414</v>
      </c>
      <c r="C47" s="3" t="s">
        <v>418</v>
      </c>
      <c r="D47" s="9" t="s">
        <v>358</v>
      </c>
      <c r="E47" s="72">
        <v>33507.5</v>
      </c>
      <c r="F47" s="72"/>
      <c r="G47" s="72"/>
      <c r="H47" s="72">
        <f t="shared" si="0"/>
        <v>0</v>
      </c>
      <c r="I47" s="12"/>
    </row>
    <row r="48" spans="1:9" ht="20.100000000000001" customHeight="1">
      <c r="A48" s="9">
        <v>4</v>
      </c>
      <c r="B48" s="10" t="s">
        <v>417</v>
      </c>
      <c r="C48" s="3" t="s">
        <v>418</v>
      </c>
      <c r="D48" s="9" t="s">
        <v>358</v>
      </c>
      <c r="E48" s="72">
        <v>33507.5</v>
      </c>
      <c r="F48" s="72"/>
      <c r="G48" s="72"/>
      <c r="H48" s="72">
        <f t="shared" si="0"/>
        <v>0</v>
      </c>
      <c r="I48" s="12"/>
    </row>
    <row r="49" spans="1:9" ht="20.100000000000001" customHeight="1">
      <c r="A49" s="9">
        <v>5</v>
      </c>
      <c r="B49" s="10" t="s">
        <v>419</v>
      </c>
      <c r="C49" s="3" t="s">
        <v>418</v>
      </c>
      <c r="D49" s="9" t="s">
        <v>435</v>
      </c>
      <c r="E49" s="72">
        <v>32263.200000000001</v>
      </c>
      <c r="F49" s="72">
        <f>0.025*E49</f>
        <v>806.58</v>
      </c>
      <c r="G49" s="72">
        <f>837.69</f>
        <v>837.69</v>
      </c>
      <c r="H49" s="72">
        <f t="shared" si="0"/>
        <v>-31.11</v>
      </c>
      <c r="I49" s="12"/>
    </row>
    <row r="50" spans="1:9" ht="20.100000000000001" customHeight="1">
      <c r="A50" s="9">
        <v>6</v>
      </c>
      <c r="B50" s="10" t="s">
        <v>420</v>
      </c>
      <c r="C50" s="3" t="s">
        <v>368</v>
      </c>
      <c r="D50" s="9" t="s">
        <v>366</v>
      </c>
      <c r="E50" s="72">
        <v>27611.23</v>
      </c>
      <c r="F50" s="72"/>
      <c r="G50" s="72"/>
      <c r="H50" s="72">
        <f t="shared" si="0"/>
        <v>0</v>
      </c>
      <c r="I50" s="12"/>
    </row>
    <row r="51" spans="1:9" ht="20.100000000000001" customHeight="1">
      <c r="A51" s="9">
        <v>7</v>
      </c>
      <c r="B51" s="13" t="s">
        <v>421</v>
      </c>
      <c r="C51" s="3" t="s">
        <v>365</v>
      </c>
      <c r="D51" s="15" t="s">
        <v>366</v>
      </c>
      <c r="E51" s="72">
        <v>27611.23</v>
      </c>
      <c r="F51" s="72">
        <v>0</v>
      </c>
      <c r="G51" s="72">
        <v>0</v>
      </c>
      <c r="H51" s="72">
        <f t="shared" si="0"/>
        <v>0</v>
      </c>
      <c r="I51" s="12"/>
    </row>
    <row r="52" spans="1:9" ht="20.100000000000001" customHeight="1">
      <c r="A52" s="9">
        <v>8</v>
      </c>
      <c r="B52" s="10" t="s">
        <v>1125</v>
      </c>
      <c r="C52" s="3" t="s">
        <v>365</v>
      </c>
      <c r="D52" s="9" t="s">
        <v>450</v>
      </c>
      <c r="E52" s="72">
        <v>26732.65</v>
      </c>
      <c r="F52" s="72"/>
      <c r="G52" s="72"/>
      <c r="H52" s="72">
        <f t="shared" si="0"/>
        <v>0</v>
      </c>
      <c r="I52" s="12"/>
    </row>
    <row r="53" spans="1:9" ht="20.100000000000001" customHeight="1">
      <c r="A53" s="9">
        <v>9</v>
      </c>
      <c r="B53" s="10" t="s">
        <v>367</v>
      </c>
      <c r="C53" s="3" t="s">
        <v>461</v>
      </c>
      <c r="D53" s="9" t="s">
        <v>375</v>
      </c>
      <c r="E53" s="72">
        <v>25523.45</v>
      </c>
      <c r="F53" s="72">
        <f>0.025*E53</f>
        <v>638.08624999999995</v>
      </c>
      <c r="G53" s="72">
        <f>'[15]April 2022'!$H$46</f>
        <v>618.53150000000005</v>
      </c>
      <c r="H53" s="72">
        <f t="shared" si="0"/>
        <v>19.554749999999999</v>
      </c>
      <c r="I53" s="12"/>
    </row>
    <row r="54" spans="1:9" ht="20.100000000000001" customHeight="1">
      <c r="A54" s="9">
        <v>10</v>
      </c>
      <c r="B54" s="10" t="s">
        <v>423</v>
      </c>
      <c r="C54" s="3" t="s">
        <v>64</v>
      </c>
      <c r="D54" s="9" t="s">
        <v>55</v>
      </c>
      <c r="E54" s="201">
        <f>14736.14</f>
        <v>14736.14</v>
      </c>
      <c r="F54" s="72"/>
      <c r="G54" s="72"/>
      <c r="H54" s="72">
        <f t="shared" si="0"/>
        <v>0</v>
      </c>
      <c r="I54" s="12"/>
    </row>
    <row r="55" spans="1:9" ht="20.100000000000001" customHeight="1">
      <c r="A55" s="9">
        <v>11</v>
      </c>
      <c r="B55" s="10" t="s">
        <v>424</v>
      </c>
      <c r="C55" s="3" t="s">
        <v>64</v>
      </c>
      <c r="D55" s="9" t="s">
        <v>55</v>
      </c>
      <c r="E55" s="201">
        <f>14736.14</f>
        <v>14736.14</v>
      </c>
      <c r="F55" s="72"/>
      <c r="G55" s="72"/>
      <c r="H55" s="72">
        <f t="shared" si="0"/>
        <v>0</v>
      </c>
      <c r="I55" s="12"/>
    </row>
    <row r="56" spans="1:9" ht="20.100000000000001" customHeight="1">
      <c r="A56" s="9">
        <v>12</v>
      </c>
      <c r="B56" s="10" t="s">
        <v>425</v>
      </c>
      <c r="C56" s="3" t="s">
        <v>64</v>
      </c>
      <c r="D56" s="9" t="s">
        <v>55</v>
      </c>
      <c r="E56" s="201">
        <f>14736.14</f>
        <v>14736.14</v>
      </c>
      <c r="F56" s="72"/>
      <c r="G56" s="72"/>
      <c r="H56" s="72">
        <f t="shared" si="0"/>
        <v>0</v>
      </c>
      <c r="I56" s="12"/>
    </row>
    <row r="57" spans="1:9" ht="25.5" customHeight="1">
      <c r="A57" s="9"/>
      <c r="B57" s="19" t="s">
        <v>42</v>
      </c>
      <c r="C57" s="20">
        <v>12</v>
      </c>
      <c r="D57" s="20"/>
      <c r="E57" s="80">
        <f>SUM(E45:E56)</f>
        <v>366212.7</v>
      </c>
      <c r="F57" s="80">
        <f>SUM(F45:F56)</f>
        <v>1444.66625</v>
      </c>
      <c r="G57" s="80">
        <f t="shared" ref="G57" si="5">SUM(G45:G56)</f>
        <v>1456.2215000000001</v>
      </c>
      <c r="H57" s="72">
        <f t="shared" si="0"/>
        <v>-11.5552499999999</v>
      </c>
      <c r="I57" s="12"/>
    </row>
    <row r="58" spans="1:9" ht="20.100000000000001" customHeight="1">
      <c r="A58" s="9"/>
      <c r="B58" s="21"/>
      <c r="C58" s="20"/>
      <c r="D58" s="20"/>
      <c r="E58" s="134"/>
      <c r="F58" s="134"/>
      <c r="G58" s="134"/>
      <c r="H58" s="72">
        <f t="shared" si="0"/>
        <v>0</v>
      </c>
      <c r="I58" s="12"/>
    </row>
    <row r="59" spans="1:9" ht="20.100000000000001" customHeight="1">
      <c r="A59" s="9"/>
      <c r="B59" s="19" t="s">
        <v>426</v>
      </c>
      <c r="C59" s="20"/>
      <c r="D59" s="20"/>
      <c r="E59" s="134"/>
      <c r="F59" s="134"/>
      <c r="G59" s="134"/>
      <c r="H59" s="72">
        <f t="shared" si="0"/>
        <v>0</v>
      </c>
      <c r="I59" s="12"/>
    </row>
    <row r="60" spans="1:9" ht="20.100000000000001" customHeight="1">
      <c r="A60" s="9">
        <v>1</v>
      </c>
      <c r="B60" s="10" t="s">
        <v>427</v>
      </c>
      <c r="C60" s="11" t="s">
        <v>428</v>
      </c>
      <c r="D60" s="14" t="s">
        <v>405</v>
      </c>
      <c r="E60" s="72">
        <v>81740.02</v>
      </c>
      <c r="F60" s="72">
        <v>0</v>
      </c>
      <c r="G60" s="72">
        <v>0</v>
      </c>
      <c r="H60" s="72">
        <f t="shared" si="0"/>
        <v>0</v>
      </c>
      <c r="I60" s="12"/>
    </row>
    <row r="61" spans="1:9" ht="20.100000000000001" customHeight="1">
      <c r="A61" s="9"/>
      <c r="B61" s="19" t="s">
        <v>42</v>
      </c>
      <c r="C61" s="20">
        <v>1</v>
      </c>
      <c r="D61" s="20"/>
      <c r="E61" s="80">
        <f>SUM(E60:E60)</f>
        <v>81740.02</v>
      </c>
      <c r="F61" s="80">
        <f>SUM(F60:F60)</f>
        <v>0</v>
      </c>
      <c r="G61" s="80">
        <f>SUM(G60:G60)</f>
        <v>0</v>
      </c>
      <c r="H61" s="72">
        <f t="shared" si="0"/>
        <v>0</v>
      </c>
      <c r="I61" s="12"/>
    </row>
    <row r="62" spans="1:9" ht="20.100000000000001" customHeight="1">
      <c r="A62" s="9"/>
      <c r="B62" s="19"/>
      <c r="C62" s="20"/>
      <c r="D62" s="20"/>
      <c r="E62" s="134"/>
      <c r="F62" s="134"/>
      <c r="G62" s="134"/>
      <c r="H62" s="72">
        <f t="shared" si="0"/>
        <v>0</v>
      </c>
      <c r="I62" s="12"/>
    </row>
    <row r="63" spans="1:9" ht="20.100000000000001" customHeight="1">
      <c r="A63" s="9"/>
      <c r="B63" s="19" t="s">
        <v>60</v>
      </c>
      <c r="C63" s="20"/>
      <c r="D63" s="20"/>
      <c r="E63" s="134"/>
      <c r="F63" s="134"/>
      <c r="G63" s="134"/>
      <c r="H63" s="72">
        <f t="shared" si="0"/>
        <v>0</v>
      </c>
      <c r="I63" s="12"/>
    </row>
    <row r="64" spans="1:9" ht="20.100000000000001" customHeight="1">
      <c r="A64" s="9">
        <v>1</v>
      </c>
      <c r="B64" s="10" t="s">
        <v>431</v>
      </c>
      <c r="C64" s="16" t="s">
        <v>432</v>
      </c>
      <c r="D64" s="9" t="s">
        <v>405</v>
      </c>
      <c r="E64" s="72">
        <v>81740.02</v>
      </c>
      <c r="F64" s="72"/>
      <c r="G64" s="72"/>
      <c r="H64" s="72">
        <f t="shared" si="0"/>
        <v>0</v>
      </c>
      <c r="I64" s="12"/>
    </row>
    <row r="65" spans="1:9" ht="20.100000000000001" customHeight="1">
      <c r="A65" s="9">
        <v>2</v>
      </c>
      <c r="B65" s="17" t="s">
        <v>433</v>
      </c>
      <c r="C65" s="16" t="s">
        <v>434</v>
      </c>
      <c r="D65" s="14" t="s">
        <v>1054</v>
      </c>
      <c r="E65" s="201">
        <v>31018.84</v>
      </c>
      <c r="F65" s="72"/>
      <c r="G65" s="72"/>
      <c r="H65" s="72">
        <f t="shared" si="0"/>
        <v>0</v>
      </c>
      <c r="I65" s="12"/>
    </row>
    <row r="66" spans="1:9" ht="20.100000000000001" customHeight="1">
      <c r="A66" s="9">
        <v>3</v>
      </c>
      <c r="B66" s="10" t="s">
        <v>436</v>
      </c>
      <c r="C66" s="3" t="s">
        <v>231</v>
      </c>
      <c r="D66" s="9" t="s">
        <v>375</v>
      </c>
      <c r="E66" s="72">
        <v>25523.45</v>
      </c>
      <c r="F66" s="72"/>
      <c r="G66" s="72"/>
      <c r="H66" s="72">
        <f t="shared" si="0"/>
        <v>0</v>
      </c>
      <c r="I66" s="12"/>
    </row>
    <row r="67" spans="1:9" ht="20.100000000000001" customHeight="1">
      <c r="A67" s="9">
        <v>4</v>
      </c>
      <c r="B67" s="17" t="s">
        <v>437</v>
      </c>
      <c r="C67" s="16" t="s">
        <v>231</v>
      </c>
      <c r="D67" s="14" t="s">
        <v>1052</v>
      </c>
      <c r="E67" s="72">
        <v>24741.26</v>
      </c>
      <c r="F67" s="72">
        <f>0</f>
        <v>0</v>
      </c>
      <c r="G67" s="72">
        <f>0</f>
        <v>0</v>
      </c>
      <c r="H67" s="72">
        <f t="shared" si="0"/>
        <v>0</v>
      </c>
      <c r="I67" s="12"/>
    </row>
    <row r="68" spans="1:9" ht="20.100000000000001" customHeight="1">
      <c r="A68" s="9">
        <v>5</v>
      </c>
      <c r="B68" s="13" t="s">
        <v>438</v>
      </c>
      <c r="C68" s="16" t="s">
        <v>365</v>
      </c>
      <c r="D68" s="14" t="s">
        <v>366</v>
      </c>
      <c r="E68" s="72">
        <v>27611.23</v>
      </c>
      <c r="F68" s="72"/>
      <c r="G68" s="72"/>
      <c r="H68" s="72">
        <f t="shared" si="0"/>
        <v>0</v>
      </c>
      <c r="I68" s="12"/>
    </row>
    <row r="69" spans="1:9" ht="20.100000000000001" customHeight="1">
      <c r="A69" s="9">
        <v>6</v>
      </c>
      <c r="B69" s="10" t="s">
        <v>439</v>
      </c>
      <c r="C69" s="3" t="s">
        <v>64</v>
      </c>
      <c r="D69" s="9" t="s">
        <v>1231</v>
      </c>
      <c r="E69" s="72">
        <f>20769.92</f>
        <v>20769.919999999998</v>
      </c>
      <c r="F69" s="72"/>
      <c r="G69" s="72"/>
      <c r="H69" s="72">
        <f t="shared" si="0"/>
        <v>0</v>
      </c>
      <c r="I69" s="12"/>
    </row>
    <row r="70" spans="1:9" ht="20.100000000000001" customHeight="1">
      <c r="A70" s="9">
        <v>7</v>
      </c>
      <c r="B70" s="10" t="s">
        <v>1133</v>
      </c>
      <c r="C70" s="16" t="s">
        <v>34</v>
      </c>
      <c r="D70" s="14" t="s">
        <v>380</v>
      </c>
      <c r="E70" s="72">
        <f>22837.82</f>
        <v>22837.82</v>
      </c>
      <c r="F70" s="72">
        <f>0.025*E70</f>
        <v>570.94550000000004</v>
      </c>
      <c r="G70" s="72">
        <f>'[15]April 2022'!$H$41</f>
        <v>538.02200000000005</v>
      </c>
      <c r="H70" s="72">
        <f t="shared" si="0"/>
        <v>32.923499999999997</v>
      </c>
      <c r="I70" s="12"/>
    </row>
    <row r="71" spans="1:9" ht="20.100000000000001" customHeight="1">
      <c r="A71" s="9">
        <v>8</v>
      </c>
      <c r="B71" s="10" t="s">
        <v>441</v>
      </c>
      <c r="C71" s="16" t="s">
        <v>34</v>
      </c>
      <c r="D71" s="14" t="s">
        <v>32</v>
      </c>
      <c r="E71" s="204">
        <v>20749</v>
      </c>
      <c r="F71" s="72"/>
      <c r="G71" s="72"/>
      <c r="H71" s="72">
        <f t="shared" si="0"/>
        <v>0</v>
      </c>
      <c r="I71" s="12"/>
    </row>
    <row r="72" spans="1:9" ht="20.100000000000001" customHeight="1">
      <c r="A72" s="9">
        <v>9</v>
      </c>
      <c r="B72" s="10" t="s">
        <v>442</v>
      </c>
      <c r="C72" s="16" t="s">
        <v>34</v>
      </c>
      <c r="D72" s="14" t="s">
        <v>32</v>
      </c>
      <c r="E72" s="204">
        <v>20749</v>
      </c>
      <c r="F72" s="72"/>
      <c r="G72" s="72"/>
      <c r="H72" s="72">
        <f t="shared" ref="H72:H135" si="6">F72-G72</f>
        <v>0</v>
      </c>
      <c r="I72" s="12"/>
    </row>
    <row r="73" spans="1:9" ht="20.100000000000001" customHeight="1">
      <c r="A73" s="9">
        <v>10</v>
      </c>
      <c r="B73" s="10" t="s">
        <v>443</v>
      </c>
      <c r="C73" s="3" t="s">
        <v>444</v>
      </c>
      <c r="D73" s="9" t="s">
        <v>440</v>
      </c>
      <c r="E73" s="72">
        <v>21520.880000000001</v>
      </c>
      <c r="F73" s="72"/>
      <c r="G73" s="72"/>
      <c r="H73" s="72">
        <f t="shared" si="6"/>
        <v>0</v>
      </c>
      <c r="I73" s="12"/>
    </row>
    <row r="74" spans="1:9" ht="20.100000000000001" customHeight="1">
      <c r="A74" s="9">
        <v>11</v>
      </c>
      <c r="B74" s="10" t="s">
        <v>1215</v>
      </c>
      <c r="C74" s="16" t="s">
        <v>64</v>
      </c>
      <c r="D74" s="9" t="s">
        <v>409</v>
      </c>
      <c r="E74" s="72">
        <v>17784.099999999999</v>
      </c>
      <c r="F74" s="72"/>
      <c r="G74" s="72"/>
      <c r="H74" s="72">
        <f t="shared" si="6"/>
        <v>0</v>
      </c>
      <c r="I74" s="12"/>
    </row>
    <row r="75" spans="1:9" ht="20.100000000000001" customHeight="1">
      <c r="A75" s="9">
        <v>12</v>
      </c>
      <c r="B75" s="10" t="s">
        <v>389</v>
      </c>
      <c r="C75" s="16" t="s">
        <v>382</v>
      </c>
      <c r="D75" s="9" t="s">
        <v>391</v>
      </c>
      <c r="E75" s="72">
        <f>15188.67</f>
        <v>15188.67</v>
      </c>
      <c r="F75" s="72"/>
      <c r="G75" s="72"/>
      <c r="H75" s="72">
        <f t="shared" si="6"/>
        <v>0</v>
      </c>
      <c r="I75" s="12"/>
    </row>
    <row r="76" spans="1:9" ht="20.100000000000001" customHeight="1">
      <c r="A76" s="9">
        <v>13</v>
      </c>
      <c r="B76" s="13" t="s">
        <v>381</v>
      </c>
      <c r="C76" s="16" t="s">
        <v>382</v>
      </c>
      <c r="D76" s="9" t="s">
        <v>402</v>
      </c>
      <c r="E76" s="72">
        <f>12732</f>
        <v>12732</v>
      </c>
      <c r="F76" s="72"/>
      <c r="G76" s="72"/>
      <c r="H76" s="72">
        <f t="shared" si="6"/>
        <v>0</v>
      </c>
      <c r="I76" s="12"/>
    </row>
    <row r="77" spans="1:9" ht="20.100000000000001" customHeight="1">
      <c r="A77" s="9"/>
      <c r="B77" s="19" t="s">
        <v>42</v>
      </c>
      <c r="C77" s="20">
        <v>13</v>
      </c>
      <c r="D77" s="20"/>
      <c r="E77" s="80">
        <f>SUM(E64:E76)</f>
        <v>342966.19</v>
      </c>
      <c r="F77" s="80">
        <f t="shared" ref="F77:G77" si="7">SUM(F64:F76)</f>
        <v>570.94550000000004</v>
      </c>
      <c r="G77" s="80">
        <f t="shared" si="7"/>
        <v>538.02200000000005</v>
      </c>
      <c r="H77" s="72">
        <f t="shared" si="6"/>
        <v>32.923499999999997</v>
      </c>
      <c r="I77" s="12"/>
    </row>
    <row r="78" spans="1:9" ht="20.100000000000001" customHeight="1">
      <c r="A78" s="9"/>
      <c r="B78" s="21"/>
      <c r="C78" s="20"/>
      <c r="D78" s="20"/>
      <c r="E78" s="134"/>
      <c r="F78" s="134"/>
      <c r="G78" s="134"/>
      <c r="H78" s="72">
        <f t="shared" si="6"/>
        <v>0</v>
      </c>
      <c r="I78" s="12"/>
    </row>
    <row r="79" spans="1:9" ht="20.100000000000001" customHeight="1">
      <c r="A79" s="9"/>
      <c r="B79" s="19" t="s">
        <v>65</v>
      </c>
      <c r="C79" s="20"/>
      <c r="D79" s="20"/>
      <c r="E79" s="134"/>
      <c r="F79" s="134"/>
      <c r="G79" s="134"/>
      <c r="H79" s="72">
        <f t="shared" si="6"/>
        <v>0</v>
      </c>
      <c r="I79" s="12"/>
    </row>
    <row r="80" spans="1:9" ht="20.100000000000001" customHeight="1">
      <c r="A80" s="9">
        <v>1</v>
      </c>
      <c r="B80" s="10" t="s">
        <v>446</v>
      </c>
      <c r="C80" s="3" t="s">
        <v>447</v>
      </c>
      <c r="D80" s="9" t="s">
        <v>405</v>
      </c>
      <c r="E80" s="72">
        <v>81740.02</v>
      </c>
      <c r="F80" s="72">
        <v>0</v>
      </c>
      <c r="G80" s="72">
        <v>0</v>
      </c>
      <c r="H80" s="72">
        <f t="shared" si="6"/>
        <v>0</v>
      </c>
      <c r="I80" s="12"/>
    </row>
    <row r="81" spans="1:9" ht="20.100000000000001" customHeight="1">
      <c r="A81" s="9">
        <v>2</v>
      </c>
      <c r="B81" s="13" t="s">
        <v>331</v>
      </c>
      <c r="C81" s="3" t="s">
        <v>76</v>
      </c>
      <c r="D81" s="14" t="s">
        <v>1054</v>
      </c>
      <c r="E81" s="204">
        <v>31018.84</v>
      </c>
      <c r="F81" s="72">
        <v>0</v>
      </c>
      <c r="G81" s="72">
        <v>0</v>
      </c>
      <c r="H81" s="72">
        <f t="shared" si="6"/>
        <v>0</v>
      </c>
      <c r="I81" s="12"/>
    </row>
    <row r="82" spans="1:9" ht="20.100000000000001" customHeight="1">
      <c r="A82" s="9">
        <v>3</v>
      </c>
      <c r="B82" s="13" t="s">
        <v>1216</v>
      </c>
      <c r="C82" s="3" t="s">
        <v>1217</v>
      </c>
      <c r="D82" s="14" t="s">
        <v>1054</v>
      </c>
      <c r="E82" s="204">
        <v>31018.84</v>
      </c>
      <c r="F82" s="72">
        <v>0</v>
      </c>
      <c r="G82" s="72">
        <v>0</v>
      </c>
      <c r="H82" s="72">
        <f t="shared" si="6"/>
        <v>0</v>
      </c>
      <c r="I82" s="12"/>
    </row>
    <row r="83" spans="1:9" ht="20.100000000000001" customHeight="1">
      <c r="A83" s="9">
        <v>4</v>
      </c>
      <c r="B83" s="10" t="s">
        <v>448</v>
      </c>
      <c r="C83" s="3" t="s">
        <v>1069</v>
      </c>
      <c r="D83" s="14" t="s">
        <v>375</v>
      </c>
      <c r="E83" s="72">
        <v>25523.45</v>
      </c>
      <c r="F83" s="72">
        <f>0.025*E83</f>
        <v>638.08624999999995</v>
      </c>
      <c r="G83" s="72">
        <f>'[15]April 2022'!$H$38</f>
        <v>618.53150000000005</v>
      </c>
      <c r="H83" s="72">
        <f t="shared" si="6"/>
        <v>19.554749999999999</v>
      </c>
      <c r="I83" s="12"/>
    </row>
    <row r="84" spans="1:9" ht="20.100000000000001" customHeight="1">
      <c r="A84" s="9">
        <v>5</v>
      </c>
      <c r="B84" s="10" t="s">
        <v>451</v>
      </c>
      <c r="C84" s="3" t="s">
        <v>452</v>
      </c>
      <c r="D84" s="9" t="s">
        <v>409</v>
      </c>
      <c r="E84" s="72">
        <v>17784.099999999999</v>
      </c>
      <c r="F84" s="72"/>
      <c r="G84" s="72"/>
      <c r="H84" s="72">
        <f t="shared" si="6"/>
        <v>0</v>
      </c>
      <c r="I84" s="12"/>
    </row>
    <row r="85" spans="1:9" ht="20.100000000000001" customHeight="1">
      <c r="A85" s="9"/>
      <c r="B85" s="19" t="s">
        <v>42</v>
      </c>
      <c r="C85" s="20">
        <v>5</v>
      </c>
      <c r="D85" s="20"/>
      <c r="E85" s="80">
        <f>SUM(E80:E84)</f>
        <v>187085.25</v>
      </c>
      <c r="F85" s="80">
        <f t="shared" ref="F85:G85" si="8">SUM(F80:F84)</f>
        <v>638.08624999999995</v>
      </c>
      <c r="G85" s="80">
        <f t="shared" si="8"/>
        <v>618.53150000000005</v>
      </c>
      <c r="H85" s="72">
        <f t="shared" si="6"/>
        <v>19.554749999999999</v>
      </c>
      <c r="I85" s="12"/>
    </row>
    <row r="86" spans="1:9" ht="20.100000000000001" customHeight="1">
      <c r="A86" s="9"/>
      <c r="B86" s="19"/>
      <c r="C86" s="20"/>
      <c r="D86" s="20"/>
      <c r="E86" s="134"/>
      <c r="F86" s="134"/>
      <c r="G86" s="134"/>
      <c r="H86" s="72">
        <f t="shared" si="6"/>
        <v>0</v>
      </c>
      <c r="I86" s="12"/>
    </row>
    <row r="87" spans="1:9" ht="20.100000000000001" customHeight="1">
      <c r="A87" s="9"/>
      <c r="B87" s="19" t="s">
        <v>74</v>
      </c>
      <c r="C87" s="24"/>
      <c r="D87" s="20"/>
      <c r="E87" s="134"/>
      <c r="F87" s="134"/>
      <c r="G87" s="134"/>
      <c r="H87" s="72">
        <f t="shared" si="6"/>
        <v>0</v>
      </c>
      <c r="I87" s="12"/>
    </row>
    <row r="88" spans="1:9" ht="23.25" customHeight="1">
      <c r="A88" s="9">
        <v>1</v>
      </c>
      <c r="B88" s="10" t="s">
        <v>1232</v>
      </c>
      <c r="C88" s="3" t="s">
        <v>1233</v>
      </c>
      <c r="D88" s="9" t="s">
        <v>340</v>
      </c>
      <c r="E88" s="72">
        <v>42653.17</v>
      </c>
      <c r="F88" s="72"/>
      <c r="G88" s="72"/>
      <c r="H88" s="72">
        <f t="shared" si="6"/>
        <v>0</v>
      </c>
      <c r="I88" s="12"/>
    </row>
    <row r="89" spans="1:9" ht="20.100000000000001" customHeight="1">
      <c r="A89" s="9">
        <v>2</v>
      </c>
      <c r="B89" s="10" t="s">
        <v>457</v>
      </c>
      <c r="C89" s="3" t="s">
        <v>418</v>
      </c>
      <c r="D89" s="9" t="s">
        <v>358</v>
      </c>
      <c r="E89" s="72">
        <v>33507.5</v>
      </c>
      <c r="F89" s="72"/>
      <c r="G89" s="72"/>
      <c r="H89" s="72">
        <f t="shared" si="6"/>
        <v>0</v>
      </c>
      <c r="I89" s="12"/>
    </row>
    <row r="90" spans="1:9" ht="20.100000000000001" customHeight="1">
      <c r="A90" s="9">
        <v>3</v>
      </c>
      <c r="B90" s="10" t="s">
        <v>458</v>
      </c>
      <c r="C90" s="3" t="s">
        <v>418</v>
      </c>
      <c r="D90" s="9" t="s">
        <v>358</v>
      </c>
      <c r="E90" s="72">
        <v>33507.5</v>
      </c>
      <c r="F90" s="72">
        <f>0.025*E90</f>
        <v>837.6875</v>
      </c>
      <c r="G90" s="72">
        <f>'[15]April 2022'!$H$37</f>
        <v>837.6875</v>
      </c>
      <c r="H90" s="72">
        <f t="shared" si="6"/>
        <v>0</v>
      </c>
      <c r="I90" s="12"/>
    </row>
    <row r="91" spans="1:9" ht="20.100000000000001" customHeight="1">
      <c r="A91" s="9">
        <v>4</v>
      </c>
      <c r="B91" s="13" t="s">
        <v>493</v>
      </c>
      <c r="C91" s="3" t="s">
        <v>365</v>
      </c>
      <c r="D91" s="9" t="s">
        <v>363</v>
      </c>
      <c r="E91" s="72">
        <f>28489.81</f>
        <v>28489.81</v>
      </c>
      <c r="F91" s="72">
        <f>0.025*E91</f>
        <v>712.24525000000006</v>
      </c>
      <c r="G91" s="72">
        <f>'[15]April 2022'!$H$44</f>
        <v>690.28075000000001</v>
      </c>
      <c r="H91" s="72">
        <f t="shared" si="6"/>
        <v>21.964500000000001</v>
      </c>
      <c r="I91" s="12"/>
    </row>
    <row r="92" spans="1:9" ht="20.100000000000001" customHeight="1">
      <c r="A92" s="9">
        <v>5</v>
      </c>
      <c r="B92" s="10" t="s">
        <v>459</v>
      </c>
      <c r="C92" s="3" t="s">
        <v>368</v>
      </c>
      <c r="D92" s="9" t="s">
        <v>366</v>
      </c>
      <c r="E92" s="72">
        <v>27611.23</v>
      </c>
      <c r="F92" s="72"/>
      <c r="G92" s="72"/>
      <c r="H92" s="72">
        <f t="shared" si="6"/>
        <v>0</v>
      </c>
      <c r="I92" s="12"/>
    </row>
    <row r="93" spans="1:9" ht="21.6" customHeight="1">
      <c r="A93" s="9">
        <v>6</v>
      </c>
      <c r="B93" s="10" t="s">
        <v>460</v>
      </c>
      <c r="C93" s="3" t="s">
        <v>461</v>
      </c>
      <c r="D93" s="14" t="s">
        <v>375</v>
      </c>
      <c r="E93" s="72">
        <v>25523.45</v>
      </c>
      <c r="F93" s="72"/>
      <c r="G93" s="72"/>
      <c r="H93" s="72">
        <f t="shared" si="6"/>
        <v>0</v>
      </c>
      <c r="I93" s="12"/>
    </row>
    <row r="94" spans="1:9" ht="21.6" customHeight="1">
      <c r="A94" s="9">
        <v>7</v>
      </c>
      <c r="B94" s="10" t="s">
        <v>462</v>
      </c>
      <c r="C94" s="11" t="s">
        <v>231</v>
      </c>
      <c r="D94" s="14" t="s">
        <v>1052</v>
      </c>
      <c r="E94" s="72">
        <v>24741.26</v>
      </c>
      <c r="F94" s="72"/>
      <c r="G94" s="72"/>
      <c r="H94" s="72">
        <f t="shared" si="6"/>
        <v>0</v>
      </c>
      <c r="I94" s="12"/>
    </row>
    <row r="95" spans="1:9" ht="21.6" customHeight="1">
      <c r="A95" s="9">
        <v>8</v>
      </c>
      <c r="B95" s="10" t="s">
        <v>463</v>
      </c>
      <c r="C95" s="11" t="s">
        <v>231</v>
      </c>
      <c r="D95" s="14" t="s">
        <v>1052</v>
      </c>
      <c r="E95" s="72">
        <v>24741.26</v>
      </c>
      <c r="F95" s="72"/>
      <c r="G95" s="72"/>
      <c r="H95" s="72">
        <f t="shared" si="6"/>
        <v>0</v>
      </c>
      <c r="I95" s="12"/>
    </row>
    <row r="96" spans="1:9" ht="21.6" customHeight="1">
      <c r="A96" s="9">
        <v>9</v>
      </c>
      <c r="B96" s="10" t="s">
        <v>464</v>
      </c>
      <c r="C96" s="16" t="s">
        <v>34</v>
      </c>
      <c r="D96" s="14" t="s">
        <v>32</v>
      </c>
      <c r="E96" s="204">
        <f>20749</f>
        <v>20749</v>
      </c>
      <c r="F96" s="72"/>
      <c r="G96" s="72"/>
      <c r="H96" s="72">
        <f t="shared" si="6"/>
        <v>0</v>
      </c>
      <c r="I96" s="12"/>
    </row>
    <row r="97" spans="1:9" ht="21.6" customHeight="1">
      <c r="A97" s="9">
        <v>10</v>
      </c>
      <c r="B97" s="10" t="s">
        <v>466</v>
      </c>
      <c r="C97" s="3" t="s">
        <v>467</v>
      </c>
      <c r="D97" s="9" t="s">
        <v>37</v>
      </c>
      <c r="E97" s="204">
        <v>0</v>
      </c>
      <c r="F97" s="72"/>
      <c r="G97" s="72"/>
      <c r="H97" s="72">
        <f t="shared" si="6"/>
        <v>0</v>
      </c>
      <c r="I97" s="12"/>
    </row>
    <row r="98" spans="1:9" ht="21.6" customHeight="1">
      <c r="A98" s="9">
        <v>11</v>
      </c>
      <c r="B98" s="10" t="s">
        <v>468</v>
      </c>
      <c r="C98" s="16" t="s">
        <v>469</v>
      </c>
      <c r="D98" s="14" t="s">
        <v>402</v>
      </c>
      <c r="E98" s="72">
        <f>12732</f>
        <v>12732</v>
      </c>
      <c r="F98" s="72">
        <v>0</v>
      </c>
      <c r="G98" s="72">
        <v>0</v>
      </c>
      <c r="H98" s="72">
        <f t="shared" si="6"/>
        <v>0</v>
      </c>
      <c r="I98" s="12"/>
    </row>
    <row r="99" spans="1:9" ht="20.100000000000001" customHeight="1">
      <c r="A99" s="9"/>
      <c r="B99" s="19" t="s">
        <v>42</v>
      </c>
      <c r="C99" s="20">
        <v>11</v>
      </c>
      <c r="D99" s="20"/>
      <c r="E99" s="80">
        <f t="shared" ref="E99:G99" si="9">SUM(E88:E98)</f>
        <v>274256.18</v>
      </c>
      <c r="F99" s="80">
        <f t="shared" si="9"/>
        <v>1549.9327499999999</v>
      </c>
      <c r="G99" s="80">
        <f t="shared" si="9"/>
        <v>1527.9682499999999</v>
      </c>
      <c r="H99" s="72">
        <f t="shared" si="6"/>
        <v>21.964500000000001</v>
      </c>
      <c r="I99" s="12"/>
    </row>
    <row r="100" spans="1:9" ht="20.100000000000001" customHeight="1">
      <c r="A100" s="9"/>
      <c r="B100" s="21"/>
      <c r="C100" s="20"/>
      <c r="D100" s="20"/>
      <c r="E100" s="134"/>
      <c r="F100" s="134"/>
      <c r="G100" s="134"/>
      <c r="H100" s="72">
        <f t="shared" si="6"/>
        <v>0</v>
      </c>
      <c r="I100" s="12"/>
    </row>
    <row r="101" spans="1:9" ht="20.100000000000001" customHeight="1">
      <c r="A101" s="9"/>
      <c r="B101" s="19" t="s">
        <v>84</v>
      </c>
      <c r="C101" s="20"/>
      <c r="D101" s="20"/>
      <c r="E101" s="134"/>
      <c r="F101" s="134"/>
      <c r="G101" s="134"/>
      <c r="H101" s="72">
        <f t="shared" si="6"/>
        <v>0</v>
      </c>
      <c r="I101" s="12"/>
    </row>
    <row r="102" spans="1:9" ht="20.100000000000001" customHeight="1">
      <c r="A102" s="9">
        <v>1</v>
      </c>
      <c r="B102" s="17" t="s">
        <v>341</v>
      </c>
      <c r="C102" s="9" t="s">
        <v>342</v>
      </c>
      <c r="D102" s="14" t="s">
        <v>416</v>
      </c>
      <c r="E102" s="204">
        <v>41157.69</v>
      </c>
      <c r="F102" s="72"/>
      <c r="G102" s="72"/>
      <c r="H102" s="72">
        <f t="shared" si="6"/>
        <v>0</v>
      </c>
      <c r="I102" s="12"/>
    </row>
    <row r="103" spans="1:9" ht="20.100000000000001" customHeight="1">
      <c r="A103" s="9">
        <v>2</v>
      </c>
      <c r="B103" s="10" t="s">
        <v>359</v>
      </c>
      <c r="C103" s="3" t="s">
        <v>474</v>
      </c>
      <c r="D103" s="9" t="s">
        <v>366</v>
      </c>
      <c r="E103" s="72">
        <v>27611.23</v>
      </c>
      <c r="F103" s="72">
        <f>0.025*E103</f>
        <v>690.28075000000001</v>
      </c>
      <c r="G103" s="72">
        <f>'[15]April 2022'!$H$54</f>
        <v>668.31624999999997</v>
      </c>
      <c r="H103" s="72">
        <f t="shared" si="6"/>
        <v>21.964500000000001</v>
      </c>
      <c r="I103" s="12"/>
    </row>
    <row r="104" spans="1:9" ht="20.100000000000001" customHeight="1">
      <c r="A104" s="9">
        <v>3</v>
      </c>
      <c r="B104" s="17" t="s">
        <v>1234</v>
      </c>
      <c r="C104" s="3" t="s">
        <v>1235</v>
      </c>
      <c r="D104" s="14" t="s">
        <v>1052</v>
      </c>
      <c r="E104" s="72">
        <v>24741.26</v>
      </c>
      <c r="F104" s="72"/>
      <c r="G104" s="72"/>
      <c r="H104" s="72">
        <f t="shared" si="6"/>
        <v>0</v>
      </c>
      <c r="I104" s="12"/>
    </row>
    <row r="105" spans="1:9" ht="20.100000000000001" customHeight="1">
      <c r="A105" s="9">
        <v>4</v>
      </c>
      <c r="B105" s="10" t="s">
        <v>475</v>
      </c>
      <c r="C105" s="3" t="s">
        <v>476</v>
      </c>
      <c r="D105" s="14" t="s">
        <v>440</v>
      </c>
      <c r="E105" s="72">
        <v>21520.880000000001</v>
      </c>
      <c r="F105" s="72"/>
      <c r="G105" s="72"/>
      <c r="H105" s="72">
        <f t="shared" si="6"/>
        <v>0</v>
      </c>
      <c r="I105" s="12"/>
    </row>
    <row r="106" spans="1:9" ht="20.100000000000001" customHeight="1">
      <c r="A106" s="3"/>
      <c r="B106" s="19" t="s">
        <v>42</v>
      </c>
      <c r="C106" s="20">
        <v>4</v>
      </c>
      <c r="D106" s="25"/>
      <c r="E106" s="80">
        <f>SUM(E102:E105)</f>
        <v>115031.06</v>
      </c>
      <c r="F106" s="80">
        <f t="shared" ref="F106:G106" si="10">SUM(F102:F105)</f>
        <v>690.28075000000001</v>
      </c>
      <c r="G106" s="80">
        <f t="shared" si="10"/>
        <v>668.31624999999997</v>
      </c>
      <c r="H106" s="72">
        <f t="shared" si="6"/>
        <v>21.964500000000001</v>
      </c>
      <c r="I106" s="12"/>
    </row>
    <row r="107" spans="1:9" ht="20.100000000000001" customHeight="1">
      <c r="A107" s="3"/>
      <c r="B107" s="21"/>
      <c r="C107" s="20"/>
      <c r="D107" s="25"/>
      <c r="E107" s="134"/>
      <c r="F107" s="134"/>
      <c r="G107" s="134"/>
      <c r="H107" s="72">
        <f t="shared" si="6"/>
        <v>0</v>
      </c>
      <c r="I107" s="12"/>
    </row>
    <row r="108" spans="1:9" ht="20.100000000000001" customHeight="1">
      <c r="A108" s="3"/>
      <c r="B108" s="19" t="s">
        <v>479</v>
      </c>
      <c r="C108" s="3"/>
      <c r="D108" s="3"/>
      <c r="E108" s="3"/>
      <c r="F108" s="3"/>
      <c r="G108" s="3"/>
      <c r="H108" s="72">
        <f t="shared" si="6"/>
        <v>0</v>
      </c>
      <c r="I108" s="12"/>
    </row>
    <row r="109" spans="1:9" ht="20.100000000000001" customHeight="1">
      <c r="A109" s="3">
        <v>1</v>
      </c>
      <c r="B109" s="10" t="s">
        <v>480</v>
      </c>
      <c r="C109" s="11" t="s">
        <v>481</v>
      </c>
      <c r="D109" s="14" t="s">
        <v>405</v>
      </c>
      <c r="E109" s="72">
        <v>81740.02</v>
      </c>
      <c r="F109" s="72">
        <v>0</v>
      </c>
      <c r="G109" s="72">
        <v>0</v>
      </c>
      <c r="H109" s="72">
        <f t="shared" si="6"/>
        <v>0</v>
      </c>
      <c r="I109" s="12"/>
    </row>
    <row r="110" spans="1:9" ht="20.100000000000001" customHeight="1">
      <c r="A110" s="3">
        <v>2</v>
      </c>
      <c r="B110" s="10" t="s">
        <v>482</v>
      </c>
      <c r="C110" s="3" t="s">
        <v>483</v>
      </c>
      <c r="D110" s="15" t="s">
        <v>416</v>
      </c>
      <c r="E110" s="72">
        <v>41157.69</v>
      </c>
      <c r="F110" s="72">
        <f>0.025*E110</f>
        <v>1028.9422500000001</v>
      </c>
      <c r="G110" s="72">
        <f>G7</f>
        <v>1028.9422500000001</v>
      </c>
      <c r="H110" s="72">
        <f t="shared" si="6"/>
        <v>0</v>
      </c>
      <c r="I110" s="12"/>
    </row>
    <row r="111" spans="1:9" ht="20.100000000000001" customHeight="1">
      <c r="A111" s="3">
        <v>3</v>
      </c>
      <c r="B111" s="10" t="s">
        <v>484</v>
      </c>
      <c r="C111" s="3" t="s">
        <v>485</v>
      </c>
      <c r="D111" s="9" t="s">
        <v>372</v>
      </c>
      <c r="E111" s="72">
        <v>26339.3</v>
      </c>
      <c r="F111" s="72">
        <f>0.025*E111</f>
        <v>658.48249999999996</v>
      </c>
      <c r="G111" s="72">
        <f>'[15]April 2022'!$H$35</f>
        <v>658.48249999999996</v>
      </c>
      <c r="H111" s="72">
        <f t="shared" si="6"/>
        <v>0</v>
      </c>
      <c r="I111" s="12"/>
    </row>
    <row r="112" spans="1:9" ht="20.100000000000001" customHeight="1">
      <c r="A112" s="3">
        <v>4</v>
      </c>
      <c r="B112" s="10" t="s">
        <v>486</v>
      </c>
      <c r="C112" s="3" t="s">
        <v>485</v>
      </c>
      <c r="D112" s="9" t="s">
        <v>372</v>
      </c>
      <c r="E112" s="72">
        <v>26339.3</v>
      </c>
      <c r="F112" s="72"/>
      <c r="G112" s="72"/>
      <c r="H112" s="72">
        <f t="shared" si="6"/>
        <v>0</v>
      </c>
      <c r="I112" s="12"/>
    </row>
    <row r="113" spans="1:9" ht="20.100000000000001" customHeight="1">
      <c r="A113" s="3">
        <v>5</v>
      </c>
      <c r="B113" s="10" t="s">
        <v>487</v>
      </c>
      <c r="C113" s="3" t="s">
        <v>488</v>
      </c>
      <c r="D113" s="14" t="s">
        <v>491</v>
      </c>
      <c r="E113" s="202">
        <f>13872.4</f>
        <v>13872.4</v>
      </c>
      <c r="F113" s="72"/>
      <c r="G113" s="72"/>
      <c r="H113" s="72">
        <f t="shared" si="6"/>
        <v>0</v>
      </c>
      <c r="I113" s="12"/>
    </row>
    <row r="114" spans="1:9" ht="20.100000000000001" customHeight="1">
      <c r="A114" s="3">
        <v>6</v>
      </c>
      <c r="B114" s="17" t="s">
        <v>490</v>
      </c>
      <c r="C114" s="3" t="s">
        <v>488</v>
      </c>
      <c r="D114" s="9" t="s">
        <v>1048</v>
      </c>
      <c r="E114" s="72">
        <v>13492.21</v>
      </c>
      <c r="F114" s="72"/>
      <c r="G114" s="72"/>
      <c r="H114" s="72">
        <f t="shared" si="6"/>
        <v>0</v>
      </c>
      <c r="I114" s="12"/>
    </row>
    <row r="115" spans="1:9" ht="20.100000000000001" customHeight="1">
      <c r="A115" s="3">
        <v>7</v>
      </c>
      <c r="B115" s="17" t="s">
        <v>492</v>
      </c>
      <c r="C115" s="3" t="s">
        <v>488</v>
      </c>
      <c r="D115" s="14" t="s">
        <v>402</v>
      </c>
      <c r="E115" s="202">
        <f>12732</f>
        <v>12732</v>
      </c>
      <c r="F115" s="72"/>
      <c r="G115" s="72"/>
      <c r="H115" s="72">
        <f t="shared" si="6"/>
        <v>0</v>
      </c>
      <c r="I115" s="12"/>
    </row>
    <row r="116" spans="1:9" ht="20.100000000000001" customHeight="1">
      <c r="A116" s="3"/>
      <c r="B116" s="19" t="s">
        <v>42</v>
      </c>
      <c r="C116" s="20">
        <v>7</v>
      </c>
      <c r="D116" s="3"/>
      <c r="E116" s="205">
        <f>SUM(E109:E115)</f>
        <v>215672.92</v>
      </c>
      <c r="F116" s="205">
        <f t="shared" ref="F116:G116" si="11">SUM(F109:F115)</f>
        <v>1687.4247499999999</v>
      </c>
      <c r="G116" s="205">
        <f t="shared" si="11"/>
        <v>1687.4247499999999</v>
      </c>
      <c r="H116" s="72">
        <f t="shared" si="6"/>
        <v>0</v>
      </c>
      <c r="I116" s="12"/>
    </row>
    <row r="117" spans="1:9" ht="20.100000000000001" customHeight="1">
      <c r="A117" s="3"/>
      <c r="B117" s="21"/>
      <c r="C117" s="9"/>
      <c r="D117" s="3"/>
      <c r="E117" s="206"/>
      <c r="F117" s="206"/>
      <c r="G117" s="206"/>
      <c r="H117" s="72">
        <f t="shared" si="6"/>
        <v>0</v>
      </c>
      <c r="I117" s="12"/>
    </row>
    <row r="118" spans="1:9" ht="20.100000000000001" customHeight="1">
      <c r="A118" s="3"/>
      <c r="B118" s="19" t="s">
        <v>97</v>
      </c>
      <c r="C118" s="20"/>
      <c r="D118" s="20"/>
      <c r="E118" s="134"/>
      <c r="F118" s="134"/>
      <c r="G118" s="134"/>
      <c r="H118" s="72">
        <f t="shared" si="6"/>
        <v>0</v>
      </c>
      <c r="I118" s="12"/>
    </row>
    <row r="119" spans="1:9" ht="20.100000000000001" customHeight="1">
      <c r="A119" s="3">
        <v>1</v>
      </c>
      <c r="B119" s="10" t="s">
        <v>499</v>
      </c>
      <c r="C119" s="11" t="s">
        <v>500</v>
      </c>
      <c r="D119" s="14" t="s">
        <v>405</v>
      </c>
      <c r="E119" s="72">
        <v>81740.02</v>
      </c>
      <c r="F119" s="72">
        <f>0.025*E119</f>
        <v>2043.5005000000001</v>
      </c>
      <c r="G119" s="72">
        <f>'[15]April 2022'!$H$21</f>
        <v>2043.5005000000001</v>
      </c>
      <c r="H119" s="72">
        <f t="shared" si="6"/>
        <v>0</v>
      </c>
      <c r="I119" s="12"/>
    </row>
    <row r="120" spans="1:9" ht="20.100000000000001" customHeight="1">
      <c r="A120" s="3" t="s">
        <v>1236</v>
      </c>
      <c r="B120" s="10" t="s">
        <v>1237</v>
      </c>
      <c r="C120" s="11" t="s">
        <v>1238</v>
      </c>
      <c r="D120" s="14" t="s">
        <v>340</v>
      </c>
      <c r="E120" s="72">
        <v>42653.17</v>
      </c>
      <c r="F120" s="72"/>
      <c r="G120" s="72"/>
      <c r="H120" s="72">
        <f t="shared" si="6"/>
        <v>0</v>
      </c>
      <c r="I120" s="12"/>
    </row>
    <row r="121" spans="1:9" ht="20.100000000000001" customHeight="1">
      <c r="A121" s="3">
        <v>3</v>
      </c>
      <c r="B121" s="10" t="s">
        <v>178</v>
      </c>
      <c r="C121" s="11" t="s">
        <v>337</v>
      </c>
      <c r="D121" s="14" t="s">
        <v>358</v>
      </c>
      <c r="E121" s="72">
        <v>33507.5</v>
      </c>
      <c r="F121" s="72">
        <f>0.025*E121</f>
        <v>837.6875</v>
      </c>
      <c r="G121" s="72">
        <f>'[15]April 2022'!$H$20</f>
        <v>837.6875</v>
      </c>
      <c r="H121" s="72">
        <f t="shared" si="6"/>
        <v>0</v>
      </c>
      <c r="I121" s="12"/>
    </row>
    <row r="122" spans="1:9" ht="20.100000000000001" customHeight="1">
      <c r="A122" s="3">
        <v>4</v>
      </c>
      <c r="B122" s="13" t="s">
        <v>502</v>
      </c>
      <c r="C122" s="11" t="s">
        <v>337</v>
      </c>
      <c r="D122" s="14" t="s">
        <v>358</v>
      </c>
      <c r="E122" s="72">
        <v>33507.5</v>
      </c>
      <c r="F122" s="72">
        <f>0.025*E122</f>
        <v>837.6875</v>
      </c>
      <c r="G122" s="72">
        <f>'[15]April 2022'!$H$22</f>
        <v>837.6875</v>
      </c>
      <c r="H122" s="72">
        <f t="shared" si="6"/>
        <v>0</v>
      </c>
      <c r="I122" s="12"/>
    </row>
    <row r="123" spans="1:9" ht="20.100000000000001" customHeight="1">
      <c r="A123" s="3">
        <v>5</v>
      </c>
      <c r="B123" s="13" t="s">
        <v>336</v>
      </c>
      <c r="C123" s="11" t="s">
        <v>337</v>
      </c>
      <c r="D123" s="14" t="s">
        <v>99</v>
      </c>
      <c r="E123" s="204">
        <v>31018.84</v>
      </c>
      <c r="F123" s="72"/>
      <c r="G123" s="72"/>
      <c r="H123" s="72">
        <f t="shared" si="6"/>
        <v>0</v>
      </c>
      <c r="I123" s="12"/>
    </row>
    <row r="124" spans="1:9" ht="20.100000000000001" customHeight="1">
      <c r="A124" s="3">
        <v>6</v>
      </c>
      <c r="B124" s="10" t="s">
        <v>503</v>
      </c>
      <c r="C124" s="11" t="s">
        <v>504</v>
      </c>
      <c r="D124" s="14" t="s">
        <v>450</v>
      </c>
      <c r="E124" s="72">
        <v>26732.65</v>
      </c>
      <c r="F124" s="72"/>
      <c r="G124" s="72"/>
      <c r="H124" s="72">
        <f t="shared" si="6"/>
        <v>0</v>
      </c>
      <c r="I124" s="12"/>
    </row>
    <row r="125" spans="1:9" ht="20.100000000000001" customHeight="1">
      <c r="A125" s="3">
        <v>7</v>
      </c>
      <c r="B125" s="10" t="s">
        <v>505</v>
      </c>
      <c r="C125" s="11" t="s">
        <v>506</v>
      </c>
      <c r="D125" s="14" t="s">
        <v>375</v>
      </c>
      <c r="E125" s="72">
        <v>25523.45</v>
      </c>
      <c r="F125" s="72">
        <f>0.025*E125</f>
        <v>638.08624999999995</v>
      </c>
      <c r="G125" s="72">
        <f>'[15]April 2022'!$H$48</f>
        <v>618.53150000000005</v>
      </c>
      <c r="H125" s="72">
        <f t="shared" si="6"/>
        <v>19.554749999999999</v>
      </c>
      <c r="I125" s="12"/>
    </row>
    <row r="126" spans="1:9" ht="20.100000000000001" customHeight="1">
      <c r="A126" s="3">
        <v>8</v>
      </c>
      <c r="B126" s="10" t="s">
        <v>507</v>
      </c>
      <c r="C126" s="11" t="s">
        <v>1071</v>
      </c>
      <c r="D126" s="14" t="s">
        <v>375</v>
      </c>
      <c r="E126" s="72">
        <v>25523.45</v>
      </c>
      <c r="F126" s="72">
        <f>0.025*E126</f>
        <v>638.08624999999995</v>
      </c>
      <c r="G126" s="72">
        <f>'[15]April 2022'!$H$24</f>
        <v>618.53150000000005</v>
      </c>
      <c r="H126" s="72">
        <f t="shared" si="6"/>
        <v>19.554749999999999</v>
      </c>
      <c r="I126" s="12"/>
    </row>
    <row r="127" spans="1:9" ht="20.100000000000001" customHeight="1">
      <c r="A127" s="3">
        <v>9</v>
      </c>
      <c r="B127" s="17" t="s">
        <v>1239</v>
      </c>
      <c r="C127" s="11" t="s">
        <v>1240</v>
      </c>
      <c r="D127" s="14" t="s">
        <v>378</v>
      </c>
      <c r="E127" s="72">
        <v>24741.26</v>
      </c>
      <c r="F127" s="72"/>
      <c r="G127" s="72"/>
      <c r="H127" s="72">
        <f t="shared" si="6"/>
        <v>0</v>
      </c>
      <c r="I127" s="12"/>
    </row>
    <row r="128" spans="1:9" ht="20.100000000000001" customHeight="1">
      <c r="A128" s="3">
        <v>10</v>
      </c>
      <c r="B128" s="10" t="s">
        <v>508</v>
      </c>
      <c r="C128" s="11" t="s">
        <v>509</v>
      </c>
      <c r="D128" s="9" t="s">
        <v>391</v>
      </c>
      <c r="E128" s="72">
        <f>15188.67</f>
        <v>15188.67</v>
      </c>
      <c r="F128" s="72"/>
      <c r="G128" s="72"/>
      <c r="H128" s="72">
        <f t="shared" si="6"/>
        <v>0</v>
      </c>
      <c r="I128" s="12"/>
    </row>
    <row r="129" spans="1:9" ht="20.100000000000001" customHeight="1">
      <c r="A129" s="3">
        <v>11</v>
      </c>
      <c r="B129" s="17" t="s">
        <v>510</v>
      </c>
      <c r="C129" s="11" t="s">
        <v>511</v>
      </c>
      <c r="D129" s="14" t="s">
        <v>402</v>
      </c>
      <c r="E129" s="72">
        <f>12732</f>
        <v>12732</v>
      </c>
      <c r="F129" s="72">
        <f>0</f>
        <v>0</v>
      </c>
      <c r="G129" s="72">
        <f>0</f>
        <v>0</v>
      </c>
      <c r="H129" s="72">
        <f t="shared" si="6"/>
        <v>0</v>
      </c>
      <c r="I129" s="12"/>
    </row>
    <row r="130" spans="1:9" ht="20.100000000000001" customHeight="1">
      <c r="A130" s="3"/>
      <c r="B130" s="19" t="s">
        <v>42</v>
      </c>
      <c r="C130" s="25" t="s">
        <v>1241</v>
      </c>
      <c r="D130" s="14"/>
      <c r="E130" s="134">
        <f t="shared" ref="E130" si="12">SUM(E119:E129)</f>
        <v>352868.51</v>
      </c>
      <c r="F130" s="80">
        <f t="shared" ref="F130:G130" si="13">SUM(F119:F129)</f>
        <v>4995.0479999999998</v>
      </c>
      <c r="G130" s="80">
        <f t="shared" si="13"/>
        <v>4955.9385000000002</v>
      </c>
      <c r="H130" s="134">
        <f t="shared" si="6"/>
        <v>39.109500000000502</v>
      </c>
      <c r="I130" s="12"/>
    </row>
    <row r="131" spans="1:9" ht="20.100000000000001" customHeight="1">
      <c r="A131" s="3"/>
      <c r="B131" s="21"/>
      <c r="C131" s="25"/>
      <c r="D131" s="14"/>
      <c r="E131" s="134"/>
      <c r="F131" s="134"/>
      <c r="G131" s="134"/>
      <c r="H131" s="72">
        <f t="shared" si="6"/>
        <v>0</v>
      </c>
      <c r="I131" s="12"/>
    </row>
    <row r="132" spans="1:9" ht="20.100000000000001" customHeight="1">
      <c r="A132" s="3"/>
      <c r="B132" s="19" t="s">
        <v>103</v>
      </c>
      <c r="C132" s="11"/>
      <c r="D132" s="14"/>
      <c r="E132" s="72"/>
      <c r="F132" s="72"/>
      <c r="G132" s="72"/>
      <c r="H132" s="72">
        <f t="shared" si="6"/>
        <v>0</v>
      </c>
      <c r="I132" s="12"/>
    </row>
    <row r="133" spans="1:9" ht="20.100000000000001" customHeight="1">
      <c r="A133" s="26">
        <v>1</v>
      </c>
      <c r="B133" s="10" t="s">
        <v>514</v>
      </c>
      <c r="C133" s="11" t="s">
        <v>515</v>
      </c>
      <c r="D133" s="14" t="s">
        <v>405</v>
      </c>
      <c r="E133" s="72">
        <v>81740.02</v>
      </c>
      <c r="F133" s="72"/>
      <c r="G133" s="72"/>
      <c r="H133" s="72">
        <f t="shared" si="6"/>
        <v>0</v>
      </c>
      <c r="I133" s="12"/>
    </row>
    <row r="134" spans="1:9" ht="20.100000000000001" customHeight="1">
      <c r="A134" s="26">
        <v>2</v>
      </c>
      <c r="B134" s="10" t="s">
        <v>338</v>
      </c>
      <c r="C134" s="11" t="s">
        <v>339</v>
      </c>
      <c r="D134" s="14" t="s">
        <v>340</v>
      </c>
      <c r="E134" s="72">
        <v>42653.17</v>
      </c>
      <c r="H134" s="72">
        <f t="shared" si="6"/>
        <v>0</v>
      </c>
      <c r="I134" s="12"/>
    </row>
    <row r="135" spans="1:9" ht="20.100000000000001" customHeight="1">
      <c r="A135" s="26">
        <v>3</v>
      </c>
      <c r="B135" s="13" t="s">
        <v>516</v>
      </c>
      <c r="C135" s="3" t="s">
        <v>517</v>
      </c>
      <c r="D135" s="15" t="s">
        <v>416</v>
      </c>
      <c r="E135" s="72">
        <v>41157.69</v>
      </c>
      <c r="F135" s="72">
        <f>0.025*E135</f>
        <v>1028.9422500000001</v>
      </c>
      <c r="G135" s="72">
        <f>G7</f>
        <v>1028.9422500000001</v>
      </c>
      <c r="H135" s="72">
        <f t="shared" si="6"/>
        <v>0</v>
      </c>
      <c r="I135" s="12"/>
    </row>
    <row r="136" spans="1:9" ht="20.100000000000001" customHeight="1">
      <c r="A136" s="26">
        <v>4</v>
      </c>
      <c r="B136" s="10" t="s">
        <v>518</v>
      </c>
      <c r="C136" s="11" t="s">
        <v>519</v>
      </c>
      <c r="D136" s="14" t="s">
        <v>366</v>
      </c>
      <c r="E136" s="72">
        <v>27611.23</v>
      </c>
      <c r="F136" s="72">
        <f>0.025*E136</f>
        <v>690.28075000000001</v>
      </c>
      <c r="G136" s="72">
        <f>'[15]April 2022'!$H$47</f>
        <v>668.31624999999997</v>
      </c>
      <c r="H136" s="72">
        <f t="shared" ref="H136:H189" si="14">F136-G136</f>
        <v>21.964500000000001</v>
      </c>
      <c r="I136" s="12"/>
    </row>
    <row r="137" spans="1:9" ht="20.100000000000001" customHeight="1">
      <c r="A137" s="26">
        <v>5</v>
      </c>
      <c r="B137" s="10" t="s">
        <v>520</v>
      </c>
      <c r="C137" s="3" t="s">
        <v>521</v>
      </c>
      <c r="D137" s="14" t="s">
        <v>366</v>
      </c>
      <c r="E137" s="72">
        <v>27611.23</v>
      </c>
      <c r="F137" s="72">
        <f>0.025*E137</f>
        <v>690.28075000000001</v>
      </c>
      <c r="G137" s="72">
        <f>'[15]April 2022'!$H$50</f>
        <v>668.31624999999997</v>
      </c>
      <c r="H137" s="72">
        <f t="shared" si="14"/>
        <v>21.964500000000001</v>
      </c>
      <c r="I137" s="12"/>
    </row>
    <row r="138" spans="1:9" ht="20.100000000000001" customHeight="1">
      <c r="A138" s="26">
        <v>6</v>
      </c>
      <c r="B138" s="10" t="s">
        <v>473</v>
      </c>
      <c r="C138" s="3" t="s">
        <v>527</v>
      </c>
      <c r="D138" s="14" t="s">
        <v>375</v>
      </c>
      <c r="E138" s="72">
        <v>25523.45</v>
      </c>
      <c r="F138" s="72"/>
      <c r="G138" s="72"/>
      <c r="H138" s="72">
        <f t="shared" si="14"/>
        <v>0</v>
      </c>
      <c r="I138" s="12"/>
    </row>
    <row r="139" spans="1:9" ht="20.100000000000001" customHeight="1">
      <c r="A139" s="26">
        <v>7</v>
      </c>
      <c r="B139" s="10" t="s">
        <v>523</v>
      </c>
      <c r="C139" s="11" t="s">
        <v>524</v>
      </c>
      <c r="D139" s="14" t="s">
        <v>380</v>
      </c>
      <c r="E139" s="72">
        <f>22837.82</f>
        <v>22837.82</v>
      </c>
      <c r="F139" s="72">
        <f>0.025*E139</f>
        <v>570.94550000000004</v>
      </c>
      <c r="G139" s="72">
        <f>'[15]April 2022'!$H$40</f>
        <v>538.02200000000005</v>
      </c>
      <c r="H139" s="72">
        <f t="shared" si="14"/>
        <v>32.923499999999997</v>
      </c>
      <c r="I139" s="12"/>
    </row>
    <row r="140" spans="1:9" ht="20.100000000000001" customHeight="1">
      <c r="A140" s="26">
        <v>8</v>
      </c>
      <c r="B140" s="10" t="s">
        <v>525</v>
      </c>
      <c r="C140" s="11" t="s">
        <v>524</v>
      </c>
      <c r="D140" s="14" t="s">
        <v>380</v>
      </c>
      <c r="E140" s="72">
        <f t="shared" ref="E140:E141" si="15">22837.82</f>
        <v>22837.82</v>
      </c>
      <c r="F140" s="72"/>
      <c r="G140" s="72"/>
      <c r="H140" s="72">
        <f t="shared" si="14"/>
        <v>0</v>
      </c>
      <c r="I140" s="12"/>
    </row>
    <row r="141" spans="1:9" ht="20.100000000000001" customHeight="1">
      <c r="A141" s="26">
        <v>9</v>
      </c>
      <c r="B141" s="10" t="s">
        <v>526</v>
      </c>
      <c r="C141" s="3" t="s">
        <v>527</v>
      </c>
      <c r="D141" s="14" t="s">
        <v>380</v>
      </c>
      <c r="E141" s="72">
        <f t="shared" si="15"/>
        <v>22837.82</v>
      </c>
      <c r="F141" s="72"/>
      <c r="G141" s="72"/>
      <c r="H141" s="72">
        <f t="shared" si="14"/>
        <v>0</v>
      </c>
      <c r="I141" s="12"/>
    </row>
    <row r="142" spans="1:9" ht="20.100000000000001" customHeight="1">
      <c r="A142" s="26">
        <v>10</v>
      </c>
      <c r="B142" s="10" t="s">
        <v>528</v>
      </c>
      <c r="C142" s="11" t="s">
        <v>533</v>
      </c>
      <c r="D142" s="14" t="s">
        <v>440</v>
      </c>
      <c r="E142" s="72">
        <v>21520.880000000001</v>
      </c>
      <c r="F142" s="72"/>
      <c r="G142" s="72"/>
      <c r="H142" s="72">
        <f t="shared" si="14"/>
        <v>0</v>
      </c>
      <c r="I142" s="12"/>
    </row>
    <row r="143" spans="1:9" ht="20.100000000000001" customHeight="1">
      <c r="A143" s="26">
        <v>11</v>
      </c>
      <c r="B143" s="10" t="s">
        <v>530</v>
      </c>
      <c r="C143" s="11" t="s">
        <v>1072</v>
      </c>
      <c r="D143" s="14" t="s">
        <v>539</v>
      </c>
      <c r="E143" s="202">
        <v>18779.3</v>
      </c>
      <c r="F143" s="72">
        <f>0.025*E143</f>
        <v>469.48250000000002</v>
      </c>
      <c r="G143" s="72">
        <f>'[15]April 2022'!$H$43</f>
        <v>457.041</v>
      </c>
      <c r="H143" s="72">
        <f t="shared" si="14"/>
        <v>12.4415</v>
      </c>
      <c r="I143" s="12"/>
    </row>
    <row r="144" spans="1:9" ht="20.100000000000001" customHeight="1">
      <c r="A144" s="26">
        <v>12</v>
      </c>
      <c r="B144" s="10" t="s">
        <v>532</v>
      </c>
      <c r="C144" s="11" t="s">
        <v>533</v>
      </c>
      <c r="D144" s="14" t="s">
        <v>380</v>
      </c>
      <c r="E144" s="72">
        <v>22837.82</v>
      </c>
      <c r="F144" s="72">
        <f>0.025*E144</f>
        <v>570.94550000000004</v>
      </c>
      <c r="G144" s="72">
        <f>G139</f>
        <v>538.02200000000005</v>
      </c>
      <c r="H144" s="72">
        <f t="shared" si="14"/>
        <v>32.923499999999997</v>
      </c>
      <c r="I144" s="12"/>
    </row>
    <row r="145" spans="1:9" ht="20.100000000000001" customHeight="1">
      <c r="A145" s="26">
        <v>13</v>
      </c>
      <c r="B145" s="10" t="s">
        <v>536</v>
      </c>
      <c r="C145" s="3" t="s">
        <v>537</v>
      </c>
      <c r="D145" s="14" t="s">
        <v>409</v>
      </c>
      <c r="E145" s="202">
        <v>18281.64</v>
      </c>
      <c r="F145" s="72"/>
      <c r="G145" s="72"/>
      <c r="H145" s="72">
        <f t="shared" si="14"/>
        <v>0</v>
      </c>
      <c r="I145" s="12"/>
    </row>
    <row r="146" spans="1:9" ht="20.100000000000001" customHeight="1">
      <c r="A146" s="26">
        <v>14</v>
      </c>
      <c r="B146" s="10" t="s">
        <v>538</v>
      </c>
      <c r="C146" s="3" t="s">
        <v>537</v>
      </c>
      <c r="D146" s="14" t="s">
        <v>453</v>
      </c>
      <c r="E146" s="202">
        <v>18281.64</v>
      </c>
      <c r="F146" s="72">
        <f>0.025*E146</f>
        <v>457.041</v>
      </c>
      <c r="G146" s="72">
        <f>'[15]April 2022'!$H$36</f>
        <v>444.60250000000002</v>
      </c>
      <c r="H146" s="72">
        <f t="shared" si="14"/>
        <v>12.438499999999999</v>
      </c>
      <c r="I146" s="12"/>
    </row>
    <row r="147" spans="1:9" ht="20.100000000000001" customHeight="1">
      <c r="A147" s="26">
        <v>15</v>
      </c>
      <c r="B147" s="10" t="s">
        <v>540</v>
      </c>
      <c r="C147" s="3" t="s">
        <v>537</v>
      </c>
      <c r="D147" s="14" t="s">
        <v>453</v>
      </c>
      <c r="E147" s="202">
        <v>18281.64</v>
      </c>
      <c r="F147" s="72"/>
      <c r="G147" s="72"/>
      <c r="H147" s="72">
        <f t="shared" si="14"/>
        <v>0</v>
      </c>
      <c r="I147" s="12"/>
    </row>
    <row r="148" spans="1:9" ht="20.100000000000001" customHeight="1">
      <c r="A148" s="26">
        <v>16</v>
      </c>
      <c r="B148" s="10" t="s">
        <v>541</v>
      </c>
      <c r="C148" s="11" t="s">
        <v>542</v>
      </c>
      <c r="D148" s="14" t="s">
        <v>37</v>
      </c>
      <c r="E148" s="207">
        <f>17286.33</f>
        <v>17286.330000000002</v>
      </c>
      <c r="F148" s="72"/>
      <c r="G148" s="72"/>
      <c r="H148" s="72">
        <f t="shared" si="14"/>
        <v>0</v>
      </c>
      <c r="I148" s="12"/>
    </row>
    <row r="149" spans="1:9" ht="20.100000000000001" customHeight="1">
      <c r="A149" s="26">
        <v>17</v>
      </c>
      <c r="B149" s="10" t="s">
        <v>1055</v>
      </c>
      <c r="C149" s="11" t="s">
        <v>544</v>
      </c>
      <c r="D149" s="9" t="s">
        <v>55</v>
      </c>
      <c r="E149" s="204">
        <f>14736.14</f>
        <v>14736.14</v>
      </c>
      <c r="F149" s="72"/>
      <c r="G149" s="72"/>
      <c r="H149" s="72">
        <f t="shared" si="14"/>
        <v>0</v>
      </c>
      <c r="I149" s="12"/>
    </row>
    <row r="150" spans="1:9" ht="20.100000000000001" customHeight="1">
      <c r="A150" s="26">
        <v>18</v>
      </c>
      <c r="B150" s="10" t="s">
        <v>545</v>
      </c>
      <c r="C150" s="11" t="s">
        <v>546</v>
      </c>
      <c r="D150" s="14" t="s">
        <v>409</v>
      </c>
      <c r="E150" s="202">
        <v>18281.64</v>
      </c>
      <c r="F150" s="72"/>
      <c r="G150" s="72"/>
      <c r="H150" s="72">
        <f t="shared" si="14"/>
        <v>0</v>
      </c>
      <c r="I150" s="12"/>
    </row>
    <row r="151" spans="1:9" ht="20.100000000000001" customHeight="1">
      <c r="A151" s="26">
        <v>19</v>
      </c>
      <c r="B151" s="10" t="s">
        <v>547</v>
      </c>
      <c r="C151" s="11" t="s">
        <v>548</v>
      </c>
      <c r="D151" s="14" t="s">
        <v>391</v>
      </c>
      <c r="E151" s="202">
        <f>15188.67</f>
        <v>15188.67</v>
      </c>
      <c r="F151" s="72"/>
      <c r="G151" s="72"/>
      <c r="H151" s="72">
        <f t="shared" si="14"/>
        <v>0</v>
      </c>
      <c r="I151" s="12"/>
    </row>
    <row r="152" spans="1:9" ht="20.100000000000001" customHeight="1">
      <c r="A152" s="26">
        <v>20</v>
      </c>
      <c r="B152" s="10" t="s">
        <v>549</v>
      </c>
      <c r="C152" s="11" t="s">
        <v>550</v>
      </c>
      <c r="D152" s="14" t="s">
        <v>409</v>
      </c>
      <c r="E152" s="202">
        <v>18281.64</v>
      </c>
      <c r="F152" s="72">
        <f>0.025*E152</f>
        <v>457.041</v>
      </c>
      <c r="G152" s="72">
        <f>G146</f>
        <v>444.60250000000002</v>
      </c>
      <c r="H152" s="72">
        <f t="shared" si="14"/>
        <v>12.438499999999999</v>
      </c>
      <c r="I152" s="12"/>
    </row>
    <row r="153" spans="1:9" ht="20.100000000000001" customHeight="1">
      <c r="A153" s="26">
        <v>21</v>
      </c>
      <c r="B153" s="10" t="s">
        <v>551</v>
      </c>
      <c r="C153" s="11" t="s">
        <v>552</v>
      </c>
      <c r="D153" s="14" t="s">
        <v>391</v>
      </c>
      <c r="E153" s="202">
        <v>15188.67</v>
      </c>
      <c r="F153" s="72"/>
      <c r="G153" s="72"/>
      <c r="H153" s="72">
        <f t="shared" si="14"/>
        <v>0</v>
      </c>
      <c r="I153" s="12"/>
    </row>
    <row r="154" spans="1:9" ht="20.100000000000001" customHeight="1">
      <c r="A154" s="26">
        <v>22</v>
      </c>
      <c r="B154" s="17" t="s">
        <v>553</v>
      </c>
      <c r="C154" s="11" t="s">
        <v>558</v>
      </c>
      <c r="D154" s="14" t="s">
        <v>1228</v>
      </c>
      <c r="E154" s="202">
        <v>13492.21</v>
      </c>
      <c r="F154" s="72"/>
      <c r="G154" s="72"/>
      <c r="H154" s="72">
        <f t="shared" si="14"/>
        <v>0</v>
      </c>
      <c r="I154" s="12"/>
    </row>
    <row r="155" spans="1:9" ht="20.100000000000001" customHeight="1">
      <c r="A155" s="26">
        <v>23</v>
      </c>
      <c r="B155" s="17" t="s">
        <v>1242</v>
      </c>
      <c r="C155" s="11" t="s">
        <v>556</v>
      </c>
      <c r="D155" s="14" t="s">
        <v>402</v>
      </c>
      <c r="E155" s="72">
        <f>12732</f>
        <v>12732</v>
      </c>
      <c r="F155" s="72">
        <f>0</f>
        <v>0</v>
      </c>
      <c r="G155" s="72">
        <f>0</f>
        <v>0</v>
      </c>
      <c r="H155" s="72">
        <f t="shared" si="14"/>
        <v>0</v>
      </c>
      <c r="I155" s="12"/>
    </row>
    <row r="156" spans="1:9" ht="20.100000000000001" customHeight="1">
      <c r="A156" s="26">
        <v>24</v>
      </c>
      <c r="B156" s="17" t="s">
        <v>555</v>
      </c>
      <c r="C156" s="11" t="s">
        <v>556</v>
      </c>
      <c r="D156" s="14" t="s">
        <v>72</v>
      </c>
      <c r="E156" s="204">
        <v>12351.94</v>
      </c>
      <c r="F156" s="72">
        <f>0</f>
        <v>0</v>
      </c>
      <c r="G156" s="72">
        <f>0</f>
        <v>0</v>
      </c>
      <c r="H156" s="72">
        <f t="shared" si="14"/>
        <v>0</v>
      </c>
      <c r="I156" s="12"/>
    </row>
    <row r="157" spans="1:9" ht="20.100000000000001" customHeight="1">
      <c r="A157" s="26">
        <v>25</v>
      </c>
      <c r="B157" s="17" t="s">
        <v>557</v>
      </c>
      <c r="C157" s="11" t="s">
        <v>558</v>
      </c>
      <c r="D157" s="14" t="s">
        <v>72</v>
      </c>
      <c r="E157" s="204">
        <v>12352.94</v>
      </c>
      <c r="F157" s="72">
        <f>0</f>
        <v>0</v>
      </c>
      <c r="G157" s="72">
        <f>0</f>
        <v>0</v>
      </c>
      <c r="H157" s="72">
        <f t="shared" si="14"/>
        <v>0</v>
      </c>
      <c r="I157" s="12"/>
    </row>
    <row r="158" spans="1:9" ht="20.100000000000001" customHeight="1">
      <c r="A158" s="26">
        <v>26</v>
      </c>
      <c r="B158" s="17" t="s">
        <v>559</v>
      </c>
      <c r="C158" s="11" t="s">
        <v>560</v>
      </c>
      <c r="D158" s="14" t="s">
        <v>402</v>
      </c>
      <c r="E158" s="72">
        <v>12732</v>
      </c>
      <c r="F158" s="72">
        <f>0</f>
        <v>0</v>
      </c>
      <c r="G158" s="72">
        <f>0</f>
        <v>0</v>
      </c>
      <c r="H158" s="72">
        <f t="shared" si="14"/>
        <v>0</v>
      </c>
      <c r="I158" s="12"/>
    </row>
    <row r="159" spans="1:9" ht="20.100000000000001" customHeight="1">
      <c r="A159" s="26">
        <v>27</v>
      </c>
      <c r="B159" s="17" t="s">
        <v>561</v>
      </c>
      <c r="C159" s="11" t="s">
        <v>562</v>
      </c>
      <c r="D159" s="14" t="s">
        <v>402</v>
      </c>
      <c r="E159" s="72">
        <v>12732</v>
      </c>
      <c r="F159" s="72">
        <f>0</f>
        <v>0</v>
      </c>
      <c r="G159" s="72">
        <f>0</f>
        <v>0</v>
      </c>
      <c r="H159" s="72">
        <f t="shared" si="14"/>
        <v>0</v>
      </c>
      <c r="I159" s="12"/>
    </row>
    <row r="160" spans="1:9" ht="20.100000000000001" customHeight="1">
      <c r="A160" s="26">
        <v>28</v>
      </c>
      <c r="B160" s="10" t="s">
        <v>564</v>
      </c>
      <c r="C160" s="11" t="s">
        <v>565</v>
      </c>
      <c r="D160" s="14" t="s">
        <v>572</v>
      </c>
      <c r="E160" s="208">
        <f>10527.6</f>
        <v>10527.6</v>
      </c>
      <c r="F160" s="72">
        <f>0.025*E160</f>
        <v>263.19</v>
      </c>
      <c r="G160" s="72">
        <f>'[15]April 2022'!$H$39</f>
        <v>226.2535</v>
      </c>
      <c r="H160" s="72">
        <f t="shared" si="14"/>
        <v>36.936500000000002</v>
      </c>
      <c r="I160" s="12"/>
    </row>
    <row r="161" spans="1:9" ht="20.100000000000001" customHeight="1">
      <c r="A161" s="26">
        <v>29</v>
      </c>
      <c r="B161" s="10" t="s">
        <v>567</v>
      </c>
      <c r="C161" s="11" t="s">
        <v>565</v>
      </c>
      <c r="D161" s="14" t="s">
        <v>572</v>
      </c>
      <c r="E161" s="208">
        <f t="shared" ref="E161:E165" si="16">10527.6</f>
        <v>10527.6</v>
      </c>
      <c r="F161" s="72"/>
      <c r="G161" s="72"/>
      <c r="H161" s="72">
        <f t="shared" si="14"/>
        <v>0</v>
      </c>
      <c r="I161" s="12"/>
    </row>
    <row r="162" spans="1:9" ht="20.100000000000001" customHeight="1">
      <c r="A162" s="26">
        <v>30</v>
      </c>
      <c r="B162" s="10" t="s">
        <v>568</v>
      </c>
      <c r="C162" s="11" t="s">
        <v>565</v>
      </c>
      <c r="D162" s="14" t="s">
        <v>572</v>
      </c>
      <c r="E162" s="208">
        <f t="shared" si="16"/>
        <v>10527.6</v>
      </c>
      <c r="F162" s="72"/>
      <c r="G162" s="72"/>
      <c r="H162" s="72">
        <f t="shared" si="14"/>
        <v>0</v>
      </c>
      <c r="I162" s="12"/>
    </row>
    <row r="163" spans="1:9" ht="20.100000000000001" customHeight="1">
      <c r="A163" s="26">
        <v>31</v>
      </c>
      <c r="B163" s="10" t="s">
        <v>767</v>
      </c>
      <c r="C163" s="11" t="s">
        <v>565</v>
      </c>
      <c r="D163" s="14" t="s">
        <v>572</v>
      </c>
      <c r="E163" s="208">
        <f t="shared" si="16"/>
        <v>10527.6</v>
      </c>
      <c r="F163" s="72"/>
      <c r="G163" s="72"/>
      <c r="H163" s="72">
        <f t="shared" si="14"/>
        <v>0</v>
      </c>
      <c r="I163" s="12"/>
    </row>
    <row r="164" spans="1:9" ht="20.100000000000001" customHeight="1">
      <c r="A164" s="26">
        <v>32</v>
      </c>
      <c r="B164" s="10" t="s">
        <v>569</v>
      </c>
      <c r="C164" s="11" t="s">
        <v>565</v>
      </c>
      <c r="D164" s="14" t="s">
        <v>572</v>
      </c>
      <c r="E164" s="208">
        <f t="shared" si="16"/>
        <v>10527.6</v>
      </c>
      <c r="F164" s="72">
        <v>263.19</v>
      </c>
      <c r="G164" s="72">
        <f>'[15]April 2022'!$H$51</f>
        <v>226.2535</v>
      </c>
      <c r="H164" s="72">
        <f t="shared" si="14"/>
        <v>36.936500000000002</v>
      </c>
      <c r="I164" s="12"/>
    </row>
    <row r="165" spans="1:9" ht="20.100000000000001" customHeight="1">
      <c r="A165" s="26">
        <v>33</v>
      </c>
      <c r="B165" s="10" t="s">
        <v>570</v>
      </c>
      <c r="C165" s="11" t="s">
        <v>565</v>
      </c>
      <c r="D165" s="14" t="s">
        <v>572</v>
      </c>
      <c r="E165" s="208">
        <f t="shared" si="16"/>
        <v>10527.6</v>
      </c>
      <c r="F165" s="72"/>
      <c r="G165" s="72"/>
      <c r="H165" s="72">
        <f t="shared" si="14"/>
        <v>0</v>
      </c>
      <c r="I165" s="12"/>
    </row>
    <row r="166" spans="1:9" ht="20.100000000000001" customHeight="1">
      <c r="A166" s="26">
        <v>34</v>
      </c>
      <c r="B166" s="10" t="s">
        <v>571</v>
      </c>
      <c r="C166" s="11" t="s">
        <v>565</v>
      </c>
      <c r="D166" s="14" t="s">
        <v>583</v>
      </c>
      <c r="E166" s="72">
        <v>9050.14</v>
      </c>
      <c r="F166" s="72"/>
      <c r="G166" s="72"/>
      <c r="H166" s="72">
        <f t="shared" si="14"/>
        <v>0</v>
      </c>
      <c r="I166" s="12"/>
    </row>
    <row r="167" spans="1:9" ht="20.100000000000001" customHeight="1">
      <c r="A167" s="26">
        <v>35</v>
      </c>
      <c r="B167" s="10" t="s">
        <v>573</v>
      </c>
      <c r="C167" s="11" t="s">
        <v>565</v>
      </c>
      <c r="D167" s="14" t="s">
        <v>583</v>
      </c>
      <c r="E167" s="72">
        <v>9050.14</v>
      </c>
      <c r="F167" s="72"/>
      <c r="G167" s="72"/>
      <c r="H167" s="72">
        <f t="shared" si="14"/>
        <v>0</v>
      </c>
      <c r="I167" s="12"/>
    </row>
    <row r="168" spans="1:9" ht="20.100000000000001" customHeight="1">
      <c r="A168" s="26">
        <v>36</v>
      </c>
      <c r="B168" s="10" t="s">
        <v>1220</v>
      </c>
      <c r="C168" s="11" t="s">
        <v>565</v>
      </c>
      <c r="D168" s="14" t="s">
        <v>583</v>
      </c>
      <c r="E168" s="72">
        <v>9050.14</v>
      </c>
      <c r="F168" s="72"/>
      <c r="G168" s="72"/>
      <c r="H168" s="72">
        <f t="shared" si="14"/>
        <v>0</v>
      </c>
      <c r="I168" s="12"/>
    </row>
    <row r="169" spans="1:9" ht="20.100000000000001" customHeight="1">
      <c r="A169" s="26">
        <v>37</v>
      </c>
      <c r="B169" s="13" t="s">
        <v>574</v>
      </c>
      <c r="C169" s="11" t="s">
        <v>565</v>
      </c>
      <c r="D169" s="14" t="s">
        <v>583</v>
      </c>
      <c r="E169" s="72">
        <v>9050.14</v>
      </c>
      <c r="F169" s="72"/>
      <c r="G169" s="72"/>
      <c r="H169" s="72">
        <f t="shared" si="14"/>
        <v>0</v>
      </c>
      <c r="I169" s="12"/>
    </row>
    <row r="170" spans="1:9" ht="20.100000000000001" customHeight="1">
      <c r="A170" s="26">
        <v>38</v>
      </c>
      <c r="B170" s="10" t="s">
        <v>575</v>
      </c>
      <c r="C170" s="11" t="s">
        <v>565</v>
      </c>
      <c r="D170" s="14" t="s">
        <v>583</v>
      </c>
      <c r="E170" s="72">
        <v>9050.14</v>
      </c>
      <c r="F170" s="72"/>
      <c r="G170" s="72"/>
      <c r="H170" s="72">
        <f t="shared" si="14"/>
        <v>0</v>
      </c>
      <c r="I170" s="12"/>
    </row>
    <row r="171" spans="1:9" ht="20.100000000000001" customHeight="1">
      <c r="A171" s="26">
        <v>39</v>
      </c>
      <c r="B171" s="17" t="s">
        <v>576</v>
      </c>
      <c r="C171" s="11" t="s">
        <v>565</v>
      </c>
      <c r="D171" s="14" t="s">
        <v>583</v>
      </c>
      <c r="E171" s="72">
        <v>9050.14</v>
      </c>
      <c r="F171" s="72"/>
      <c r="G171" s="72"/>
      <c r="H171" s="72">
        <f t="shared" si="14"/>
        <v>0</v>
      </c>
      <c r="I171" s="12"/>
    </row>
    <row r="172" spans="1:9" ht="20.100000000000001" customHeight="1">
      <c r="A172" s="26">
        <v>40</v>
      </c>
      <c r="B172" s="17" t="s">
        <v>577</v>
      </c>
      <c r="C172" s="11" t="s">
        <v>565</v>
      </c>
      <c r="D172" s="14" t="s">
        <v>583</v>
      </c>
      <c r="E172" s="72">
        <v>9050.14</v>
      </c>
      <c r="F172" s="72"/>
      <c r="G172" s="72"/>
      <c r="H172" s="72">
        <f t="shared" si="14"/>
        <v>0</v>
      </c>
      <c r="I172" s="12"/>
    </row>
    <row r="173" spans="1:9" ht="20.100000000000001" customHeight="1">
      <c r="A173" s="26">
        <v>41</v>
      </c>
      <c r="B173" s="10" t="s">
        <v>578</v>
      </c>
      <c r="C173" s="11" t="s">
        <v>585</v>
      </c>
      <c r="D173" s="14" t="s">
        <v>586</v>
      </c>
      <c r="E173" s="72">
        <v>5428.12</v>
      </c>
      <c r="F173" s="72"/>
      <c r="G173" s="72"/>
      <c r="H173" s="72">
        <f t="shared" si="14"/>
        <v>0</v>
      </c>
      <c r="I173" s="12"/>
    </row>
    <row r="174" spans="1:9" ht="20.100000000000001" customHeight="1">
      <c r="A174" s="26">
        <v>42</v>
      </c>
      <c r="B174" s="10" t="s">
        <v>581</v>
      </c>
      <c r="C174" s="11" t="s">
        <v>585</v>
      </c>
      <c r="D174" s="14" t="s">
        <v>586</v>
      </c>
      <c r="E174" s="72">
        <v>5428.12</v>
      </c>
      <c r="F174" s="72"/>
      <c r="G174" s="72"/>
      <c r="H174" s="72">
        <f t="shared" si="14"/>
        <v>0</v>
      </c>
      <c r="I174" s="12"/>
    </row>
    <row r="175" spans="1:9" ht="20.100000000000001" customHeight="1">
      <c r="A175" s="26">
        <v>43</v>
      </c>
      <c r="B175" s="17" t="s">
        <v>582</v>
      </c>
      <c r="C175" s="11" t="s">
        <v>585</v>
      </c>
      <c r="D175" s="14" t="s">
        <v>1050</v>
      </c>
      <c r="E175" s="72">
        <f>5598.92</f>
        <v>5598.92</v>
      </c>
      <c r="F175" s="72"/>
      <c r="G175" s="72"/>
      <c r="H175" s="72">
        <f t="shared" si="14"/>
        <v>0</v>
      </c>
      <c r="I175" s="12"/>
    </row>
    <row r="176" spans="1:9" ht="20.100000000000001" customHeight="1">
      <c r="A176" s="26">
        <v>44</v>
      </c>
      <c r="B176" s="10" t="s">
        <v>584</v>
      </c>
      <c r="C176" s="11" t="s">
        <v>585</v>
      </c>
      <c r="D176" s="14" t="s">
        <v>1056</v>
      </c>
      <c r="E176" s="72">
        <v>5257.44</v>
      </c>
      <c r="F176" s="72"/>
      <c r="G176" s="72"/>
      <c r="H176" s="72">
        <f t="shared" si="14"/>
        <v>0</v>
      </c>
      <c r="I176" s="12"/>
    </row>
    <row r="177" spans="1:9" ht="20.100000000000001" customHeight="1">
      <c r="A177" s="26">
        <v>45</v>
      </c>
      <c r="B177" s="10" t="s">
        <v>587</v>
      </c>
      <c r="C177" s="11" t="s">
        <v>588</v>
      </c>
      <c r="D177" s="14" t="s">
        <v>1057</v>
      </c>
      <c r="E177" s="72">
        <v>5086.76</v>
      </c>
      <c r="F177" s="72"/>
      <c r="G177" s="72"/>
      <c r="H177" s="72">
        <f t="shared" si="14"/>
        <v>0</v>
      </c>
      <c r="I177" s="12"/>
    </row>
    <row r="178" spans="1:9" ht="20.100000000000001" customHeight="1">
      <c r="A178" s="26">
        <v>46</v>
      </c>
      <c r="B178" s="10" t="s">
        <v>590</v>
      </c>
      <c r="C178" s="11" t="s">
        <v>588</v>
      </c>
      <c r="D178" s="14" t="s">
        <v>1057</v>
      </c>
      <c r="E178" s="72">
        <v>5086.76</v>
      </c>
      <c r="F178" s="72"/>
      <c r="G178" s="72"/>
      <c r="H178" s="72">
        <f t="shared" si="14"/>
        <v>0</v>
      </c>
      <c r="I178" s="12"/>
    </row>
    <row r="179" spans="1:9" ht="20.100000000000001" customHeight="1">
      <c r="A179" s="26">
        <v>47</v>
      </c>
      <c r="B179" s="10" t="s">
        <v>591</v>
      </c>
      <c r="C179" s="11" t="s">
        <v>588</v>
      </c>
      <c r="D179" s="14" t="s">
        <v>1057</v>
      </c>
      <c r="E179" s="72">
        <v>5086.76</v>
      </c>
      <c r="F179" s="72"/>
      <c r="G179" s="72"/>
      <c r="H179" s="72">
        <f t="shared" si="14"/>
        <v>0</v>
      </c>
      <c r="I179" s="12"/>
    </row>
    <row r="180" spans="1:9" ht="20.100000000000001" customHeight="1">
      <c r="A180" s="26">
        <v>48</v>
      </c>
      <c r="B180" s="10" t="s">
        <v>592</v>
      </c>
      <c r="C180" s="11" t="s">
        <v>588</v>
      </c>
      <c r="D180" s="14" t="s">
        <v>1057</v>
      </c>
      <c r="E180" s="72">
        <v>5086.76</v>
      </c>
      <c r="F180" s="72"/>
      <c r="G180" s="72"/>
      <c r="H180" s="72">
        <f t="shared" si="14"/>
        <v>0</v>
      </c>
      <c r="I180" s="12"/>
    </row>
    <row r="181" spans="1:9" ht="20.100000000000001" customHeight="1">
      <c r="A181" s="26">
        <v>49</v>
      </c>
      <c r="B181" s="10" t="s">
        <v>593</v>
      </c>
      <c r="C181" s="11" t="s">
        <v>588</v>
      </c>
      <c r="D181" s="14" t="s">
        <v>1057</v>
      </c>
      <c r="E181" s="72">
        <v>5086.76</v>
      </c>
      <c r="F181" s="72"/>
      <c r="G181" s="72"/>
      <c r="H181" s="72">
        <f t="shared" si="14"/>
        <v>0</v>
      </c>
      <c r="I181" s="12"/>
    </row>
    <row r="182" spans="1:9" ht="20.100000000000001" customHeight="1">
      <c r="A182" s="26">
        <v>50</v>
      </c>
      <c r="B182" s="17" t="s">
        <v>594</v>
      </c>
      <c r="C182" s="11" t="s">
        <v>588</v>
      </c>
      <c r="D182" s="14" t="s">
        <v>1057</v>
      </c>
      <c r="E182" s="72">
        <v>5086.76</v>
      </c>
      <c r="F182" s="72"/>
      <c r="G182" s="72"/>
      <c r="H182" s="72">
        <f t="shared" si="14"/>
        <v>0</v>
      </c>
      <c r="I182" s="12"/>
    </row>
    <row r="183" spans="1:9" ht="20.100000000000001" customHeight="1">
      <c r="A183" s="26">
        <v>51</v>
      </c>
      <c r="B183" s="17" t="s">
        <v>595</v>
      </c>
      <c r="C183" s="11" t="s">
        <v>588</v>
      </c>
      <c r="D183" s="14" t="s">
        <v>1057</v>
      </c>
      <c r="E183" s="72">
        <v>5086.76</v>
      </c>
      <c r="F183" s="72"/>
      <c r="G183" s="72"/>
      <c r="H183" s="72">
        <f t="shared" si="14"/>
        <v>0</v>
      </c>
      <c r="I183" s="12"/>
    </row>
    <row r="184" spans="1:9" ht="20.100000000000001" customHeight="1">
      <c r="A184" s="26">
        <v>52</v>
      </c>
      <c r="B184" s="10" t="s">
        <v>596</v>
      </c>
      <c r="C184" s="11" t="s">
        <v>585</v>
      </c>
      <c r="D184" s="14" t="s">
        <v>1057</v>
      </c>
      <c r="E184" s="72">
        <v>5086.76</v>
      </c>
      <c r="F184" s="72"/>
      <c r="G184" s="72"/>
      <c r="H184" s="72">
        <f t="shared" si="14"/>
        <v>0</v>
      </c>
      <c r="I184" s="12"/>
    </row>
    <row r="185" spans="1:9" ht="20.100000000000001" customHeight="1">
      <c r="A185" s="26">
        <v>53</v>
      </c>
      <c r="B185" s="10" t="s">
        <v>597</v>
      </c>
      <c r="C185" s="11" t="s">
        <v>585</v>
      </c>
      <c r="D185" s="14" t="s">
        <v>1057</v>
      </c>
      <c r="E185" s="72">
        <v>5086.76</v>
      </c>
      <c r="F185" s="72"/>
      <c r="G185" s="72"/>
      <c r="H185" s="72">
        <f t="shared" si="14"/>
        <v>0</v>
      </c>
      <c r="I185" s="12"/>
    </row>
    <row r="186" spans="1:9" ht="20.100000000000001" customHeight="1">
      <c r="A186" s="26">
        <v>54</v>
      </c>
      <c r="B186" s="17" t="s">
        <v>598</v>
      </c>
      <c r="C186" s="11" t="s">
        <v>588</v>
      </c>
      <c r="D186" s="14" t="s">
        <v>1073</v>
      </c>
      <c r="E186" s="72">
        <f>4689.38</f>
        <v>4689.38</v>
      </c>
      <c r="F186" s="72"/>
      <c r="G186" s="72"/>
      <c r="H186" s="72">
        <f t="shared" si="14"/>
        <v>0</v>
      </c>
      <c r="I186" s="12"/>
    </row>
    <row r="187" spans="1:9" ht="20.100000000000001" customHeight="1">
      <c r="A187" s="26">
        <v>55</v>
      </c>
      <c r="B187" s="17" t="s">
        <v>600</v>
      </c>
      <c r="C187" s="11" t="s">
        <v>588</v>
      </c>
      <c r="D187" s="14" t="s">
        <v>1058</v>
      </c>
      <c r="E187" s="202">
        <f>4395.43</f>
        <v>4395.43</v>
      </c>
      <c r="F187" s="72"/>
      <c r="G187" s="72"/>
      <c r="H187" s="72">
        <f t="shared" si="14"/>
        <v>0</v>
      </c>
      <c r="I187" s="12"/>
    </row>
    <row r="188" spans="1:9" ht="20.100000000000001" customHeight="1">
      <c r="A188" s="26"/>
      <c r="B188" s="7" t="s">
        <v>42</v>
      </c>
      <c r="C188" s="27" t="s">
        <v>1221</v>
      </c>
      <c r="D188" s="28"/>
      <c r="E188" s="80">
        <f t="shared" ref="E188:G188" si="17">SUM(E133:E187)</f>
        <v>811244.18</v>
      </c>
      <c r="F188" s="80">
        <f t="shared" si="17"/>
        <v>5461.33925</v>
      </c>
      <c r="G188" s="80">
        <f t="shared" si="17"/>
        <v>5240.3717500000002</v>
      </c>
      <c r="H188" s="134">
        <f t="shared" si="14"/>
        <v>220.9675</v>
      </c>
      <c r="I188" s="12"/>
    </row>
    <row r="189" spans="1:9" ht="20.100000000000001" customHeight="1">
      <c r="A189" s="3"/>
      <c r="B189" s="29" t="s">
        <v>125</v>
      </c>
      <c r="C189" s="30">
        <f>C37+C42+C57+C61+C77+C85+C99+C106+C116+C130+C188+2</f>
        <v>154</v>
      </c>
      <c r="D189" s="31"/>
      <c r="E189" s="209">
        <v>3773721.59</v>
      </c>
      <c r="F189" s="209">
        <f>F37+F42+F57+F61+F77+F85+F99+F106+F116+F130+F188</f>
        <v>23887.071250000001</v>
      </c>
      <c r="G189" s="209">
        <f>G37+G42+G57+G61+G77+G85+G99+G106+G116+G130+G188</f>
        <v>23429.459500000001</v>
      </c>
      <c r="H189" s="134">
        <f t="shared" si="14"/>
        <v>457.61174999999997</v>
      </c>
      <c r="I189" s="12"/>
    </row>
    <row r="190" spans="1:9" ht="20.100000000000001" customHeight="1">
      <c r="A190" s="2"/>
      <c r="B190" s="32"/>
      <c r="C190" s="2"/>
      <c r="D190" s="33"/>
      <c r="E190" s="33"/>
      <c r="F190" s="210"/>
      <c r="G190" s="210"/>
      <c r="H190" s="211"/>
      <c r="I190" s="34"/>
    </row>
    <row r="191" spans="1:9" ht="65.25" customHeight="1">
      <c r="A191" s="2"/>
      <c r="B191" s="32"/>
      <c r="C191" s="33"/>
      <c r="D191" s="33"/>
      <c r="E191" s="33"/>
      <c r="F191" s="210"/>
      <c r="G191" s="210"/>
      <c r="H191" s="211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80"/>
  <sheetViews>
    <sheetView workbookViewId="0">
      <selection activeCell="F6" sqref="F6"/>
    </sheetView>
  </sheetViews>
  <sheetFormatPr defaultColWidth="9.140625" defaultRowHeight="12.75"/>
  <cols>
    <col min="1" max="1" width="3.28515625" style="193" customWidth="1"/>
    <col min="2" max="2" width="35.28515625" style="193" customWidth="1"/>
    <col min="3" max="3" width="12.7109375" style="193" customWidth="1"/>
    <col min="4" max="4" width="9.28515625" style="193" customWidth="1"/>
    <col min="5" max="5" width="12.7109375" style="193" customWidth="1"/>
    <col min="6" max="6" width="12" style="193" customWidth="1"/>
    <col min="7" max="7" width="9.28515625" style="193" customWidth="1"/>
    <col min="8" max="8" width="9.140625" style="193"/>
    <col min="9" max="9" width="12.7109375" style="193" customWidth="1"/>
    <col min="10" max="10" width="10.140625" style="193" customWidth="1"/>
    <col min="11" max="11" width="9.28515625" style="193" customWidth="1"/>
    <col min="12" max="14" width="11.7109375" style="193" customWidth="1"/>
    <col min="15" max="15" width="12.7109375" style="193" customWidth="1"/>
    <col min="16" max="19" width="9.28515625" style="193" customWidth="1"/>
    <col min="20" max="20" width="10.140625" style="193" customWidth="1"/>
    <col min="21" max="22" width="11.7109375" style="193" customWidth="1"/>
    <col min="23" max="23" width="9.28515625" style="193" customWidth="1"/>
    <col min="24" max="24" width="10.140625" style="193" customWidth="1"/>
    <col min="25" max="25" width="9.140625" style="193"/>
    <col min="26" max="27" width="11.7109375" style="193" customWidth="1"/>
    <col min="28" max="28" width="9.28515625" style="193" customWidth="1"/>
    <col min="29" max="16384" width="9.140625" style="193"/>
  </cols>
  <sheetData>
    <row r="1" spans="1:28">
      <c r="A1" s="194" t="s">
        <v>0</v>
      </c>
    </row>
    <row r="2" spans="1:28">
      <c r="A2" s="194" t="s">
        <v>266</v>
      </c>
    </row>
    <row r="3" spans="1:28">
      <c r="A3" s="194" t="s">
        <v>1245</v>
      </c>
    </row>
    <row r="4" spans="1:28" ht="90" customHeight="1">
      <c r="A4" s="195" t="s">
        <v>181</v>
      </c>
      <c r="B4" s="195" t="s">
        <v>182</v>
      </c>
      <c r="C4" s="195" t="s">
        <v>268</v>
      </c>
      <c r="D4" s="195" t="s">
        <v>183</v>
      </c>
      <c r="E4" s="195" t="s">
        <v>184</v>
      </c>
      <c r="F4" s="195" t="s">
        <v>186</v>
      </c>
      <c r="G4" s="195" t="s">
        <v>187</v>
      </c>
      <c r="H4" s="195" t="s">
        <v>188</v>
      </c>
      <c r="I4" s="195" t="s">
        <v>269</v>
      </c>
      <c r="J4" s="195"/>
      <c r="K4" s="195"/>
      <c r="L4" s="195"/>
      <c r="M4" s="195" t="s">
        <v>270</v>
      </c>
      <c r="N4" s="195" t="s">
        <v>189</v>
      </c>
      <c r="O4" s="195" t="s">
        <v>190</v>
      </c>
      <c r="P4" s="195" t="s">
        <v>271</v>
      </c>
      <c r="Q4" s="195" t="s">
        <v>272</v>
      </c>
      <c r="R4" s="195" t="s">
        <v>273</v>
      </c>
      <c r="S4" s="195" t="s">
        <v>274</v>
      </c>
      <c r="T4" s="195" t="s">
        <v>275</v>
      </c>
      <c r="U4" s="195" t="s">
        <v>276</v>
      </c>
      <c r="V4" s="195" t="s">
        <v>191</v>
      </c>
      <c r="W4" s="195"/>
      <c r="X4" s="195" t="s">
        <v>277</v>
      </c>
      <c r="Y4" s="195" t="s">
        <v>278</v>
      </c>
      <c r="Z4" s="195" t="s">
        <v>279</v>
      </c>
      <c r="AA4" s="195" t="s">
        <v>1246</v>
      </c>
      <c r="AB4" s="195" t="s">
        <v>625</v>
      </c>
    </row>
    <row r="5" spans="1:28">
      <c r="A5" s="196">
        <v>1</v>
      </c>
      <c r="B5" s="193" t="s">
        <v>345</v>
      </c>
      <c r="C5" s="193">
        <v>1158849.8400000001</v>
      </c>
      <c r="D5" s="193">
        <v>12</v>
      </c>
      <c r="E5" s="193">
        <v>13906198.08</v>
      </c>
      <c r="I5" s="193">
        <v>13906198.08</v>
      </c>
      <c r="J5" s="193">
        <v>200000</v>
      </c>
      <c r="K5" s="193">
        <v>0.2</v>
      </c>
      <c r="L5" s="193">
        <v>2781239.6159999999</v>
      </c>
      <c r="M5" s="193">
        <v>2981239.6159999999</v>
      </c>
      <c r="N5" s="193">
        <v>2981239.6159999999</v>
      </c>
      <c r="O5" s="193">
        <v>10924958.464</v>
      </c>
      <c r="P5" s="193">
        <v>21000</v>
      </c>
      <c r="Q5" s="193">
        <v>33000</v>
      </c>
      <c r="R5" s="193">
        <v>75000</v>
      </c>
      <c r="S5" s="193">
        <v>95000</v>
      </c>
      <c r="T5" s="193">
        <v>336000</v>
      </c>
      <c r="U5" s="193">
        <v>1853990.0313599999</v>
      </c>
      <c r="V5" s="193">
        <v>2413990.0313599999</v>
      </c>
      <c r="W5" s="193">
        <v>12</v>
      </c>
      <c r="X5" s="193">
        <v>201165.83594666701</v>
      </c>
      <c r="Z5" s="193">
        <v>201165.83594666701</v>
      </c>
      <c r="AA5" s="193">
        <v>201165.84</v>
      </c>
      <c r="AB5" s="193">
        <v>-4.0533333667553996E-3</v>
      </c>
    </row>
    <row r="6" spans="1:28">
      <c r="A6" s="196">
        <v>3</v>
      </c>
      <c r="B6" s="193" t="s">
        <v>1116</v>
      </c>
      <c r="C6" s="193">
        <v>781465.02474999998</v>
      </c>
      <c r="D6" s="193">
        <v>12</v>
      </c>
      <c r="E6" s="193">
        <v>9377580.2970000003</v>
      </c>
      <c r="F6" s="193">
        <v>12347.31</v>
      </c>
      <c r="I6" s="193">
        <v>9365232.9869999997</v>
      </c>
      <c r="J6" s="193">
        <v>200000</v>
      </c>
      <c r="K6" s="193">
        <v>0.2</v>
      </c>
      <c r="L6" s="193">
        <v>1873046.5974000001</v>
      </c>
      <c r="M6" s="193">
        <v>2073046.5974000001</v>
      </c>
      <c r="N6" s="193">
        <v>2085393.9073999999</v>
      </c>
      <c r="O6" s="193">
        <v>7292186.3896000003</v>
      </c>
      <c r="P6" s="193">
        <v>21000</v>
      </c>
      <c r="Q6" s="193">
        <v>33000</v>
      </c>
      <c r="R6" s="193">
        <v>75000</v>
      </c>
      <c r="S6" s="193">
        <v>95000</v>
      </c>
      <c r="T6" s="193">
        <v>336000</v>
      </c>
      <c r="U6" s="193">
        <v>982124.733504</v>
      </c>
      <c r="V6" s="193">
        <v>1542124.7335039999</v>
      </c>
      <c r="W6" s="193">
        <v>12</v>
      </c>
      <c r="X6" s="193">
        <v>128510.394458667</v>
      </c>
      <c r="Z6" s="193">
        <v>128510.394458667</v>
      </c>
      <c r="AA6" s="193">
        <v>128508.38825066701</v>
      </c>
      <c r="AB6" s="193">
        <v>2.0062079999916</v>
      </c>
    </row>
    <row r="7" spans="1:28">
      <c r="A7" s="196">
        <v>4</v>
      </c>
      <c r="B7" s="193" t="s">
        <v>1207</v>
      </c>
      <c r="C7" s="193">
        <v>731465.02474999998</v>
      </c>
      <c r="D7" s="193">
        <v>12</v>
      </c>
      <c r="E7" s="193">
        <v>8777580.2970000003</v>
      </c>
      <c r="I7" s="193">
        <v>8777580.2970000003</v>
      </c>
      <c r="J7" s="193">
        <v>200000</v>
      </c>
      <c r="K7" s="193">
        <v>0.2</v>
      </c>
      <c r="L7" s="193">
        <v>1755516.0593999999</v>
      </c>
      <c r="M7" s="193">
        <v>1955516.0593999999</v>
      </c>
      <c r="N7" s="193">
        <v>1955516.0593999999</v>
      </c>
      <c r="O7" s="193">
        <v>6822064.2375999996</v>
      </c>
      <c r="P7" s="193">
        <v>21000</v>
      </c>
      <c r="Q7" s="193">
        <v>33000</v>
      </c>
      <c r="R7" s="193">
        <v>75000</v>
      </c>
      <c r="S7" s="193">
        <v>95000</v>
      </c>
      <c r="T7" s="193">
        <v>336000</v>
      </c>
      <c r="U7" s="193">
        <v>869295.41702399997</v>
      </c>
      <c r="V7" s="193">
        <v>1429295.4170240001</v>
      </c>
      <c r="W7" s="193">
        <v>12</v>
      </c>
      <c r="X7" s="193">
        <v>119107.951418667</v>
      </c>
      <c r="Z7" s="193">
        <v>119107.951418667</v>
      </c>
      <c r="AA7" s="193">
        <v>116473.51</v>
      </c>
      <c r="AB7" s="193">
        <v>2634.44141866668</v>
      </c>
    </row>
    <row r="8" spans="1:28">
      <c r="A8" s="196">
        <v>5</v>
      </c>
      <c r="B8" s="193" t="s">
        <v>348</v>
      </c>
      <c r="C8" s="193">
        <v>541465.02474999998</v>
      </c>
      <c r="D8" s="193">
        <v>12</v>
      </c>
      <c r="E8" s="193">
        <v>6497580.2970000003</v>
      </c>
      <c r="I8" s="193">
        <v>6497580.2970000003</v>
      </c>
      <c r="J8" s="193">
        <v>200000</v>
      </c>
      <c r="K8" s="193">
        <v>0.2</v>
      </c>
      <c r="L8" s="193">
        <v>1299516.0593999999</v>
      </c>
      <c r="M8" s="193">
        <v>1499516.0593999999</v>
      </c>
      <c r="N8" s="193">
        <v>1499516.0593999999</v>
      </c>
      <c r="O8" s="193">
        <v>4998064.2375999996</v>
      </c>
      <c r="P8" s="193">
        <v>21000</v>
      </c>
      <c r="Q8" s="193">
        <v>33000</v>
      </c>
      <c r="R8" s="193">
        <v>75000</v>
      </c>
      <c r="S8" s="193">
        <v>95000</v>
      </c>
      <c r="T8" s="193">
        <v>336000</v>
      </c>
      <c r="U8" s="193">
        <v>431535.41702400002</v>
      </c>
      <c r="V8" s="193">
        <v>991535.41702399997</v>
      </c>
      <c r="W8" s="193">
        <v>12</v>
      </c>
      <c r="X8" s="193">
        <v>82627.951418666693</v>
      </c>
      <c r="Z8" s="193">
        <v>82627.951418666693</v>
      </c>
      <c r="AA8" s="193">
        <v>79993.509999999995</v>
      </c>
      <c r="AB8" s="193">
        <v>2634.44141866668</v>
      </c>
    </row>
    <row r="9" spans="1:28">
      <c r="A9" s="196">
        <v>6</v>
      </c>
      <c r="B9" s="193" t="s">
        <v>350</v>
      </c>
      <c r="C9" s="193">
        <v>682621.80575000006</v>
      </c>
      <c r="D9" s="193">
        <v>12</v>
      </c>
      <c r="E9" s="193">
        <v>8191461.6689999998</v>
      </c>
      <c r="I9" s="193">
        <v>8191461.6689999998</v>
      </c>
      <c r="J9" s="193">
        <v>200000</v>
      </c>
      <c r="K9" s="193">
        <v>0.2</v>
      </c>
      <c r="L9" s="193">
        <v>1638292.3337999999</v>
      </c>
      <c r="M9" s="193">
        <v>1838292.3337999999</v>
      </c>
      <c r="N9" s="193">
        <v>1838292.3337999999</v>
      </c>
      <c r="O9" s="193">
        <v>6353169.3351999996</v>
      </c>
      <c r="P9" s="193">
        <v>21000</v>
      </c>
      <c r="Q9" s="193">
        <v>33000</v>
      </c>
      <c r="R9" s="193">
        <v>75000</v>
      </c>
      <c r="S9" s="193">
        <v>95000</v>
      </c>
      <c r="T9" s="193">
        <v>336000</v>
      </c>
      <c r="U9" s="193">
        <v>756760.64044800005</v>
      </c>
      <c r="V9" s="193">
        <v>1316760.640448</v>
      </c>
      <c r="W9" s="193">
        <v>12</v>
      </c>
      <c r="X9" s="193">
        <v>109730.053370667</v>
      </c>
      <c r="Z9" s="193">
        <v>109730.053370667</v>
      </c>
      <c r="AA9" s="193">
        <v>107095.69</v>
      </c>
      <c r="AB9" s="193">
        <v>2634.3633706666401</v>
      </c>
    </row>
    <row r="10" spans="1:28">
      <c r="A10" s="196">
        <v>7</v>
      </c>
      <c r="B10" s="193" t="s">
        <v>470</v>
      </c>
      <c r="C10" s="193">
        <v>627743.99575</v>
      </c>
      <c r="D10" s="193">
        <v>12</v>
      </c>
      <c r="E10" s="193">
        <v>7532927.949</v>
      </c>
      <c r="F10" s="193">
        <v>10052.25</v>
      </c>
      <c r="I10" s="193">
        <v>7522875.699</v>
      </c>
      <c r="J10" s="193">
        <v>200000</v>
      </c>
      <c r="K10" s="193">
        <v>0.2</v>
      </c>
      <c r="L10" s="193">
        <v>1504575.1398</v>
      </c>
      <c r="M10" s="193">
        <v>1704575.1398</v>
      </c>
      <c r="N10" s="193">
        <v>1714627.3898</v>
      </c>
      <c r="O10" s="193">
        <v>5818300.5592</v>
      </c>
      <c r="P10" s="193">
        <v>21000</v>
      </c>
      <c r="Q10" s="193">
        <v>33000</v>
      </c>
      <c r="R10" s="193">
        <v>75000</v>
      </c>
      <c r="S10" s="193">
        <v>95000</v>
      </c>
      <c r="T10" s="193">
        <v>336000</v>
      </c>
      <c r="U10" s="193">
        <v>628392.13420800003</v>
      </c>
      <c r="V10" s="193">
        <v>1188392.134208</v>
      </c>
      <c r="W10" s="193">
        <v>12</v>
      </c>
      <c r="X10" s="193">
        <v>99032.677850666703</v>
      </c>
      <c r="Z10" s="193">
        <v>99032.677850666703</v>
      </c>
      <c r="AA10" s="193">
        <v>96398.373866666603</v>
      </c>
      <c r="AB10" s="193">
        <v>2634.3039840000301</v>
      </c>
    </row>
    <row r="11" spans="1:28">
      <c r="A11" s="196">
        <v>8</v>
      </c>
      <c r="B11" s="193" t="s">
        <v>352</v>
      </c>
      <c r="C11" s="193">
        <v>527743.99575</v>
      </c>
      <c r="D11" s="193">
        <v>12</v>
      </c>
      <c r="E11" s="193">
        <v>6332927.949</v>
      </c>
      <c r="F11" s="193">
        <v>10052.25</v>
      </c>
      <c r="I11" s="193">
        <v>6322875.699</v>
      </c>
      <c r="J11" s="193">
        <v>200000</v>
      </c>
      <c r="K11" s="193">
        <v>0.2</v>
      </c>
      <c r="L11" s="193">
        <v>1264575.1398</v>
      </c>
      <c r="M11" s="193">
        <v>1464575.1398</v>
      </c>
      <c r="N11" s="193">
        <v>1474627.3898</v>
      </c>
      <c r="O11" s="193">
        <v>4858300.5592</v>
      </c>
      <c r="P11" s="193">
        <v>21000</v>
      </c>
      <c r="Q11" s="193">
        <v>33000</v>
      </c>
      <c r="R11" s="193">
        <v>75000</v>
      </c>
      <c r="S11" s="193">
        <v>95000</v>
      </c>
      <c r="T11" s="193">
        <v>336000</v>
      </c>
      <c r="U11" s="193">
        <v>397992.13420799997</v>
      </c>
      <c r="V11" s="193">
        <v>957992.13420800003</v>
      </c>
      <c r="W11" s="193">
        <v>12</v>
      </c>
      <c r="X11" s="193">
        <v>79832.677850666703</v>
      </c>
      <c r="Z11" s="193">
        <v>79832.677850666703</v>
      </c>
      <c r="AA11" s="193">
        <v>77198.373866666705</v>
      </c>
      <c r="AB11" s="193">
        <v>2634.3039840000001</v>
      </c>
    </row>
    <row r="12" spans="1:28">
      <c r="A12" s="196">
        <v>9</v>
      </c>
      <c r="B12" s="193" t="s">
        <v>354</v>
      </c>
      <c r="C12" s="193">
        <v>527743.99575</v>
      </c>
      <c r="D12" s="193">
        <v>12</v>
      </c>
      <c r="E12" s="193">
        <v>6332927.949</v>
      </c>
      <c r="F12" s="193">
        <v>10052.25</v>
      </c>
      <c r="I12" s="193">
        <v>6322875.699</v>
      </c>
      <c r="J12" s="193">
        <v>200000</v>
      </c>
      <c r="K12" s="193">
        <v>0.2</v>
      </c>
      <c r="L12" s="193">
        <v>1264575.1398</v>
      </c>
      <c r="M12" s="193">
        <v>1464575.1398</v>
      </c>
      <c r="N12" s="193">
        <v>1474627.3898</v>
      </c>
      <c r="O12" s="193">
        <v>4858300.5592</v>
      </c>
      <c r="P12" s="193">
        <v>21000</v>
      </c>
      <c r="Q12" s="193">
        <v>33000</v>
      </c>
      <c r="R12" s="193">
        <v>75000</v>
      </c>
      <c r="S12" s="193">
        <v>95000</v>
      </c>
      <c r="T12" s="193">
        <v>336000</v>
      </c>
      <c r="U12" s="193">
        <v>397992.13420799997</v>
      </c>
      <c r="V12" s="193">
        <v>957992.13420800003</v>
      </c>
      <c r="W12" s="193">
        <v>12</v>
      </c>
      <c r="X12" s="193">
        <v>79832.677850666703</v>
      </c>
      <c r="Z12" s="193">
        <v>79832.677850666703</v>
      </c>
      <c r="AA12" s="193">
        <v>77198.373866666705</v>
      </c>
      <c r="AB12" s="193">
        <v>2634.3039840000001</v>
      </c>
    </row>
    <row r="13" spans="1:28">
      <c r="A13" s="196">
        <v>10</v>
      </c>
      <c r="B13" s="193" t="s">
        <v>356</v>
      </c>
      <c r="C13" s="193">
        <v>447553.5025</v>
      </c>
      <c r="D13" s="193">
        <v>12</v>
      </c>
      <c r="E13" s="193">
        <v>5370642.0300000003</v>
      </c>
      <c r="F13" s="193">
        <v>10052.25</v>
      </c>
      <c r="I13" s="193">
        <v>5360589.78</v>
      </c>
      <c r="J13" s="193">
        <v>200000</v>
      </c>
      <c r="K13" s="193">
        <v>0.2</v>
      </c>
      <c r="L13" s="193">
        <v>1072117.956</v>
      </c>
      <c r="M13" s="193">
        <v>1272117.956</v>
      </c>
      <c r="N13" s="193">
        <v>1282170.206</v>
      </c>
      <c r="O13" s="193">
        <v>4088471.824</v>
      </c>
      <c r="P13" s="193">
        <v>21000</v>
      </c>
      <c r="Q13" s="193">
        <v>33000</v>
      </c>
      <c r="R13" s="193">
        <v>75000</v>
      </c>
      <c r="S13" s="193">
        <v>95000</v>
      </c>
      <c r="T13" s="193">
        <v>336000</v>
      </c>
      <c r="U13" s="193">
        <v>213233.23775999999</v>
      </c>
      <c r="V13" s="193">
        <v>773233.23776000005</v>
      </c>
      <c r="W13" s="193">
        <v>12</v>
      </c>
      <c r="X13" s="193">
        <v>64436.103146666697</v>
      </c>
      <c r="Z13" s="193">
        <v>64436.103146666697</v>
      </c>
      <c r="AA13" s="193">
        <v>64436.1</v>
      </c>
      <c r="AB13" s="193">
        <v>3.1466666623600802E-3</v>
      </c>
    </row>
    <row r="14" spans="1:28">
      <c r="A14" s="196">
        <v>11</v>
      </c>
      <c r="B14" s="193" t="s">
        <v>333</v>
      </c>
      <c r="C14" s="193">
        <v>436137.05</v>
      </c>
      <c r="D14" s="193">
        <v>12</v>
      </c>
      <c r="E14" s="193">
        <v>5233644.5999999996</v>
      </c>
      <c r="I14" s="193">
        <v>5233644.5999999996</v>
      </c>
      <c r="J14" s="193">
        <v>200000</v>
      </c>
      <c r="K14" s="193">
        <v>0.2</v>
      </c>
      <c r="L14" s="193">
        <v>1046728.92</v>
      </c>
      <c r="M14" s="193">
        <v>1246728.92</v>
      </c>
      <c r="N14" s="193">
        <v>1246728.92</v>
      </c>
      <c r="O14" s="193">
        <v>3986915.68</v>
      </c>
      <c r="P14" s="193">
        <v>21000</v>
      </c>
      <c r="Q14" s="193">
        <v>33000</v>
      </c>
      <c r="R14" s="193">
        <v>75000</v>
      </c>
      <c r="S14" s="193">
        <v>95000</v>
      </c>
      <c r="T14" s="193">
        <v>336000</v>
      </c>
      <c r="U14" s="193">
        <v>188859.76319999999</v>
      </c>
      <c r="V14" s="193">
        <v>748859.76320000004</v>
      </c>
      <c r="W14" s="193">
        <v>12</v>
      </c>
      <c r="X14" s="193">
        <v>62404.980266666702</v>
      </c>
      <c r="Z14" s="193">
        <v>62404.980266666702</v>
      </c>
      <c r="AA14" s="193">
        <v>60212.92</v>
      </c>
      <c r="AB14" s="193">
        <v>2192.06026666666</v>
      </c>
    </row>
    <row r="15" spans="1:28">
      <c r="A15" s="196">
        <v>12</v>
      </c>
      <c r="B15" s="193" t="s">
        <v>1209</v>
      </c>
      <c r="C15" s="193">
        <v>393333.03525000002</v>
      </c>
      <c r="D15" s="193">
        <v>12</v>
      </c>
      <c r="E15" s="193">
        <v>4719996.4230000004</v>
      </c>
      <c r="I15" s="193">
        <v>4719996.4230000004</v>
      </c>
      <c r="J15" s="193">
        <v>200000</v>
      </c>
      <c r="K15" s="193">
        <v>0.2</v>
      </c>
      <c r="L15" s="193">
        <v>943999.28460000001</v>
      </c>
      <c r="M15" s="193">
        <v>1143999.2845999999</v>
      </c>
      <c r="N15" s="193">
        <v>1143999.2845999999</v>
      </c>
      <c r="O15" s="193">
        <v>3575997.1384000001</v>
      </c>
      <c r="P15" s="193">
        <v>21000</v>
      </c>
      <c r="Q15" s="193">
        <v>33000</v>
      </c>
      <c r="R15" s="193">
        <v>75000</v>
      </c>
      <c r="S15" s="193">
        <v>95000</v>
      </c>
      <c r="T15" s="193">
        <v>336000</v>
      </c>
      <c r="U15" s="193">
        <v>90239.313216000097</v>
      </c>
      <c r="V15" s="193">
        <v>650239.31321599998</v>
      </c>
      <c r="W15" s="193">
        <v>12</v>
      </c>
      <c r="X15" s="193">
        <v>54186.609434666701</v>
      </c>
      <c r="Z15" s="193">
        <v>54186.609434666701</v>
      </c>
      <c r="AA15" s="193">
        <v>52638.9</v>
      </c>
      <c r="AB15" s="193">
        <v>1547.7094346666699</v>
      </c>
    </row>
    <row r="16" spans="1:28">
      <c r="A16" s="196">
        <v>13</v>
      </c>
      <c r="B16" s="193" t="s">
        <v>1119</v>
      </c>
      <c r="C16" s="193">
        <v>343333.03525000002</v>
      </c>
      <c r="D16" s="193">
        <v>12</v>
      </c>
      <c r="E16" s="193">
        <v>4119996.423</v>
      </c>
      <c r="F16" s="193">
        <v>8019.8</v>
      </c>
      <c r="I16" s="193">
        <v>4111976.6230000001</v>
      </c>
      <c r="J16" s="193">
        <v>200000</v>
      </c>
      <c r="K16" s="193">
        <v>0.2</v>
      </c>
      <c r="L16" s="193">
        <v>822395.32460000005</v>
      </c>
      <c r="M16" s="193">
        <v>1022395.3246000001</v>
      </c>
      <c r="N16" s="193">
        <v>1030415.1246</v>
      </c>
      <c r="O16" s="193">
        <v>3089581.2984000002</v>
      </c>
      <c r="P16" s="193">
        <v>21000</v>
      </c>
      <c r="Q16" s="193">
        <v>33000</v>
      </c>
      <c r="R16" s="193">
        <v>75000</v>
      </c>
      <c r="S16" s="193">
        <v>95000</v>
      </c>
      <c r="T16" s="193">
        <v>312812.07266399998</v>
      </c>
      <c r="V16" s="193">
        <v>536812.07266399998</v>
      </c>
      <c r="W16" s="193">
        <v>12</v>
      </c>
      <c r="X16" s="193">
        <v>44734.339388666704</v>
      </c>
      <c r="Z16" s="193">
        <v>44734.339388666704</v>
      </c>
      <c r="AA16" s="193">
        <v>43380</v>
      </c>
      <c r="AB16" s="193">
        <v>1354.3393886666499</v>
      </c>
    </row>
    <row r="17" spans="1:28">
      <c r="A17" s="196">
        <v>14</v>
      </c>
      <c r="B17" s="193" t="s">
        <v>1211</v>
      </c>
      <c r="C17" s="193">
        <v>563333.03524999996</v>
      </c>
      <c r="D17" s="193">
        <v>12</v>
      </c>
      <c r="E17" s="193">
        <v>6759996.4230000004</v>
      </c>
      <c r="I17" s="193">
        <v>6759996.4230000004</v>
      </c>
      <c r="J17" s="193">
        <v>200000</v>
      </c>
      <c r="K17" s="193">
        <v>0.2</v>
      </c>
      <c r="L17" s="193">
        <v>1351999.2845999999</v>
      </c>
      <c r="M17" s="193">
        <v>1551999.2845999999</v>
      </c>
      <c r="N17" s="193">
        <v>1551999.2845999999</v>
      </c>
      <c r="O17" s="193">
        <v>5207997.1383999996</v>
      </c>
      <c r="P17" s="193">
        <v>21000</v>
      </c>
      <c r="Q17" s="193">
        <v>33000</v>
      </c>
      <c r="R17" s="193">
        <v>75000</v>
      </c>
      <c r="S17" s="193">
        <v>95000</v>
      </c>
      <c r="T17" s="193">
        <v>336000</v>
      </c>
      <c r="U17" s="193">
        <v>481919.31321599998</v>
      </c>
      <c r="V17" s="193">
        <v>1041919.313216</v>
      </c>
      <c r="W17" s="193">
        <v>12</v>
      </c>
      <c r="X17" s="193">
        <v>86826.609434666694</v>
      </c>
      <c r="Z17" s="193">
        <v>86826.609434666694</v>
      </c>
      <c r="AA17" s="193">
        <v>85278.9</v>
      </c>
      <c r="AB17" s="193">
        <v>1547.7094346666599</v>
      </c>
    </row>
    <row r="18" spans="1:28">
      <c r="A18" s="196">
        <v>15</v>
      </c>
      <c r="B18" s="193" t="s">
        <v>361</v>
      </c>
      <c r="C18" s="193">
        <v>338333.03525000002</v>
      </c>
      <c r="D18" s="193">
        <v>12</v>
      </c>
      <c r="E18" s="193">
        <v>4059996.423</v>
      </c>
      <c r="I18" s="193">
        <v>4059996.423</v>
      </c>
      <c r="J18" s="193">
        <v>200000</v>
      </c>
      <c r="K18" s="193">
        <v>0.2</v>
      </c>
      <c r="L18" s="193">
        <v>811999.28460000001</v>
      </c>
      <c r="M18" s="193">
        <v>1011999.2846</v>
      </c>
      <c r="N18" s="193">
        <v>1011999.2846</v>
      </c>
      <c r="O18" s="193">
        <v>3047997.1384000001</v>
      </c>
      <c r="P18" s="193">
        <v>21000</v>
      </c>
      <c r="Q18" s="193">
        <v>33000</v>
      </c>
      <c r="R18" s="193">
        <v>75000</v>
      </c>
      <c r="S18" s="193">
        <v>95000</v>
      </c>
      <c r="T18" s="193">
        <v>304079.399064</v>
      </c>
      <c r="V18" s="193">
        <v>528079.399064</v>
      </c>
      <c r="W18" s="193">
        <v>12</v>
      </c>
      <c r="X18" s="193">
        <v>44006.6165886667</v>
      </c>
      <c r="Z18" s="193">
        <v>44006.6165886667</v>
      </c>
      <c r="AA18" s="193">
        <v>43492.0396866667</v>
      </c>
      <c r="AB18" s="193">
        <v>514.57690199999297</v>
      </c>
    </row>
    <row r="19" spans="1:28">
      <c r="A19" s="196">
        <v>16</v>
      </c>
      <c r="B19" s="193" t="s">
        <v>373</v>
      </c>
      <c r="C19" s="193">
        <v>362001.06050000002</v>
      </c>
      <c r="D19" s="193">
        <v>12</v>
      </c>
      <c r="E19" s="193">
        <v>4344012.7259999998</v>
      </c>
      <c r="F19" s="193">
        <v>7422.38</v>
      </c>
      <c r="I19" s="193">
        <v>4336590.3459999999</v>
      </c>
      <c r="J19" s="193">
        <v>200000</v>
      </c>
      <c r="K19" s="193">
        <v>0.2</v>
      </c>
      <c r="L19" s="193">
        <v>867318.06920000003</v>
      </c>
      <c r="M19" s="193">
        <v>1067318.0692</v>
      </c>
      <c r="N19" s="193">
        <v>1074740.4491999999</v>
      </c>
      <c r="O19" s="193">
        <v>3269272.2768000001</v>
      </c>
      <c r="P19" s="193">
        <v>21000</v>
      </c>
      <c r="Q19" s="193">
        <v>33000</v>
      </c>
      <c r="R19" s="193">
        <v>75000</v>
      </c>
      <c r="S19" s="193">
        <v>95000</v>
      </c>
      <c r="T19" s="193">
        <v>336000</v>
      </c>
      <c r="V19" s="193">
        <v>560000</v>
      </c>
      <c r="W19" s="193">
        <v>12</v>
      </c>
      <c r="X19" s="193">
        <v>46666.666666666701</v>
      </c>
      <c r="Z19" s="193">
        <v>46666.666666666701</v>
      </c>
      <c r="AA19" s="193">
        <v>46673.26</v>
      </c>
      <c r="AB19" s="193">
        <v>-6.5933333333378004</v>
      </c>
    </row>
    <row r="20" spans="1:28">
      <c r="A20" s="196">
        <v>17</v>
      </c>
      <c r="B20" s="193" t="s">
        <v>376</v>
      </c>
      <c r="C20" s="193">
        <v>449201.02600000001</v>
      </c>
      <c r="D20" s="193">
        <v>12</v>
      </c>
      <c r="E20" s="193">
        <v>5390412.3119999999</v>
      </c>
      <c r="I20" s="193">
        <v>5390412.3119999999</v>
      </c>
      <c r="J20" s="193">
        <v>200000</v>
      </c>
      <c r="K20" s="193">
        <v>0.2</v>
      </c>
      <c r="L20" s="193">
        <v>1078082.4624000001</v>
      </c>
      <c r="M20" s="193">
        <v>1278082.4624000001</v>
      </c>
      <c r="N20" s="193">
        <v>1278082.4624000001</v>
      </c>
      <c r="O20" s="193">
        <v>4112329.8495999998</v>
      </c>
      <c r="P20" s="193">
        <v>21000</v>
      </c>
      <c r="Q20" s="193">
        <v>33000</v>
      </c>
      <c r="R20" s="193">
        <v>75000</v>
      </c>
      <c r="S20" s="193">
        <v>95000</v>
      </c>
      <c r="T20" s="193">
        <v>336000</v>
      </c>
      <c r="U20" s="193">
        <v>218959.16390399999</v>
      </c>
      <c r="V20" s="193">
        <v>778959.16390399996</v>
      </c>
      <c r="W20" s="193">
        <v>12</v>
      </c>
      <c r="X20" s="193">
        <v>64913.263658666699</v>
      </c>
      <c r="Z20" s="193">
        <v>64913.263658666699</v>
      </c>
      <c r="AA20" s="193">
        <v>63364.81</v>
      </c>
      <c r="AB20" s="193">
        <v>1548.45365866666</v>
      </c>
    </row>
    <row r="21" spans="1:28">
      <c r="A21" s="196">
        <v>18</v>
      </c>
      <c r="B21" s="193" t="s">
        <v>496</v>
      </c>
      <c r="C21" s="193">
        <v>284536.99849999999</v>
      </c>
      <c r="D21" s="193">
        <v>12</v>
      </c>
      <c r="E21" s="193">
        <v>3414443.9819999998</v>
      </c>
      <c r="F21" s="193">
        <v>6922.5</v>
      </c>
      <c r="I21" s="193">
        <v>3407521.4819999998</v>
      </c>
      <c r="J21" s="193">
        <v>200000</v>
      </c>
      <c r="K21" s="193">
        <v>0.2</v>
      </c>
      <c r="L21" s="193">
        <v>681504.29639999999</v>
      </c>
      <c r="M21" s="193">
        <v>881504.29639999999</v>
      </c>
      <c r="N21" s="193">
        <v>888426.79639999999</v>
      </c>
      <c r="O21" s="193">
        <v>2526017.1856</v>
      </c>
      <c r="P21" s="193">
        <v>21000</v>
      </c>
      <c r="Q21" s="193">
        <v>33000</v>
      </c>
      <c r="R21" s="193">
        <v>75000</v>
      </c>
      <c r="S21" s="193">
        <v>95000</v>
      </c>
      <c r="T21" s="193">
        <v>194463.60897599999</v>
      </c>
      <c r="U21" s="193">
        <v>0</v>
      </c>
      <c r="V21" s="193">
        <v>418463.60897599999</v>
      </c>
      <c r="W21" s="193">
        <v>12</v>
      </c>
      <c r="X21" s="193">
        <v>34871.967414666702</v>
      </c>
      <c r="Z21" s="193">
        <v>34871.967414666702</v>
      </c>
      <c r="AA21" s="193">
        <v>31848.560000000001</v>
      </c>
      <c r="AB21" s="193">
        <v>3023.4074146666599</v>
      </c>
    </row>
    <row r="22" spans="1:28">
      <c r="A22" s="196">
        <v>19</v>
      </c>
      <c r="B22" s="193" t="s">
        <v>379</v>
      </c>
      <c r="C22" s="193">
        <v>267454.07400000002</v>
      </c>
      <c r="D22" s="193">
        <v>12</v>
      </c>
      <c r="E22" s="193">
        <v>3209448.8879999998</v>
      </c>
      <c r="F22" s="193">
        <v>6456.26</v>
      </c>
      <c r="I22" s="193">
        <v>3202992.628</v>
      </c>
      <c r="J22" s="193">
        <v>200000</v>
      </c>
      <c r="K22" s="193">
        <v>0.2</v>
      </c>
      <c r="L22" s="193">
        <v>640598.52560000005</v>
      </c>
      <c r="M22" s="193">
        <v>840598.52560000005</v>
      </c>
      <c r="N22" s="193">
        <v>847054.78559999994</v>
      </c>
      <c r="O22" s="193">
        <v>2362394.1024000002</v>
      </c>
      <c r="P22" s="193">
        <v>21000</v>
      </c>
      <c r="Q22" s="193">
        <v>33000</v>
      </c>
      <c r="R22" s="193">
        <v>75000</v>
      </c>
      <c r="S22" s="193">
        <v>95000</v>
      </c>
      <c r="T22" s="193">
        <v>160102.76150399999</v>
      </c>
      <c r="V22" s="193">
        <v>384102.76150399999</v>
      </c>
      <c r="W22" s="193">
        <v>12</v>
      </c>
      <c r="X22" s="193">
        <v>32008.5634586667</v>
      </c>
      <c r="Z22" s="193">
        <v>32008.5634586667</v>
      </c>
      <c r="AA22" s="193">
        <v>31749.189126666701</v>
      </c>
      <c r="AB22" s="193">
        <v>259.37433200000697</v>
      </c>
    </row>
    <row r="23" spans="1:28">
      <c r="A23" s="196">
        <v>20</v>
      </c>
      <c r="B23" s="193" t="s">
        <v>494</v>
      </c>
      <c r="C23" s="193">
        <v>267454.07400000002</v>
      </c>
      <c r="D23" s="193">
        <v>12</v>
      </c>
      <c r="E23" s="193">
        <v>3209448.8879999998</v>
      </c>
      <c r="I23" s="193">
        <v>3209448.8879999998</v>
      </c>
      <c r="J23" s="193">
        <v>200000</v>
      </c>
      <c r="K23" s="193">
        <v>0.2</v>
      </c>
      <c r="L23" s="193">
        <v>641889.77760000003</v>
      </c>
      <c r="M23" s="193">
        <v>841889.77760000003</v>
      </c>
      <c r="N23" s="193">
        <v>841889.77760000003</v>
      </c>
      <c r="O23" s="193">
        <v>2367559.1104000001</v>
      </c>
      <c r="P23" s="193">
        <v>21000</v>
      </c>
      <c r="Q23" s="193">
        <v>33000</v>
      </c>
      <c r="R23" s="193">
        <v>75000</v>
      </c>
      <c r="S23" s="193">
        <v>95000</v>
      </c>
      <c r="T23" s="193">
        <v>161187.413184</v>
      </c>
      <c r="V23" s="193">
        <v>385187.413184</v>
      </c>
      <c r="W23" s="193">
        <v>12</v>
      </c>
      <c r="X23" s="193">
        <v>32098.951098666701</v>
      </c>
      <c r="Z23" s="193">
        <v>32098.951098666701</v>
      </c>
      <c r="AA23" s="193">
        <v>31749.189126666701</v>
      </c>
      <c r="AB23" s="193">
        <v>349.76197200000797</v>
      </c>
    </row>
    <row r="24" spans="1:28">
      <c r="A24" s="196">
        <v>21</v>
      </c>
      <c r="B24" s="193" t="s">
        <v>534</v>
      </c>
      <c r="C24" s="193">
        <v>242300.07750000001</v>
      </c>
      <c r="D24" s="193">
        <v>12</v>
      </c>
      <c r="E24" s="193">
        <v>2907600.93</v>
      </c>
      <c r="I24" s="193">
        <v>2907600.93</v>
      </c>
      <c r="J24" s="193">
        <v>200000</v>
      </c>
      <c r="K24" s="193">
        <v>0.2</v>
      </c>
      <c r="L24" s="193">
        <v>581520.18599999999</v>
      </c>
      <c r="M24" s="193">
        <v>781520.18599999999</v>
      </c>
      <c r="N24" s="193">
        <v>781520.18599999999</v>
      </c>
      <c r="O24" s="193">
        <v>2126080.7439999999</v>
      </c>
      <c r="P24" s="193">
        <v>21000</v>
      </c>
      <c r="Q24" s="193">
        <v>33000</v>
      </c>
      <c r="R24" s="193">
        <v>75000</v>
      </c>
      <c r="S24" s="193">
        <v>95000</v>
      </c>
      <c r="T24" s="193">
        <v>110476.95624</v>
      </c>
      <c r="V24" s="193">
        <v>334476.95624000003</v>
      </c>
      <c r="W24" s="193">
        <v>12</v>
      </c>
      <c r="X24" s="193">
        <v>27873.079686666701</v>
      </c>
      <c r="Z24" s="193">
        <v>27873.079686666701</v>
      </c>
      <c r="AA24" s="193">
        <v>27105.99</v>
      </c>
      <c r="AB24" s="193">
        <v>767.08968666666306</v>
      </c>
    </row>
    <row r="25" spans="1:28">
      <c r="A25" s="196">
        <v>22</v>
      </c>
      <c r="B25" s="193" t="s">
        <v>1213</v>
      </c>
      <c r="C25" s="193">
        <v>237734.04699999999</v>
      </c>
      <c r="D25" s="193">
        <v>12</v>
      </c>
      <c r="E25" s="193">
        <v>2852808.5639999998</v>
      </c>
      <c r="I25" s="193">
        <v>2852808.5639999998</v>
      </c>
      <c r="J25" s="193">
        <v>200000</v>
      </c>
      <c r="K25" s="193">
        <v>0.2</v>
      </c>
      <c r="L25" s="193">
        <v>570561.71279999998</v>
      </c>
      <c r="M25" s="193">
        <v>770561.71279999998</v>
      </c>
      <c r="N25" s="193">
        <v>770561.71279999998</v>
      </c>
      <c r="O25" s="193">
        <v>2082246.8511999999</v>
      </c>
      <c r="P25" s="193">
        <v>21000</v>
      </c>
      <c r="Q25" s="193">
        <v>33000</v>
      </c>
      <c r="R25" s="193">
        <v>75000</v>
      </c>
      <c r="S25" s="193">
        <v>95000</v>
      </c>
      <c r="T25" s="193">
        <v>101271.838752</v>
      </c>
      <c r="V25" s="193">
        <v>325271.83875200001</v>
      </c>
      <c r="W25" s="193">
        <v>12</v>
      </c>
      <c r="X25" s="193">
        <v>27105.986562666702</v>
      </c>
      <c r="Z25" s="193">
        <v>27105.986562666702</v>
      </c>
      <c r="AA25" s="193">
        <v>26339.08</v>
      </c>
      <c r="AB25" s="193">
        <v>766.90656266666701</v>
      </c>
    </row>
    <row r="26" spans="1:28">
      <c r="A26" s="196">
        <v>23</v>
      </c>
      <c r="B26" s="193" t="s">
        <v>386</v>
      </c>
      <c r="C26" s="193">
        <v>205204.0845</v>
      </c>
      <c r="D26" s="193">
        <v>12</v>
      </c>
      <c r="E26" s="193">
        <v>2462449.014</v>
      </c>
      <c r="I26" s="193">
        <v>2462449.014</v>
      </c>
      <c r="J26" s="193">
        <v>200000</v>
      </c>
      <c r="K26" s="193">
        <v>0.2</v>
      </c>
      <c r="L26" s="193">
        <v>492489.8028</v>
      </c>
      <c r="M26" s="193">
        <v>692489.80279999995</v>
      </c>
      <c r="N26" s="193">
        <v>692489.80279999995</v>
      </c>
      <c r="O26" s="193">
        <v>1769959.2112</v>
      </c>
      <c r="P26" s="193">
        <v>21000</v>
      </c>
      <c r="Q26" s="193">
        <v>33000</v>
      </c>
      <c r="R26" s="193">
        <v>75000</v>
      </c>
      <c r="S26" s="193">
        <v>95000</v>
      </c>
      <c r="T26" s="193">
        <v>35691.434351999997</v>
      </c>
      <c r="V26" s="193">
        <v>259691.43435200001</v>
      </c>
      <c r="W26" s="193">
        <v>12</v>
      </c>
      <c r="X26" s="193">
        <v>21640.952862666702</v>
      </c>
      <c r="Z26" s="193">
        <v>21640.952862666702</v>
      </c>
      <c r="AA26" s="193">
        <v>21640.95</v>
      </c>
      <c r="AB26" s="193">
        <v>2.86266666807933E-3</v>
      </c>
    </row>
    <row r="27" spans="1:28">
      <c r="A27" s="196">
        <v>24</v>
      </c>
      <c r="B27" s="193" t="s">
        <v>388</v>
      </c>
      <c r="C27" s="193">
        <v>209356.04725</v>
      </c>
      <c r="D27" s="193">
        <v>12</v>
      </c>
      <c r="E27" s="193">
        <v>2512272.5669999998</v>
      </c>
      <c r="I27" s="193">
        <v>2512272.5669999998</v>
      </c>
      <c r="J27" s="193">
        <v>200000</v>
      </c>
      <c r="K27" s="193">
        <v>0.2</v>
      </c>
      <c r="L27" s="193">
        <v>502454.5134</v>
      </c>
      <c r="M27" s="193">
        <v>702454.51340000005</v>
      </c>
      <c r="N27" s="193">
        <v>702454.51340000005</v>
      </c>
      <c r="O27" s="193">
        <v>1809818.0536</v>
      </c>
      <c r="P27" s="193">
        <v>21000</v>
      </c>
      <c r="Q27" s="193">
        <v>33000</v>
      </c>
      <c r="R27" s="193">
        <v>75000</v>
      </c>
      <c r="S27" s="193">
        <v>95000</v>
      </c>
      <c r="T27" s="193">
        <v>44061.791255999902</v>
      </c>
      <c r="V27" s="193">
        <v>268061.791256</v>
      </c>
      <c r="W27" s="193">
        <v>12</v>
      </c>
      <c r="X27" s="193">
        <v>22338.4826046667</v>
      </c>
      <c r="Z27" s="193">
        <v>22338.4826046667</v>
      </c>
      <c r="AA27" s="193">
        <v>21640.95</v>
      </c>
      <c r="AB27" s="193">
        <v>697.53260466665995</v>
      </c>
    </row>
    <row r="28" spans="1:28">
      <c r="A28" s="196">
        <v>25</v>
      </c>
      <c r="B28" s="193" t="s">
        <v>1120</v>
      </c>
      <c r="C28" s="193">
        <v>209356.04725</v>
      </c>
      <c r="D28" s="193">
        <v>12</v>
      </c>
      <c r="E28" s="193">
        <v>2512272.5669999998</v>
      </c>
      <c r="I28" s="193">
        <v>2512272.5669999998</v>
      </c>
      <c r="J28" s="193">
        <v>200000</v>
      </c>
      <c r="K28" s="193">
        <v>0.2</v>
      </c>
      <c r="L28" s="193">
        <v>502454.5134</v>
      </c>
      <c r="M28" s="193">
        <v>702454.51340000005</v>
      </c>
      <c r="N28" s="193">
        <v>702454.51340000005</v>
      </c>
      <c r="O28" s="193">
        <v>1809818.0536</v>
      </c>
      <c r="P28" s="193">
        <v>21000</v>
      </c>
      <c r="Q28" s="193">
        <v>33000</v>
      </c>
      <c r="R28" s="193">
        <v>75000</v>
      </c>
      <c r="S28" s="193">
        <v>95000</v>
      </c>
      <c r="T28" s="193">
        <v>44061.791255999902</v>
      </c>
      <c r="V28" s="193">
        <v>268061.791256</v>
      </c>
      <c r="W28" s="193">
        <v>12</v>
      </c>
      <c r="X28" s="193">
        <v>22338.4826046667</v>
      </c>
      <c r="Z28" s="193">
        <v>22338.4826046667</v>
      </c>
      <c r="AA28" s="193">
        <v>21640.95</v>
      </c>
      <c r="AB28" s="193">
        <v>697.53260466665995</v>
      </c>
    </row>
    <row r="29" spans="1:28">
      <c r="A29" s="196">
        <v>26</v>
      </c>
      <c r="B29" s="193" t="s">
        <v>390</v>
      </c>
      <c r="C29" s="193">
        <v>183791.02674999999</v>
      </c>
      <c r="D29" s="193">
        <v>12</v>
      </c>
      <c r="E29" s="193">
        <v>2205492.321</v>
      </c>
      <c r="I29" s="193">
        <v>2205492.321</v>
      </c>
      <c r="J29" s="193">
        <v>200000</v>
      </c>
      <c r="K29" s="193">
        <v>0.2</v>
      </c>
      <c r="L29" s="193">
        <v>441098.46419999999</v>
      </c>
      <c r="M29" s="193">
        <v>641098.46420000005</v>
      </c>
      <c r="N29" s="193">
        <v>641098.46420000005</v>
      </c>
      <c r="O29" s="193">
        <v>1564393.8568</v>
      </c>
      <c r="P29" s="193">
        <v>21000</v>
      </c>
      <c r="Q29" s="193">
        <v>33000</v>
      </c>
      <c r="R29" s="193">
        <v>75000</v>
      </c>
      <c r="S29" s="193">
        <v>88234.832792000001</v>
      </c>
      <c r="T29" s="193">
        <v>0</v>
      </c>
      <c r="V29" s="193">
        <v>217234.832792</v>
      </c>
      <c r="W29" s="193">
        <v>12</v>
      </c>
      <c r="X29" s="193">
        <v>18102.902732666698</v>
      </c>
      <c r="Z29" s="193">
        <v>18102.902732666698</v>
      </c>
      <c r="AA29" s="193">
        <v>17572.89</v>
      </c>
      <c r="AB29" s="193">
        <v>530.01273266666601</v>
      </c>
    </row>
    <row r="30" spans="1:28">
      <c r="A30" s="196">
        <v>27</v>
      </c>
      <c r="B30" s="193" t="s">
        <v>477</v>
      </c>
      <c r="C30" s="193">
        <v>183791.02674999999</v>
      </c>
      <c r="D30" s="193">
        <v>12</v>
      </c>
      <c r="E30" s="193">
        <v>2205492.321</v>
      </c>
      <c r="I30" s="193">
        <v>2205492.321</v>
      </c>
      <c r="J30" s="193">
        <v>200000</v>
      </c>
      <c r="K30" s="193">
        <v>0.2</v>
      </c>
      <c r="L30" s="193">
        <v>441098.46419999999</v>
      </c>
      <c r="M30" s="193">
        <v>641098.46420000005</v>
      </c>
      <c r="N30" s="193">
        <v>641098.46420000005</v>
      </c>
      <c r="O30" s="193">
        <v>1564393.8568</v>
      </c>
      <c r="P30" s="193">
        <v>21000</v>
      </c>
      <c r="Q30" s="193">
        <v>33000</v>
      </c>
      <c r="R30" s="193">
        <v>75000</v>
      </c>
      <c r="S30" s="193">
        <v>88234.832792000001</v>
      </c>
      <c r="T30" s="193">
        <v>0</v>
      </c>
      <c r="V30" s="193">
        <v>217234.832792</v>
      </c>
      <c r="W30" s="193">
        <v>12</v>
      </c>
      <c r="X30" s="193">
        <v>18102.902732666698</v>
      </c>
      <c r="Z30" s="193">
        <v>18102.902732666698</v>
      </c>
      <c r="AA30" s="193">
        <v>17572.89</v>
      </c>
      <c r="AB30" s="193">
        <v>530.01273266666601</v>
      </c>
    </row>
    <row r="31" spans="1:28">
      <c r="A31" s="196">
        <v>28</v>
      </c>
      <c r="B31" s="193" t="s">
        <v>392</v>
      </c>
      <c r="C31" s="193">
        <v>183791.02674999999</v>
      </c>
      <c r="D31" s="193">
        <v>12</v>
      </c>
      <c r="E31" s="193">
        <v>2205492.321</v>
      </c>
      <c r="I31" s="193">
        <v>2205492.321</v>
      </c>
      <c r="J31" s="193">
        <v>200000</v>
      </c>
      <c r="K31" s="193">
        <v>0.2</v>
      </c>
      <c r="L31" s="193">
        <v>441098.46419999999</v>
      </c>
      <c r="M31" s="193">
        <v>641098.46420000005</v>
      </c>
      <c r="N31" s="193">
        <v>641098.46420000005</v>
      </c>
      <c r="O31" s="193">
        <v>1564393.8568</v>
      </c>
      <c r="P31" s="193">
        <v>21000</v>
      </c>
      <c r="Q31" s="193">
        <v>33000</v>
      </c>
      <c r="R31" s="193">
        <v>75000</v>
      </c>
      <c r="S31" s="193">
        <v>88234.832792000001</v>
      </c>
      <c r="T31" s="193">
        <v>0</v>
      </c>
      <c r="V31" s="193">
        <v>217234.832792</v>
      </c>
      <c r="W31" s="193">
        <v>12</v>
      </c>
      <c r="X31" s="193">
        <v>18102.902732666698</v>
      </c>
      <c r="Z31" s="193">
        <v>18102.902732666698</v>
      </c>
      <c r="AA31" s="193">
        <v>17572.89</v>
      </c>
      <c r="AB31" s="193">
        <v>530.01273266666601</v>
      </c>
    </row>
    <row r="32" spans="1:28">
      <c r="A32" s="196">
        <v>29</v>
      </c>
      <c r="B32" s="193" t="s">
        <v>395</v>
      </c>
      <c r="C32" s="193">
        <v>209356.04725</v>
      </c>
      <c r="D32" s="193">
        <v>12</v>
      </c>
      <c r="E32" s="193">
        <v>2512272.5669999998</v>
      </c>
      <c r="I32" s="193">
        <v>2512272.5669999998</v>
      </c>
      <c r="J32" s="193">
        <v>200000</v>
      </c>
      <c r="K32" s="193">
        <v>0.2</v>
      </c>
      <c r="L32" s="193">
        <v>502454.5134</v>
      </c>
      <c r="M32" s="193">
        <v>702454.51340000005</v>
      </c>
      <c r="N32" s="193">
        <v>702454.51340000005</v>
      </c>
      <c r="O32" s="193">
        <v>1809818.0536</v>
      </c>
      <c r="P32" s="193">
        <v>21000</v>
      </c>
      <c r="Q32" s="193">
        <v>33000</v>
      </c>
      <c r="R32" s="193">
        <v>75000</v>
      </c>
      <c r="S32" s="193">
        <v>95000</v>
      </c>
      <c r="T32" s="193">
        <v>44061.791255999902</v>
      </c>
      <c r="V32" s="193">
        <v>268061.791256</v>
      </c>
      <c r="W32" s="193">
        <v>12</v>
      </c>
      <c r="X32" s="193">
        <v>22338.4826046667</v>
      </c>
      <c r="Z32" s="193">
        <v>22338.4826046667</v>
      </c>
      <c r="AA32" s="193">
        <v>21640.95</v>
      </c>
      <c r="AB32" s="193">
        <v>697.53260466665995</v>
      </c>
    </row>
    <row r="33" spans="1:28">
      <c r="A33" s="196">
        <v>30</v>
      </c>
      <c r="B33" s="193" t="s">
        <v>397</v>
      </c>
      <c r="C33" s="193">
        <v>176816.1</v>
      </c>
      <c r="D33" s="193">
        <v>12</v>
      </c>
      <c r="E33" s="193">
        <v>2121793.2000000002</v>
      </c>
      <c r="I33" s="193">
        <v>2121793.2000000002</v>
      </c>
      <c r="J33" s="193">
        <v>200000</v>
      </c>
      <c r="K33" s="193">
        <v>0.2</v>
      </c>
      <c r="L33" s="193">
        <v>424358.64</v>
      </c>
      <c r="M33" s="193">
        <v>624358.64</v>
      </c>
      <c r="N33" s="193">
        <v>624358.64</v>
      </c>
      <c r="O33" s="193">
        <v>1497434.56</v>
      </c>
      <c r="P33" s="193">
        <v>21000</v>
      </c>
      <c r="Q33" s="193">
        <v>33000</v>
      </c>
      <c r="R33" s="193">
        <v>75000</v>
      </c>
      <c r="S33" s="193">
        <v>75512.566399999996</v>
      </c>
      <c r="T33" s="193">
        <v>0</v>
      </c>
      <c r="V33" s="193">
        <v>204512.56640000001</v>
      </c>
      <c r="W33" s="193">
        <v>12</v>
      </c>
      <c r="X33" s="193">
        <v>17042.713866666702</v>
      </c>
      <c r="Z33" s="193">
        <v>17042.713866666702</v>
      </c>
      <c r="AA33" s="193">
        <v>16512.68</v>
      </c>
      <c r="AB33" s="193">
        <v>530.03386666666802</v>
      </c>
    </row>
    <row r="34" spans="1:28">
      <c r="A34" s="196">
        <v>31</v>
      </c>
      <c r="B34" s="193" t="s">
        <v>1036</v>
      </c>
      <c r="C34" s="193">
        <v>176817.1</v>
      </c>
      <c r="D34" s="193">
        <v>12</v>
      </c>
      <c r="E34" s="193">
        <v>2121805.2000000002</v>
      </c>
      <c r="I34" s="193">
        <v>2121805.2000000002</v>
      </c>
      <c r="J34" s="193">
        <v>200000</v>
      </c>
      <c r="K34" s="193">
        <v>0.2</v>
      </c>
      <c r="L34" s="193">
        <v>424361.04</v>
      </c>
      <c r="M34" s="193">
        <v>624361.04</v>
      </c>
      <c r="N34" s="193">
        <v>624361.04</v>
      </c>
      <c r="O34" s="193">
        <v>1497444.16</v>
      </c>
      <c r="P34" s="193">
        <v>21000</v>
      </c>
      <c r="Q34" s="193">
        <v>33000</v>
      </c>
      <c r="R34" s="193">
        <v>75000</v>
      </c>
      <c r="S34" s="193">
        <v>75514.390400000004</v>
      </c>
      <c r="T34" s="193">
        <v>0</v>
      </c>
      <c r="V34" s="193">
        <v>204514.3904</v>
      </c>
      <c r="W34" s="193">
        <v>12</v>
      </c>
      <c r="X34" s="193">
        <v>17042.8658666667</v>
      </c>
      <c r="Z34" s="193">
        <v>17042.8658666667</v>
      </c>
      <c r="AA34" s="193">
        <v>16512.68</v>
      </c>
      <c r="AB34" s="193">
        <v>530.18586666666999</v>
      </c>
    </row>
    <row r="35" spans="1:28">
      <c r="A35" s="196">
        <v>32</v>
      </c>
      <c r="B35" s="193" t="s">
        <v>1214</v>
      </c>
      <c r="C35" s="193">
        <v>176818.1</v>
      </c>
      <c r="D35" s="193">
        <v>12</v>
      </c>
      <c r="E35" s="193">
        <v>2121817.2000000002</v>
      </c>
      <c r="I35" s="193">
        <v>2121817.2000000002</v>
      </c>
      <c r="J35" s="193">
        <v>200000</v>
      </c>
      <c r="K35" s="193">
        <v>0.2</v>
      </c>
      <c r="L35" s="193">
        <v>424363.44</v>
      </c>
      <c r="M35" s="193">
        <v>624363.43999999994</v>
      </c>
      <c r="N35" s="193">
        <v>624363.43999999994</v>
      </c>
      <c r="O35" s="193">
        <v>1497453.76</v>
      </c>
      <c r="P35" s="193">
        <v>21000</v>
      </c>
      <c r="Q35" s="193">
        <v>33000</v>
      </c>
      <c r="R35" s="193">
        <v>75000</v>
      </c>
      <c r="S35" s="193">
        <v>75516.214399999997</v>
      </c>
      <c r="T35" s="193">
        <v>0</v>
      </c>
      <c r="V35" s="193">
        <v>204516.2144</v>
      </c>
      <c r="W35" s="193">
        <v>12</v>
      </c>
      <c r="X35" s="193">
        <v>17043.017866666702</v>
      </c>
      <c r="Z35" s="193">
        <v>17043.017866666702</v>
      </c>
      <c r="AA35" s="193">
        <v>16512.68</v>
      </c>
      <c r="AB35" s="193">
        <v>530.33786666667197</v>
      </c>
    </row>
    <row r="36" spans="1:28">
      <c r="A36" s="196"/>
      <c r="C36" s="193">
        <v>12126899.36475</v>
      </c>
      <c r="G36" s="193">
        <v>0</v>
      </c>
      <c r="Z36" s="193">
        <v>1716067.6634466699</v>
      </c>
      <c r="AA36" s="193">
        <v>1681121.50779067</v>
      </c>
      <c r="AB36" s="193">
        <v>34946.155655999901</v>
      </c>
    </row>
    <row r="37" spans="1:28">
      <c r="A37" s="196"/>
    </row>
    <row r="38" spans="1:28">
      <c r="A38" s="196">
        <v>33</v>
      </c>
      <c r="B38" s="193" t="s">
        <v>403</v>
      </c>
      <c r="C38" s="193">
        <v>950209.06350000005</v>
      </c>
      <c r="D38" s="193">
        <v>12</v>
      </c>
      <c r="E38" s="193">
        <v>11402508.762</v>
      </c>
      <c r="I38" s="193">
        <v>11402508.762</v>
      </c>
      <c r="J38" s="193">
        <v>200000</v>
      </c>
      <c r="K38" s="193">
        <v>0.2</v>
      </c>
      <c r="L38" s="193">
        <v>2280501.7524000001</v>
      </c>
      <c r="M38" s="193">
        <v>2480501.7524000001</v>
      </c>
      <c r="N38" s="193">
        <v>2480501.7524000001</v>
      </c>
      <c r="O38" s="193">
        <v>8922007.0096000005</v>
      </c>
      <c r="P38" s="193">
        <v>21000</v>
      </c>
      <c r="Q38" s="193">
        <v>33000</v>
      </c>
      <c r="R38" s="193">
        <v>75000</v>
      </c>
      <c r="S38" s="193">
        <v>95000</v>
      </c>
      <c r="T38" s="193">
        <v>336000</v>
      </c>
      <c r="U38" s="193">
        <v>1373281.682304</v>
      </c>
      <c r="V38" s="193">
        <v>1933281.682304</v>
      </c>
      <c r="W38" s="193">
        <v>12</v>
      </c>
      <c r="X38" s="193">
        <v>161106.806858667</v>
      </c>
      <c r="Z38" s="193">
        <v>161106.806858667</v>
      </c>
      <c r="AA38" s="193">
        <v>156349.82</v>
      </c>
      <c r="AB38" s="193">
        <v>4756.9868586666698</v>
      </c>
    </row>
    <row r="39" spans="1:28">
      <c r="A39" s="196">
        <v>34</v>
      </c>
      <c r="B39" s="193" t="s">
        <v>406</v>
      </c>
      <c r="C39" s="193">
        <v>173329.04949999999</v>
      </c>
      <c r="D39" s="193">
        <v>12</v>
      </c>
      <c r="E39" s="193">
        <v>2079948.594</v>
      </c>
      <c r="I39" s="193">
        <v>2079948.594</v>
      </c>
      <c r="J39" s="193">
        <v>200000</v>
      </c>
      <c r="K39" s="193">
        <v>0.2</v>
      </c>
      <c r="L39" s="193">
        <v>415989.71879999997</v>
      </c>
      <c r="M39" s="193">
        <v>615989.71880000003</v>
      </c>
      <c r="N39" s="193">
        <v>615989.71880000003</v>
      </c>
      <c r="O39" s="193">
        <v>1463958.8751999999</v>
      </c>
      <c r="P39" s="193">
        <v>21000</v>
      </c>
      <c r="Q39" s="193">
        <v>33000</v>
      </c>
      <c r="R39" s="193">
        <v>75000</v>
      </c>
      <c r="S39" s="193">
        <v>69152.186287999997</v>
      </c>
      <c r="T39" s="193">
        <v>0</v>
      </c>
      <c r="V39" s="193">
        <v>198152.186288</v>
      </c>
      <c r="W39" s="193">
        <v>12</v>
      </c>
      <c r="X39" s="193">
        <v>16512.682190666699</v>
      </c>
      <c r="Z39" s="193">
        <v>16512.682190666699</v>
      </c>
      <c r="AA39" s="193">
        <v>16512.68</v>
      </c>
      <c r="AB39" s="193">
        <v>2.1906666697759599E-3</v>
      </c>
    </row>
    <row r="40" spans="1:28">
      <c r="A40" s="196"/>
    </row>
    <row r="41" spans="1:28">
      <c r="A41" s="196"/>
    </row>
    <row r="42" spans="1:28">
      <c r="A42" s="196">
        <v>35</v>
      </c>
      <c r="B42" s="193" t="s">
        <v>410</v>
      </c>
      <c r="C42" s="193">
        <v>1050209.0634999999</v>
      </c>
      <c r="D42" s="193">
        <v>12</v>
      </c>
      <c r="E42" s="193">
        <v>12602508.762</v>
      </c>
      <c r="I42" s="193">
        <v>12602508.762</v>
      </c>
      <c r="J42" s="193">
        <v>200000</v>
      </c>
      <c r="K42" s="193">
        <v>0.2</v>
      </c>
      <c r="L42" s="193">
        <v>2520501.7524000001</v>
      </c>
      <c r="M42" s="193">
        <v>2720501.7524000001</v>
      </c>
      <c r="N42" s="193">
        <v>2720501.7524000001</v>
      </c>
      <c r="O42" s="193">
        <v>9882007.0096000005</v>
      </c>
      <c r="P42" s="193">
        <v>21000</v>
      </c>
      <c r="Q42" s="193">
        <v>33000</v>
      </c>
      <c r="R42" s="193">
        <v>75000</v>
      </c>
      <c r="S42" s="193">
        <v>95000</v>
      </c>
      <c r="T42" s="193">
        <v>336000</v>
      </c>
      <c r="U42" s="193">
        <v>1603681.682304</v>
      </c>
      <c r="V42" s="193">
        <v>2163681.682304</v>
      </c>
      <c r="W42" s="193">
        <v>12</v>
      </c>
      <c r="X42" s="193">
        <v>180306.806858667</v>
      </c>
      <c r="Z42" s="193">
        <v>180306.806858667</v>
      </c>
      <c r="AA42" s="193">
        <v>180306.81</v>
      </c>
      <c r="AB42" s="193">
        <v>-3.14133329084143E-3</v>
      </c>
    </row>
    <row r="43" spans="1:28">
      <c r="A43" s="196">
        <v>36</v>
      </c>
      <c r="B43" s="193" t="s">
        <v>412</v>
      </c>
      <c r="C43" s="193">
        <v>527553.50249999994</v>
      </c>
      <c r="D43" s="193">
        <v>12</v>
      </c>
      <c r="E43" s="193">
        <v>6330642.0300000003</v>
      </c>
      <c r="I43" s="193">
        <v>6330642.0300000003</v>
      </c>
      <c r="J43" s="193">
        <v>200000</v>
      </c>
      <c r="K43" s="193">
        <v>0.2</v>
      </c>
      <c r="L43" s="193">
        <v>1266128.406</v>
      </c>
      <c r="M43" s="193">
        <v>1466128.406</v>
      </c>
      <c r="N43" s="193">
        <v>1466128.406</v>
      </c>
      <c r="O43" s="193">
        <v>4864513.6239999998</v>
      </c>
      <c r="P43" s="193">
        <v>21000</v>
      </c>
      <c r="Q43" s="193">
        <v>33000</v>
      </c>
      <c r="R43" s="193">
        <v>75000</v>
      </c>
      <c r="S43" s="193">
        <v>95000</v>
      </c>
      <c r="T43" s="193">
        <v>336000</v>
      </c>
      <c r="U43" s="193">
        <v>399483.26976</v>
      </c>
      <c r="V43" s="193">
        <v>959483.26976000005</v>
      </c>
      <c r="W43" s="193">
        <v>12</v>
      </c>
      <c r="X43" s="193">
        <v>79956.9391466667</v>
      </c>
      <c r="Z43" s="193">
        <v>79956.9391466667</v>
      </c>
      <c r="AA43" s="193">
        <v>79956.94</v>
      </c>
      <c r="AB43" s="193">
        <v>-8.5333334573078901E-4</v>
      </c>
    </row>
    <row r="44" spans="1:28">
      <c r="A44" s="196">
        <v>37</v>
      </c>
      <c r="B44" s="193" t="s">
        <v>414</v>
      </c>
      <c r="C44" s="193">
        <v>527553.50249999994</v>
      </c>
      <c r="D44" s="193">
        <v>12</v>
      </c>
      <c r="E44" s="193">
        <v>6330642.0300000003</v>
      </c>
      <c r="I44" s="193">
        <v>6330642.0300000003</v>
      </c>
      <c r="J44" s="193">
        <v>200000</v>
      </c>
      <c r="K44" s="193">
        <v>0.2</v>
      </c>
      <c r="L44" s="193">
        <v>1266128.406</v>
      </c>
      <c r="M44" s="193">
        <v>1466128.406</v>
      </c>
      <c r="N44" s="193">
        <v>1466128.406</v>
      </c>
      <c r="O44" s="193">
        <v>4864513.6239999998</v>
      </c>
      <c r="P44" s="193">
        <v>21000</v>
      </c>
      <c r="Q44" s="193">
        <v>33000</v>
      </c>
      <c r="R44" s="193">
        <v>75000</v>
      </c>
      <c r="S44" s="193">
        <v>95000</v>
      </c>
      <c r="T44" s="193">
        <v>336000</v>
      </c>
      <c r="U44" s="193">
        <v>399483.26976</v>
      </c>
      <c r="V44" s="193">
        <v>959483.26976000005</v>
      </c>
      <c r="W44" s="193">
        <v>12</v>
      </c>
      <c r="X44" s="193">
        <v>79956.9391466667</v>
      </c>
      <c r="Z44" s="193">
        <v>79956.9391466667</v>
      </c>
      <c r="AA44" s="193">
        <v>79956.94</v>
      </c>
      <c r="AB44" s="193">
        <v>-8.5333334573078901E-4</v>
      </c>
    </row>
    <row r="45" spans="1:28">
      <c r="A45" s="196">
        <v>38</v>
      </c>
      <c r="B45" s="193" t="s">
        <v>417</v>
      </c>
      <c r="C45" s="193">
        <v>527553.50249999994</v>
      </c>
      <c r="D45" s="193">
        <v>12</v>
      </c>
      <c r="E45" s="193">
        <v>6330642.0300000003</v>
      </c>
      <c r="I45" s="193">
        <v>6330642.0300000003</v>
      </c>
      <c r="J45" s="193">
        <v>200000</v>
      </c>
      <c r="K45" s="193">
        <v>0.2</v>
      </c>
      <c r="L45" s="193">
        <v>1266128.406</v>
      </c>
      <c r="M45" s="193">
        <v>1466128.406</v>
      </c>
      <c r="N45" s="193">
        <v>1466128.406</v>
      </c>
      <c r="O45" s="193">
        <v>4864513.6239999998</v>
      </c>
      <c r="P45" s="193">
        <v>21000</v>
      </c>
      <c r="Q45" s="193">
        <v>33000</v>
      </c>
      <c r="R45" s="193">
        <v>75000</v>
      </c>
      <c r="S45" s="193">
        <v>95000</v>
      </c>
      <c r="T45" s="193">
        <v>336000</v>
      </c>
      <c r="U45" s="193">
        <v>399483.26976</v>
      </c>
      <c r="V45" s="193">
        <v>959483.26976000005</v>
      </c>
      <c r="W45" s="193">
        <v>12</v>
      </c>
      <c r="X45" s="193">
        <v>79956.9391466667</v>
      </c>
      <c r="Z45" s="193">
        <v>79956.9391466667</v>
      </c>
      <c r="AA45" s="193">
        <v>77764.98</v>
      </c>
      <c r="AB45" s="193">
        <v>2191.9591466666602</v>
      </c>
    </row>
    <row r="46" spans="1:28">
      <c r="A46" s="196">
        <v>39</v>
      </c>
      <c r="B46" s="193" t="s">
        <v>419</v>
      </c>
      <c r="C46" s="193">
        <v>476014.86</v>
      </c>
      <c r="D46" s="193">
        <v>12</v>
      </c>
      <c r="E46" s="193">
        <v>5712178.3200000003</v>
      </c>
      <c r="I46" s="193">
        <v>5712178.3200000003</v>
      </c>
      <c r="J46" s="193">
        <v>200000</v>
      </c>
      <c r="K46" s="193">
        <v>0.2</v>
      </c>
      <c r="L46" s="193">
        <v>1142435.6640000001</v>
      </c>
      <c r="M46" s="193">
        <v>1342435.6640000001</v>
      </c>
      <c r="N46" s="193">
        <v>1342435.6640000001</v>
      </c>
      <c r="O46" s="193">
        <v>4369742.6560000004</v>
      </c>
      <c r="P46" s="193">
        <v>21000</v>
      </c>
      <c r="Q46" s="193">
        <v>33000</v>
      </c>
      <c r="R46" s="193">
        <v>75000</v>
      </c>
      <c r="S46" s="193">
        <v>95000</v>
      </c>
      <c r="T46" s="193">
        <v>336000</v>
      </c>
      <c r="U46" s="193">
        <v>280738.23744</v>
      </c>
      <c r="V46" s="193">
        <v>840738.23744000006</v>
      </c>
      <c r="W46" s="193">
        <v>12</v>
      </c>
      <c r="X46" s="193">
        <v>70061.5197866667</v>
      </c>
      <c r="Z46" s="193">
        <v>70061.5197866667</v>
      </c>
      <c r="AA46" s="193">
        <v>75436.115322666694</v>
      </c>
      <c r="AB46" s="193">
        <v>-5374.5955359999898</v>
      </c>
    </row>
    <row r="47" spans="1:28">
      <c r="A47" s="196">
        <v>40</v>
      </c>
      <c r="B47" s="193" t="s">
        <v>420</v>
      </c>
      <c r="C47" s="193">
        <v>413333.03525000002</v>
      </c>
      <c r="D47" s="193">
        <v>12</v>
      </c>
      <c r="E47" s="193">
        <v>4959996.4230000004</v>
      </c>
      <c r="F47" s="193">
        <v>8546.5400000000009</v>
      </c>
      <c r="I47" s="193">
        <v>4951449.8830000004</v>
      </c>
      <c r="J47" s="193">
        <v>200000</v>
      </c>
      <c r="K47" s="193">
        <v>0.2</v>
      </c>
      <c r="L47" s="193">
        <v>990289.97660000005</v>
      </c>
      <c r="M47" s="193">
        <v>1190289.9765999999</v>
      </c>
      <c r="N47" s="193">
        <v>1198836.5166</v>
      </c>
      <c r="O47" s="193">
        <v>3761159.9064000002</v>
      </c>
      <c r="P47" s="193">
        <v>21000</v>
      </c>
      <c r="Q47" s="193">
        <v>33000</v>
      </c>
      <c r="R47" s="193">
        <v>75000</v>
      </c>
      <c r="S47" s="193">
        <v>95000</v>
      </c>
      <c r="T47" s="193">
        <v>336000</v>
      </c>
      <c r="U47" s="193">
        <v>134678.37753600001</v>
      </c>
      <c r="V47" s="193">
        <v>694678.37753599999</v>
      </c>
      <c r="W47" s="193">
        <v>12</v>
      </c>
      <c r="X47" s="193">
        <v>57889.864794666697</v>
      </c>
      <c r="Z47" s="193">
        <v>57889.864794666697</v>
      </c>
      <c r="AA47" s="193">
        <v>56478.9</v>
      </c>
      <c r="AB47" s="193">
        <v>1410.9647946666701</v>
      </c>
    </row>
    <row r="48" spans="1:28">
      <c r="A48" s="196">
        <v>41</v>
      </c>
      <c r="B48" s="193" t="s">
        <v>421</v>
      </c>
      <c r="C48" s="193">
        <v>413333.03525000002</v>
      </c>
      <c r="D48" s="193">
        <v>12</v>
      </c>
      <c r="E48" s="193">
        <v>4959996.4230000004</v>
      </c>
      <c r="I48" s="193">
        <v>4959996.4230000004</v>
      </c>
      <c r="J48" s="193">
        <v>200000</v>
      </c>
      <c r="K48" s="193">
        <v>0.2</v>
      </c>
      <c r="L48" s="193">
        <v>991999.28460000001</v>
      </c>
      <c r="M48" s="193">
        <v>1191999.2845999999</v>
      </c>
      <c r="N48" s="193">
        <v>1191999.2845999999</v>
      </c>
      <c r="O48" s="193">
        <v>3767997.1384000001</v>
      </c>
      <c r="P48" s="193">
        <v>21000</v>
      </c>
      <c r="Q48" s="193">
        <v>33000</v>
      </c>
      <c r="R48" s="193">
        <v>75000</v>
      </c>
      <c r="S48" s="193">
        <v>95000</v>
      </c>
      <c r="T48" s="193">
        <v>336000</v>
      </c>
      <c r="U48" s="193">
        <v>136319.31321600001</v>
      </c>
      <c r="V48" s="193">
        <v>696319.31321599998</v>
      </c>
      <c r="W48" s="193">
        <v>12</v>
      </c>
      <c r="X48" s="193">
        <v>58026.609434666701</v>
      </c>
      <c r="Z48" s="193">
        <v>58026.609434666701</v>
      </c>
      <c r="AA48" s="193">
        <v>56478.9</v>
      </c>
      <c r="AB48" s="193">
        <v>1547.7094346666699</v>
      </c>
    </row>
    <row r="49" spans="1:28">
      <c r="A49" s="196">
        <v>42</v>
      </c>
      <c r="B49" s="193" t="s">
        <v>1125</v>
      </c>
      <c r="C49" s="193">
        <v>400272.06374999997</v>
      </c>
      <c r="D49" s="193">
        <v>12</v>
      </c>
      <c r="E49" s="193">
        <v>4803264.7649999997</v>
      </c>
      <c r="I49" s="193">
        <v>4803264.7649999997</v>
      </c>
      <c r="J49" s="193">
        <v>200000</v>
      </c>
      <c r="K49" s="193">
        <v>0.2</v>
      </c>
      <c r="L49" s="193">
        <v>960652.95299999998</v>
      </c>
      <c r="M49" s="193">
        <v>1160652.953</v>
      </c>
      <c r="N49" s="193">
        <v>1160652.953</v>
      </c>
      <c r="O49" s="193">
        <v>3642611.8119999999</v>
      </c>
      <c r="P49" s="193">
        <v>21000</v>
      </c>
      <c r="Q49" s="193">
        <v>33000</v>
      </c>
      <c r="R49" s="193">
        <v>75000</v>
      </c>
      <c r="S49" s="193">
        <v>95000</v>
      </c>
      <c r="T49" s="193">
        <v>336000</v>
      </c>
      <c r="U49" s="193">
        <v>106226.83487999999</v>
      </c>
      <c r="V49" s="193">
        <v>666226.83487999998</v>
      </c>
      <c r="W49" s="193">
        <v>12</v>
      </c>
      <c r="X49" s="193">
        <v>55518.902906666699</v>
      </c>
      <c r="Z49" s="193">
        <v>55518.902906666699</v>
      </c>
      <c r="AA49" s="193">
        <v>54931.400186666702</v>
      </c>
      <c r="AB49" s="193">
        <v>587.502719999997</v>
      </c>
    </row>
    <row r="50" spans="1:28">
      <c r="A50" s="196">
        <v>43</v>
      </c>
      <c r="B50" s="193" t="s">
        <v>367</v>
      </c>
      <c r="C50" s="193">
        <v>369177.65375</v>
      </c>
      <c r="D50" s="193">
        <v>12</v>
      </c>
      <c r="E50" s="193">
        <v>4430131.8449999997</v>
      </c>
      <c r="I50" s="193">
        <v>4430131.8449999997</v>
      </c>
      <c r="J50" s="193">
        <v>200000</v>
      </c>
      <c r="K50" s="193">
        <v>0.2</v>
      </c>
      <c r="L50" s="193">
        <v>886026.36899999995</v>
      </c>
      <c r="M50" s="193">
        <v>1086026.3689999999</v>
      </c>
      <c r="N50" s="193">
        <v>1086026.3689999999</v>
      </c>
      <c r="O50" s="193">
        <v>3344105.4759999998</v>
      </c>
      <c r="P50" s="193">
        <v>21000</v>
      </c>
      <c r="Q50" s="193">
        <v>33000</v>
      </c>
      <c r="R50" s="193">
        <v>75000</v>
      </c>
      <c r="S50" s="193">
        <v>95000</v>
      </c>
      <c r="T50" s="193">
        <v>336000</v>
      </c>
      <c r="U50" s="193">
        <v>34585.314239999898</v>
      </c>
      <c r="V50" s="193">
        <v>594585.31423999998</v>
      </c>
      <c r="W50" s="193">
        <v>12</v>
      </c>
      <c r="X50" s="193">
        <v>49548.776186666699</v>
      </c>
      <c r="Z50" s="193">
        <v>49548.776186666699</v>
      </c>
      <c r="AA50" s="193">
        <v>48052.11</v>
      </c>
      <c r="AB50" s="193">
        <v>1496.66618666666</v>
      </c>
    </row>
    <row r="51" spans="1:28">
      <c r="A51" s="196">
        <v>44</v>
      </c>
      <c r="B51" s="193" t="s">
        <v>423</v>
      </c>
      <c r="C51" s="193">
        <v>245204.0845</v>
      </c>
      <c r="D51" s="193">
        <v>12</v>
      </c>
      <c r="E51" s="193">
        <v>2942449.014</v>
      </c>
      <c r="F51" s="193">
        <v>7422.38</v>
      </c>
      <c r="I51" s="193">
        <v>2935026.6340000001</v>
      </c>
      <c r="J51" s="193">
        <v>200000</v>
      </c>
      <c r="K51" s="193">
        <v>0.2</v>
      </c>
      <c r="L51" s="193">
        <v>587005.32680000004</v>
      </c>
      <c r="M51" s="193">
        <v>787005.32680000004</v>
      </c>
      <c r="N51" s="193">
        <v>794427.70680000004</v>
      </c>
      <c r="O51" s="193">
        <v>2148021.3072000002</v>
      </c>
      <c r="P51" s="193">
        <v>21000</v>
      </c>
      <c r="Q51" s="193">
        <v>33000</v>
      </c>
      <c r="R51" s="193">
        <v>75000</v>
      </c>
      <c r="S51" s="193">
        <v>95000</v>
      </c>
      <c r="T51" s="193">
        <v>115084.474512</v>
      </c>
      <c r="U51" s="193">
        <v>0</v>
      </c>
      <c r="V51" s="193">
        <v>339084.47451199999</v>
      </c>
      <c r="W51" s="193">
        <v>12</v>
      </c>
      <c r="X51" s="193">
        <v>28360.952862666702</v>
      </c>
      <c r="Z51" s="193">
        <v>28360.952862666702</v>
      </c>
      <c r="AA51" s="193">
        <v>28360.95</v>
      </c>
      <c r="AB51" s="193">
        <v>2.8626666608033702E-3</v>
      </c>
    </row>
    <row r="52" spans="1:28">
      <c r="A52" s="196">
        <v>45</v>
      </c>
      <c r="B52" s="193" t="s">
        <v>424</v>
      </c>
      <c r="C52" s="193">
        <v>245204.0845</v>
      </c>
      <c r="D52" s="193">
        <v>12</v>
      </c>
      <c r="E52" s="193">
        <v>2942449.014</v>
      </c>
      <c r="I52" s="193">
        <v>2942449.014</v>
      </c>
      <c r="J52" s="193">
        <v>200000</v>
      </c>
      <c r="K52" s="193">
        <v>0.2</v>
      </c>
      <c r="L52" s="193">
        <v>588489.80279999995</v>
      </c>
      <c r="M52" s="193">
        <v>788489.80279999995</v>
      </c>
      <c r="N52" s="193">
        <v>788489.80279999995</v>
      </c>
      <c r="O52" s="193">
        <v>2153959.2111999998</v>
      </c>
      <c r="P52" s="193">
        <v>21000</v>
      </c>
      <c r="Q52" s="193">
        <v>33000</v>
      </c>
      <c r="R52" s="193">
        <v>75000</v>
      </c>
      <c r="S52" s="193">
        <v>95000</v>
      </c>
      <c r="T52" s="193">
        <v>116331.434352</v>
      </c>
      <c r="V52" s="193">
        <v>340331.43435200001</v>
      </c>
      <c r="W52" s="193">
        <v>12</v>
      </c>
      <c r="X52" s="193">
        <v>28360.952862666702</v>
      </c>
      <c r="Z52" s="193">
        <v>28360.952862666702</v>
      </c>
      <c r="AA52" s="193">
        <v>28360.95</v>
      </c>
      <c r="AB52" s="193">
        <v>2.8626666608033702E-3</v>
      </c>
    </row>
    <row r="53" spans="1:28">
      <c r="A53" s="196">
        <v>46</v>
      </c>
      <c r="B53" s="193" t="s">
        <v>425</v>
      </c>
      <c r="C53" s="193">
        <v>245205.0845</v>
      </c>
      <c r="D53" s="193">
        <v>12</v>
      </c>
      <c r="E53" s="193">
        <v>2942461.014</v>
      </c>
      <c r="I53" s="193">
        <v>2942461.014</v>
      </c>
      <c r="J53" s="193">
        <v>200000</v>
      </c>
      <c r="K53" s="193">
        <v>0.2</v>
      </c>
      <c r="L53" s="193">
        <v>588492.20279999997</v>
      </c>
      <c r="M53" s="193">
        <v>788492.20279999997</v>
      </c>
      <c r="N53" s="193">
        <v>788492.20279999997</v>
      </c>
      <c r="O53" s="193">
        <v>2153968.8111999999</v>
      </c>
      <c r="P53" s="193">
        <v>21000</v>
      </c>
      <c r="Q53" s="193">
        <v>33000</v>
      </c>
      <c r="R53" s="193">
        <v>75000</v>
      </c>
      <c r="S53" s="193">
        <v>95000</v>
      </c>
      <c r="T53" s="193">
        <v>116333.450352</v>
      </c>
      <c r="V53" s="193">
        <v>340333.45035200001</v>
      </c>
      <c r="W53" s="193">
        <v>12</v>
      </c>
      <c r="X53" s="193">
        <v>28360.952862666702</v>
      </c>
      <c r="Z53" s="193">
        <v>28360.952862666702</v>
      </c>
      <c r="AA53" s="193">
        <v>28360.95</v>
      </c>
      <c r="AB53" s="193">
        <v>2.8626666608033702E-3</v>
      </c>
    </row>
    <row r="54" spans="1:28">
      <c r="A54" s="196"/>
    </row>
    <row r="55" spans="1:28">
      <c r="A55" s="196"/>
    </row>
    <row r="56" spans="1:28">
      <c r="A56" s="196">
        <v>47</v>
      </c>
      <c r="B56" s="193" t="s">
        <v>427</v>
      </c>
      <c r="C56" s="193">
        <v>1050209.0634999999</v>
      </c>
      <c r="D56" s="193">
        <v>12</v>
      </c>
      <c r="E56" s="193">
        <v>12602508.762</v>
      </c>
      <c r="I56" s="193">
        <v>12602508.762</v>
      </c>
      <c r="J56" s="193">
        <v>200000</v>
      </c>
      <c r="K56" s="193">
        <v>0.2</v>
      </c>
      <c r="L56" s="193">
        <v>2520501.7524000001</v>
      </c>
      <c r="M56" s="193">
        <v>2720501.7524000001</v>
      </c>
      <c r="N56" s="193">
        <v>2720501.7524000001</v>
      </c>
      <c r="O56" s="193">
        <v>9882007.0096000005</v>
      </c>
      <c r="P56" s="193">
        <v>21000</v>
      </c>
      <c r="Q56" s="193">
        <v>33000</v>
      </c>
      <c r="R56" s="193">
        <v>75000</v>
      </c>
      <c r="S56" s="193">
        <v>95000</v>
      </c>
      <c r="T56" s="193">
        <v>336000</v>
      </c>
      <c r="U56" s="193">
        <v>1603681.682304</v>
      </c>
      <c r="V56" s="193">
        <v>2163681.682304</v>
      </c>
      <c r="W56" s="193">
        <v>12</v>
      </c>
      <c r="X56" s="193">
        <v>180306.806858667</v>
      </c>
      <c r="Z56" s="193">
        <v>180306.806858667</v>
      </c>
      <c r="AA56" s="193">
        <v>180306.806858667</v>
      </c>
      <c r="AB56" s="193">
        <v>0</v>
      </c>
    </row>
    <row r="57" spans="1:28">
      <c r="A57" s="196">
        <v>48</v>
      </c>
      <c r="B57" s="193" t="s">
        <v>429</v>
      </c>
      <c r="C57" s="193">
        <v>436137.05</v>
      </c>
      <c r="D57" s="193">
        <v>12</v>
      </c>
      <c r="E57" s="193">
        <v>5233644.5999999996</v>
      </c>
      <c r="I57" s="193">
        <v>5233644.5999999996</v>
      </c>
      <c r="J57" s="193">
        <v>200000</v>
      </c>
      <c r="K57" s="193">
        <v>0.2</v>
      </c>
      <c r="L57" s="193">
        <v>1046728.92</v>
      </c>
      <c r="M57" s="193">
        <v>1246728.92</v>
      </c>
      <c r="N57" s="193">
        <v>1246728.92</v>
      </c>
      <c r="O57" s="193">
        <v>3986915.68</v>
      </c>
      <c r="P57" s="193">
        <v>21000</v>
      </c>
      <c r="Q57" s="193">
        <v>33000</v>
      </c>
      <c r="R57" s="193">
        <v>75000</v>
      </c>
      <c r="S57" s="193">
        <v>95000</v>
      </c>
      <c r="T57" s="193">
        <v>336000</v>
      </c>
      <c r="U57" s="193">
        <v>188859.76319999999</v>
      </c>
      <c r="V57" s="193">
        <v>748859.76320000004</v>
      </c>
      <c r="W57" s="193">
        <v>12</v>
      </c>
      <c r="X57" s="193">
        <v>62404.980266666702</v>
      </c>
      <c r="Z57" s="193">
        <v>62404.980266666702</v>
      </c>
    </row>
    <row r="58" spans="1:28">
      <c r="A58" s="196"/>
    </row>
    <row r="59" spans="1:28">
      <c r="A59" s="196"/>
    </row>
    <row r="60" spans="1:28">
      <c r="A60" s="196">
        <v>49</v>
      </c>
      <c r="B60" s="193" t="s">
        <v>431</v>
      </c>
      <c r="C60" s="193">
        <v>1050209.0634999999</v>
      </c>
      <c r="D60" s="193">
        <v>12</v>
      </c>
      <c r="E60" s="193">
        <v>12602508.762</v>
      </c>
      <c r="I60" s="193">
        <v>12602508.762</v>
      </c>
      <c r="J60" s="193">
        <v>200000</v>
      </c>
      <c r="K60" s="193">
        <v>0.2</v>
      </c>
      <c r="L60" s="193">
        <v>2520501.7524000001</v>
      </c>
      <c r="M60" s="193">
        <v>2720501.7524000001</v>
      </c>
      <c r="N60" s="193">
        <v>2720501.7524000001</v>
      </c>
      <c r="O60" s="193">
        <v>9882007.0096000005</v>
      </c>
      <c r="P60" s="193">
        <v>21000</v>
      </c>
      <c r="Q60" s="193">
        <v>33000</v>
      </c>
      <c r="R60" s="193">
        <v>75000</v>
      </c>
      <c r="S60" s="193">
        <v>95000</v>
      </c>
      <c r="T60" s="193">
        <v>336000</v>
      </c>
      <c r="U60" s="193">
        <v>1603681.682304</v>
      </c>
      <c r="V60" s="193">
        <v>2163681.682304</v>
      </c>
      <c r="W60" s="193">
        <v>12</v>
      </c>
      <c r="X60" s="193">
        <v>180306.806858667</v>
      </c>
      <c r="Z60" s="193">
        <v>180306.806858667</v>
      </c>
      <c r="AA60" s="193">
        <v>180306.81</v>
      </c>
      <c r="AB60" s="193">
        <v>-3.14133329084143E-3</v>
      </c>
    </row>
    <row r="61" spans="1:28">
      <c r="A61" s="196">
        <v>50</v>
      </c>
      <c r="B61" s="193" t="s">
        <v>433</v>
      </c>
      <c r="C61" s="193">
        <v>504720.04700000002</v>
      </c>
      <c r="D61" s="193">
        <v>12</v>
      </c>
      <c r="E61" s="193">
        <v>6056640.5640000002</v>
      </c>
      <c r="I61" s="193">
        <v>6056640.5640000002</v>
      </c>
      <c r="J61" s="193">
        <v>200000</v>
      </c>
      <c r="K61" s="193">
        <v>0.2</v>
      </c>
      <c r="L61" s="193">
        <v>1211328.1128</v>
      </c>
      <c r="M61" s="193">
        <v>1411328.1128</v>
      </c>
      <c r="N61" s="193">
        <v>1411328.1128</v>
      </c>
      <c r="O61" s="193">
        <v>4645312.4512</v>
      </c>
      <c r="P61" s="193">
        <v>21000</v>
      </c>
      <c r="Q61" s="193">
        <v>33000</v>
      </c>
      <c r="R61" s="193">
        <v>75000</v>
      </c>
      <c r="S61" s="193">
        <v>95000</v>
      </c>
      <c r="T61" s="193">
        <v>336000</v>
      </c>
      <c r="U61" s="193">
        <v>346874.98828799999</v>
      </c>
      <c r="V61" s="193">
        <v>906874.98828799999</v>
      </c>
      <c r="W61" s="193">
        <v>12</v>
      </c>
      <c r="X61" s="193">
        <v>75572.915690666705</v>
      </c>
      <c r="Z61" s="193">
        <v>75572.915690666705</v>
      </c>
      <c r="AA61" s="193">
        <v>75572.92</v>
      </c>
      <c r="AB61" s="193">
        <v>-4.3093333370052304E-3</v>
      </c>
    </row>
    <row r="62" spans="1:28">
      <c r="A62" s="196">
        <v>51</v>
      </c>
      <c r="B62" s="193" t="s">
        <v>436</v>
      </c>
      <c r="C62" s="193">
        <v>369177.65375</v>
      </c>
      <c r="D62" s="193">
        <v>12</v>
      </c>
      <c r="E62" s="193">
        <v>4430131.8449999997</v>
      </c>
      <c r="I62" s="193">
        <v>4430131.8449999997</v>
      </c>
      <c r="J62" s="193">
        <v>200000</v>
      </c>
      <c r="K62" s="193">
        <v>0.2</v>
      </c>
      <c r="L62" s="193">
        <v>886026.36899999995</v>
      </c>
      <c r="M62" s="193">
        <v>1086026.3689999999</v>
      </c>
      <c r="N62" s="193">
        <v>1086026.3689999999</v>
      </c>
      <c r="O62" s="193">
        <v>3344105.4759999998</v>
      </c>
      <c r="P62" s="193">
        <v>21000</v>
      </c>
      <c r="Q62" s="193">
        <v>33000</v>
      </c>
      <c r="R62" s="193">
        <v>75000</v>
      </c>
      <c r="S62" s="193">
        <v>95000</v>
      </c>
      <c r="T62" s="193">
        <v>336000</v>
      </c>
      <c r="U62" s="193">
        <v>34585.314239999898</v>
      </c>
      <c r="V62" s="193">
        <v>594585.31423999998</v>
      </c>
      <c r="W62" s="193">
        <v>12</v>
      </c>
      <c r="X62" s="193">
        <v>49548.776186666699</v>
      </c>
      <c r="Z62" s="193">
        <v>49548.776186666699</v>
      </c>
      <c r="AA62" s="193">
        <v>48170.87</v>
      </c>
      <c r="AB62" s="193">
        <v>1377.90618666666</v>
      </c>
    </row>
    <row r="63" spans="1:28">
      <c r="A63" s="196">
        <v>52</v>
      </c>
      <c r="B63" s="193" t="s">
        <v>437</v>
      </c>
      <c r="C63" s="193">
        <v>362001.06050000002</v>
      </c>
      <c r="D63" s="193">
        <v>12</v>
      </c>
      <c r="E63" s="193">
        <v>4344012.7259999998</v>
      </c>
      <c r="I63" s="193">
        <v>4344012.7259999998</v>
      </c>
      <c r="J63" s="193">
        <v>200000</v>
      </c>
      <c r="K63" s="193">
        <v>0.2</v>
      </c>
      <c r="L63" s="193">
        <v>868802.54520000005</v>
      </c>
      <c r="M63" s="193">
        <v>1068802.5452000001</v>
      </c>
      <c r="N63" s="193">
        <v>1068802.5452000001</v>
      </c>
      <c r="O63" s="193">
        <v>3275210.1808000002</v>
      </c>
      <c r="P63" s="193">
        <v>21000</v>
      </c>
      <c r="Q63" s="193">
        <v>33000</v>
      </c>
      <c r="R63" s="193">
        <v>75000</v>
      </c>
      <c r="S63" s="193">
        <v>95000</v>
      </c>
      <c r="T63" s="193">
        <v>336000</v>
      </c>
      <c r="U63" s="193">
        <v>18050.443391999899</v>
      </c>
      <c r="V63" s="193">
        <v>578050.44339200004</v>
      </c>
      <c r="W63" s="193">
        <v>12</v>
      </c>
      <c r="X63" s="193">
        <v>48170.870282666699</v>
      </c>
      <c r="Z63" s="193">
        <v>48170.870282666699</v>
      </c>
      <c r="AA63" s="193">
        <v>46673.26</v>
      </c>
      <c r="AB63" s="193">
        <v>1497.6102826666599</v>
      </c>
    </row>
    <row r="64" spans="1:28">
      <c r="A64" s="196">
        <v>53</v>
      </c>
      <c r="B64" s="193" t="s">
        <v>438</v>
      </c>
      <c r="C64" s="193">
        <v>413333.03525000002</v>
      </c>
      <c r="D64" s="193">
        <v>12</v>
      </c>
      <c r="E64" s="193">
        <v>4959996.4230000004</v>
      </c>
      <c r="I64" s="193">
        <v>4959996.4230000004</v>
      </c>
      <c r="J64" s="193">
        <v>200000</v>
      </c>
      <c r="K64" s="193">
        <v>0.2</v>
      </c>
      <c r="L64" s="193">
        <v>991999.28460000001</v>
      </c>
      <c r="M64" s="193">
        <v>1191999.2845999999</v>
      </c>
      <c r="N64" s="193">
        <v>1191999.2845999999</v>
      </c>
      <c r="O64" s="193">
        <v>3767997.1384000001</v>
      </c>
      <c r="P64" s="193">
        <v>21000</v>
      </c>
      <c r="Q64" s="193">
        <v>33000</v>
      </c>
      <c r="R64" s="193">
        <v>75000</v>
      </c>
      <c r="S64" s="193">
        <v>95000</v>
      </c>
      <c r="T64" s="193">
        <v>336000</v>
      </c>
      <c r="U64" s="193">
        <v>136319.31321600001</v>
      </c>
      <c r="V64" s="193">
        <v>696319.31321599998</v>
      </c>
      <c r="W64" s="193">
        <v>12</v>
      </c>
      <c r="X64" s="193">
        <v>58026.609434666701</v>
      </c>
      <c r="Z64" s="193">
        <v>58026.609434666701</v>
      </c>
      <c r="AA64" s="193">
        <v>56478.9</v>
      </c>
      <c r="AB64" s="193">
        <v>1547.7094346666699</v>
      </c>
    </row>
    <row r="65" spans="1:28">
      <c r="A65" s="196">
        <v>54</v>
      </c>
      <c r="B65" s="193" t="s">
        <v>439</v>
      </c>
      <c r="C65" s="193">
        <v>300564.016</v>
      </c>
      <c r="D65" s="193">
        <v>12</v>
      </c>
      <c r="E65" s="193">
        <v>3606768.1919999998</v>
      </c>
      <c r="I65" s="193">
        <v>3606768.1919999998</v>
      </c>
      <c r="J65" s="193">
        <v>200000</v>
      </c>
      <c r="K65" s="193">
        <v>0.2</v>
      </c>
      <c r="L65" s="193">
        <v>721353.63840000005</v>
      </c>
      <c r="M65" s="193">
        <v>921353.63840000005</v>
      </c>
      <c r="N65" s="193">
        <v>921353.63840000005</v>
      </c>
      <c r="O65" s="193">
        <v>2685414.5536000002</v>
      </c>
      <c r="P65" s="193">
        <v>21000</v>
      </c>
      <c r="Q65" s="193">
        <v>33000</v>
      </c>
      <c r="R65" s="193">
        <v>75000</v>
      </c>
      <c r="S65" s="193">
        <v>95000</v>
      </c>
      <c r="T65" s="193">
        <v>227937.05625600001</v>
      </c>
      <c r="V65" s="193">
        <v>451937.05625600001</v>
      </c>
      <c r="W65" s="193">
        <v>12</v>
      </c>
      <c r="X65" s="193">
        <v>37661.421354666702</v>
      </c>
      <c r="Z65" s="193">
        <v>37661.421354666702</v>
      </c>
      <c r="AA65" s="193">
        <v>36127.269999999997</v>
      </c>
      <c r="AB65" s="193">
        <v>1534.1513546666699</v>
      </c>
    </row>
    <row r="66" spans="1:28">
      <c r="A66" s="196">
        <v>55</v>
      </c>
      <c r="B66" s="193" t="s">
        <v>1133</v>
      </c>
      <c r="C66" s="193">
        <v>334536.99849999999</v>
      </c>
      <c r="D66" s="193">
        <v>12</v>
      </c>
      <c r="E66" s="193">
        <v>4014443.9819999998</v>
      </c>
      <c r="F66" s="193">
        <v>6456.26</v>
      </c>
      <c r="I66" s="193">
        <v>4007987.7220000001</v>
      </c>
      <c r="J66" s="193">
        <v>200000</v>
      </c>
      <c r="K66" s="193">
        <v>0.2</v>
      </c>
      <c r="L66" s="193">
        <v>801597.54440000001</v>
      </c>
      <c r="M66" s="193">
        <v>1001597.5444</v>
      </c>
      <c r="N66" s="193">
        <v>1008053.8044</v>
      </c>
      <c r="O66" s="193">
        <v>3006390.1776000001</v>
      </c>
      <c r="P66" s="193">
        <v>21000</v>
      </c>
      <c r="Q66" s="193">
        <v>33000</v>
      </c>
      <c r="R66" s="193">
        <v>75000</v>
      </c>
      <c r="S66" s="193">
        <v>95000</v>
      </c>
      <c r="T66" s="193">
        <v>295341.93729600002</v>
      </c>
      <c r="V66" s="193">
        <v>519341.93729600002</v>
      </c>
      <c r="W66" s="193">
        <v>12</v>
      </c>
      <c r="X66" s="193">
        <v>43278.494774666702</v>
      </c>
      <c r="Z66" s="193">
        <v>43278.494774666702</v>
      </c>
      <c r="AA66" s="193">
        <v>41248.559999999998</v>
      </c>
      <c r="AB66" s="193">
        <v>2029.9347746666699</v>
      </c>
    </row>
    <row r="67" spans="1:28">
      <c r="A67" s="196">
        <v>56</v>
      </c>
      <c r="B67" s="193" t="s">
        <v>441</v>
      </c>
      <c r="C67" s="193">
        <v>315372.07500000001</v>
      </c>
      <c r="D67" s="193">
        <v>12</v>
      </c>
      <c r="E67" s="193">
        <v>3784464.9</v>
      </c>
      <c r="I67" s="193">
        <v>3784464.9</v>
      </c>
      <c r="J67" s="193">
        <v>200000</v>
      </c>
      <c r="K67" s="193">
        <v>0.2</v>
      </c>
      <c r="L67" s="193">
        <v>756892.98</v>
      </c>
      <c r="M67" s="193">
        <v>956892.98</v>
      </c>
      <c r="N67" s="193">
        <v>956892.98</v>
      </c>
      <c r="O67" s="193">
        <v>2827571.92</v>
      </c>
      <c r="P67" s="193">
        <v>21000</v>
      </c>
      <c r="Q67" s="193">
        <v>33000</v>
      </c>
      <c r="R67" s="193">
        <v>75000</v>
      </c>
      <c r="S67" s="193">
        <v>95000</v>
      </c>
      <c r="T67" s="193">
        <v>257790.10320000001</v>
      </c>
      <c r="V67" s="193">
        <v>481790.10320000001</v>
      </c>
      <c r="W67" s="193">
        <v>12</v>
      </c>
      <c r="X67" s="193">
        <v>40149.175266666702</v>
      </c>
      <c r="Z67" s="193">
        <v>40149.175266666702</v>
      </c>
      <c r="AA67" s="193">
        <v>40149.18</v>
      </c>
      <c r="AB67" s="193">
        <v>-4.7333333277492801E-3</v>
      </c>
    </row>
    <row r="68" spans="1:28">
      <c r="A68" s="196">
        <v>57</v>
      </c>
      <c r="B68" s="193" t="s">
        <v>442</v>
      </c>
      <c r="C68" s="193">
        <v>315372.07500000001</v>
      </c>
      <c r="D68" s="193">
        <v>12</v>
      </c>
      <c r="E68" s="193">
        <v>3784464.9</v>
      </c>
      <c r="I68" s="193">
        <v>3784464.9</v>
      </c>
      <c r="J68" s="193">
        <v>200000</v>
      </c>
      <c r="K68" s="193">
        <v>0.2</v>
      </c>
      <c r="L68" s="193">
        <v>756892.98</v>
      </c>
      <c r="M68" s="193">
        <v>956892.98</v>
      </c>
      <c r="N68" s="193">
        <v>956892.98</v>
      </c>
      <c r="O68" s="193">
        <v>2827571.92</v>
      </c>
      <c r="P68" s="193">
        <v>21000</v>
      </c>
      <c r="Q68" s="193">
        <v>33000</v>
      </c>
      <c r="R68" s="193">
        <v>75000</v>
      </c>
      <c r="S68" s="193">
        <v>95000</v>
      </c>
      <c r="T68" s="193">
        <v>257790.10320000001</v>
      </c>
      <c r="V68" s="193">
        <v>481790.10320000001</v>
      </c>
      <c r="W68" s="193">
        <v>12</v>
      </c>
      <c r="X68" s="193">
        <v>40149.175266666702</v>
      </c>
      <c r="Z68" s="193">
        <v>40149.175266666702</v>
      </c>
      <c r="AA68" s="193">
        <v>40149.18</v>
      </c>
      <c r="AB68" s="193">
        <v>-4.7333333277492801E-3</v>
      </c>
    </row>
    <row r="69" spans="1:28">
      <c r="A69" s="196">
        <v>58</v>
      </c>
      <c r="B69" s="193" t="s">
        <v>443</v>
      </c>
      <c r="C69" s="193">
        <v>322454.07400000002</v>
      </c>
      <c r="D69" s="193">
        <v>12</v>
      </c>
      <c r="E69" s="193">
        <v>3869448.8879999998</v>
      </c>
      <c r="I69" s="193">
        <v>3869448.8879999998</v>
      </c>
      <c r="J69" s="193">
        <v>200000</v>
      </c>
      <c r="K69" s="193">
        <v>0.2</v>
      </c>
      <c r="L69" s="193">
        <v>773889.77760000003</v>
      </c>
      <c r="M69" s="193">
        <v>973889.77760000003</v>
      </c>
      <c r="N69" s="193">
        <v>973889.77760000003</v>
      </c>
      <c r="O69" s="193">
        <v>2895559.1104000001</v>
      </c>
      <c r="P69" s="193">
        <v>21000</v>
      </c>
      <c r="Q69" s="193">
        <v>33000</v>
      </c>
      <c r="R69" s="193">
        <v>75000</v>
      </c>
      <c r="S69" s="193">
        <v>95000</v>
      </c>
      <c r="T69" s="193">
        <v>272067.413184</v>
      </c>
      <c r="V69" s="193">
        <v>496067.413184</v>
      </c>
      <c r="W69" s="193">
        <v>12</v>
      </c>
      <c r="X69" s="193">
        <v>41338.951098666701</v>
      </c>
      <c r="Z69" s="193">
        <v>41338.951098666701</v>
      </c>
      <c r="AA69" s="193">
        <v>41829.147126666699</v>
      </c>
      <c r="AB69" s="193">
        <v>-490.19602799999802</v>
      </c>
    </row>
    <row r="70" spans="1:28">
      <c r="A70" s="196">
        <v>59</v>
      </c>
      <c r="B70" s="193" t="s">
        <v>1215</v>
      </c>
      <c r="C70" s="193">
        <v>273169.11749999999</v>
      </c>
      <c r="D70" s="193">
        <v>12</v>
      </c>
      <c r="E70" s="193">
        <v>3278029.41</v>
      </c>
      <c r="I70" s="193">
        <v>3278029.41</v>
      </c>
      <c r="J70" s="193">
        <v>200000</v>
      </c>
      <c r="K70" s="193">
        <v>0.2</v>
      </c>
      <c r="L70" s="193">
        <v>655605.88199999998</v>
      </c>
      <c r="M70" s="193">
        <v>855605.88199999998</v>
      </c>
      <c r="N70" s="193">
        <v>855605.88199999998</v>
      </c>
      <c r="O70" s="193">
        <v>2422423.5279999999</v>
      </c>
      <c r="P70" s="193">
        <v>21000</v>
      </c>
      <c r="Q70" s="193">
        <v>33000</v>
      </c>
      <c r="R70" s="193">
        <v>75000</v>
      </c>
      <c r="S70" s="193">
        <v>95000</v>
      </c>
      <c r="T70" s="193">
        <v>172708.94088000001</v>
      </c>
      <c r="V70" s="193">
        <v>396708.94088000001</v>
      </c>
      <c r="W70" s="193">
        <v>12</v>
      </c>
      <c r="X70" s="193">
        <v>33059.078406666697</v>
      </c>
      <c r="Z70" s="193">
        <v>33059.078406666697</v>
      </c>
      <c r="AA70" s="193">
        <v>32291.82</v>
      </c>
      <c r="AB70" s="193">
        <v>767.25840666666795</v>
      </c>
    </row>
    <row r="71" spans="1:28">
      <c r="A71" s="196">
        <v>60</v>
      </c>
      <c r="B71" s="193" t="s">
        <v>389</v>
      </c>
      <c r="C71" s="193">
        <v>249356.04725</v>
      </c>
      <c r="D71" s="193">
        <v>12</v>
      </c>
      <c r="E71" s="193">
        <v>2992272.5669999998</v>
      </c>
      <c r="I71" s="193">
        <v>2992272.5669999998</v>
      </c>
      <c r="J71" s="193">
        <v>200000</v>
      </c>
      <c r="K71" s="193">
        <v>0.2</v>
      </c>
      <c r="L71" s="193">
        <v>598454.51340000005</v>
      </c>
      <c r="M71" s="193">
        <v>798454.51340000005</v>
      </c>
      <c r="N71" s="193">
        <v>798454.51340000005</v>
      </c>
      <c r="O71" s="193">
        <v>2193818.0536000002</v>
      </c>
      <c r="P71" s="193">
        <v>21000</v>
      </c>
      <c r="Q71" s="193">
        <v>33000</v>
      </c>
      <c r="R71" s="193">
        <v>75000</v>
      </c>
      <c r="S71" s="193">
        <v>95000</v>
      </c>
      <c r="T71" s="193">
        <v>124701.791256</v>
      </c>
      <c r="V71" s="193">
        <v>348701.791256</v>
      </c>
      <c r="W71" s="193">
        <v>12</v>
      </c>
      <c r="X71" s="193">
        <v>29058.4826046667</v>
      </c>
      <c r="Z71" s="193">
        <v>29058.4826046667</v>
      </c>
      <c r="AA71" s="193">
        <v>24685.95</v>
      </c>
      <c r="AB71" s="193">
        <v>4372.5326046666596</v>
      </c>
    </row>
    <row r="72" spans="1:28">
      <c r="A72" s="196">
        <v>61</v>
      </c>
      <c r="B72" s="193" t="s">
        <v>381</v>
      </c>
      <c r="C72" s="193">
        <v>226816.1</v>
      </c>
      <c r="D72" s="193">
        <v>12</v>
      </c>
      <c r="E72" s="193">
        <v>2721793.2</v>
      </c>
      <c r="I72" s="193">
        <v>2721793.2</v>
      </c>
      <c r="J72" s="193">
        <v>200000</v>
      </c>
      <c r="K72" s="193">
        <v>0.2</v>
      </c>
      <c r="L72" s="193">
        <v>544358.64</v>
      </c>
      <c r="M72" s="193">
        <v>744358.64</v>
      </c>
      <c r="N72" s="193">
        <v>744358.64</v>
      </c>
      <c r="O72" s="193">
        <v>1977434.56</v>
      </c>
      <c r="P72" s="193">
        <v>21000</v>
      </c>
      <c r="Q72" s="193">
        <v>33000</v>
      </c>
      <c r="R72" s="193">
        <v>75000</v>
      </c>
      <c r="S72" s="193">
        <v>95000</v>
      </c>
      <c r="T72" s="193">
        <v>79261.257599999997</v>
      </c>
      <c r="V72" s="193">
        <v>303261.25760000001</v>
      </c>
      <c r="W72" s="193">
        <v>12</v>
      </c>
      <c r="X72" s="193">
        <v>25271.771466666702</v>
      </c>
      <c r="Z72" s="193">
        <v>25271.771466666702</v>
      </c>
      <c r="AA72" s="193">
        <v>24685.95</v>
      </c>
      <c r="AB72" s="193">
        <v>585.82146666666802</v>
      </c>
    </row>
    <row r="73" spans="1:28">
      <c r="A73" s="196"/>
    </row>
    <row r="74" spans="1:28">
      <c r="A74" s="196"/>
    </row>
    <row r="75" spans="1:28">
      <c r="A75" s="196">
        <v>62</v>
      </c>
      <c r="B75" s="193" t="s">
        <v>446</v>
      </c>
      <c r="C75" s="193">
        <v>1050209.0634999999</v>
      </c>
      <c r="D75" s="193">
        <v>12</v>
      </c>
      <c r="E75" s="193">
        <v>12602508.762</v>
      </c>
      <c r="I75" s="193">
        <v>12602508.762</v>
      </c>
      <c r="J75" s="193">
        <v>200000</v>
      </c>
      <c r="K75" s="193">
        <v>0.2</v>
      </c>
      <c r="L75" s="193">
        <v>2520501.7524000001</v>
      </c>
      <c r="M75" s="193">
        <v>2720501.7524000001</v>
      </c>
      <c r="N75" s="193">
        <v>2720501.7524000001</v>
      </c>
      <c r="O75" s="193">
        <v>9882007.0096000005</v>
      </c>
      <c r="P75" s="193">
        <v>21000</v>
      </c>
      <c r="Q75" s="193">
        <v>33000</v>
      </c>
      <c r="R75" s="193">
        <v>75000</v>
      </c>
      <c r="S75" s="193">
        <v>95000</v>
      </c>
      <c r="T75" s="193">
        <v>336000</v>
      </c>
      <c r="U75" s="193">
        <v>1603681.682304</v>
      </c>
      <c r="V75" s="193">
        <v>2163681.682304</v>
      </c>
      <c r="W75" s="193">
        <v>12</v>
      </c>
      <c r="X75" s="193">
        <v>180306.806858667</v>
      </c>
      <c r="Z75" s="193">
        <v>180306.806858667</v>
      </c>
      <c r="AA75" s="193">
        <v>180306.81</v>
      </c>
      <c r="AB75" s="193">
        <v>-3.14133329084143E-3</v>
      </c>
    </row>
    <row r="76" spans="1:28">
      <c r="A76" s="196">
        <v>63</v>
      </c>
      <c r="B76" s="193" t="s">
        <v>331</v>
      </c>
      <c r="C76" s="193">
        <v>504720.04700000002</v>
      </c>
      <c r="D76" s="193">
        <v>12</v>
      </c>
      <c r="E76" s="193">
        <v>6056640.5640000002</v>
      </c>
      <c r="I76" s="193">
        <v>6056640.5640000002</v>
      </c>
      <c r="J76" s="193">
        <v>200000</v>
      </c>
      <c r="K76" s="193">
        <v>0.2</v>
      </c>
      <c r="L76" s="193">
        <v>1211328.1128</v>
      </c>
      <c r="M76" s="193">
        <v>1411328.1128</v>
      </c>
      <c r="N76" s="193">
        <v>1411328.1128</v>
      </c>
      <c r="O76" s="193">
        <v>4645312.4512</v>
      </c>
      <c r="P76" s="193">
        <v>21000</v>
      </c>
      <c r="Q76" s="193">
        <v>33000</v>
      </c>
      <c r="R76" s="193">
        <v>75000</v>
      </c>
      <c r="S76" s="193">
        <v>95000</v>
      </c>
      <c r="T76" s="193">
        <v>336000</v>
      </c>
      <c r="U76" s="193">
        <v>346874.98828799999</v>
      </c>
      <c r="V76" s="193">
        <v>906874.98828799999</v>
      </c>
      <c r="W76" s="193">
        <v>12</v>
      </c>
      <c r="X76" s="193">
        <v>75572.915690666705</v>
      </c>
      <c r="Z76" s="193">
        <v>75572.915690666705</v>
      </c>
      <c r="AA76" s="193">
        <v>75572.92</v>
      </c>
      <c r="AB76" s="193">
        <v>-4.3093333370052304E-3</v>
      </c>
    </row>
    <row r="77" spans="1:28">
      <c r="A77" s="196">
        <v>64</v>
      </c>
      <c r="B77" s="193" t="s">
        <v>1216</v>
      </c>
      <c r="C77" s="193">
        <v>504720.04700000002</v>
      </c>
      <c r="D77" s="193">
        <v>12</v>
      </c>
      <c r="E77" s="193">
        <v>6056640.5640000002</v>
      </c>
      <c r="I77" s="193">
        <v>6056640.5640000002</v>
      </c>
      <c r="J77" s="193">
        <v>200000</v>
      </c>
      <c r="K77" s="193">
        <v>0.2</v>
      </c>
      <c r="L77" s="193">
        <v>1211328.1128</v>
      </c>
      <c r="M77" s="193">
        <v>1411328.1128</v>
      </c>
      <c r="N77" s="193">
        <v>1411328.1128</v>
      </c>
      <c r="O77" s="193">
        <v>4645312.4512</v>
      </c>
      <c r="P77" s="193">
        <v>21000</v>
      </c>
      <c r="Q77" s="193">
        <v>33000</v>
      </c>
      <c r="R77" s="193">
        <v>75000</v>
      </c>
      <c r="S77" s="193">
        <v>95000</v>
      </c>
      <c r="T77" s="193">
        <v>336000</v>
      </c>
      <c r="U77" s="193">
        <v>346874.98828799999</v>
      </c>
      <c r="V77" s="193">
        <v>906874.98828799999</v>
      </c>
      <c r="W77" s="193">
        <v>12</v>
      </c>
      <c r="X77" s="193">
        <v>75572.915690666705</v>
      </c>
      <c r="Z77" s="193">
        <v>75572.915690666705</v>
      </c>
      <c r="AA77" s="193">
        <v>75572.92</v>
      </c>
      <c r="AB77" s="193">
        <v>-4.3093333370052304E-3</v>
      </c>
    </row>
    <row r="78" spans="1:28">
      <c r="A78" s="196">
        <v>65</v>
      </c>
      <c r="B78" s="193" t="s">
        <v>448</v>
      </c>
      <c r="C78" s="193">
        <v>369177.65375</v>
      </c>
      <c r="D78" s="193">
        <v>12</v>
      </c>
      <c r="E78" s="193">
        <v>4430131.8449999997</v>
      </c>
      <c r="I78" s="193">
        <v>4430131.8449999997</v>
      </c>
      <c r="J78" s="193">
        <v>200000</v>
      </c>
      <c r="K78" s="193">
        <v>0.2</v>
      </c>
      <c r="L78" s="193">
        <v>886026.36899999995</v>
      </c>
      <c r="M78" s="193">
        <v>1086026.3689999999</v>
      </c>
      <c r="N78" s="193">
        <v>1086026.3689999999</v>
      </c>
      <c r="O78" s="193">
        <v>3344105.4759999998</v>
      </c>
      <c r="P78" s="193">
        <v>21000</v>
      </c>
      <c r="Q78" s="193">
        <v>33000</v>
      </c>
      <c r="R78" s="193">
        <v>75000</v>
      </c>
      <c r="S78" s="193">
        <v>95000</v>
      </c>
      <c r="T78" s="193">
        <v>336000</v>
      </c>
      <c r="U78" s="193">
        <v>34585.314239999898</v>
      </c>
      <c r="V78" s="193">
        <v>594585.31423999998</v>
      </c>
      <c r="W78" s="193">
        <v>12</v>
      </c>
      <c r="X78" s="193">
        <v>49548.776186666699</v>
      </c>
      <c r="Z78" s="193">
        <v>49548.776186666699</v>
      </c>
      <c r="AA78" s="193">
        <v>48170.87</v>
      </c>
      <c r="AB78" s="193">
        <v>1377.90618666666</v>
      </c>
    </row>
    <row r="79" spans="1:28">
      <c r="A79" s="196"/>
      <c r="B79" s="193" t="s">
        <v>451</v>
      </c>
      <c r="C79" s="193">
        <v>273169.11749999999</v>
      </c>
      <c r="D79" s="193">
        <v>12</v>
      </c>
      <c r="E79" s="193">
        <v>3278029.41</v>
      </c>
      <c r="I79" s="193">
        <v>3278029.41</v>
      </c>
      <c r="J79" s="193">
        <v>200000</v>
      </c>
      <c r="K79" s="193">
        <v>0.2</v>
      </c>
      <c r="L79" s="193">
        <v>655605.88199999998</v>
      </c>
      <c r="M79" s="193">
        <v>855605.88199999998</v>
      </c>
      <c r="N79" s="193">
        <v>855605.88199999998</v>
      </c>
      <c r="O79" s="193">
        <v>2422423.5279999999</v>
      </c>
      <c r="P79" s="193">
        <v>21000</v>
      </c>
      <c r="Q79" s="193">
        <v>33000</v>
      </c>
      <c r="R79" s="193">
        <v>75000</v>
      </c>
      <c r="S79" s="193">
        <v>95000</v>
      </c>
      <c r="T79" s="193">
        <v>172708.94088000001</v>
      </c>
      <c r="U79" s="193">
        <v>0</v>
      </c>
      <c r="V79" s="193">
        <v>396708.94088000001</v>
      </c>
      <c r="W79" s="193">
        <v>12</v>
      </c>
      <c r="X79" s="193">
        <v>33059.078406666697</v>
      </c>
      <c r="Z79" s="193">
        <v>33059.078406666697</v>
      </c>
      <c r="AA79" s="193">
        <v>32291.82</v>
      </c>
      <c r="AB79" s="193">
        <v>767.25840666666795</v>
      </c>
    </row>
    <row r="80" spans="1:28">
      <c r="A80" s="196"/>
    </row>
    <row r="81" spans="1:28">
      <c r="A81" s="196"/>
    </row>
    <row r="82" spans="1:28">
      <c r="A82" s="196">
        <v>66</v>
      </c>
      <c r="B82" s="193" t="s">
        <v>1232</v>
      </c>
      <c r="C82" s="193">
        <v>631465.02474999998</v>
      </c>
      <c r="D82" s="193">
        <v>12</v>
      </c>
      <c r="E82" s="193">
        <v>7577580.2970000003</v>
      </c>
      <c r="I82" s="193">
        <v>7577580.2970000003</v>
      </c>
      <c r="J82" s="193">
        <v>200000</v>
      </c>
      <c r="K82" s="193">
        <v>0.2</v>
      </c>
      <c r="L82" s="193">
        <v>1515516.0593999999</v>
      </c>
      <c r="M82" s="193">
        <v>1715516.0593999999</v>
      </c>
      <c r="N82" s="193">
        <v>1715516.0593999999</v>
      </c>
      <c r="O82" s="193">
        <v>5862064.2375999996</v>
      </c>
      <c r="P82" s="193">
        <v>21000</v>
      </c>
      <c r="Q82" s="193">
        <v>33000</v>
      </c>
      <c r="R82" s="193">
        <v>75000</v>
      </c>
      <c r="S82" s="193">
        <v>95000</v>
      </c>
      <c r="T82" s="193">
        <v>336000</v>
      </c>
      <c r="U82" s="193">
        <v>638895.41702399997</v>
      </c>
      <c r="V82" s="193">
        <v>1198895.4170240001</v>
      </c>
      <c r="W82" s="193">
        <v>12</v>
      </c>
      <c r="X82" s="193">
        <v>99907.951418666693</v>
      </c>
      <c r="Z82" s="193">
        <v>99907.951418666693</v>
      </c>
      <c r="AA82" s="193">
        <v>97273.51</v>
      </c>
      <c r="AB82" s="193">
        <v>2634.44141866668</v>
      </c>
    </row>
    <row r="83" spans="1:28">
      <c r="A83" s="196">
        <v>67</v>
      </c>
      <c r="B83" s="193" t="s">
        <v>457</v>
      </c>
      <c r="C83" s="193">
        <v>527553.50249999994</v>
      </c>
      <c r="D83" s="193">
        <v>12</v>
      </c>
      <c r="E83" s="193">
        <v>6330642.0300000003</v>
      </c>
      <c r="I83" s="193">
        <v>6330642.0300000003</v>
      </c>
      <c r="J83" s="193">
        <v>200000</v>
      </c>
      <c r="K83" s="193">
        <v>0.2</v>
      </c>
      <c r="L83" s="193">
        <v>1266128.406</v>
      </c>
      <c r="M83" s="193">
        <v>1466128.406</v>
      </c>
      <c r="N83" s="193">
        <v>1466128.406</v>
      </c>
      <c r="O83" s="193">
        <v>4864513.6239999998</v>
      </c>
      <c r="P83" s="193">
        <v>21000</v>
      </c>
      <c r="Q83" s="193">
        <v>33000</v>
      </c>
      <c r="R83" s="193">
        <v>75000</v>
      </c>
      <c r="S83" s="193">
        <v>95000</v>
      </c>
      <c r="T83" s="193">
        <v>336000</v>
      </c>
      <c r="U83" s="193">
        <v>399483.26976</v>
      </c>
      <c r="V83" s="193">
        <v>959483.26976000005</v>
      </c>
      <c r="W83" s="193">
        <v>12</v>
      </c>
      <c r="X83" s="193">
        <v>79956.9391466667</v>
      </c>
      <c r="Z83" s="193">
        <v>79956.9391466667</v>
      </c>
      <c r="AA83" s="193">
        <v>79956.94</v>
      </c>
      <c r="AB83" s="193">
        <v>-8.5333334573078901E-4</v>
      </c>
    </row>
    <row r="84" spans="1:28">
      <c r="A84" s="196">
        <v>68</v>
      </c>
      <c r="B84" s="193" t="s">
        <v>458</v>
      </c>
      <c r="C84" s="193">
        <v>527553.50249999994</v>
      </c>
      <c r="D84" s="193">
        <v>12</v>
      </c>
      <c r="E84" s="193">
        <v>6330642.0300000003</v>
      </c>
      <c r="F84" s="193">
        <v>10052.25</v>
      </c>
      <c r="I84" s="193">
        <v>6320589.7800000003</v>
      </c>
      <c r="J84" s="193">
        <v>200000</v>
      </c>
      <c r="K84" s="193">
        <v>0.2</v>
      </c>
      <c r="L84" s="193">
        <v>1264117.956</v>
      </c>
      <c r="M84" s="193">
        <v>1464117.956</v>
      </c>
      <c r="N84" s="193">
        <v>1474170.206</v>
      </c>
      <c r="O84" s="193">
        <v>4856471.824</v>
      </c>
      <c r="P84" s="193">
        <v>21000</v>
      </c>
      <c r="Q84" s="193">
        <v>33000</v>
      </c>
      <c r="R84" s="193">
        <v>75000</v>
      </c>
      <c r="S84" s="193">
        <v>95000</v>
      </c>
      <c r="T84" s="193">
        <v>336000</v>
      </c>
      <c r="U84" s="193">
        <v>397553.23775999999</v>
      </c>
      <c r="V84" s="193">
        <v>957553.23776000005</v>
      </c>
      <c r="W84" s="193">
        <v>12</v>
      </c>
      <c r="X84" s="193">
        <v>79796.103146666603</v>
      </c>
      <c r="Z84" s="193">
        <v>79796.103146666603</v>
      </c>
      <c r="AA84" s="193">
        <v>79796.100000000006</v>
      </c>
      <c r="AB84" s="193">
        <v>3.1466666405322E-3</v>
      </c>
    </row>
    <row r="85" spans="1:28">
      <c r="A85" s="196">
        <v>69</v>
      </c>
      <c r="B85" s="193" t="s">
        <v>493</v>
      </c>
      <c r="C85" s="193">
        <v>421394.00675</v>
      </c>
      <c r="D85" s="193">
        <v>12</v>
      </c>
      <c r="E85" s="193">
        <v>5056728.0810000002</v>
      </c>
      <c r="F85" s="193">
        <v>8283.3700000000008</v>
      </c>
      <c r="I85" s="193">
        <v>5048444.7110000001</v>
      </c>
      <c r="J85" s="193">
        <v>200000</v>
      </c>
      <c r="K85" s="193">
        <v>0.2</v>
      </c>
      <c r="L85" s="193">
        <v>1009688.9422</v>
      </c>
      <c r="M85" s="193">
        <v>1209688.9421999999</v>
      </c>
      <c r="N85" s="193">
        <v>1217972.3122</v>
      </c>
      <c r="O85" s="193">
        <v>3838755.7688000002</v>
      </c>
      <c r="P85" s="193">
        <v>21000</v>
      </c>
      <c r="Q85" s="193">
        <v>33000</v>
      </c>
      <c r="R85" s="193">
        <v>75000</v>
      </c>
      <c r="S85" s="193">
        <v>95000</v>
      </c>
      <c r="T85" s="193">
        <v>336000</v>
      </c>
      <c r="U85" s="193">
        <v>153301.38451199999</v>
      </c>
      <c r="V85" s="193">
        <v>713301.38451200002</v>
      </c>
      <c r="W85" s="193">
        <v>12</v>
      </c>
      <c r="X85" s="193">
        <v>59441.782042666702</v>
      </c>
      <c r="Z85" s="193">
        <v>59441.782042666702</v>
      </c>
      <c r="AA85" s="193">
        <v>57894.080000000002</v>
      </c>
      <c r="AB85" s="193">
        <v>1547.70204266666</v>
      </c>
    </row>
    <row r="86" spans="1:28">
      <c r="A86" s="196">
        <v>70</v>
      </c>
      <c r="B86" s="193" t="s">
        <v>459</v>
      </c>
      <c r="C86" s="193">
        <v>413333.03525000002</v>
      </c>
      <c r="D86" s="193">
        <v>12</v>
      </c>
      <c r="E86" s="193">
        <v>4959996.4230000004</v>
      </c>
      <c r="I86" s="193">
        <v>4959996.4230000004</v>
      </c>
      <c r="J86" s="193">
        <v>200000</v>
      </c>
      <c r="K86" s="193">
        <v>0.2</v>
      </c>
      <c r="L86" s="193">
        <v>991999.28460000001</v>
      </c>
      <c r="M86" s="193">
        <v>1191999.2845999999</v>
      </c>
      <c r="N86" s="193">
        <v>1191999.2845999999</v>
      </c>
      <c r="O86" s="193">
        <v>3767997.1384000001</v>
      </c>
      <c r="P86" s="193">
        <v>21000</v>
      </c>
      <c r="Q86" s="193">
        <v>33000</v>
      </c>
      <c r="R86" s="193">
        <v>75000</v>
      </c>
      <c r="S86" s="193">
        <v>95000</v>
      </c>
      <c r="T86" s="193">
        <v>336000</v>
      </c>
      <c r="U86" s="193">
        <v>136319.31321600001</v>
      </c>
      <c r="V86" s="193">
        <v>696319.31321599998</v>
      </c>
      <c r="W86" s="193">
        <v>12</v>
      </c>
      <c r="X86" s="193">
        <v>58026.609434666701</v>
      </c>
      <c r="Z86" s="193">
        <v>58026.609434666701</v>
      </c>
      <c r="AA86" s="193">
        <v>56478.9</v>
      </c>
      <c r="AB86" s="193">
        <v>1547.7094346666699</v>
      </c>
    </row>
    <row r="87" spans="1:28">
      <c r="A87" s="196">
        <v>71</v>
      </c>
      <c r="B87" s="193" t="s">
        <v>460</v>
      </c>
      <c r="C87" s="193">
        <v>369177.65375</v>
      </c>
      <c r="D87" s="193">
        <v>12</v>
      </c>
      <c r="E87" s="193">
        <v>4430131.8449999997</v>
      </c>
      <c r="I87" s="193">
        <v>4430131.8449999997</v>
      </c>
      <c r="J87" s="193">
        <v>200000</v>
      </c>
      <c r="K87" s="193">
        <v>0.2</v>
      </c>
      <c r="L87" s="193">
        <v>886026.36899999995</v>
      </c>
      <c r="M87" s="193">
        <v>1086026.3689999999</v>
      </c>
      <c r="N87" s="193">
        <v>1086026.3689999999</v>
      </c>
      <c r="O87" s="193">
        <v>3344105.4759999998</v>
      </c>
      <c r="P87" s="193">
        <v>21000</v>
      </c>
      <c r="Q87" s="193">
        <v>33000</v>
      </c>
      <c r="R87" s="193">
        <v>75000</v>
      </c>
      <c r="S87" s="193">
        <v>95000</v>
      </c>
      <c r="T87" s="193">
        <v>336000</v>
      </c>
      <c r="U87" s="193">
        <v>34585.314239999898</v>
      </c>
      <c r="V87" s="193">
        <v>594585.31423999998</v>
      </c>
      <c r="W87" s="193">
        <v>12</v>
      </c>
      <c r="X87" s="193">
        <v>49548.776186666699</v>
      </c>
      <c r="Z87" s="193">
        <v>49548.776186666699</v>
      </c>
      <c r="AA87" s="193">
        <v>48170.87</v>
      </c>
      <c r="AB87" s="193">
        <v>1377.90618666666</v>
      </c>
    </row>
    <row r="88" spans="1:28">
      <c r="A88" s="196">
        <v>72</v>
      </c>
      <c r="B88" s="193" t="s">
        <v>462</v>
      </c>
      <c r="C88" s="193">
        <v>362001.06050000002</v>
      </c>
      <c r="D88" s="193">
        <v>12</v>
      </c>
      <c r="E88" s="193">
        <v>4344012.7259999998</v>
      </c>
      <c r="I88" s="193">
        <v>4344012.7259999998</v>
      </c>
      <c r="J88" s="193">
        <v>200000</v>
      </c>
      <c r="K88" s="193">
        <v>0.2</v>
      </c>
      <c r="L88" s="193">
        <v>868802.54520000005</v>
      </c>
      <c r="M88" s="193">
        <v>1068802.5452000001</v>
      </c>
      <c r="N88" s="193">
        <v>1068802.5452000001</v>
      </c>
      <c r="O88" s="193">
        <v>3275210.1808000002</v>
      </c>
      <c r="P88" s="193">
        <v>21000</v>
      </c>
      <c r="Q88" s="193">
        <v>33000</v>
      </c>
      <c r="R88" s="193">
        <v>75000</v>
      </c>
      <c r="S88" s="193">
        <v>95000</v>
      </c>
      <c r="T88" s="193">
        <v>336000</v>
      </c>
      <c r="U88" s="193">
        <v>18050.443391999899</v>
      </c>
      <c r="V88" s="193">
        <v>578050.44339200004</v>
      </c>
      <c r="W88" s="193">
        <v>12</v>
      </c>
      <c r="X88" s="193">
        <v>48170.870282666699</v>
      </c>
      <c r="Z88" s="193">
        <v>48170.870282666699</v>
      </c>
      <c r="AA88" s="193">
        <v>46673.26</v>
      </c>
      <c r="AB88" s="193">
        <v>1497.6102826666599</v>
      </c>
    </row>
    <row r="89" spans="1:28">
      <c r="A89" s="196">
        <v>73</v>
      </c>
      <c r="B89" s="193" t="s">
        <v>463</v>
      </c>
      <c r="C89" s="193">
        <v>362001.06050000002</v>
      </c>
      <c r="D89" s="193">
        <v>12</v>
      </c>
      <c r="E89" s="193">
        <v>4344012.7259999998</v>
      </c>
      <c r="I89" s="193">
        <v>4344012.7259999998</v>
      </c>
      <c r="J89" s="193">
        <v>200000</v>
      </c>
      <c r="K89" s="193">
        <v>0.2</v>
      </c>
      <c r="L89" s="193">
        <v>868802.54520000005</v>
      </c>
      <c r="M89" s="193">
        <v>1068802.5452000001</v>
      </c>
      <c r="N89" s="193">
        <v>1068802.5452000001</v>
      </c>
      <c r="O89" s="193">
        <v>3275210.1808000002</v>
      </c>
      <c r="P89" s="193">
        <v>21000</v>
      </c>
      <c r="Q89" s="193">
        <v>33000</v>
      </c>
      <c r="R89" s="193">
        <v>75000</v>
      </c>
      <c r="S89" s="193">
        <v>95000</v>
      </c>
      <c r="T89" s="193">
        <v>336000</v>
      </c>
      <c r="U89" s="193">
        <v>18050.443391999899</v>
      </c>
      <c r="V89" s="193">
        <v>578050.44339200004</v>
      </c>
      <c r="W89" s="193">
        <v>12</v>
      </c>
      <c r="X89" s="193">
        <v>48170.870282666699</v>
      </c>
      <c r="Z89" s="193">
        <v>48170.870282666699</v>
      </c>
      <c r="AA89" s="193">
        <v>46673.26</v>
      </c>
      <c r="AB89" s="193">
        <v>1497.6102826666599</v>
      </c>
    </row>
    <row r="90" spans="1:28">
      <c r="A90" s="196">
        <v>74</v>
      </c>
      <c r="B90" s="193" t="s">
        <v>464</v>
      </c>
      <c r="C90" s="193">
        <v>315372.07500000001</v>
      </c>
      <c r="D90" s="193">
        <v>12</v>
      </c>
      <c r="E90" s="193">
        <v>3784464.9</v>
      </c>
      <c r="I90" s="193">
        <v>3784464.9</v>
      </c>
      <c r="J90" s="193">
        <v>200000</v>
      </c>
      <c r="K90" s="193">
        <v>0.2</v>
      </c>
      <c r="L90" s="193">
        <v>756892.98</v>
      </c>
      <c r="M90" s="193">
        <v>956892.98</v>
      </c>
      <c r="N90" s="193">
        <v>956892.98</v>
      </c>
      <c r="O90" s="193">
        <v>2827571.92</v>
      </c>
      <c r="P90" s="193">
        <v>21000</v>
      </c>
      <c r="Q90" s="193">
        <v>33000</v>
      </c>
      <c r="R90" s="193">
        <v>75000</v>
      </c>
      <c r="S90" s="193">
        <v>95000</v>
      </c>
      <c r="T90" s="193">
        <v>257790.10320000001</v>
      </c>
      <c r="U90" s="193">
        <v>0</v>
      </c>
      <c r="V90" s="193">
        <v>481790.10320000001</v>
      </c>
      <c r="W90" s="193">
        <v>12</v>
      </c>
      <c r="X90" s="193">
        <v>40149.175266666702</v>
      </c>
      <c r="Z90" s="193">
        <v>40149.175266666702</v>
      </c>
      <c r="AA90" s="193">
        <v>40149.18</v>
      </c>
      <c r="AB90" s="193">
        <v>-4.7333333277492801E-3</v>
      </c>
    </row>
    <row r="91" spans="1:28">
      <c r="A91" s="196">
        <v>75</v>
      </c>
      <c r="B91" s="193" t="s">
        <v>466</v>
      </c>
      <c r="C91" s="193">
        <v>0</v>
      </c>
      <c r="D91" s="193">
        <v>12</v>
      </c>
      <c r="E91" s="193">
        <v>0</v>
      </c>
      <c r="I91" s="193">
        <v>0</v>
      </c>
      <c r="J91" s="193">
        <v>200000</v>
      </c>
      <c r="K91" s="193">
        <v>0.2</v>
      </c>
      <c r="L91" s="193">
        <v>0</v>
      </c>
      <c r="M91" s="193">
        <v>200000</v>
      </c>
      <c r="N91" s="193">
        <v>200000</v>
      </c>
      <c r="O91" s="193">
        <v>0</v>
      </c>
      <c r="P91" s="193">
        <v>0</v>
      </c>
      <c r="Q91" s="193">
        <v>0</v>
      </c>
      <c r="R91" s="193">
        <v>0</v>
      </c>
      <c r="S91" s="193">
        <v>0</v>
      </c>
      <c r="T91" s="193">
        <v>0</v>
      </c>
      <c r="V91" s="193">
        <v>0</v>
      </c>
      <c r="W91" s="193">
        <v>12</v>
      </c>
      <c r="X91" s="193">
        <v>0</v>
      </c>
      <c r="Z91" s="193">
        <v>0</v>
      </c>
      <c r="AA91" s="193">
        <v>0</v>
      </c>
      <c r="AB91" s="193">
        <v>0</v>
      </c>
    </row>
    <row r="92" spans="1:28">
      <c r="A92" s="196">
        <v>76</v>
      </c>
      <c r="B92" s="193" t="s">
        <v>468</v>
      </c>
      <c r="C92" s="193">
        <v>223709.10949999999</v>
      </c>
      <c r="D92" s="193">
        <v>12</v>
      </c>
      <c r="E92" s="193">
        <v>2684509.3139999998</v>
      </c>
      <c r="I92" s="193">
        <v>2684509.3139999998</v>
      </c>
      <c r="J92" s="193">
        <v>200000</v>
      </c>
      <c r="K92" s="193">
        <v>0.2</v>
      </c>
      <c r="L92" s="193">
        <v>536901.8628</v>
      </c>
      <c r="M92" s="193">
        <v>736901.8628</v>
      </c>
      <c r="N92" s="193">
        <v>736901.8628</v>
      </c>
      <c r="O92" s="193">
        <v>1947607.4512</v>
      </c>
      <c r="P92" s="193">
        <v>21000</v>
      </c>
      <c r="Q92" s="193">
        <v>33000</v>
      </c>
      <c r="R92" s="193">
        <v>75000</v>
      </c>
      <c r="S92" s="193">
        <v>95000</v>
      </c>
      <c r="T92" s="193">
        <v>72997.564751999904</v>
      </c>
      <c r="V92" s="193">
        <v>296997.56475199998</v>
      </c>
      <c r="W92" s="193">
        <v>12</v>
      </c>
      <c r="X92" s="193">
        <v>24749.797062666701</v>
      </c>
      <c r="Z92" s="193">
        <v>24749.797062666701</v>
      </c>
      <c r="AA92" s="193">
        <v>24685.95</v>
      </c>
      <c r="AB92" s="193">
        <v>63.8470626666603</v>
      </c>
    </row>
    <row r="93" spans="1:28">
      <c r="A93" s="196"/>
    </row>
    <row r="94" spans="1:28">
      <c r="A94" s="196"/>
    </row>
    <row r="95" spans="1:28">
      <c r="A95" s="196"/>
    </row>
    <row r="96" spans="1:28">
      <c r="A96" s="196">
        <v>78</v>
      </c>
      <c r="B96" s="193" t="s">
        <v>341</v>
      </c>
      <c r="C96" s="193">
        <v>527743.99575</v>
      </c>
      <c r="D96" s="193">
        <v>12</v>
      </c>
      <c r="E96" s="193">
        <v>6332927.949</v>
      </c>
      <c r="I96" s="193">
        <v>6332927.949</v>
      </c>
      <c r="J96" s="193">
        <v>200000</v>
      </c>
      <c r="K96" s="193">
        <v>0.2</v>
      </c>
      <c r="L96" s="193">
        <v>1266585.5898</v>
      </c>
      <c r="M96" s="193">
        <v>1466585.5898</v>
      </c>
      <c r="N96" s="193">
        <v>1466585.5898</v>
      </c>
      <c r="O96" s="193">
        <v>4866342.3591999998</v>
      </c>
      <c r="P96" s="193">
        <v>21000</v>
      </c>
      <c r="Q96" s="193">
        <v>33000</v>
      </c>
      <c r="R96" s="193">
        <v>75000</v>
      </c>
      <c r="S96" s="193">
        <v>95000</v>
      </c>
      <c r="T96" s="193">
        <v>336000</v>
      </c>
      <c r="U96" s="193">
        <v>399922.16620799998</v>
      </c>
      <c r="V96" s="193">
        <v>959922.16620800004</v>
      </c>
      <c r="W96" s="193">
        <v>12</v>
      </c>
      <c r="X96" s="193">
        <v>79993.513850666699</v>
      </c>
      <c r="Z96" s="193">
        <v>79993.513850666699</v>
      </c>
      <c r="AA96" s="193">
        <v>79993.509999999995</v>
      </c>
      <c r="AB96" s="193">
        <v>3.8506666605826502E-3</v>
      </c>
    </row>
    <row r="97" spans="1:28">
      <c r="A97" s="196">
        <v>79</v>
      </c>
      <c r="B97" s="193" t="s">
        <v>359</v>
      </c>
      <c r="C97" s="193">
        <v>343333.03525000002</v>
      </c>
      <c r="D97" s="193">
        <v>12</v>
      </c>
      <c r="E97" s="193">
        <v>4119996.423</v>
      </c>
      <c r="F97" s="193">
        <v>8019.8</v>
      </c>
      <c r="I97" s="193">
        <v>4111976.6230000001</v>
      </c>
      <c r="J97" s="193">
        <v>200000</v>
      </c>
      <c r="K97" s="193">
        <v>0.2</v>
      </c>
      <c r="L97" s="193">
        <v>822395.32460000005</v>
      </c>
      <c r="M97" s="193">
        <v>1022395.3246000001</v>
      </c>
      <c r="N97" s="193">
        <v>1030415.1246</v>
      </c>
      <c r="O97" s="193">
        <v>3089581.2984000002</v>
      </c>
      <c r="P97" s="193">
        <v>21000</v>
      </c>
      <c r="Q97" s="193">
        <v>33000</v>
      </c>
      <c r="R97" s="193">
        <v>75000</v>
      </c>
      <c r="S97" s="193">
        <v>95000</v>
      </c>
      <c r="T97" s="193">
        <v>312812.07266399998</v>
      </c>
      <c r="V97" s="193">
        <v>536812.07266399998</v>
      </c>
      <c r="W97" s="193">
        <v>12</v>
      </c>
      <c r="X97" s="193">
        <v>44734.339388666704</v>
      </c>
      <c r="Z97" s="193">
        <v>44734.339388666704</v>
      </c>
      <c r="AA97" s="193">
        <v>43380.1</v>
      </c>
      <c r="AB97" s="193">
        <v>1354.23938866668</v>
      </c>
    </row>
    <row r="98" spans="1:28">
      <c r="A98" s="196">
        <v>80</v>
      </c>
      <c r="B98" s="193" t="s">
        <v>1234</v>
      </c>
      <c r="C98" s="193">
        <v>312001.06050000002</v>
      </c>
      <c r="D98" s="193">
        <v>12</v>
      </c>
      <c r="E98" s="193">
        <v>3744012.7259999998</v>
      </c>
      <c r="I98" s="193">
        <v>3744012.7259999998</v>
      </c>
      <c r="J98" s="193">
        <v>200000</v>
      </c>
      <c r="K98" s="193">
        <v>0.2</v>
      </c>
      <c r="L98" s="193">
        <v>748802.54520000005</v>
      </c>
      <c r="M98" s="193">
        <v>948802.54520000005</v>
      </c>
      <c r="N98" s="193">
        <v>948802.54520000005</v>
      </c>
      <c r="O98" s="193">
        <v>2795210.1808000002</v>
      </c>
      <c r="P98" s="193">
        <v>21000</v>
      </c>
      <c r="Q98" s="193">
        <v>33000</v>
      </c>
      <c r="R98" s="193">
        <v>75000</v>
      </c>
      <c r="S98" s="193">
        <v>95000</v>
      </c>
      <c r="T98" s="193">
        <v>250994.137968</v>
      </c>
      <c r="V98" s="193">
        <v>474994.13796800002</v>
      </c>
      <c r="W98" s="193">
        <v>12</v>
      </c>
      <c r="X98" s="193">
        <v>39582.844830666698</v>
      </c>
      <c r="Z98" s="193">
        <v>39582.844830666698</v>
      </c>
      <c r="AA98" s="193">
        <v>38272.44</v>
      </c>
      <c r="AB98" s="193">
        <v>1310.40483066666</v>
      </c>
    </row>
    <row r="99" spans="1:28">
      <c r="A99" s="196">
        <v>81</v>
      </c>
      <c r="B99" s="193" t="s">
        <v>475</v>
      </c>
      <c r="C99" s="193">
        <v>267454.07400000002</v>
      </c>
      <c r="D99" s="193">
        <v>12</v>
      </c>
      <c r="E99" s="193">
        <v>3209448.8879999998</v>
      </c>
      <c r="I99" s="193">
        <v>3209448.8879999998</v>
      </c>
      <c r="J99" s="193">
        <v>200000</v>
      </c>
      <c r="K99" s="193">
        <v>0.2</v>
      </c>
      <c r="L99" s="193">
        <v>641889.77760000003</v>
      </c>
      <c r="M99" s="193">
        <v>841889.77760000003</v>
      </c>
      <c r="N99" s="193">
        <v>841889.77760000003</v>
      </c>
      <c r="O99" s="193">
        <v>2367559.1104000001</v>
      </c>
      <c r="P99" s="193">
        <v>21000</v>
      </c>
      <c r="Q99" s="193">
        <v>33000</v>
      </c>
      <c r="R99" s="193">
        <v>75000</v>
      </c>
      <c r="S99" s="193">
        <v>95000</v>
      </c>
      <c r="T99" s="193">
        <v>161187.413184</v>
      </c>
      <c r="V99" s="193">
        <v>385187.413184</v>
      </c>
      <c r="W99" s="193">
        <v>12</v>
      </c>
      <c r="X99" s="193">
        <v>32098.951098666701</v>
      </c>
      <c r="Z99" s="193">
        <v>32098.951098666701</v>
      </c>
      <c r="AA99" s="193">
        <v>31749.136836666701</v>
      </c>
      <c r="AB99" s="193">
        <v>349.81426200001403</v>
      </c>
    </row>
    <row r="100" spans="1:28">
      <c r="A100" s="196"/>
    </row>
    <row r="101" spans="1:28">
      <c r="A101" s="196"/>
    </row>
    <row r="102" spans="1:28">
      <c r="A102" s="196">
        <v>83</v>
      </c>
      <c r="B102" s="193" t="s">
        <v>480</v>
      </c>
      <c r="C102" s="193">
        <v>1050209.0634999999</v>
      </c>
      <c r="D102" s="193">
        <v>12</v>
      </c>
      <c r="E102" s="193">
        <v>12602508.762</v>
      </c>
      <c r="F102" s="193">
        <v>10052.25</v>
      </c>
      <c r="I102" s="193">
        <v>12592456.512</v>
      </c>
      <c r="J102" s="193">
        <v>200000</v>
      </c>
      <c r="K102" s="193">
        <v>0.2</v>
      </c>
      <c r="L102" s="193">
        <v>2518491.3023999999</v>
      </c>
      <c r="M102" s="193">
        <v>2718491.3023999999</v>
      </c>
      <c r="N102" s="193">
        <v>2728543.5523999999</v>
      </c>
      <c r="O102" s="193">
        <v>9873965.2095999997</v>
      </c>
      <c r="P102" s="193">
        <v>21000</v>
      </c>
      <c r="Q102" s="193">
        <v>33000</v>
      </c>
      <c r="R102" s="193">
        <v>75000</v>
      </c>
      <c r="S102" s="193">
        <v>95000</v>
      </c>
      <c r="T102" s="193">
        <v>336000</v>
      </c>
      <c r="U102" s="193">
        <v>1601751.6503039999</v>
      </c>
      <c r="V102" s="193">
        <v>2161751.6503039999</v>
      </c>
      <c r="W102" s="193">
        <v>12</v>
      </c>
      <c r="X102" s="193">
        <v>180145.97085866699</v>
      </c>
      <c r="Z102" s="193">
        <v>180145.97085866699</v>
      </c>
      <c r="AA102" s="193">
        <v>180306.81</v>
      </c>
      <c r="AB102" s="193">
        <v>-160.839141333301</v>
      </c>
    </row>
    <row r="103" spans="1:28">
      <c r="A103" s="196">
        <v>84</v>
      </c>
      <c r="B103" s="193" t="s">
        <v>482</v>
      </c>
      <c r="C103" s="193">
        <v>617743.99575</v>
      </c>
      <c r="D103" s="193">
        <v>12</v>
      </c>
      <c r="E103" s="193">
        <v>7412927.949</v>
      </c>
      <c r="F103" s="193">
        <v>7901.79</v>
      </c>
      <c r="I103" s="193">
        <v>7405026.159</v>
      </c>
      <c r="J103" s="193">
        <v>200000</v>
      </c>
      <c r="K103" s="193">
        <v>0.2</v>
      </c>
      <c r="L103" s="193">
        <v>1481005.2318</v>
      </c>
      <c r="M103" s="193">
        <v>1681005.2318</v>
      </c>
      <c r="N103" s="193">
        <v>1688907.0218</v>
      </c>
      <c r="O103" s="193">
        <v>5724020.9271999998</v>
      </c>
      <c r="P103" s="193">
        <v>21000</v>
      </c>
      <c r="Q103" s="193">
        <v>33000</v>
      </c>
      <c r="R103" s="193">
        <v>75000</v>
      </c>
      <c r="S103" s="193">
        <v>95000</v>
      </c>
      <c r="T103" s="193">
        <v>336000</v>
      </c>
      <c r="U103" s="193">
        <v>605765.02252799994</v>
      </c>
      <c r="V103" s="193">
        <v>1165765.0225279999</v>
      </c>
      <c r="W103" s="193">
        <v>12</v>
      </c>
      <c r="X103" s="193">
        <v>97147.085210666701</v>
      </c>
      <c r="Z103" s="193">
        <v>97147.085210666701</v>
      </c>
      <c r="AA103" s="193">
        <v>94478.373866666603</v>
      </c>
      <c r="AB103" s="193">
        <v>2668.7113440000098</v>
      </c>
    </row>
    <row r="104" spans="1:28">
      <c r="A104" s="196">
        <v>85</v>
      </c>
      <c r="B104" s="193" t="s">
        <v>484</v>
      </c>
      <c r="C104" s="193">
        <v>418096.01602500002</v>
      </c>
      <c r="D104" s="193">
        <v>12</v>
      </c>
      <c r="E104" s="193">
        <v>5017152.1923000002</v>
      </c>
      <c r="I104" s="193">
        <v>5017152.1923000002</v>
      </c>
      <c r="J104" s="193">
        <v>200000</v>
      </c>
      <c r="K104" s="193">
        <v>0.2</v>
      </c>
      <c r="L104" s="193">
        <v>1003430.43846</v>
      </c>
      <c r="M104" s="193">
        <v>1203430.4384600001</v>
      </c>
      <c r="N104" s="193">
        <v>1203430.4384600001</v>
      </c>
      <c r="O104" s="193">
        <v>3813721.7538399999</v>
      </c>
      <c r="P104" s="193">
        <v>21000</v>
      </c>
      <c r="Q104" s="193">
        <v>33000</v>
      </c>
      <c r="R104" s="193">
        <v>75000</v>
      </c>
      <c r="S104" s="193">
        <v>95000</v>
      </c>
      <c r="T104" s="193">
        <v>336000</v>
      </c>
      <c r="U104" s="193">
        <v>147293.2209216</v>
      </c>
      <c r="V104" s="193">
        <v>707293.2209216</v>
      </c>
      <c r="W104" s="193">
        <v>12</v>
      </c>
      <c r="X104" s="193">
        <v>58941.101743466701</v>
      </c>
      <c r="Z104" s="193">
        <v>58941.101743466701</v>
      </c>
      <c r="AA104" s="193">
        <v>58814.67</v>
      </c>
      <c r="AB104" s="193">
        <v>126.431743466659</v>
      </c>
    </row>
    <row r="105" spans="1:28">
      <c r="A105" s="196">
        <v>86</v>
      </c>
      <c r="B105" s="193" t="s">
        <v>486</v>
      </c>
      <c r="C105" s="193">
        <v>416483.19415499998</v>
      </c>
      <c r="D105" s="193">
        <v>12</v>
      </c>
      <c r="E105" s="193">
        <v>4997798.3298599999</v>
      </c>
      <c r="I105" s="193">
        <v>4997798.3298599999</v>
      </c>
      <c r="J105" s="193">
        <v>200000</v>
      </c>
      <c r="K105" s="193">
        <v>0.2</v>
      </c>
      <c r="L105" s="193">
        <v>999559.66597199999</v>
      </c>
      <c r="M105" s="193">
        <v>1199559.665972</v>
      </c>
      <c r="N105" s="193">
        <v>1199559.665972</v>
      </c>
      <c r="O105" s="193">
        <v>3798238.663888</v>
      </c>
      <c r="P105" s="193">
        <v>21000</v>
      </c>
      <c r="Q105" s="193">
        <v>33000</v>
      </c>
      <c r="R105" s="193">
        <v>75000</v>
      </c>
      <c r="S105" s="193">
        <v>95000</v>
      </c>
      <c r="T105" s="193">
        <v>336000</v>
      </c>
      <c r="U105" s="193">
        <v>143577.27933312001</v>
      </c>
      <c r="V105" s="193">
        <v>703577.27933311998</v>
      </c>
      <c r="W105" s="193">
        <v>12</v>
      </c>
      <c r="X105" s="193">
        <v>58631.439944426696</v>
      </c>
      <c r="Z105" s="193">
        <v>58631.439944426696</v>
      </c>
      <c r="AA105" s="193">
        <v>57194.239999999998</v>
      </c>
      <c r="AB105" s="193">
        <v>1437.1999444266701</v>
      </c>
    </row>
    <row r="106" spans="1:28">
      <c r="A106" s="196">
        <v>87</v>
      </c>
      <c r="B106" s="193" t="s">
        <v>487</v>
      </c>
      <c r="C106" s="193">
        <v>262612.71747999999</v>
      </c>
      <c r="D106" s="193">
        <v>12</v>
      </c>
      <c r="E106" s="193">
        <v>3151352.6097599999</v>
      </c>
      <c r="I106" s="193">
        <v>3151352.6097599999</v>
      </c>
      <c r="J106" s="193">
        <v>200000</v>
      </c>
      <c r="K106" s="193">
        <v>0.2</v>
      </c>
      <c r="L106" s="193">
        <v>630270.52195199998</v>
      </c>
      <c r="M106" s="193">
        <v>830270.52195199998</v>
      </c>
      <c r="N106" s="193">
        <v>830270.52195199998</v>
      </c>
      <c r="O106" s="193">
        <v>2321082.0878079999</v>
      </c>
      <c r="P106" s="193">
        <v>21000</v>
      </c>
      <c r="Q106" s="193">
        <v>33000</v>
      </c>
      <c r="R106" s="193">
        <v>75000</v>
      </c>
      <c r="S106" s="193">
        <v>95000</v>
      </c>
      <c r="T106" s="193">
        <v>151427.23843967999</v>
      </c>
      <c r="V106" s="193">
        <v>375427.23843968002</v>
      </c>
      <c r="W106" s="193">
        <v>12</v>
      </c>
      <c r="X106" s="193">
        <v>31285.603203306699</v>
      </c>
      <c r="Z106" s="193">
        <v>31285.603203306699</v>
      </c>
      <c r="AA106" s="193">
        <v>30699.58</v>
      </c>
      <c r="AB106" s="193">
        <v>586.02320330665998</v>
      </c>
    </row>
    <row r="107" spans="1:28">
      <c r="A107" s="196">
        <v>88</v>
      </c>
      <c r="B107" s="193" t="s">
        <v>490</v>
      </c>
      <c r="C107" s="193">
        <v>258740.79775</v>
      </c>
      <c r="D107" s="193">
        <v>12</v>
      </c>
      <c r="E107" s="193">
        <v>3104889.5729999999</v>
      </c>
      <c r="I107" s="193">
        <v>3104889.5729999999</v>
      </c>
      <c r="J107" s="193">
        <v>200000</v>
      </c>
      <c r="K107" s="193">
        <v>0.2</v>
      </c>
      <c r="L107" s="193">
        <v>620977.91460000002</v>
      </c>
      <c r="M107" s="193">
        <v>820977.91460000002</v>
      </c>
      <c r="N107" s="193">
        <v>820977.91460000002</v>
      </c>
      <c r="O107" s="193">
        <v>2283911.6584000001</v>
      </c>
      <c r="P107" s="193">
        <v>21000</v>
      </c>
      <c r="Q107" s="193">
        <v>33000</v>
      </c>
      <c r="R107" s="193">
        <v>75000</v>
      </c>
      <c r="S107" s="193">
        <v>95000</v>
      </c>
      <c r="T107" s="193">
        <v>143621.44826400001</v>
      </c>
      <c r="V107" s="193">
        <v>367621.44826400001</v>
      </c>
      <c r="W107" s="193">
        <v>12</v>
      </c>
      <c r="X107" s="193">
        <v>30635.120688666699</v>
      </c>
      <c r="Z107" s="193">
        <v>30635.120688666699</v>
      </c>
      <c r="AA107" s="193">
        <v>30049.31</v>
      </c>
      <c r="AB107" s="193">
        <v>585.81068866666499</v>
      </c>
    </row>
    <row r="108" spans="1:28">
      <c r="A108" s="196">
        <v>89</v>
      </c>
      <c r="B108" s="193" t="s">
        <v>492</v>
      </c>
      <c r="C108" s="193">
        <v>251382.295445</v>
      </c>
      <c r="D108" s="193">
        <v>12</v>
      </c>
      <c r="E108" s="193">
        <v>3016587.5453400002</v>
      </c>
      <c r="I108" s="193">
        <v>2992065.5353399999</v>
      </c>
      <c r="J108" s="193">
        <v>200000</v>
      </c>
      <c r="K108" s="193">
        <v>0.2</v>
      </c>
      <c r="L108" s="193">
        <v>598413.10706800001</v>
      </c>
      <c r="M108" s="193">
        <v>798413.10706800001</v>
      </c>
      <c r="N108" s="193">
        <v>822935.11706800002</v>
      </c>
      <c r="O108" s="193">
        <v>2193652.428272</v>
      </c>
      <c r="P108" s="193">
        <v>21000</v>
      </c>
      <c r="Q108" s="193">
        <v>33000</v>
      </c>
      <c r="R108" s="193">
        <v>75000</v>
      </c>
      <c r="S108" s="193">
        <v>95000</v>
      </c>
      <c r="T108" s="193">
        <v>124667.00993712</v>
      </c>
      <c r="U108" s="193">
        <v>0</v>
      </c>
      <c r="V108" s="193">
        <v>348667.00993712002</v>
      </c>
      <c r="W108" s="193">
        <v>12</v>
      </c>
      <c r="X108" s="193">
        <v>29055.584161426701</v>
      </c>
      <c r="Z108" s="193">
        <v>29055.584161426701</v>
      </c>
      <c r="AA108" s="193">
        <v>28813.07</v>
      </c>
      <c r="AB108" s="193">
        <v>242.51416142665801</v>
      </c>
    </row>
    <row r="109" spans="1:28">
      <c r="A109" s="196"/>
      <c r="O109" s="193">
        <v>0</v>
      </c>
      <c r="P109" s="193">
        <v>0</v>
      </c>
      <c r="T109" s="193">
        <v>0</v>
      </c>
    </row>
    <row r="110" spans="1:28">
      <c r="A110" s="196"/>
      <c r="O110" s="193">
        <v>0</v>
      </c>
      <c r="P110" s="193">
        <v>0</v>
      </c>
      <c r="T110" s="193">
        <v>0</v>
      </c>
    </row>
    <row r="111" spans="1:28">
      <c r="A111" s="196"/>
      <c r="B111" s="193" t="s">
        <v>499</v>
      </c>
      <c r="C111" s="193">
        <v>1050209.0634999999</v>
      </c>
      <c r="D111" s="193">
        <v>12</v>
      </c>
      <c r="E111" s="193">
        <v>12602508.762</v>
      </c>
      <c r="F111" s="193">
        <v>24522.01</v>
      </c>
      <c r="I111" s="193">
        <v>12577986.752</v>
      </c>
      <c r="J111" s="193">
        <v>200000</v>
      </c>
      <c r="K111" s="193">
        <v>0.2</v>
      </c>
      <c r="L111" s="193">
        <v>2515597.3503999999</v>
      </c>
      <c r="M111" s="193">
        <v>2715597.3503999999</v>
      </c>
      <c r="N111" s="193">
        <v>2740119.3604000001</v>
      </c>
      <c r="O111" s="193">
        <v>9862389.4015999995</v>
      </c>
      <c r="P111" s="193">
        <v>21000</v>
      </c>
      <c r="Q111" s="193">
        <v>33000</v>
      </c>
      <c r="R111" s="193">
        <v>75000</v>
      </c>
      <c r="S111" s="193">
        <v>95000</v>
      </c>
      <c r="T111" s="193">
        <v>336000</v>
      </c>
      <c r="U111" s="193">
        <v>1598973.4563839999</v>
      </c>
      <c r="V111" s="193">
        <v>2158973.4563839999</v>
      </c>
      <c r="W111" s="193">
        <v>12</v>
      </c>
      <c r="X111" s="193">
        <v>179914.45469866699</v>
      </c>
      <c r="Z111" s="193">
        <v>179914.45469866699</v>
      </c>
      <c r="AA111" s="193">
        <v>179914.45</v>
      </c>
      <c r="AB111" s="193">
        <v>4.6986666857264901E-3</v>
      </c>
    </row>
    <row r="112" spans="1:28">
      <c r="A112" s="196">
        <v>90</v>
      </c>
      <c r="B112" s="193" t="s">
        <v>1237</v>
      </c>
      <c r="C112" s="193">
        <v>641465.02474999998</v>
      </c>
      <c r="D112" s="193">
        <v>12</v>
      </c>
      <c r="E112" s="193">
        <v>7697580.2970000003</v>
      </c>
      <c r="I112" s="193">
        <v>7697580.2970000003</v>
      </c>
      <c r="J112" s="193">
        <v>200000</v>
      </c>
      <c r="K112" s="193">
        <v>0.2</v>
      </c>
      <c r="L112" s="193">
        <v>1539516.0593999999</v>
      </c>
      <c r="M112" s="193">
        <v>1739516.0593999999</v>
      </c>
      <c r="N112" s="193">
        <v>1739516.0593999999</v>
      </c>
      <c r="O112" s="193">
        <v>5958064.2375999996</v>
      </c>
      <c r="P112" s="193">
        <v>21000</v>
      </c>
      <c r="Q112" s="193">
        <v>33000</v>
      </c>
      <c r="R112" s="193">
        <v>75000</v>
      </c>
      <c r="S112" s="193">
        <v>95000</v>
      </c>
      <c r="T112" s="193">
        <v>336000</v>
      </c>
      <c r="U112" s="193">
        <v>661935.41702399997</v>
      </c>
      <c r="V112" s="193">
        <v>1221935.4170240001</v>
      </c>
      <c r="W112" s="193">
        <v>12</v>
      </c>
      <c r="X112" s="193">
        <v>101827.951418667</v>
      </c>
      <c r="Z112" s="193">
        <v>101827.951418667</v>
      </c>
      <c r="AA112" s="193">
        <v>101827.95</v>
      </c>
      <c r="AB112" s="193">
        <v>1.41866668127477E-3</v>
      </c>
    </row>
    <row r="113" spans="1:28">
      <c r="A113" s="196">
        <v>91</v>
      </c>
      <c r="B113" s="193" t="s">
        <v>178</v>
      </c>
      <c r="C113" s="193">
        <v>547553.50249999994</v>
      </c>
      <c r="D113" s="193">
        <v>12</v>
      </c>
      <c r="E113" s="193">
        <v>6570642.0300000003</v>
      </c>
      <c r="F113" s="193">
        <v>10052.25</v>
      </c>
      <c r="I113" s="193">
        <v>6560589.7800000003</v>
      </c>
      <c r="J113" s="193">
        <v>200000</v>
      </c>
      <c r="K113" s="193">
        <v>0.2</v>
      </c>
      <c r="L113" s="193">
        <v>1312117.956</v>
      </c>
      <c r="M113" s="193">
        <v>1512117.956</v>
      </c>
      <c r="N113" s="193">
        <v>1522170.206</v>
      </c>
      <c r="O113" s="193">
        <v>5048471.824</v>
      </c>
      <c r="P113" s="193">
        <v>21000</v>
      </c>
      <c r="Q113" s="193">
        <v>33000</v>
      </c>
      <c r="R113" s="193">
        <v>75000</v>
      </c>
      <c r="S113" s="193">
        <v>95000</v>
      </c>
      <c r="T113" s="193">
        <v>336000</v>
      </c>
      <c r="U113" s="193">
        <v>443633.23775999999</v>
      </c>
      <c r="V113" s="193">
        <v>1003633.23776</v>
      </c>
      <c r="W113" s="193">
        <v>12</v>
      </c>
      <c r="X113" s="193">
        <v>83636.103146666603</v>
      </c>
      <c r="Z113" s="193">
        <v>83636.103146666603</v>
      </c>
      <c r="AA113" s="193">
        <v>83636.100000000006</v>
      </c>
      <c r="AB113" s="193">
        <v>3.1466666405322E-3</v>
      </c>
    </row>
    <row r="114" spans="1:28">
      <c r="A114" s="196">
        <v>92</v>
      </c>
      <c r="B114" s="193" t="s">
        <v>502</v>
      </c>
      <c r="C114" s="193">
        <v>447553.5025</v>
      </c>
      <c r="D114" s="193">
        <v>12</v>
      </c>
      <c r="E114" s="193">
        <v>5370642.0300000003</v>
      </c>
      <c r="F114" s="193">
        <v>10052.25</v>
      </c>
      <c r="I114" s="193">
        <v>5360589.78</v>
      </c>
      <c r="J114" s="193">
        <v>200000</v>
      </c>
      <c r="K114" s="193">
        <v>0.2</v>
      </c>
      <c r="L114" s="193">
        <v>1072117.956</v>
      </c>
      <c r="M114" s="193">
        <v>1272117.956</v>
      </c>
      <c r="N114" s="193">
        <v>1282170.206</v>
      </c>
      <c r="O114" s="193">
        <v>4088471.824</v>
      </c>
      <c r="P114" s="193">
        <v>21000</v>
      </c>
      <c r="Q114" s="193">
        <v>33000</v>
      </c>
      <c r="R114" s="193">
        <v>75000</v>
      </c>
      <c r="S114" s="193">
        <v>95000</v>
      </c>
      <c r="T114" s="193">
        <v>336000</v>
      </c>
      <c r="U114" s="193">
        <v>213233.23775999999</v>
      </c>
      <c r="V114" s="193">
        <v>773233.23776000005</v>
      </c>
      <c r="W114" s="193">
        <v>12</v>
      </c>
      <c r="X114" s="193">
        <v>64436.103146666697</v>
      </c>
      <c r="Z114" s="193">
        <v>64436.103146666697</v>
      </c>
      <c r="AA114" s="193">
        <v>64436.1</v>
      </c>
      <c r="AB114" s="193">
        <v>3.1466666623600802E-3</v>
      </c>
    </row>
    <row r="115" spans="1:28">
      <c r="A115" s="196">
        <v>93</v>
      </c>
      <c r="B115" s="193" t="s">
        <v>336</v>
      </c>
      <c r="C115" s="193">
        <v>424720.04700000002</v>
      </c>
      <c r="D115" s="193">
        <v>12</v>
      </c>
      <c r="E115" s="193">
        <v>5096640.5640000002</v>
      </c>
      <c r="I115" s="193">
        <v>5096640.5640000002</v>
      </c>
      <c r="J115" s="193">
        <v>200000</v>
      </c>
      <c r="K115" s="193">
        <v>0.2</v>
      </c>
      <c r="L115" s="193">
        <v>1019328.1128</v>
      </c>
      <c r="M115" s="193">
        <v>1219328.1128</v>
      </c>
      <c r="N115" s="193">
        <v>1219328.1128</v>
      </c>
      <c r="O115" s="193">
        <v>3877312.4512</v>
      </c>
      <c r="P115" s="193">
        <v>21000</v>
      </c>
      <c r="Q115" s="193">
        <v>33000</v>
      </c>
      <c r="R115" s="193">
        <v>75000</v>
      </c>
      <c r="S115" s="193">
        <v>95000</v>
      </c>
      <c r="T115" s="193">
        <v>336000</v>
      </c>
      <c r="U115" s="193">
        <v>162554.98828799999</v>
      </c>
      <c r="V115" s="193">
        <v>722554.98828799999</v>
      </c>
      <c r="W115" s="193">
        <v>12</v>
      </c>
      <c r="X115" s="193">
        <v>60212.915690666698</v>
      </c>
      <c r="Z115" s="193">
        <v>60212.915690666698</v>
      </c>
      <c r="AA115" s="193">
        <v>60212.92</v>
      </c>
      <c r="AB115" s="193">
        <v>-4.3093333297292702E-3</v>
      </c>
    </row>
    <row r="116" spans="1:28">
      <c r="A116" s="196">
        <v>94</v>
      </c>
      <c r="B116" s="193" t="s">
        <v>503</v>
      </c>
      <c r="C116" s="193">
        <v>330272.06374999997</v>
      </c>
      <c r="D116" s="193">
        <v>12</v>
      </c>
      <c r="E116" s="193">
        <v>3963264.7650000001</v>
      </c>
      <c r="I116" s="193">
        <v>3963264.7650000001</v>
      </c>
      <c r="J116" s="193">
        <v>200000</v>
      </c>
      <c r="K116" s="193">
        <v>0.2</v>
      </c>
      <c r="L116" s="193">
        <v>792652.95299999998</v>
      </c>
      <c r="M116" s="193">
        <v>992652.95299999998</v>
      </c>
      <c r="N116" s="193">
        <v>992652.95299999998</v>
      </c>
      <c r="O116" s="193">
        <v>2970611.8119999999</v>
      </c>
      <c r="P116" s="193">
        <v>21000</v>
      </c>
      <c r="Q116" s="193">
        <v>33000</v>
      </c>
      <c r="R116" s="193">
        <v>75000</v>
      </c>
      <c r="S116" s="193">
        <v>95000</v>
      </c>
      <c r="T116" s="193">
        <v>287828.48051999998</v>
      </c>
      <c r="V116" s="193">
        <v>511828.48051999998</v>
      </c>
      <c r="W116" s="193">
        <v>12</v>
      </c>
      <c r="X116" s="193">
        <v>42652.373376666699</v>
      </c>
      <c r="Z116" s="193">
        <v>42652.373376666699</v>
      </c>
      <c r="AA116" s="193">
        <v>42138.224496666699</v>
      </c>
      <c r="AB116" s="193">
        <v>514.14888000000099</v>
      </c>
    </row>
    <row r="117" spans="1:28">
      <c r="A117" s="196">
        <v>95</v>
      </c>
      <c r="B117" s="193" t="s">
        <v>505</v>
      </c>
      <c r="C117" s="193">
        <v>349177.65375</v>
      </c>
      <c r="D117" s="193">
        <v>12</v>
      </c>
      <c r="E117" s="193">
        <v>4190131.8450000002</v>
      </c>
      <c r="F117" s="193">
        <v>7422.38</v>
      </c>
      <c r="I117" s="193">
        <v>4182709.4649999999</v>
      </c>
      <c r="J117" s="193">
        <v>200000</v>
      </c>
      <c r="K117" s="193">
        <v>0.2</v>
      </c>
      <c r="L117" s="193">
        <v>836541.89300000004</v>
      </c>
      <c r="M117" s="193">
        <v>1036541.893</v>
      </c>
      <c r="N117" s="193">
        <v>1043964.273</v>
      </c>
      <c r="O117" s="193">
        <v>3146167.5720000002</v>
      </c>
      <c r="P117" s="193">
        <v>21000</v>
      </c>
      <c r="Q117" s="193">
        <v>33000</v>
      </c>
      <c r="R117" s="193">
        <v>75000</v>
      </c>
      <c r="S117" s="193">
        <v>95000</v>
      </c>
      <c r="T117" s="193">
        <v>324695.19011999998</v>
      </c>
      <c r="V117" s="193">
        <v>548695.19012000004</v>
      </c>
      <c r="W117" s="193">
        <v>12</v>
      </c>
      <c r="X117" s="193">
        <v>45724.599176666699</v>
      </c>
      <c r="Z117" s="193">
        <v>45724.599176666699</v>
      </c>
      <c r="AA117" s="193">
        <v>44518.93</v>
      </c>
      <c r="AB117" s="193">
        <v>1205.66917666666</v>
      </c>
    </row>
    <row r="118" spans="1:28">
      <c r="A118" s="196">
        <v>96</v>
      </c>
      <c r="B118" s="193" t="s">
        <v>507</v>
      </c>
      <c r="C118" s="193">
        <v>319177.65375</v>
      </c>
      <c r="D118" s="193">
        <v>12</v>
      </c>
      <c r="E118" s="193">
        <v>3830131.8450000002</v>
      </c>
      <c r="F118" s="193">
        <v>7422.38</v>
      </c>
      <c r="I118" s="193">
        <v>3822709.4649999999</v>
      </c>
      <c r="J118" s="193">
        <v>200000</v>
      </c>
      <c r="K118" s="193">
        <v>0.2</v>
      </c>
      <c r="L118" s="193">
        <v>764541.89300000004</v>
      </c>
      <c r="M118" s="193">
        <v>964541.89300000004</v>
      </c>
      <c r="N118" s="193">
        <v>971964.27300000004</v>
      </c>
      <c r="O118" s="193">
        <v>2858167.5720000002</v>
      </c>
      <c r="P118" s="193">
        <v>21000</v>
      </c>
      <c r="Q118" s="193">
        <v>33000</v>
      </c>
      <c r="R118" s="193">
        <v>75000</v>
      </c>
      <c r="S118" s="193">
        <v>95000</v>
      </c>
      <c r="T118" s="193">
        <v>264215.19011999998</v>
      </c>
      <c r="V118" s="193">
        <v>488215.19011999998</v>
      </c>
      <c r="W118" s="193">
        <v>12</v>
      </c>
      <c r="X118" s="193">
        <v>40684.599176666699</v>
      </c>
      <c r="Z118" s="193">
        <v>40684.599176666699</v>
      </c>
      <c r="AA118" s="193">
        <v>39478.93</v>
      </c>
      <c r="AB118" s="193">
        <v>1205.66917666666</v>
      </c>
    </row>
    <row r="119" spans="1:28">
      <c r="A119" s="196">
        <v>97</v>
      </c>
      <c r="B119" s="193" t="s">
        <v>1239</v>
      </c>
      <c r="C119" s="193">
        <v>312001.06050000002</v>
      </c>
      <c r="D119" s="193">
        <v>12</v>
      </c>
      <c r="E119" s="193">
        <v>3744012.7259999998</v>
      </c>
      <c r="I119" s="193">
        <v>3744012.7259999998</v>
      </c>
      <c r="J119" s="193">
        <v>200000</v>
      </c>
      <c r="K119" s="193">
        <v>0.2</v>
      </c>
      <c r="L119" s="193">
        <v>748802.54520000005</v>
      </c>
      <c r="M119" s="193">
        <v>948802.54520000005</v>
      </c>
      <c r="N119" s="193">
        <v>948802.54520000005</v>
      </c>
      <c r="O119" s="193">
        <v>2795210.1808000002</v>
      </c>
      <c r="P119" s="193">
        <v>21000</v>
      </c>
      <c r="Q119" s="193">
        <v>33000</v>
      </c>
      <c r="R119" s="193">
        <v>75000</v>
      </c>
      <c r="S119" s="193">
        <v>95000</v>
      </c>
      <c r="T119" s="193">
        <v>250994.137968</v>
      </c>
      <c r="V119" s="193">
        <v>474994.13796800002</v>
      </c>
      <c r="W119" s="193">
        <v>12</v>
      </c>
      <c r="X119" s="193">
        <v>39582.844830666698</v>
      </c>
      <c r="Z119" s="193">
        <v>39582.844830666698</v>
      </c>
      <c r="AA119" s="193">
        <v>38272.44</v>
      </c>
      <c r="AB119" s="193">
        <v>1310.40483066666</v>
      </c>
    </row>
    <row r="120" spans="1:28">
      <c r="A120" s="196">
        <v>98</v>
      </c>
      <c r="B120" s="193" t="s">
        <v>508</v>
      </c>
      <c r="C120" s="193">
        <v>209356.04725</v>
      </c>
      <c r="D120" s="193">
        <v>12</v>
      </c>
      <c r="E120" s="193">
        <v>2512272.5669999998</v>
      </c>
      <c r="I120" s="193">
        <v>2512272.5669999998</v>
      </c>
      <c r="J120" s="193">
        <v>200000</v>
      </c>
      <c r="K120" s="193">
        <v>0.2</v>
      </c>
      <c r="L120" s="193">
        <v>502454.5134</v>
      </c>
      <c r="M120" s="193">
        <v>702454.51340000005</v>
      </c>
      <c r="N120" s="193">
        <v>702454.51340000005</v>
      </c>
      <c r="O120" s="193">
        <v>1809818.0536</v>
      </c>
      <c r="P120" s="193">
        <v>21000</v>
      </c>
      <c r="Q120" s="193">
        <v>33000</v>
      </c>
      <c r="R120" s="193">
        <v>75000</v>
      </c>
      <c r="S120" s="193">
        <v>95000</v>
      </c>
      <c r="T120" s="193">
        <v>44061.791255999902</v>
      </c>
      <c r="V120" s="193">
        <v>268061.791256</v>
      </c>
      <c r="W120" s="193">
        <v>12</v>
      </c>
      <c r="X120" s="193">
        <v>22338.4826046667</v>
      </c>
      <c r="Z120" s="193">
        <v>22338.4826046667</v>
      </c>
      <c r="AA120" s="193">
        <v>21640.95</v>
      </c>
      <c r="AB120" s="193">
        <v>697.53260466665995</v>
      </c>
    </row>
    <row r="121" spans="1:28">
      <c r="A121" s="196">
        <v>99</v>
      </c>
      <c r="B121" s="193" t="s">
        <v>510</v>
      </c>
      <c r="C121" s="193">
        <v>176816.1</v>
      </c>
      <c r="D121" s="193">
        <v>12</v>
      </c>
      <c r="E121" s="193">
        <v>2121793.2000000002</v>
      </c>
      <c r="I121" s="193">
        <v>2121793.2000000002</v>
      </c>
      <c r="J121" s="193">
        <v>200000</v>
      </c>
      <c r="K121" s="193">
        <v>0.2</v>
      </c>
      <c r="L121" s="193">
        <v>424358.64</v>
      </c>
      <c r="M121" s="193">
        <v>624358.64</v>
      </c>
      <c r="N121" s="193">
        <v>624358.64</v>
      </c>
      <c r="O121" s="193">
        <v>1497434.56</v>
      </c>
      <c r="P121" s="193">
        <v>21000</v>
      </c>
      <c r="Q121" s="193">
        <v>33000</v>
      </c>
      <c r="R121" s="193">
        <v>75000</v>
      </c>
      <c r="S121" s="193">
        <v>75512.566399999996</v>
      </c>
      <c r="T121" s="193">
        <v>0</v>
      </c>
      <c r="V121" s="193">
        <v>204512.56640000001</v>
      </c>
      <c r="W121" s="193">
        <v>12</v>
      </c>
      <c r="X121" s="193">
        <v>17042.713866666702</v>
      </c>
      <c r="Z121" s="193">
        <v>17042.713866666702</v>
      </c>
      <c r="AA121" s="193">
        <v>25245.23</v>
      </c>
      <c r="AB121" s="193">
        <v>-8202.5161333333399</v>
      </c>
    </row>
    <row r="122" spans="1:28">
      <c r="A122" s="196"/>
    </row>
    <row r="123" spans="1:28">
      <c r="A123" s="196"/>
    </row>
    <row r="124" spans="1:28">
      <c r="A124" s="196">
        <v>101</v>
      </c>
      <c r="B124" s="193" t="s">
        <v>514</v>
      </c>
      <c r="C124" s="193">
        <v>950209.06350000005</v>
      </c>
      <c r="D124" s="193">
        <v>12</v>
      </c>
      <c r="E124" s="193">
        <v>11402508.762</v>
      </c>
      <c r="I124" s="193">
        <v>11402508.762</v>
      </c>
      <c r="J124" s="193">
        <v>200000</v>
      </c>
      <c r="K124" s="193">
        <v>0.2</v>
      </c>
      <c r="L124" s="193">
        <v>2280501.7524000001</v>
      </c>
      <c r="M124" s="193">
        <v>2480501.7524000001</v>
      </c>
      <c r="N124" s="193">
        <v>2480501.7524000001</v>
      </c>
      <c r="O124" s="193">
        <v>8922007.0096000005</v>
      </c>
      <c r="P124" s="193">
        <v>21000</v>
      </c>
      <c r="Q124" s="193">
        <v>33000</v>
      </c>
      <c r="R124" s="193">
        <v>75000</v>
      </c>
      <c r="S124" s="193">
        <v>95000</v>
      </c>
      <c r="T124" s="193">
        <v>336000</v>
      </c>
      <c r="U124" s="193">
        <v>1373281.682304</v>
      </c>
      <c r="V124" s="193">
        <v>1933281.682304</v>
      </c>
      <c r="W124" s="193">
        <v>12</v>
      </c>
      <c r="X124" s="193">
        <v>161106.806858667</v>
      </c>
      <c r="Z124" s="193">
        <v>161106.806858667</v>
      </c>
      <c r="AA124" s="193">
        <v>161106.81</v>
      </c>
      <c r="AB124" s="193">
        <v>-3.14133331994526E-3</v>
      </c>
    </row>
    <row r="125" spans="1:28">
      <c r="A125" s="196">
        <v>103</v>
      </c>
      <c r="B125" s="193" t="s">
        <v>338</v>
      </c>
      <c r="C125" s="193">
        <v>541465.02474999998</v>
      </c>
      <c r="D125" s="193">
        <v>12</v>
      </c>
      <c r="E125" s="193">
        <v>6497580.2970000003</v>
      </c>
      <c r="F125" s="193">
        <v>10052.25</v>
      </c>
      <c r="I125" s="193">
        <v>6487528.0470000003</v>
      </c>
      <c r="J125" s="193">
        <v>200000</v>
      </c>
      <c r="K125" s="193">
        <v>0.2</v>
      </c>
      <c r="L125" s="193">
        <v>1297505.6094</v>
      </c>
      <c r="M125" s="193">
        <v>1497505.6094</v>
      </c>
      <c r="N125" s="193">
        <v>1507557.8594</v>
      </c>
      <c r="O125" s="193">
        <v>4990022.4375999998</v>
      </c>
      <c r="P125" s="193">
        <v>21000</v>
      </c>
      <c r="Q125" s="193">
        <v>33000</v>
      </c>
      <c r="R125" s="193">
        <v>75000</v>
      </c>
      <c r="S125" s="193">
        <v>95000</v>
      </c>
      <c r="T125" s="193">
        <v>336000</v>
      </c>
      <c r="U125" s="193">
        <v>429605.38502400002</v>
      </c>
      <c r="V125" s="193">
        <v>989605.38502399996</v>
      </c>
      <c r="W125" s="193">
        <v>12</v>
      </c>
      <c r="X125" s="193">
        <v>82467.115418666697</v>
      </c>
      <c r="Z125" s="193">
        <v>82467.115418666697</v>
      </c>
      <c r="AA125" s="193">
        <v>82627.95</v>
      </c>
      <c r="AB125" s="193">
        <v>-160.834581333329</v>
      </c>
    </row>
    <row r="126" spans="1:28">
      <c r="A126" s="196">
        <v>105</v>
      </c>
      <c r="B126" s="193" t="s">
        <v>516</v>
      </c>
      <c r="C126" s="193">
        <v>577743.99575</v>
      </c>
      <c r="D126" s="193">
        <v>12</v>
      </c>
      <c r="E126" s="193">
        <v>6932927.949</v>
      </c>
      <c r="F126" s="193">
        <v>8019.8</v>
      </c>
      <c r="I126" s="193">
        <v>6924908.1490000002</v>
      </c>
      <c r="J126" s="193">
        <v>200000</v>
      </c>
      <c r="K126" s="193">
        <v>0.2</v>
      </c>
      <c r="L126" s="193">
        <v>1384981.6298</v>
      </c>
      <c r="M126" s="193">
        <v>1584981.6298</v>
      </c>
      <c r="N126" s="193">
        <v>1593001.4298</v>
      </c>
      <c r="O126" s="193">
        <v>5339926.5192</v>
      </c>
      <c r="P126" s="193">
        <v>21000</v>
      </c>
      <c r="Q126" s="193">
        <v>33000</v>
      </c>
      <c r="R126" s="193">
        <v>75000</v>
      </c>
      <c r="S126" s="193">
        <v>95000</v>
      </c>
      <c r="T126" s="193">
        <v>336000</v>
      </c>
      <c r="U126" s="193">
        <v>513582.36460799997</v>
      </c>
      <c r="V126" s="193">
        <v>1073582.364608</v>
      </c>
      <c r="W126" s="193">
        <v>12</v>
      </c>
      <c r="X126" s="193">
        <v>89465.197050666698</v>
      </c>
      <c r="Z126" s="193">
        <v>89465.197050666698</v>
      </c>
      <c r="AA126" s="193">
        <v>86798.373866666705</v>
      </c>
      <c r="AB126" s="193">
        <v>2666.8231839999798</v>
      </c>
    </row>
    <row r="127" spans="1:28">
      <c r="A127" s="196">
        <v>106</v>
      </c>
      <c r="B127" s="193" t="s">
        <v>518</v>
      </c>
      <c r="C127" s="193">
        <v>343333.03525000002</v>
      </c>
      <c r="D127" s="193">
        <v>12</v>
      </c>
      <c r="E127" s="193">
        <v>4119996.423</v>
      </c>
      <c r="F127" s="193">
        <v>8019.8</v>
      </c>
      <c r="I127" s="193">
        <v>4111976.6230000001</v>
      </c>
      <c r="J127" s="193">
        <v>200000</v>
      </c>
      <c r="K127" s="193">
        <v>0.2</v>
      </c>
      <c r="L127" s="193">
        <v>822395.32460000005</v>
      </c>
      <c r="M127" s="193">
        <v>1022395.3246000001</v>
      </c>
      <c r="N127" s="193">
        <v>1030415.1246</v>
      </c>
      <c r="O127" s="193">
        <v>3089581.2984000002</v>
      </c>
      <c r="P127" s="193">
        <v>21000</v>
      </c>
      <c r="Q127" s="193">
        <v>33000</v>
      </c>
      <c r="R127" s="193">
        <v>75000</v>
      </c>
      <c r="S127" s="193">
        <v>95000</v>
      </c>
      <c r="T127" s="193">
        <v>312812.07266399998</v>
      </c>
      <c r="V127" s="193">
        <v>536812.07266399998</v>
      </c>
      <c r="W127" s="193">
        <v>12</v>
      </c>
      <c r="X127" s="193">
        <v>44734.339388666704</v>
      </c>
      <c r="Z127" s="193">
        <v>44734.339388666704</v>
      </c>
      <c r="AA127" s="193">
        <v>43380.1</v>
      </c>
      <c r="AB127" s="193">
        <v>1354.23938866668</v>
      </c>
    </row>
    <row r="128" spans="1:28">
      <c r="A128" s="196">
        <v>107</v>
      </c>
      <c r="B128" s="193" t="s">
        <v>520</v>
      </c>
      <c r="C128" s="193">
        <v>343333.03525000002</v>
      </c>
      <c r="D128" s="193">
        <v>12</v>
      </c>
      <c r="E128" s="193">
        <v>4119996.423</v>
      </c>
      <c r="I128" s="193">
        <v>4119996.423</v>
      </c>
      <c r="J128" s="193">
        <v>200000</v>
      </c>
      <c r="K128" s="193">
        <v>0.2</v>
      </c>
      <c r="L128" s="193">
        <v>823999.28460000001</v>
      </c>
      <c r="M128" s="193">
        <v>1023999.2846</v>
      </c>
      <c r="N128" s="193">
        <v>1023999.2846</v>
      </c>
      <c r="O128" s="193">
        <v>3095997.1384000001</v>
      </c>
      <c r="P128" s="193">
        <v>21000</v>
      </c>
      <c r="Q128" s="193">
        <v>33000</v>
      </c>
      <c r="R128" s="193">
        <v>75000</v>
      </c>
      <c r="S128" s="193">
        <v>95000</v>
      </c>
      <c r="T128" s="193">
        <v>314159.399064</v>
      </c>
      <c r="V128" s="193">
        <v>538159.399064</v>
      </c>
      <c r="W128" s="193">
        <v>12</v>
      </c>
      <c r="X128" s="193">
        <v>44846.6165886667</v>
      </c>
      <c r="Z128" s="193">
        <v>44846.6165886667</v>
      </c>
      <c r="AA128" s="193">
        <v>43380.1</v>
      </c>
      <c r="AB128" s="193">
        <v>1466.51658866668</v>
      </c>
    </row>
    <row r="129" spans="1:28">
      <c r="A129" s="196">
        <v>108</v>
      </c>
      <c r="B129" s="193" t="s">
        <v>473</v>
      </c>
      <c r="C129" s="193">
        <v>319177.65375</v>
      </c>
      <c r="D129" s="193">
        <v>12</v>
      </c>
      <c r="E129" s="193">
        <v>3830131.8450000002</v>
      </c>
      <c r="F129" s="193">
        <v>6456.26</v>
      </c>
      <c r="I129" s="193">
        <v>3823675.585</v>
      </c>
      <c r="J129" s="193">
        <v>200000</v>
      </c>
      <c r="K129" s="193">
        <v>0.2</v>
      </c>
      <c r="L129" s="193">
        <v>764735.11699999997</v>
      </c>
      <c r="M129" s="193">
        <v>964735.11699999997</v>
      </c>
      <c r="N129" s="193">
        <v>971191.37699999998</v>
      </c>
      <c r="O129" s="193">
        <v>2858940.4679999999</v>
      </c>
      <c r="P129" s="193">
        <v>21000</v>
      </c>
      <c r="Q129" s="193">
        <v>33000</v>
      </c>
      <c r="R129" s="193">
        <v>75000</v>
      </c>
      <c r="S129" s="193">
        <v>95000</v>
      </c>
      <c r="T129" s="193">
        <v>264377.49828</v>
      </c>
      <c r="V129" s="193">
        <v>488377.49828</v>
      </c>
      <c r="W129" s="193">
        <v>12</v>
      </c>
      <c r="X129" s="193">
        <v>40698.124856666698</v>
      </c>
      <c r="Z129" s="193">
        <v>40698.124856666698</v>
      </c>
      <c r="AA129" s="193">
        <v>39582.839999999997</v>
      </c>
      <c r="AB129" s="193">
        <v>1115.2848566666601</v>
      </c>
    </row>
    <row r="130" spans="1:28">
      <c r="A130" s="196">
        <v>109</v>
      </c>
      <c r="B130" s="193" t="s">
        <v>523</v>
      </c>
      <c r="C130" s="193">
        <v>284536.99849999999</v>
      </c>
      <c r="D130" s="193">
        <v>12</v>
      </c>
      <c r="E130" s="193">
        <v>3414443.9819999998</v>
      </c>
      <c r="I130" s="193">
        <v>3414443.9819999998</v>
      </c>
      <c r="J130" s="193">
        <v>200000</v>
      </c>
      <c r="K130" s="193">
        <v>0.2</v>
      </c>
      <c r="L130" s="193">
        <v>682888.79639999999</v>
      </c>
      <c r="M130" s="193">
        <v>882888.79639999999</v>
      </c>
      <c r="N130" s="193">
        <v>882888.79639999999</v>
      </c>
      <c r="O130" s="193">
        <v>2531555.1856</v>
      </c>
      <c r="P130" s="193">
        <v>21000</v>
      </c>
      <c r="Q130" s="193">
        <v>33000</v>
      </c>
      <c r="R130" s="193">
        <v>75000</v>
      </c>
      <c r="S130" s="193">
        <v>95000</v>
      </c>
      <c r="T130" s="193">
        <v>195626.588976</v>
      </c>
      <c r="V130" s="193">
        <v>419626.58897600003</v>
      </c>
      <c r="W130" s="193">
        <v>12</v>
      </c>
      <c r="X130" s="193">
        <v>34968.882414666703</v>
      </c>
      <c r="Z130" s="193">
        <v>34968.882414666703</v>
      </c>
      <c r="AA130" s="193">
        <v>32848.559999999998</v>
      </c>
      <c r="AB130" s="193">
        <v>2120.3224146666698</v>
      </c>
    </row>
    <row r="131" spans="1:28">
      <c r="A131" s="196">
        <v>110</v>
      </c>
      <c r="B131" s="193" t="s">
        <v>525</v>
      </c>
      <c r="C131" s="193">
        <v>284536.99849999999</v>
      </c>
      <c r="D131" s="193">
        <v>12</v>
      </c>
      <c r="E131" s="193">
        <v>3414443.9819999998</v>
      </c>
      <c r="I131" s="193">
        <v>3414443.9819999998</v>
      </c>
      <c r="J131" s="193">
        <v>200000</v>
      </c>
      <c r="K131" s="193">
        <v>0.2</v>
      </c>
      <c r="L131" s="193">
        <v>682888.79639999999</v>
      </c>
      <c r="M131" s="193">
        <v>882888.79639999999</v>
      </c>
      <c r="N131" s="193">
        <v>882888.79639999999</v>
      </c>
      <c r="O131" s="193">
        <v>2531555.1856</v>
      </c>
      <c r="P131" s="193">
        <v>21000</v>
      </c>
      <c r="Q131" s="193">
        <v>33000</v>
      </c>
      <c r="R131" s="193">
        <v>75000</v>
      </c>
      <c r="S131" s="193">
        <v>95000</v>
      </c>
      <c r="T131" s="193">
        <v>195626.588976</v>
      </c>
      <c r="V131" s="193">
        <v>419626.58897600003</v>
      </c>
      <c r="W131" s="193">
        <v>12</v>
      </c>
      <c r="X131" s="193">
        <v>34968.882414666703</v>
      </c>
      <c r="Z131" s="193">
        <v>34968.882414666703</v>
      </c>
      <c r="AA131" s="193">
        <v>32938.949999999997</v>
      </c>
      <c r="AB131" s="193">
        <v>2029.93241466667</v>
      </c>
    </row>
    <row r="132" spans="1:28">
      <c r="A132" s="196">
        <v>111</v>
      </c>
      <c r="B132" s="193" t="s">
        <v>526</v>
      </c>
      <c r="C132" s="193">
        <v>284536.99849999999</v>
      </c>
      <c r="D132" s="193">
        <v>12</v>
      </c>
      <c r="E132" s="193">
        <v>3414443.9819999998</v>
      </c>
      <c r="I132" s="193">
        <v>3414443.9819999998</v>
      </c>
      <c r="J132" s="193">
        <v>200000</v>
      </c>
      <c r="K132" s="193">
        <v>0.2</v>
      </c>
      <c r="L132" s="193">
        <v>682888.79639999999</v>
      </c>
      <c r="M132" s="193">
        <v>882888.79639999999</v>
      </c>
      <c r="N132" s="193">
        <v>882888.79639999999</v>
      </c>
      <c r="O132" s="193">
        <v>2531555.1856</v>
      </c>
      <c r="P132" s="193">
        <v>21000</v>
      </c>
      <c r="Q132" s="193">
        <v>33000</v>
      </c>
      <c r="R132" s="193">
        <v>75000</v>
      </c>
      <c r="S132" s="193">
        <v>95000</v>
      </c>
      <c r="T132" s="193">
        <v>195626.588976</v>
      </c>
      <c r="V132" s="193">
        <v>419626.58897600003</v>
      </c>
      <c r="W132" s="193">
        <v>12</v>
      </c>
      <c r="X132" s="193">
        <v>34968.882414666703</v>
      </c>
      <c r="Z132" s="193">
        <v>34968.882414666703</v>
      </c>
      <c r="AA132" s="193">
        <v>32938.949999999997</v>
      </c>
      <c r="AB132" s="193">
        <v>2029.93241466667</v>
      </c>
    </row>
    <row r="133" spans="1:28">
      <c r="A133" s="196">
        <v>112</v>
      </c>
      <c r="B133" s="193" t="s">
        <v>528</v>
      </c>
      <c r="C133" s="193">
        <v>267454.07400000002</v>
      </c>
      <c r="D133" s="193">
        <v>12</v>
      </c>
      <c r="E133" s="193">
        <v>3209448.8879999998</v>
      </c>
      <c r="F133" s="193">
        <v>5484.49</v>
      </c>
      <c r="I133" s="193">
        <v>3203964.398</v>
      </c>
      <c r="J133" s="193">
        <v>200000</v>
      </c>
      <c r="K133" s="193">
        <v>0.2</v>
      </c>
      <c r="L133" s="193">
        <v>640792.87959999999</v>
      </c>
      <c r="M133" s="193">
        <v>840792.87959999999</v>
      </c>
      <c r="N133" s="193">
        <v>846277.36959999998</v>
      </c>
      <c r="O133" s="193">
        <v>2363171.5183999999</v>
      </c>
      <c r="P133" s="193">
        <v>21000</v>
      </c>
      <c r="Q133" s="193">
        <v>33000</v>
      </c>
      <c r="R133" s="193">
        <v>75000</v>
      </c>
      <c r="S133" s="193">
        <v>95000</v>
      </c>
      <c r="T133" s="193">
        <v>160266.01886400001</v>
      </c>
      <c r="V133" s="193">
        <v>384266.01886399998</v>
      </c>
      <c r="W133" s="193">
        <v>12</v>
      </c>
      <c r="X133" s="193">
        <v>32022.168238666702</v>
      </c>
      <c r="Z133" s="193">
        <v>32022.168238666702</v>
      </c>
      <c r="AA133" s="193">
        <v>31749.189126666701</v>
      </c>
      <c r="AB133" s="193">
        <v>272.97911200001198</v>
      </c>
    </row>
    <row r="134" spans="1:28">
      <c r="A134" s="196">
        <v>113</v>
      </c>
      <c r="B134" s="193" t="s">
        <v>530</v>
      </c>
      <c r="C134" s="193">
        <v>242300.07750000001</v>
      </c>
      <c r="D134" s="193">
        <v>12</v>
      </c>
      <c r="E134" s="193">
        <v>2907600.93</v>
      </c>
      <c r="F134" s="193">
        <v>5633.79</v>
      </c>
      <c r="I134" s="193">
        <v>2901967.14</v>
      </c>
      <c r="J134" s="193">
        <v>200000</v>
      </c>
      <c r="K134" s="193">
        <v>0.2</v>
      </c>
      <c r="L134" s="193">
        <v>580393.42799999996</v>
      </c>
      <c r="M134" s="193">
        <v>780393.42799999996</v>
      </c>
      <c r="N134" s="193">
        <v>786027.21799999999</v>
      </c>
      <c r="O134" s="193">
        <v>2121573.7119999998</v>
      </c>
      <c r="P134" s="193">
        <v>21000</v>
      </c>
      <c r="Q134" s="193">
        <v>33000</v>
      </c>
      <c r="R134" s="193">
        <v>75000</v>
      </c>
      <c r="S134" s="193">
        <v>95000</v>
      </c>
      <c r="T134" s="193">
        <v>109530.47951999999</v>
      </c>
      <c r="V134" s="193">
        <v>333530.47951999999</v>
      </c>
      <c r="W134" s="193">
        <v>12</v>
      </c>
      <c r="X134" s="193">
        <v>27794.206626666699</v>
      </c>
      <c r="Z134" s="193">
        <v>27794.206626666699</v>
      </c>
      <c r="AA134" s="193">
        <v>27029.200000000001</v>
      </c>
      <c r="AB134" s="193">
        <v>765.00662666666199</v>
      </c>
    </row>
    <row r="135" spans="1:28">
      <c r="A135" s="196">
        <v>114</v>
      </c>
      <c r="B135" s="193" t="s">
        <v>532</v>
      </c>
      <c r="C135" s="193">
        <v>279536.99849999999</v>
      </c>
      <c r="D135" s="193">
        <v>12</v>
      </c>
      <c r="E135" s="193">
        <v>3354443.9819999998</v>
      </c>
      <c r="I135" s="193">
        <v>3354443.9819999998</v>
      </c>
      <c r="J135" s="193">
        <v>200000</v>
      </c>
      <c r="K135" s="193">
        <v>0.2</v>
      </c>
      <c r="L135" s="193">
        <v>670888.79639999999</v>
      </c>
      <c r="M135" s="193">
        <v>870888.79639999999</v>
      </c>
      <c r="N135" s="193">
        <v>870888.79639999999</v>
      </c>
      <c r="O135" s="193">
        <v>2483555.1856</v>
      </c>
      <c r="P135" s="193">
        <v>21000</v>
      </c>
      <c r="Q135" s="193">
        <v>33000</v>
      </c>
      <c r="R135" s="193">
        <v>75000</v>
      </c>
      <c r="S135" s="193">
        <v>95000</v>
      </c>
      <c r="T135" s="193">
        <v>185546.588976</v>
      </c>
      <c r="V135" s="193">
        <v>409546.58897600003</v>
      </c>
      <c r="W135" s="193">
        <v>12</v>
      </c>
      <c r="X135" s="193">
        <v>34128.882414666703</v>
      </c>
      <c r="Z135" s="193">
        <v>34128.882414666703</v>
      </c>
      <c r="AA135" s="193">
        <v>31670.316066666699</v>
      </c>
      <c r="AB135" s="193">
        <v>2458.5663479999998</v>
      </c>
    </row>
    <row r="136" spans="1:28">
      <c r="A136" s="196">
        <v>115</v>
      </c>
      <c r="B136" s="193" t="s">
        <v>536</v>
      </c>
      <c r="C136" s="193">
        <v>237734.04699999999</v>
      </c>
      <c r="D136" s="193">
        <v>12</v>
      </c>
      <c r="E136" s="193">
        <v>2852808.5639999998</v>
      </c>
      <c r="F136" s="193">
        <v>5335.23</v>
      </c>
      <c r="I136" s="193">
        <v>2847473.3339999998</v>
      </c>
      <c r="J136" s="193">
        <v>200000</v>
      </c>
      <c r="K136" s="193">
        <v>0.2</v>
      </c>
      <c r="L136" s="193">
        <v>569494.66680000001</v>
      </c>
      <c r="M136" s="193">
        <v>769494.66680000001</v>
      </c>
      <c r="N136" s="193">
        <v>774829.89679999999</v>
      </c>
      <c r="O136" s="193">
        <v>2077978.6672</v>
      </c>
      <c r="P136" s="193">
        <v>21000</v>
      </c>
      <c r="Q136" s="193">
        <v>33000</v>
      </c>
      <c r="R136" s="193">
        <v>75000</v>
      </c>
      <c r="S136" s="193">
        <v>95000</v>
      </c>
      <c r="T136" s="193">
        <v>100375.520112</v>
      </c>
      <c r="V136" s="193">
        <v>324375.520112</v>
      </c>
      <c r="W136" s="193">
        <v>12</v>
      </c>
      <c r="X136" s="193">
        <v>27031.2933426667</v>
      </c>
      <c r="Z136" s="193">
        <v>27031.2933426667</v>
      </c>
      <c r="AA136" s="193">
        <v>26339.08</v>
      </c>
      <c r="AB136" s="193">
        <v>692.21334266665895</v>
      </c>
    </row>
    <row r="137" spans="1:28">
      <c r="A137" s="196">
        <v>116</v>
      </c>
      <c r="B137" s="193" t="s">
        <v>538</v>
      </c>
      <c r="C137" s="193">
        <v>237734.04699999999</v>
      </c>
      <c r="D137" s="193">
        <v>12</v>
      </c>
      <c r="E137" s="193">
        <v>2852808.5639999998</v>
      </c>
      <c r="I137" s="193">
        <v>2852808.5639999998</v>
      </c>
      <c r="J137" s="193">
        <v>200000</v>
      </c>
      <c r="K137" s="193">
        <v>0.2</v>
      </c>
      <c r="L137" s="193">
        <v>570561.71279999998</v>
      </c>
      <c r="M137" s="193">
        <v>770561.71279999998</v>
      </c>
      <c r="N137" s="193">
        <v>770561.71279999998</v>
      </c>
      <c r="O137" s="193">
        <v>2082246.8511999999</v>
      </c>
      <c r="P137" s="193">
        <v>21000</v>
      </c>
      <c r="Q137" s="193">
        <v>33000</v>
      </c>
      <c r="R137" s="193">
        <v>75000</v>
      </c>
      <c r="S137" s="193">
        <v>95000</v>
      </c>
      <c r="T137" s="193">
        <v>101271.838752</v>
      </c>
      <c r="V137" s="193">
        <v>325271.83875200001</v>
      </c>
      <c r="W137" s="193">
        <v>12</v>
      </c>
      <c r="X137" s="193">
        <v>27105.986562666702</v>
      </c>
      <c r="Z137" s="193">
        <v>27105.986562666702</v>
      </c>
      <c r="AA137" s="193">
        <v>26264.39</v>
      </c>
      <c r="AB137" s="193">
        <v>841.59656266665797</v>
      </c>
    </row>
    <row r="138" spans="1:28">
      <c r="A138" s="196">
        <v>117</v>
      </c>
      <c r="B138" s="193" t="s">
        <v>540</v>
      </c>
      <c r="C138" s="193">
        <v>237734.04699999999</v>
      </c>
      <c r="D138" s="193">
        <v>12</v>
      </c>
      <c r="E138" s="193">
        <v>2852808.5639999998</v>
      </c>
      <c r="I138" s="193">
        <v>2852808.5639999998</v>
      </c>
      <c r="J138" s="193">
        <v>200000</v>
      </c>
      <c r="K138" s="193">
        <v>0.2</v>
      </c>
      <c r="L138" s="193">
        <v>570561.71279999998</v>
      </c>
      <c r="M138" s="193">
        <v>770561.71279999998</v>
      </c>
      <c r="N138" s="193">
        <v>770561.71279999998</v>
      </c>
      <c r="O138" s="193">
        <v>2082246.8511999999</v>
      </c>
      <c r="P138" s="193">
        <v>21000</v>
      </c>
      <c r="Q138" s="193">
        <v>33000</v>
      </c>
      <c r="R138" s="193">
        <v>75000</v>
      </c>
      <c r="S138" s="193">
        <v>95000</v>
      </c>
      <c r="T138" s="193">
        <v>101271.838752</v>
      </c>
      <c r="V138" s="193">
        <v>325271.83875200001</v>
      </c>
      <c r="W138" s="193">
        <v>12</v>
      </c>
      <c r="X138" s="193">
        <v>27105.986562666702</v>
      </c>
      <c r="Z138" s="193">
        <v>27105.986562666702</v>
      </c>
      <c r="AA138" s="193">
        <v>26339.08</v>
      </c>
      <c r="AB138" s="193">
        <v>766.90656266665599</v>
      </c>
    </row>
    <row r="139" spans="1:28">
      <c r="A139" s="196">
        <v>118</v>
      </c>
      <c r="B139" s="193" t="s">
        <v>541</v>
      </c>
      <c r="C139" s="193">
        <v>228602.07775</v>
      </c>
      <c r="D139" s="193">
        <v>12</v>
      </c>
      <c r="E139" s="193">
        <v>2743224.9330000002</v>
      </c>
      <c r="I139" s="193">
        <v>2743224.9330000002</v>
      </c>
      <c r="J139" s="193">
        <v>200000</v>
      </c>
      <c r="K139" s="193">
        <v>0.2</v>
      </c>
      <c r="L139" s="193">
        <v>548644.98659999995</v>
      </c>
      <c r="M139" s="193">
        <v>748644.98659999995</v>
      </c>
      <c r="N139" s="193">
        <v>748644.98659999995</v>
      </c>
      <c r="O139" s="193">
        <v>1994579.9464</v>
      </c>
      <c r="P139" s="193">
        <v>21000</v>
      </c>
      <c r="Q139" s="193">
        <v>33000</v>
      </c>
      <c r="R139" s="193">
        <v>75000</v>
      </c>
      <c r="S139" s="193">
        <v>95000</v>
      </c>
      <c r="T139" s="193">
        <v>82861.788744000005</v>
      </c>
      <c r="V139" s="193">
        <v>306861.78874400002</v>
      </c>
      <c r="W139" s="193">
        <v>12</v>
      </c>
      <c r="X139" s="193">
        <v>25571.815728666701</v>
      </c>
      <c r="Z139" s="193">
        <v>25571.815728666701</v>
      </c>
      <c r="AA139" s="193">
        <v>25571.82</v>
      </c>
      <c r="AB139" s="193">
        <v>-4.2713333314168302E-3</v>
      </c>
    </row>
    <row r="140" spans="1:28">
      <c r="A140" s="196">
        <v>119</v>
      </c>
      <c r="B140" s="193" t="s">
        <v>1055</v>
      </c>
      <c r="C140" s="193">
        <v>205204.0845</v>
      </c>
      <c r="D140" s="193">
        <v>12</v>
      </c>
      <c r="E140" s="193">
        <v>2462449.014</v>
      </c>
      <c r="I140" s="193">
        <v>2462449.014</v>
      </c>
      <c r="J140" s="193">
        <v>200000</v>
      </c>
      <c r="K140" s="193">
        <v>0.2</v>
      </c>
      <c r="L140" s="193">
        <v>492489.8028</v>
      </c>
      <c r="M140" s="193">
        <v>692489.80279999995</v>
      </c>
      <c r="N140" s="193">
        <v>692489.80279999995</v>
      </c>
      <c r="O140" s="193">
        <v>1769959.2112</v>
      </c>
      <c r="P140" s="193">
        <v>21000</v>
      </c>
      <c r="Q140" s="193">
        <v>33000</v>
      </c>
      <c r="R140" s="193">
        <v>75000</v>
      </c>
      <c r="S140" s="193">
        <v>95000</v>
      </c>
      <c r="T140" s="193">
        <v>35691.434351999997</v>
      </c>
      <c r="V140" s="193">
        <v>259691.43435200001</v>
      </c>
      <c r="W140" s="193">
        <v>12</v>
      </c>
      <c r="X140" s="193">
        <v>21640.952862666702</v>
      </c>
      <c r="Z140" s="193">
        <v>21640.952862666702</v>
      </c>
      <c r="AA140" s="193">
        <v>21640.95</v>
      </c>
      <c r="AB140" s="193">
        <v>2.86266666807933E-3</v>
      </c>
    </row>
    <row r="141" spans="1:28">
      <c r="A141" s="196">
        <v>120</v>
      </c>
      <c r="B141" s="193" t="s">
        <v>545</v>
      </c>
      <c r="C141" s="193">
        <v>237734.04699999999</v>
      </c>
      <c r="D141" s="193">
        <v>12</v>
      </c>
      <c r="E141" s="193">
        <v>2852808.5639999998</v>
      </c>
      <c r="I141" s="193">
        <v>2852808.5639999998</v>
      </c>
      <c r="J141" s="193">
        <v>200000</v>
      </c>
      <c r="K141" s="193">
        <v>0.2</v>
      </c>
      <c r="L141" s="193">
        <v>570561.71279999998</v>
      </c>
      <c r="M141" s="193">
        <v>770561.71279999998</v>
      </c>
      <c r="N141" s="193">
        <v>770561.71279999998</v>
      </c>
      <c r="O141" s="193">
        <v>2082246.8511999999</v>
      </c>
      <c r="P141" s="193">
        <v>21000</v>
      </c>
      <c r="Q141" s="193">
        <v>33000</v>
      </c>
      <c r="R141" s="193">
        <v>75000</v>
      </c>
      <c r="S141" s="193">
        <v>95000</v>
      </c>
      <c r="T141" s="193">
        <v>101271.838752</v>
      </c>
      <c r="V141" s="193">
        <v>325271.83875200001</v>
      </c>
      <c r="W141" s="193">
        <v>12</v>
      </c>
      <c r="X141" s="193">
        <v>27105.986562666702</v>
      </c>
      <c r="Z141" s="193">
        <v>27105.986562666702</v>
      </c>
      <c r="AA141" s="193">
        <v>25571.708040666701</v>
      </c>
      <c r="AB141" s="193">
        <v>1534.2785220000001</v>
      </c>
    </row>
    <row r="142" spans="1:28">
      <c r="A142" s="196">
        <v>121</v>
      </c>
      <c r="B142" s="193" t="s">
        <v>547</v>
      </c>
      <c r="C142" s="193">
        <v>209356.04725</v>
      </c>
      <c r="D142" s="193">
        <v>12</v>
      </c>
      <c r="E142" s="193">
        <v>2512272.5669999998</v>
      </c>
      <c r="F142" s="193">
        <v>4047.66</v>
      </c>
      <c r="I142" s="193">
        <v>2508224.9070000001</v>
      </c>
      <c r="J142" s="193">
        <v>200000</v>
      </c>
      <c r="K142" s="193">
        <v>0.2</v>
      </c>
      <c r="L142" s="193">
        <v>501644.98139999999</v>
      </c>
      <c r="M142" s="193">
        <v>701644.98140000005</v>
      </c>
      <c r="N142" s="193">
        <v>705692.64139999996</v>
      </c>
      <c r="O142" s="193">
        <v>1806579.9256</v>
      </c>
      <c r="P142" s="193">
        <v>21000</v>
      </c>
      <c r="Q142" s="193">
        <v>33000</v>
      </c>
      <c r="R142" s="193">
        <v>75000</v>
      </c>
      <c r="S142" s="193">
        <v>95000</v>
      </c>
      <c r="T142" s="193">
        <v>43381.784375999901</v>
      </c>
      <c r="V142" s="193">
        <v>267381.784376</v>
      </c>
      <c r="W142" s="193">
        <v>12</v>
      </c>
      <c r="X142" s="193">
        <v>22281.815364666701</v>
      </c>
      <c r="Z142" s="193">
        <v>22281.815364666701</v>
      </c>
      <c r="AA142" s="193">
        <v>21640.95</v>
      </c>
      <c r="AB142" s="193">
        <v>640.86536466666098</v>
      </c>
    </row>
    <row r="143" spans="1:28">
      <c r="A143" s="196">
        <v>122</v>
      </c>
      <c r="B143" s="193" t="s">
        <v>549</v>
      </c>
      <c r="C143" s="193">
        <v>237734.04699999999</v>
      </c>
      <c r="D143" s="193">
        <v>12</v>
      </c>
      <c r="E143" s="193">
        <v>2852808.5639999998</v>
      </c>
      <c r="I143" s="193">
        <v>2852808.5639999998</v>
      </c>
      <c r="J143" s="193">
        <v>200000</v>
      </c>
      <c r="K143" s="193">
        <v>0.2</v>
      </c>
      <c r="L143" s="193">
        <v>570561.71279999998</v>
      </c>
      <c r="M143" s="193">
        <v>770561.71279999998</v>
      </c>
      <c r="N143" s="193">
        <v>770561.71279999998</v>
      </c>
      <c r="O143" s="193">
        <v>2082246.8511999999</v>
      </c>
      <c r="P143" s="193">
        <v>21000</v>
      </c>
      <c r="Q143" s="193">
        <v>33000</v>
      </c>
      <c r="R143" s="193">
        <v>75000</v>
      </c>
      <c r="S143" s="193">
        <v>95000</v>
      </c>
      <c r="T143" s="193">
        <v>101271.838752</v>
      </c>
      <c r="V143" s="193">
        <v>325271.83875200001</v>
      </c>
      <c r="W143" s="193">
        <v>12</v>
      </c>
      <c r="X143" s="193">
        <v>27105.986562666702</v>
      </c>
      <c r="Z143" s="193">
        <v>27105.986562666702</v>
      </c>
      <c r="AA143" s="193">
        <v>25571.708040666701</v>
      </c>
      <c r="AB143" s="193">
        <v>1534.2785220000001</v>
      </c>
    </row>
    <row r="144" spans="1:28">
      <c r="A144" s="196">
        <v>123</v>
      </c>
      <c r="B144" s="193" t="s">
        <v>551</v>
      </c>
      <c r="C144" s="193">
        <v>209356.04725</v>
      </c>
      <c r="D144" s="193">
        <v>12</v>
      </c>
      <c r="E144" s="193">
        <v>2512272.5669999998</v>
      </c>
      <c r="I144" s="193">
        <v>2512272.5669999998</v>
      </c>
      <c r="J144" s="193">
        <v>200000</v>
      </c>
      <c r="K144" s="193">
        <v>0.2</v>
      </c>
      <c r="L144" s="193">
        <v>502454.5134</v>
      </c>
      <c r="M144" s="193">
        <v>702454.51340000005</v>
      </c>
      <c r="N144" s="193">
        <v>702454.51340000005</v>
      </c>
      <c r="O144" s="193">
        <v>1809818.0536</v>
      </c>
      <c r="P144" s="193">
        <v>21000</v>
      </c>
      <c r="Q144" s="193">
        <v>33000</v>
      </c>
      <c r="R144" s="193">
        <v>75000</v>
      </c>
      <c r="S144" s="193">
        <v>95000</v>
      </c>
      <c r="T144" s="193">
        <v>44061.791255999902</v>
      </c>
      <c r="V144" s="193">
        <v>268061.791256</v>
      </c>
      <c r="W144" s="193">
        <v>12</v>
      </c>
      <c r="X144" s="193">
        <v>22338.4826046667</v>
      </c>
      <c r="Z144" s="193">
        <v>22338.4826046667</v>
      </c>
      <c r="AA144" s="193">
        <v>21640.95</v>
      </c>
      <c r="AB144" s="193">
        <v>697.53260466665995</v>
      </c>
    </row>
    <row r="145" spans="1:28">
      <c r="A145" s="196">
        <v>124</v>
      </c>
      <c r="B145" s="193" t="s">
        <v>553</v>
      </c>
      <c r="C145" s="193">
        <v>183791.02674999999</v>
      </c>
      <c r="D145" s="193">
        <v>12</v>
      </c>
      <c r="E145" s="193">
        <v>2205492.321</v>
      </c>
      <c r="I145" s="193">
        <v>2205492.321</v>
      </c>
      <c r="J145" s="193">
        <v>200000</v>
      </c>
      <c r="K145" s="193">
        <v>0.2</v>
      </c>
      <c r="L145" s="193">
        <v>441098.46419999999</v>
      </c>
      <c r="M145" s="193">
        <v>641098.46420000005</v>
      </c>
      <c r="N145" s="193">
        <v>641098.46420000005</v>
      </c>
      <c r="O145" s="193">
        <v>1564393.8568</v>
      </c>
      <c r="P145" s="193">
        <v>21000</v>
      </c>
      <c r="Q145" s="193">
        <v>33000</v>
      </c>
      <c r="R145" s="193">
        <v>75000</v>
      </c>
      <c r="S145" s="193">
        <v>88234.832792000001</v>
      </c>
      <c r="T145" s="193">
        <v>0</v>
      </c>
      <c r="V145" s="193">
        <v>217234.832792</v>
      </c>
      <c r="W145" s="193">
        <v>12</v>
      </c>
      <c r="X145" s="193">
        <v>18102.902732666698</v>
      </c>
      <c r="Z145" s="193">
        <v>18102.902732666698</v>
      </c>
      <c r="AA145" s="193">
        <v>17572.89</v>
      </c>
      <c r="AB145" s="193">
        <v>530.01273266666601</v>
      </c>
    </row>
    <row r="146" spans="1:28">
      <c r="A146" s="196">
        <v>125</v>
      </c>
      <c r="B146" s="193" t="s">
        <v>1242</v>
      </c>
      <c r="C146" s="193">
        <v>176816.1</v>
      </c>
      <c r="D146" s="193">
        <v>12</v>
      </c>
      <c r="E146" s="193">
        <v>2121793.2000000002</v>
      </c>
      <c r="I146" s="193">
        <v>2121793.2000000002</v>
      </c>
      <c r="J146" s="193">
        <v>200000</v>
      </c>
      <c r="K146" s="193">
        <v>0.2</v>
      </c>
      <c r="L146" s="193">
        <v>424358.64</v>
      </c>
      <c r="M146" s="193">
        <v>624358.64</v>
      </c>
      <c r="N146" s="193">
        <v>624358.64</v>
      </c>
      <c r="O146" s="193">
        <v>1497434.56</v>
      </c>
      <c r="P146" s="193">
        <v>21000</v>
      </c>
      <c r="Q146" s="193">
        <v>33000</v>
      </c>
      <c r="R146" s="193">
        <v>75000</v>
      </c>
      <c r="S146" s="193">
        <v>75512.566399999996</v>
      </c>
      <c r="T146" s="193">
        <v>0</v>
      </c>
      <c r="V146" s="193">
        <v>204512.56640000001</v>
      </c>
      <c r="W146" s="193">
        <v>12</v>
      </c>
      <c r="X146" s="193">
        <v>17042.713866666702</v>
      </c>
      <c r="Z146" s="193">
        <v>17042.713866666702</v>
      </c>
      <c r="AA146" s="193">
        <v>16512.68</v>
      </c>
      <c r="AB146" s="193">
        <v>530.03386666666097</v>
      </c>
    </row>
    <row r="147" spans="1:28">
      <c r="A147" s="196">
        <v>126</v>
      </c>
      <c r="B147" s="193" t="s">
        <v>555</v>
      </c>
      <c r="C147" s="193">
        <v>173329.04949999999</v>
      </c>
      <c r="D147" s="193">
        <v>12</v>
      </c>
      <c r="E147" s="193">
        <v>2079948.594</v>
      </c>
      <c r="I147" s="193">
        <v>2079948.594</v>
      </c>
      <c r="J147" s="193">
        <v>200000</v>
      </c>
      <c r="K147" s="193">
        <v>0.2</v>
      </c>
      <c r="L147" s="193">
        <v>415989.71879999997</v>
      </c>
      <c r="M147" s="193">
        <v>615989.71880000003</v>
      </c>
      <c r="N147" s="193">
        <v>615989.71880000003</v>
      </c>
      <c r="O147" s="193">
        <v>1463958.8751999999</v>
      </c>
      <c r="P147" s="193">
        <v>21000</v>
      </c>
      <c r="Q147" s="193">
        <v>33000</v>
      </c>
      <c r="R147" s="193">
        <v>75000</v>
      </c>
      <c r="S147" s="193">
        <v>69152.186287999997</v>
      </c>
      <c r="T147" s="193">
        <v>0</v>
      </c>
      <c r="V147" s="193">
        <v>198152.186288</v>
      </c>
      <c r="W147" s="193">
        <v>12</v>
      </c>
      <c r="X147" s="193">
        <v>16512.682190666699</v>
      </c>
      <c r="Z147" s="193">
        <v>16512.682190666699</v>
      </c>
      <c r="AA147" s="193">
        <v>16512.68</v>
      </c>
      <c r="AB147" s="193">
        <v>2.1906666697759599E-3</v>
      </c>
    </row>
    <row r="148" spans="1:28">
      <c r="A148" s="196">
        <v>127</v>
      </c>
      <c r="B148" s="193" t="s">
        <v>557</v>
      </c>
      <c r="C148" s="193">
        <v>173339.22450000001</v>
      </c>
      <c r="D148" s="193">
        <v>12</v>
      </c>
      <c r="E148" s="193">
        <v>2080070.6939999999</v>
      </c>
      <c r="I148" s="193">
        <v>2080070.6939999999</v>
      </c>
      <c r="J148" s="193">
        <v>200000</v>
      </c>
      <c r="K148" s="193">
        <v>0.2</v>
      </c>
      <c r="L148" s="193">
        <v>416014.13880000002</v>
      </c>
      <c r="M148" s="193">
        <v>616014.13879999996</v>
      </c>
      <c r="N148" s="193">
        <v>616014.13879999996</v>
      </c>
      <c r="O148" s="193">
        <v>1464056.5552000001</v>
      </c>
      <c r="P148" s="193">
        <v>21000</v>
      </c>
      <c r="Q148" s="193">
        <v>33000</v>
      </c>
      <c r="R148" s="193">
        <v>75000</v>
      </c>
      <c r="S148" s="193">
        <v>69170.745488</v>
      </c>
      <c r="T148" s="193">
        <v>0</v>
      </c>
      <c r="V148" s="193">
        <v>198170.74548799999</v>
      </c>
      <c r="W148" s="193">
        <v>12</v>
      </c>
      <c r="X148" s="193">
        <v>16514.228790666701</v>
      </c>
      <c r="Z148" s="193">
        <v>16514.228790666701</v>
      </c>
      <c r="AA148" s="193">
        <v>16512.68</v>
      </c>
      <c r="AB148" s="193">
        <v>1.5487906666676301</v>
      </c>
    </row>
    <row r="149" spans="1:28">
      <c r="A149" s="196">
        <v>128</v>
      </c>
      <c r="B149" s="193" t="s">
        <v>559</v>
      </c>
      <c r="C149" s="193">
        <v>176818.1</v>
      </c>
      <c r="D149" s="193">
        <v>12</v>
      </c>
      <c r="E149" s="193">
        <v>2121817.2000000002</v>
      </c>
      <c r="I149" s="193">
        <v>2121817.2000000002</v>
      </c>
      <c r="J149" s="193">
        <v>200000</v>
      </c>
      <c r="K149" s="193">
        <v>0.2</v>
      </c>
      <c r="L149" s="193">
        <v>424363.44</v>
      </c>
      <c r="M149" s="193">
        <v>624363.43999999994</v>
      </c>
      <c r="N149" s="193">
        <v>624363.43999999994</v>
      </c>
      <c r="O149" s="193">
        <v>1497453.76</v>
      </c>
      <c r="P149" s="193">
        <v>21000</v>
      </c>
      <c r="Q149" s="193">
        <v>33000</v>
      </c>
      <c r="R149" s="193">
        <v>75000</v>
      </c>
      <c r="S149" s="193">
        <v>75516.214399999997</v>
      </c>
      <c r="T149" s="193">
        <v>0</v>
      </c>
      <c r="V149" s="193">
        <v>204516.2144</v>
      </c>
      <c r="W149" s="193">
        <v>12</v>
      </c>
      <c r="X149" s="193">
        <v>17043.017866666702</v>
      </c>
      <c r="Z149" s="193">
        <v>17043.017866666702</v>
      </c>
      <c r="AA149" s="193">
        <v>16512.68</v>
      </c>
      <c r="AB149" s="193">
        <v>530.33786666666094</v>
      </c>
    </row>
    <row r="150" spans="1:28">
      <c r="A150" s="196">
        <v>129</v>
      </c>
      <c r="B150" s="193" t="s">
        <v>561</v>
      </c>
      <c r="C150" s="193">
        <v>176816.1</v>
      </c>
      <c r="D150" s="193">
        <v>12</v>
      </c>
      <c r="E150" s="193">
        <v>2121793.2000000002</v>
      </c>
      <c r="F150" s="193">
        <v>2715.04</v>
      </c>
      <c r="I150" s="193">
        <v>2119078.16</v>
      </c>
      <c r="J150" s="193">
        <v>200000</v>
      </c>
      <c r="K150" s="193">
        <v>0.2</v>
      </c>
      <c r="L150" s="193">
        <v>423815.63199999998</v>
      </c>
      <c r="M150" s="193">
        <v>623815.63199999998</v>
      </c>
      <c r="N150" s="193">
        <v>626530.67200000002</v>
      </c>
      <c r="O150" s="193">
        <v>1495262.5279999999</v>
      </c>
      <c r="P150" s="193">
        <v>21000</v>
      </c>
      <c r="Q150" s="193">
        <v>33000</v>
      </c>
      <c r="R150" s="193">
        <v>75000</v>
      </c>
      <c r="S150" s="193">
        <v>75099.880319999895</v>
      </c>
      <c r="T150" s="193">
        <v>0</v>
      </c>
      <c r="V150" s="193">
        <v>204099.88032</v>
      </c>
      <c r="W150" s="193">
        <v>12</v>
      </c>
      <c r="X150" s="193">
        <v>17008.323359999999</v>
      </c>
      <c r="Z150" s="193">
        <v>17008.323359999999</v>
      </c>
      <c r="AA150" s="193">
        <v>16512.68</v>
      </c>
      <c r="AB150" s="193">
        <v>495.64335999999503</v>
      </c>
    </row>
    <row r="151" spans="1:28">
      <c r="A151" s="196">
        <v>130</v>
      </c>
      <c r="B151" s="193" t="s">
        <v>564</v>
      </c>
      <c r="C151" s="193">
        <v>135590.73000000001</v>
      </c>
      <c r="D151" s="193">
        <v>12</v>
      </c>
      <c r="E151" s="193">
        <v>1627088.76</v>
      </c>
      <c r="I151" s="193">
        <v>1627088.76</v>
      </c>
      <c r="J151" s="193">
        <v>200000</v>
      </c>
      <c r="K151" s="193">
        <v>0.2</v>
      </c>
      <c r="L151" s="193">
        <v>325417.75199999998</v>
      </c>
      <c r="M151" s="193">
        <v>525417.75199999998</v>
      </c>
      <c r="N151" s="193">
        <v>525417.75199999998</v>
      </c>
      <c r="O151" s="193">
        <v>1101671.0079999999</v>
      </c>
      <c r="P151" s="193">
        <v>21000</v>
      </c>
      <c r="Q151" s="193">
        <v>33000</v>
      </c>
      <c r="R151" s="193">
        <v>75000</v>
      </c>
      <c r="S151" s="193">
        <v>317.49151999998401</v>
      </c>
      <c r="T151" s="193">
        <v>0</v>
      </c>
      <c r="V151" s="193">
        <v>129317.49152</v>
      </c>
      <c r="W151" s="193">
        <v>12</v>
      </c>
      <c r="X151" s="193">
        <v>10776.457626666701</v>
      </c>
      <c r="Z151" s="193">
        <v>10776.457626666701</v>
      </c>
      <c r="AA151" s="193">
        <v>9117.0499999999993</v>
      </c>
      <c r="AB151" s="193">
        <v>1659.40762666667</v>
      </c>
    </row>
    <row r="152" spans="1:28">
      <c r="A152" s="196">
        <v>131</v>
      </c>
      <c r="B152" s="193" t="s">
        <v>567</v>
      </c>
      <c r="C152" s="193">
        <v>138590.73000000001</v>
      </c>
      <c r="D152" s="193">
        <v>12</v>
      </c>
      <c r="E152" s="193">
        <v>1663088.76</v>
      </c>
      <c r="I152" s="193">
        <v>1663088.76</v>
      </c>
      <c r="J152" s="193">
        <v>200000</v>
      </c>
      <c r="K152" s="193">
        <v>0.2</v>
      </c>
      <c r="L152" s="193">
        <v>332617.75199999998</v>
      </c>
      <c r="M152" s="193">
        <v>532617.75199999998</v>
      </c>
      <c r="N152" s="193">
        <v>532617.75199999998</v>
      </c>
      <c r="O152" s="193">
        <v>1130471.0079999999</v>
      </c>
      <c r="P152" s="193">
        <v>21000</v>
      </c>
      <c r="Q152" s="193">
        <v>33000</v>
      </c>
      <c r="R152" s="193">
        <v>75000</v>
      </c>
      <c r="S152" s="193">
        <v>5789.4915199999796</v>
      </c>
      <c r="T152" s="193">
        <v>0</v>
      </c>
      <c r="V152" s="193">
        <v>134789.49152000001</v>
      </c>
      <c r="W152" s="193">
        <v>12</v>
      </c>
      <c r="X152" s="193">
        <v>11232.457626666701</v>
      </c>
      <c r="Z152" s="193">
        <v>11232.457626666701</v>
      </c>
      <c r="AA152" s="193">
        <v>9504.2000000000007</v>
      </c>
      <c r="AB152" s="193">
        <v>1728.2576266666599</v>
      </c>
    </row>
    <row r="153" spans="1:28">
      <c r="A153" s="196">
        <v>132</v>
      </c>
      <c r="B153" s="193" t="s">
        <v>568</v>
      </c>
      <c r="C153" s="193">
        <v>135590.73000000001</v>
      </c>
      <c r="D153" s="193">
        <v>12</v>
      </c>
      <c r="E153" s="193">
        <v>1627088.76</v>
      </c>
      <c r="I153" s="193">
        <v>1627088.76</v>
      </c>
      <c r="J153" s="193">
        <v>200000</v>
      </c>
      <c r="K153" s="193">
        <v>0.2</v>
      </c>
      <c r="L153" s="193">
        <v>325417.75199999998</v>
      </c>
      <c r="M153" s="193">
        <v>525417.75199999998</v>
      </c>
      <c r="N153" s="193">
        <v>525417.75199999998</v>
      </c>
      <c r="O153" s="193">
        <v>1101671.0079999999</v>
      </c>
      <c r="P153" s="193">
        <v>21000</v>
      </c>
      <c r="Q153" s="193">
        <v>33000</v>
      </c>
      <c r="R153" s="193">
        <v>75000</v>
      </c>
      <c r="S153" s="193">
        <v>317.49151999998401</v>
      </c>
      <c r="T153" s="193">
        <v>0</v>
      </c>
      <c r="V153" s="193">
        <v>129317.49152</v>
      </c>
      <c r="W153" s="193">
        <v>12</v>
      </c>
      <c r="X153" s="193">
        <v>10776.457626666701</v>
      </c>
      <c r="Z153" s="193">
        <v>10776.457626666701</v>
      </c>
      <c r="AA153" s="193">
        <v>9144.2000000000007</v>
      </c>
      <c r="AB153" s="193">
        <v>1632.2576266666599</v>
      </c>
    </row>
    <row r="154" spans="1:28">
      <c r="A154" s="196">
        <v>133</v>
      </c>
      <c r="B154" s="193" t="s">
        <v>767</v>
      </c>
      <c r="C154" s="193">
        <v>135590.73000000001</v>
      </c>
      <c r="D154" s="193">
        <v>12</v>
      </c>
      <c r="E154" s="193">
        <v>1627088.76</v>
      </c>
      <c r="I154" s="193">
        <v>1627088.76</v>
      </c>
      <c r="J154" s="193">
        <v>200000</v>
      </c>
      <c r="K154" s="193">
        <v>0.2</v>
      </c>
      <c r="L154" s="193">
        <v>325417.75199999998</v>
      </c>
      <c r="M154" s="193">
        <v>525417.75199999998</v>
      </c>
      <c r="N154" s="193">
        <v>525417.75199999998</v>
      </c>
      <c r="O154" s="193">
        <v>1101671.0079999999</v>
      </c>
      <c r="P154" s="193">
        <v>21000</v>
      </c>
      <c r="Q154" s="193">
        <v>33000</v>
      </c>
      <c r="R154" s="193">
        <v>75000</v>
      </c>
      <c r="S154" s="193">
        <v>317.49151999998401</v>
      </c>
      <c r="T154" s="193">
        <v>0</v>
      </c>
      <c r="V154" s="193">
        <v>129317.49152</v>
      </c>
      <c r="W154" s="193">
        <v>12</v>
      </c>
      <c r="X154" s="193">
        <v>10776.457626666701</v>
      </c>
      <c r="Z154" s="193">
        <v>10776.457626666701</v>
      </c>
      <c r="AA154" s="193">
        <v>9144.2000000000007</v>
      </c>
      <c r="AB154" s="193">
        <v>1632.2576266666599</v>
      </c>
    </row>
    <row r="155" spans="1:28">
      <c r="A155" s="196">
        <v>134</v>
      </c>
      <c r="B155" s="193" t="s">
        <v>569</v>
      </c>
      <c r="C155" s="193">
        <v>135590.73000000001</v>
      </c>
      <c r="D155" s="193">
        <v>12</v>
      </c>
      <c r="E155" s="193">
        <v>1627088.76</v>
      </c>
      <c r="F155" s="193">
        <v>2715.04</v>
      </c>
      <c r="I155" s="193">
        <v>1624373.72</v>
      </c>
      <c r="J155" s="193">
        <v>200000</v>
      </c>
      <c r="K155" s="193">
        <v>0.2</v>
      </c>
      <c r="L155" s="193">
        <v>324874.74400000001</v>
      </c>
      <c r="M155" s="193">
        <v>524874.74399999995</v>
      </c>
      <c r="N155" s="193">
        <v>527589.78399999999</v>
      </c>
      <c r="O155" s="193">
        <v>1099498.976</v>
      </c>
      <c r="P155" s="193">
        <v>21000</v>
      </c>
      <c r="Q155" s="193">
        <v>33000</v>
      </c>
      <c r="R155" s="193">
        <v>74924.846399999995</v>
      </c>
      <c r="S155" s="193">
        <v>0</v>
      </c>
      <c r="T155" s="193">
        <v>0</v>
      </c>
      <c r="V155" s="193">
        <v>128924.84639999999</v>
      </c>
      <c r="W155" s="193">
        <v>12</v>
      </c>
      <c r="X155" s="193">
        <v>10743.7372</v>
      </c>
      <c r="Z155" s="193">
        <v>10743.7372</v>
      </c>
      <c r="AA155" s="193">
        <v>9117.0499999999993</v>
      </c>
      <c r="AB155" s="193">
        <v>1626.6872000000001</v>
      </c>
    </row>
    <row r="156" spans="1:28">
      <c r="A156" s="196">
        <v>135</v>
      </c>
      <c r="B156" s="193" t="s">
        <v>570</v>
      </c>
      <c r="C156" s="193">
        <v>135590.73000000001</v>
      </c>
      <c r="D156" s="193">
        <v>12</v>
      </c>
      <c r="E156" s="193">
        <v>1627088.76</v>
      </c>
      <c r="I156" s="193">
        <v>1627088.76</v>
      </c>
      <c r="J156" s="193">
        <v>200000</v>
      </c>
      <c r="K156" s="193">
        <v>0.2</v>
      </c>
      <c r="L156" s="193">
        <v>325417.75199999998</v>
      </c>
      <c r="M156" s="193">
        <v>525417.75199999998</v>
      </c>
      <c r="N156" s="193">
        <v>525417.75199999998</v>
      </c>
      <c r="O156" s="193">
        <v>1101671.0079999999</v>
      </c>
      <c r="P156" s="193">
        <v>21000</v>
      </c>
      <c r="Q156" s="193">
        <v>33000</v>
      </c>
      <c r="R156" s="193">
        <v>75000</v>
      </c>
      <c r="S156" s="193">
        <v>317.49151999998401</v>
      </c>
      <c r="T156" s="193">
        <v>0</v>
      </c>
      <c r="V156" s="193">
        <v>129317.49152</v>
      </c>
      <c r="W156" s="193">
        <v>12</v>
      </c>
      <c r="X156" s="193">
        <v>10776.457626666701</v>
      </c>
      <c r="Z156" s="193">
        <v>10776.457626666701</v>
      </c>
      <c r="AA156" s="193">
        <v>9144.2000000000007</v>
      </c>
      <c r="AB156" s="193">
        <v>1632.2576266666599</v>
      </c>
    </row>
    <row r="157" spans="1:28">
      <c r="A157" s="196">
        <v>136</v>
      </c>
      <c r="B157" s="193" t="s">
        <v>571</v>
      </c>
      <c r="C157" s="193">
        <v>125035.03449999999</v>
      </c>
      <c r="D157" s="193">
        <v>12</v>
      </c>
      <c r="E157" s="193">
        <v>1500420.4140000001</v>
      </c>
      <c r="I157" s="193">
        <v>1500420.4140000001</v>
      </c>
      <c r="J157" s="193">
        <v>200000</v>
      </c>
      <c r="K157" s="193">
        <v>0.2</v>
      </c>
      <c r="L157" s="193">
        <v>300084.08279999997</v>
      </c>
      <c r="M157" s="193">
        <v>500084.08279999997</v>
      </c>
      <c r="N157" s="193">
        <v>500084.08279999997</v>
      </c>
      <c r="O157" s="193">
        <v>1000336.3312</v>
      </c>
      <c r="P157" s="193">
        <v>21000</v>
      </c>
      <c r="Q157" s="193">
        <v>33000</v>
      </c>
      <c r="R157" s="193">
        <v>60050.449679999998</v>
      </c>
      <c r="S157" s="193">
        <v>0</v>
      </c>
      <c r="T157" s="193">
        <v>0</v>
      </c>
      <c r="V157" s="193">
        <v>114050.44968000001</v>
      </c>
      <c r="W157" s="193">
        <v>12</v>
      </c>
      <c r="X157" s="193">
        <v>9504.2041399999998</v>
      </c>
      <c r="Z157" s="193">
        <v>9504.2041399999998</v>
      </c>
      <c r="AA157" s="193">
        <v>9152.6</v>
      </c>
      <c r="AB157" s="193">
        <v>351.60413999999901</v>
      </c>
    </row>
    <row r="158" spans="1:28">
      <c r="A158" s="196">
        <v>137</v>
      </c>
      <c r="B158" s="193" t="s">
        <v>573</v>
      </c>
      <c r="C158" s="193">
        <v>122035.03449999999</v>
      </c>
      <c r="D158" s="193">
        <v>12</v>
      </c>
      <c r="E158" s="193">
        <v>1464420.4140000001</v>
      </c>
      <c r="I158" s="193">
        <v>1464420.4140000001</v>
      </c>
      <c r="J158" s="193">
        <v>200000</v>
      </c>
      <c r="K158" s="193">
        <v>0.2</v>
      </c>
      <c r="L158" s="193">
        <v>292884.08279999997</v>
      </c>
      <c r="M158" s="193">
        <v>492884.08279999997</v>
      </c>
      <c r="N158" s="193">
        <v>492884.08279999997</v>
      </c>
      <c r="O158" s="193">
        <v>971536.33120000002</v>
      </c>
      <c r="P158" s="193">
        <v>21000</v>
      </c>
      <c r="Q158" s="193">
        <v>33000</v>
      </c>
      <c r="R158" s="193">
        <v>55730.449679999998</v>
      </c>
      <c r="S158" s="193">
        <v>0</v>
      </c>
      <c r="T158" s="193">
        <v>0</v>
      </c>
      <c r="V158" s="193">
        <v>109730.44968000001</v>
      </c>
      <c r="W158" s="193">
        <v>12</v>
      </c>
      <c r="X158" s="193">
        <v>9144.2041399999998</v>
      </c>
      <c r="Z158" s="193">
        <v>9144.2041399999998</v>
      </c>
      <c r="AA158" s="193">
        <v>8792.6</v>
      </c>
      <c r="AB158" s="193">
        <v>351.60413999999901</v>
      </c>
    </row>
    <row r="159" spans="1:28">
      <c r="A159" s="196">
        <v>138</v>
      </c>
      <c r="B159" s="193" t="s">
        <v>1220</v>
      </c>
      <c r="C159" s="193">
        <v>122035.03449999999</v>
      </c>
      <c r="D159" s="193">
        <v>12</v>
      </c>
      <c r="E159" s="193">
        <v>1464420.4140000001</v>
      </c>
      <c r="I159" s="193">
        <v>1464420.4140000001</v>
      </c>
      <c r="J159" s="193">
        <v>200000</v>
      </c>
      <c r="K159" s="193">
        <v>0.2</v>
      </c>
      <c r="L159" s="193">
        <v>292884.08279999997</v>
      </c>
      <c r="M159" s="193">
        <v>492884.08279999997</v>
      </c>
      <c r="N159" s="193">
        <v>492884.08279999997</v>
      </c>
      <c r="O159" s="193">
        <v>971536.33120000002</v>
      </c>
      <c r="P159" s="193">
        <v>21000</v>
      </c>
      <c r="Q159" s="193">
        <v>33000</v>
      </c>
      <c r="R159" s="193">
        <v>55730.449679999998</v>
      </c>
      <c r="S159" s="193">
        <v>0</v>
      </c>
      <c r="T159" s="193">
        <v>0</v>
      </c>
      <c r="V159" s="193">
        <v>109730.44968000001</v>
      </c>
      <c r="W159" s="193">
        <v>12</v>
      </c>
      <c r="X159" s="193">
        <v>9144.2041399999998</v>
      </c>
      <c r="Z159" s="193">
        <v>9144.2041399999998</v>
      </c>
      <c r="AA159" s="193">
        <v>8792.6</v>
      </c>
      <c r="AB159" s="193">
        <v>351.60413999999901</v>
      </c>
    </row>
    <row r="160" spans="1:28">
      <c r="A160" s="196">
        <v>139</v>
      </c>
      <c r="B160" s="193" t="s">
        <v>574</v>
      </c>
      <c r="C160" s="193">
        <v>125035.03449999999</v>
      </c>
      <c r="D160" s="193">
        <v>12</v>
      </c>
      <c r="E160" s="193">
        <v>1500420.4140000001</v>
      </c>
      <c r="I160" s="193">
        <v>1500420.4140000001</v>
      </c>
      <c r="J160" s="193">
        <v>200000</v>
      </c>
      <c r="K160" s="193">
        <v>0.2</v>
      </c>
      <c r="L160" s="193">
        <v>300084.08279999997</v>
      </c>
      <c r="M160" s="193">
        <v>500084.08279999997</v>
      </c>
      <c r="N160" s="193">
        <v>500084.08279999997</v>
      </c>
      <c r="O160" s="193">
        <v>1000336.3312</v>
      </c>
      <c r="P160" s="193">
        <v>21000</v>
      </c>
      <c r="Q160" s="193">
        <v>33000</v>
      </c>
      <c r="R160" s="193">
        <v>60050.449679999998</v>
      </c>
      <c r="S160" s="193">
        <v>0</v>
      </c>
      <c r="T160" s="193">
        <v>0</v>
      </c>
      <c r="V160" s="193">
        <v>114050.44968000001</v>
      </c>
      <c r="W160" s="193">
        <v>12</v>
      </c>
      <c r="X160" s="193">
        <v>9504.2041399999998</v>
      </c>
      <c r="Z160" s="193">
        <v>9504.2041399999998</v>
      </c>
      <c r="AA160" s="193">
        <v>9152.6</v>
      </c>
      <c r="AB160" s="193">
        <v>351.60413999999901</v>
      </c>
    </row>
    <row r="161" spans="1:28">
      <c r="A161" s="196">
        <v>140</v>
      </c>
      <c r="B161" s="193" t="s">
        <v>575</v>
      </c>
      <c r="C161" s="193">
        <v>122035.03449999999</v>
      </c>
      <c r="D161" s="193">
        <v>12</v>
      </c>
      <c r="E161" s="193">
        <v>1464420.4140000001</v>
      </c>
      <c r="I161" s="193">
        <v>1464420.4140000001</v>
      </c>
      <c r="J161" s="193">
        <v>200000</v>
      </c>
      <c r="K161" s="193">
        <v>0.2</v>
      </c>
      <c r="L161" s="193">
        <v>292884.08279999997</v>
      </c>
      <c r="M161" s="193">
        <v>492884.08279999997</v>
      </c>
      <c r="N161" s="193">
        <v>492884.08279999997</v>
      </c>
      <c r="O161" s="193">
        <v>971536.33120000002</v>
      </c>
      <c r="P161" s="193">
        <v>21000</v>
      </c>
      <c r="Q161" s="193">
        <v>33000</v>
      </c>
      <c r="R161" s="193">
        <v>55730.449679999998</v>
      </c>
      <c r="S161" s="193">
        <v>0</v>
      </c>
      <c r="T161" s="193">
        <v>0</v>
      </c>
      <c r="V161" s="193">
        <v>109730.44968000001</v>
      </c>
      <c r="W161" s="193">
        <v>12</v>
      </c>
      <c r="X161" s="193">
        <v>9144.2041399999998</v>
      </c>
      <c r="Z161" s="193">
        <v>9144.2041399999998</v>
      </c>
      <c r="AA161" s="193">
        <v>8792.6</v>
      </c>
      <c r="AB161" s="193">
        <v>351.60413999999901</v>
      </c>
    </row>
    <row r="162" spans="1:28">
      <c r="A162" s="196">
        <v>141</v>
      </c>
      <c r="B162" s="193" t="s">
        <v>576</v>
      </c>
      <c r="C162" s="193">
        <v>122035.03449999999</v>
      </c>
      <c r="D162" s="193">
        <v>12</v>
      </c>
      <c r="E162" s="193">
        <v>1464420.4140000001</v>
      </c>
      <c r="I162" s="193">
        <v>1464420.4140000001</v>
      </c>
      <c r="J162" s="193">
        <v>200000</v>
      </c>
      <c r="K162" s="193">
        <v>0.2</v>
      </c>
      <c r="L162" s="193">
        <v>292884.08279999997</v>
      </c>
      <c r="M162" s="193">
        <v>492884.08279999997</v>
      </c>
      <c r="N162" s="193">
        <v>492884.08279999997</v>
      </c>
      <c r="O162" s="193">
        <v>971536.33120000002</v>
      </c>
      <c r="P162" s="193">
        <v>21000</v>
      </c>
      <c r="Q162" s="193">
        <v>33000</v>
      </c>
      <c r="R162" s="193">
        <v>55730.449679999998</v>
      </c>
      <c r="S162" s="193">
        <v>0</v>
      </c>
      <c r="T162" s="193">
        <v>0</v>
      </c>
      <c r="V162" s="193">
        <v>109730.44968000001</v>
      </c>
      <c r="W162" s="193">
        <v>12</v>
      </c>
      <c r="X162" s="193">
        <v>9144.2041399999998</v>
      </c>
      <c r="Z162" s="193">
        <v>9144.2041399999998</v>
      </c>
      <c r="AA162" s="193">
        <v>8792.6</v>
      </c>
      <c r="AB162" s="193">
        <v>351.60413999999901</v>
      </c>
    </row>
    <row r="163" spans="1:28">
      <c r="A163" s="196">
        <v>142</v>
      </c>
      <c r="B163" s="193" t="s">
        <v>577</v>
      </c>
      <c r="C163" s="193">
        <v>125035.03449999999</v>
      </c>
      <c r="D163" s="193">
        <v>12</v>
      </c>
      <c r="E163" s="193">
        <v>1500420.4140000001</v>
      </c>
      <c r="I163" s="193">
        <v>1500420.4140000001</v>
      </c>
      <c r="J163" s="193">
        <v>200000</v>
      </c>
      <c r="K163" s="193">
        <v>0.2</v>
      </c>
      <c r="L163" s="193">
        <v>300084.08279999997</v>
      </c>
      <c r="M163" s="193">
        <v>500084.08279999997</v>
      </c>
      <c r="N163" s="193">
        <v>500084.08279999997</v>
      </c>
      <c r="O163" s="193">
        <v>1000336.3312</v>
      </c>
      <c r="P163" s="193">
        <v>21000</v>
      </c>
      <c r="Q163" s="193">
        <v>33000</v>
      </c>
      <c r="R163" s="193">
        <v>60050.449679999998</v>
      </c>
      <c r="S163" s="193">
        <v>0</v>
      </c>
      <c r="T163" s="193">
        <v>0</v>
      </c>
      <c r="V163" s="193">
        <v>114050.44968000001</v>
      </c>
      <c r="W163" s="193">
        <v>12</v>
      </c>
      <c r="X163" s="193">
        <v>9504.2041399999998</v>
      </c>
      <c r="Z163" s="193">
        <v>9504.2041399999998</v>
      </c>
      <c r="AA163" s="193">
        <v>9152.6</v>
      </c>
      <c r="AB163" s="193">
        <v>351.60413999999901</v>
      </c>
    </row>
    <row r="164" spans="1:28">
      <c r="A164" s="196">
        <v>143</v>
      </c>
      <c r="B164" s="193" t="s">
        <v>578</v>
      </c>
      <c r="C164" s="193">
        <v>81803.001000000004</v>
      </c>
      <c r="D164" s="193">
        <v>12</v>
      </c>
      <c r="E164" s="193">
        <v>981636.01199999999</v>
      </c>
      <c r="I164" s="193">
        <v>981636.01199999999</v>
      </c>
      <c r="J164" s="193">
        <v>200000</v>
      </c>
      <c r="K164" s="193">
        <v>0.2</v>
      </c>
      <c r="L164" s="193">
        <v>196327.20240000001</v>
      </c>
      <c r="M164" s="193">
        <v>396327.20240000001</v>
      </c>
      <c r="N164" s="193">
        <v>396327.20240000001</v>
      </c>
      <c r="O164" s="193">
        <v>585308.80960000004</v>
      </c>
      <c r="P164" s="193">
        <v>21000</v>
      </c>
      <c r="Q164" s="193">
        <v>31383.969056000002</v>
      </c>
      <c r="R164" s="193">
        <v>0</v>
      </c>
      <c r="S164" s="193">
        <v>0</v>
      </c>
      <c r="T164" s="193">
        <v>0</v>
      </c>
      <c r="V164" s="193">
        <v>52383.969056000002</v>
      </c>
      <c r="W164" s="193">
        <v>12</v>
      </c>
      <c r="X164" s="193">
        <v>4365.3307546666701</v>
      </c>
      <c r="Z164" s="193">
        <v>4365.3307546666701</v>
      </c>
      <c r="AA164" s="193">
        <v>4227.5200000000004</v>
      </c>
      <c r="AB164" s="193">
        <v>137.810754666668</v>
      </c>
    </row>
    <row r="165" spans="1:28">
      <c r="A165" s="196">
        <v>144</v>
      </c>
      <c r="B165" s="193" t="s">
        <v>581</v>
      </c>
      <c r="C165" s="193">
        <v>81803.001000000004</v>
      </c>
      <c r="D165" s="193">
        <v>12</v>
      </c>
      <c r="E165" s="193">
        <v>981636.01199999999</v>
      </c>
      <c r="I165" s="193">
        <v>981636.01199999999</v>
      </c>
      <c r="J165" s="193">
        <v>200000</v>
      </c>
      <c r="K165" s="193">
        <v>0.2</v>
      </c>
      <c r="L165" s="193">
        <v>196327.20240000001</v>
      </c>
      <c r="M165" s="193">
        <v>396327.20240000001</v>
      </c>
      <c r="N165" s="193">
        <v>396327.20240000001</v>
      </c>
      <c r="O165" s="193">
        <v>585308.80960000004</v>
      </c>
      <c r="P165" s="193">
        <v>21000</v>
      </c>
      <c r="Q165" s="193">
        <v>31383.969056000002</v>
      </c>
      <c r="R165" s="193">
        <v>0</v>
      </c>
      <c r="S165" s="193">
        <v>0</v>
      </c>
      <c r="T165" s="193">
        <v>0</v>
      </c>
      <c r="V165" s="193">
        <v>52383.969056000002</v>
      </c>
      <c r="W165" s="193">
        <v>12</v>
      </c>
      <c r="X165" s="193">
        <v>4365.3307546666701</v>
      </c>
      <c r="Z165" s="193">
        <v>4365.3307546666701</v>
      </c>
      <c r="AA165" s="193">
        <v>4227.5200000000004</v>
      </c>
      <c r="AB165" s="193">
        <v>137.810754666668</v>
      </c>
    </row>
    <row r="166" spans="1:28">
      <c r="A166" s="196">
        <v>145</v>
      </c>
      <c r="B166" s="193" t="s">
        <v>582</v>
      </c>
      <c r="C166" s="193">
        <v>83370.091</v>
      </c>
      <c r="D166" s="193">
        <v>12</v>
      </c>
      <c r="E166" s="193">
        <v>1000441.0919999999</v>
      </c>
      <c r="I166" s="193">
        <v>1000441.0919999999</v>
      </c>
      <c r="J166" s="193">
        <v>200000</v>
      </c>
      <c r="K166" s="193">
        <v>0.2</v>
      </c>
      <c r="L166" s="193">
        <v>200088.21840000001</v>
      </c>
      <c r="M166" s="193">
        <v>400088.21840000001</v>
      </c>
      <c r="N166" s="193">
        <v>400088.21840000001</v>
      </c>
      <c r="O166" s="193">
        <v>600352.87360000005</v>
      </c>
      <c r="P166" s="193">
        <v>21000</v>
      </c>
      <c r="Q166" s="193">
        <v>33000</v>
      </c>
      <c r="R166" s="193">
        <v>52.931039999989999</v>
      </c>
      <c r="S166" s="193">
        <v>0</v>
      </c>
      <c r="T166" s="193">
        <v>0</v>
      </c>
      <c r="V166" s="193">
        <v>54052.931040000003</v>
      </c>
      <c r="W166" s="193">
        <v>12</v>
      </c>
      <c r="X166" s="193">
        <v>4504.4109200000003</v>
      </c>
      <c r="Z166" s="193">
        <v>4504.4109200000003</v>
      </c>
      <c r="AA166" s="193">
        <v>4365.33</v>
      </c>
      <c r="AB166" s="193">
        <v>139.080919999999</v>
      </c>
    </row>
    <row r="167" spans="1:28">
      <c r="A167" s="196">
        <v>146</v>
      </c>
      <c r="B167" s="193" t="s">
        <v>584</v>
      </c>
      <c r="C167" s="193">
        <v>80237.012000000002</v>
      </c>
      <c r="D167" s="193">
        <v>12</v>
      </c>
      <c r="E167" s="193">
        <v>962844.14399999997</v>
      </c>
      <c r="I167" s="193">
        <v>962844.14399999997</v>
      </c>
      <c r="J167" s="193">
        <v>200000</v>
      </c>
      <c r="K167" s="193">
        <v>0.2</v>
      </c>
      <c r="L167" s="193">
        <v>192568.82879999999</v>
      </c>
      <c r="M167" s="193">
        <v>392568.82880000002</v>
      </c>
      <c r="N167" s="193">
        <v>392568.82880000002</v>
      </c>
      <c r="O167" s="193">
        <v>570275.31519999995</v>
      </c>
      <c r="P167" s="193">
        <v>21000</v>
      </c>
      <c r="Q167" s="193">
        <v>29730.284672000002</v>
      </c>
      <c r="R167" s="193">
        <v>0</v>
      </c>
      <c r="S167" s="193">
        <v>0</v>
      </c>
      <c r="T167" s="193">
        <v>0</v>
      </c>
      <c r="V167" s="193">
        <v>50730.284672000002</v>
      </c>
      <c r="W167" s="193">
        <v>12</v>
      </c>
      <c r="X167" s="193">
        <v>4227.5237226666704</v>
      </c>
      <c r="Z167" s="193">
        <v>4227.5237226666704</v>
      </c>
      <c r="AA167" s="193">
        <v>4089.72</v>
      </c>
      <c r="AB167" s="193">
        <v>137.80372266666799</v>
      </c>
    </row>
    <row r="168" spans="1:28">
      <c r="A168" s="196">
        <v>147</v>
      </c>
      <c r="B168" s="193" t="s">
        <v>587</v>
      </c>
      <c r="C168" s="193">
        <v>78671.023000000001</v>
      </c>
      <c r="D168" s="193">
        <v>12</v>
      </c>
      <c r="E168" s="193">
        <v>944052.27599999995</v>
      </c>
      <c r="I168" s="193">
        <v>944052.27599999995</v>
      </c>
      <c r="J168" s="193">
        <v>200000</v>
      </c>
      <c r="K168" s="193">
        <v>0.2</v>
      </c>
      <c r="L168" s="193">
        <v>188810.4552</v>
      </c>
      <c r="M168" s="193">
        <v>388810.45520000003</v>
      </c>
      <c r="N168" s="193">
        <v>388810.45520000003</v>
      </c>
      <c r="O168" s="193">
        <v>555241.82079999999</v>
      </c>
      <c r="P168" s="193">
        <v>21000</v>
      </c>
      <c r="Q168" s="193">
        <v>28076.600288000001</v>
      </c>
      <c r="R168" s="193">
        <v>0</v>
      </c>
      <c r="S168" s="193">
        <v>0</v>
      </c>
      <c r="T168" s="193">
        <v>0</v>
      </c>
      <c r="V168" s="193">
        <v>49076.600288000001</v>
      </c>
      <c r="W168" s="193">
        <v>12</v>
      </c>
      <c r="X168" s="193">
        <v>4089.7166906666698</v>
      </c>
      <c r="Z168" s="193">
        <v>4089.7166906666698</v>
      </c>
      <c r="AA168" s="193">
        <v>3951.8</v>
      </c>
      <c r="AB168" s="193">
        <v>137.91669066666799</v>
      </c>
    </row>
    <row r="169" spans="1:28">
      <c r="A169" s="196">
        <v>148</v>
      </c>
      <c r="B169" s="193" t="s">
        <v>590</v>
      </c>
      <c r="C169" s="193">
        <v>75671.023000000001</v>
      </c>
      <c r="D169" s="193">
        <v>12</v>
      </c>
      <c r="E169" s="193">
        <v>908052.27599999995</v>
      </c>
      <c r="I169" s="193">
        <v>908052.27599999995</v>
      </c>
      <c r="J169" s="193">
        <v>200000</v>
      </c>
      <c r="K169" s="193">
        <v>0.2</v>
      </c>
      <c r="L169" s="193">
        <v>181610.4552</v>
      </c>
      <c r="M169" s="193">
        <v>381610.45520000003</v>
      </c>
      <c r="N169" s="193">
        <v>381610.45520000003</v>
      </c>
      <c r="O169" s="193">
        <v>526441.82079999999</v>
      </c>
      <c r="P169" s="193">
        <v>21000</v>
      </c>
      <c r="Q169" s="193">
        <v>24908.600288000001</v>
      </c>
      <c r="R169" s="193">
        <v>0</v>
      </c>
      <c r="S169" s="193">
        <v>0</v>
      </c>
      <c r="T169" s="193">
        <v>0</v>
      </c>
      <c r="V169" s="193">
        <v>45908.600288000001</v>
      </c>
      <c r="W169" s="193">
        <v>12</v>
      </c>
      <c r="X169" s="193">
        <v>3825.7166906666698</v>
      </c>
      <c r="Z169" s="193">
        <v>3825.7166906666698</v>
      </c>
      <c r="AA169" s="193">
        <v>3687.8</v>
      </c>
      <c r="AB169" s="193">
        <v>137.91669066666799</v>
      </c>
    </row>
    <row r="170" spans="1:28">
      <c r="A170" s="196">
        <v>149</v>
      </c>
      <c r="B170" s="193" t="s">
        <v>591</v>
      </c>
      <c r="C170" s="193">
        <v>78671.023000000001</v>
      </c>
      <c r="D170" s="193">
        <v>12</v>
      </c>
      <c r="E170" s="193">
        <v>944052.27599999995</v>
      </c>
      <c r="I170" s="193">
        <v>944052.27599999995</v>
      </c>
      <c r="J170" s="193">
        <v>200000</v>
      </c>
      <c r="K170" s="193">
        <v>0.2</v>
      </c>
      <c r="L170" s="193">
        <v>188810.4552</v>
      </c>
      <c r="M170" s="193">
        <v>388810.45520000003</v>
      </c>
      <c r="N170" s="193">
        <v>388810.45520000003</v>
      </c>
      <c r="O170" s="193">
        <v>555241.82079999999</v>
      </c>
      <c r="P170" s="193">
        <v>21000</v>
      </c>
      <c r="Q170" s="193">
        <v>28076.600288000001</v>
      </c>
      <c r="R170" s="193">
        <v>0</v>
      </c>
      <c r="S170" s="193">
        <v>0</v>
      </c>
      <c r="T170" s="193">
        <v>0</v>
      </c>
      <c r="V170" s="193">
        <v>49076.600288000001</v>
      </c>
      <c r="W170" s="193">
        <v>12</v>
      </c>
      <c r="X170" s="193">
        <v>4089.7166906666698</v>
      </c>
      <c r="Z170" s="193">
        <v>4089.7166906666698</v>
      </c>
      <c r="AA170" s="193">
        <v>3951.8</v>
      </c>
      <c r="AB170" s="193">
        <v>137.91669066666799</v>
      </c>
    </row>
    <row r="171" spans="1:28">
      <c r="A171" s="196">
        <v>150</v>
      </c>
      <c r="B171" s="193" t="s">
        <v>592</v>
      </c>
      <c r="C171" s="193">
        <v>75671.023000000001</v>
      </c>
      <c r="D171" s="193">
        <v>12</v>
      </c>
      <c r="E171" s="193">
        <v>908052.27599999995</v>
      </c>
      <c r="I171" s="193">
        <v>908052.27599999995</v>
      </c>
      <c r="J171" s="193">
        <v>200000</v>
      </c>
      <c r="K171" s="193">
        <v>0.2</v>
      </c>
      <c r="L171" s="193">
        <v>181610.4552</v>
      </c>
      <c r="M171" s="193">
        <v>381610.45520000003</v>
      </c>
      <c r="N171" s="193">
        <v>381610.45520000003</v>
      </c>
      <c r="O171" s="193">
        <v>526441.82079999999</v>
      </c>
      <c r="P171" s="193">
        <v>21000</v>
      </c>
      <c r="Q171" s="193">
        <v>24908.600288000001</v>
      </c>
      <c r="R171" s="193">
        <v>0</v>
      </c>
      <c r="S171" s="193">
        <v>0</v>
      </c>
      <c r="T171" s="193">
        <v>0</v>
      </c>
      <c r="V171" s="193">
        <v>45908.600288000001</v>
      </c>
      <c r="W171" s="193">
        <v>12</v>
      </c>
      <c r="X171" s="193">
        <v>3825.7166906666698</v>
      </c>
      <c r="Z171" s="193">
        <v>3825.7166906666698</v>
      </c>
      <c r="AA171" s="193">
        <v>3687.8</v>
      </c>
      <c r="AB171" s="193">
        <v>137.91669066666799</v>
      </c>
    </row>
    <row r="172" spans="1:28">
      <c r="A172" s="196">
        <v>151</v>
      </c>
      <c r="B172" s="193" t="s">
        <v>593</v>
      </c>
      <c r="C172" s="193">
        <v>78671.023000000001</v>
      </c>
      <c r="D172" s="193">
        <v>12</v>
      </c>
      <c r="E172" s="193">
        <v>944052.27599999995</v>
      </c>
      <c r="I172" s="193">
        <v>944052.27599999995</v>
      </c>
      <c r="J172" s="193">
        <v>200000</v>
      </c>
      <c r="K172" s="193">
        <v>0.2</v>
      </c>
      <c r="L172" s="193">
        <v>188810.4552</v>
      </c>
      <c r="M172" s="193">
        <v>388810.45520000003</v>
      </c>
      <c r="N172" s="193">
        <v>388810.45520000003</v>
      </c>
      <c r="O172" s="193">
        <v>555241.82079999999</v>
      </c>
      <c r="P172" s="193">
        <v>21000</v>
      </c>
      <c r="Q172" s="193">
        <v>28076.600288000001</v>
      </c>
      <c r="R172" s="193">
        <v>0</v>
      </c>
      <c r="S172" s="193">
        <v>0</v>
      </c>
      <c r="T172" s="193">
        <v>0</v>
      </c>
      <c r="V172" s="193">
        <v>49076.600288000001</v>
      </c>
      <c r="W172" s="193">
        <v>12</v>
      </c>
      <c r="X172" s="193">
        <v>4089.7166906666698</v>
      </c>
      <c r="Z172" s="193">
        <v>4089.7166906666698</v>
      </c>
      <c r="AA172" s="193">
        <v>3951.8</v>
      </c>
      <c r="AB172" s="193">
        <v>137.91669066666799</v>
      </c>
    </row>
    <row r="173" spans="1:28">
      <c r="A173" s="196">
        <v>152</v>
      </c>
      <c r="B173" s="193" t="s">
        <v>594</v>
      </c>
      <c r="C173" s="193">
        <v>75671.023000000001</v>
      </c>
      <c r="D173" s="193">
        <v>12</v>
      </c>
      <c r="E173" s="193">
        <v>908052.27599999995</v>
      </c>
      <c r="I173" s="193">
        <v>908052.27599999995</v>
      </c>
      <c r="J173" s="193">
        <v>200000</v>
      </c>
      <c r="K173" s="193">
        <v>0.2</v>
      </c>
      <c r="L173" s="193">
        <v>181610.4552</v>
      </c>
      <c r="M173" s="193">
        <v>381610.45520000003</v>
      </c>
      <c r="N173" s="193">
        <v>381610.45520000003</v>
      </c>
      <c r="O173" s="193">
        <v>526441.82079999999</v>
      </c>
      <c r="P173" s="193">
        <v>21000</v>
      </c>
      <c r="Q173" s="193">
        <v>24908.600288000001</v>
      </c>
      <c r="R173" s="193">
        <v>0</v>
      </c>
      <c r="S173" s="193">
        <v>0</v>
      </c>
      <c r="T173" s="193">
        <v>0</v>
      </c>
      <c r="V173" s="193">
        <v>45908.600288000001</v>
      </c>
      <c r="W173" s="193">
        <v>12</v>
      </c>
      <c r="X173" s="193">
        <v>3825.7166906666698</v>
      </c>
      <c r="Z173" s="193">
        <v>3825.7166906666698</v>
      </c>
      <c r="AA173" s="193">
        <v>3687.8</v>
      </c>
      <c r="AB173" s="193">
        <v>137.91669066666799</v>
      </c>
    </row>
    <row r="174" spans="1:28">
      <c r="A174" s="196">
        <v>153</v>
      </c>
      <c r="B174" s="193" t="s">
        <v>595</v>
      </c>
      <c r="C174" s="193">
        <v>78671.023000000001</v>
      </c>
      <c r="D174" s="193">
        <v>12</v>
      </c>
      <c r="E174" s="193">
        <v>944052.27599999995</v>
      </c>
      <c r="I174" s="193">
        <v>944052.27599999995</v>
      </c>
      <c r="J174" s="193">
        <v>200000</v>
      </c>
      <c r="K174" s="193">
        <v>0.2</v>
      </c>
      <c r="L174" s="193">
        <v>188810.4552</v>
      </c>
      <c r="M174" s="193">
        <v>388810.45520000003</v>
      </c>
      <c r="N174" s="193">
        <v>388810.45520000003</v>
      </c>
      <c r="O174" s="193">
        <v>555241.82079999999</v>
      </c>
      <c r="P174" s="193">
        <v>21000</v>
      </c>
      <c r="Q174" s="193">
        <v>28076.600288000001</v>
      </c>
      <c r="R174" s="193">
        <v>0</v>
      </c>
      <c r="S174" s="193">
        <v>0</v>
      </c>
      <c r="T174" s="193">
        <v>0</v>
      </c>
      <c r="V174" s="193">
        <v>49076.600288000001</v>
      </c>
      <c r="W174" s="193">
        <v>12</v>
      </c>
      <c r="X174" s="193">
        <v>4089.7166906666698</v>
      </c>
      <c r="Z174" s="193">
        <v>4089.7166906666698</v>
      </c>
      <c r="AA174" s="193">
        <v>3951.8</v>
      </c>
      <c r="AB174" s="193">
        <v>137.91669066666799</v>
      </c>
    </row>
    <row r="175" spans="1:28">
      <c r="A175" s="196">
        <v>154</v>
      </c>
      <c r="B175" s="193" t="s">
        <v>596</v>
      </c>
      <c r="C175" s="193">
        <v>78671.023000000001</v>
      </c>
      <c r="D175" s="193">
        <v>12</v>
      </c>
      <c r="E175" s="193">
        <v>944052.27599999995</v>
      </c>
      <c r="I175" s="193">
        <v>944052.27599999995</v>
      </c>
      <c r="J175" s="193">
        <v>200000</v>
      </c>
      <c r="K175" s="193">
        <v>0.2</v>
      </c>
      <c r="L175" s="193">
        <v>188810.4552</v>
      </c>
      <c r="M175" s="193">
        <v>388810.45520000003</v>
      </c>
      <c r="N175" s="193">
        <v>388810.45520000003</v>
      </c>
      <c r="O175" s="193">
        <v>555241.82079999999</v>
      </c>
      <c r="P175" s="193">
        <v>21000</v>
      </c>
      <c r="Q175" s="193">
        <v>28076.600288000001</v>
      </c>
      <c r="R175" s="193">
        <v>0</v>
      </c>
      <c r="S175" s="193">
        <v>0</v>
      </c>
      <c r="T175" s="193">
        <v>0</v>
      </c>
      <c r="V175" s="193">
        <v>49076.600288000001</v>
      </c>
      <c r="W175" s="193">
        <v>12</v>
      </c>
      <c r="X175" s="193">
        <v>4089.7166906666698</v>
      </c>
      <c r="Z175" s="193">
        <v>4089.7166906666698</v>
      </c>
      <c r="AA175" s="193">
        <v>3951.8</v>
      </c>
      <c r="AB175" s="193">
        <v>137.91669066666799</v>
      </c>
    </row>
    <row r="176" spans="1:28">
      <c r="A176" s="196">
        <v>155</v>
      </c>
      <c r="B176" s="193" t="s">
        <v>597</v>
      </c>
      <c r="C176" s="193">
        <v>78671.023000000001</v>
      </c>
      <c r="D176" s="193">
        <v>12</v>
      </c>
      <c r="E176" s="193">
        <v>944052.27599999995</v>
      </c>
      <c r="I176" s="193">
        <v>944052.27599999995</v>
      </c>
      <c r="J176" s="193">
        <v>200000</v>
      </c>
      <c r="K176" s="193">
        <v>0.2</v>
      </c>
      <c r="L176" s="193">
        <v>188810.4552</v>
      </c>
      <c r="M176" s="193">
        <v>388810.45520000003</v>
      </c>
      <c r="N176" s="193">
        <v>388810.45520000003</v>
      </c>
      <c r="O176" s="193">
        <v>555241.82079999999</v>
      </c>
      <c r="P176" s="193">
        <v>21000</v>
      </c>
      <c r="Q176" s="193">
        <v>28076.600288000001</v>
      </c>
      <c r="R176" s="193">
        <v>0</v>
      </c>
      <c r="S176" s="193">
        <v>0</v>
      </c>
      <c r="T176" s="193">
        <v>0</v>
      </c>
      <c r="V176" s="193">
        <v>49076.600288000001</v>
      </c>
      <c r="W176" s="193">
        <v>12</v>
      </c>
      <c r="X176" s="193">
        <v>4089.7166906666698</v>
      </c>
      <c r="Z176" s="193">
        <v>4089.7166906666698</v>
      </c>
      <c r="AA176" s="193">
        <v>3951.8</v>
      </c>
      <c r="AB176" s="193">
        <v>137.91669066666799</v>
      </c>
    </row>
    <row r="177" spans="1:28">
      <c r="A177" s="196">
        <v>156</v>
      </c>
      <c r="B177" s="193" t="s">
        <v>598</v>
      </c>
      <c r="C177" s="193">
        <v>67025.061499999996</v>
      </c>
      <c r="D177" s="193">
        <v>12</v>
      </c>
      <c r="E177" s="193">
        <v>804300.73800000001</v>
      </c>
      <c r="I177" s="193">
        <v>804300.73800000001</v>
      </c>
      <c r="J177" s="193">
        <v>200000</v>
      </c>
      <c r="K177" s="193">
        <v>0.2</v>
      </c>
      <c r="L177" s="193">
        <v>160860.1476</v>
      </c>
      <c r="M177" s="193">
        <v>360860.14760000003</v>
      </c>
      <c r="N177" s="193">
        <v>360860.14760000003</v>
      </c>
      <c r="O177" s="193">
        <v>443440.59039999999</v>
      </c>
      <c r="P177" s="193">
        <v>21000</v>
      </c>
      <c r="Q177" s="193">
        <v>15778.464943999999</v>
      </c>
      <c r="R177" s="193">
        <v>0</v>
      </c>
      <c r="S177" s="193">
        <v>0</v>
      </c>
      <c r="T177" s="193">
        <v>0</v>
      </c>
      <c r="V177" s="193">
        <v>36778.464943999999</v>
      </c>
      <c r="W177" s="193">
        <v>12</v>
      </c>
      <c r="X177" s="193">
        <v>3064.8720786666699</v>
      </c>
      <c r="Z177" s="193">
        <v>3064.8720786666699</v>
      </c>
      <c r="AA177" s="193">
        <v>3183.66</v>
      </c>
      <c r="AB177" s="193">
        <v>-118.787921333334</v>
      </c>
    </row>
    <row r="178" spans="1:28">
      <c r="A178" s="196">
        <v>157</v>
      </c>
      <c r="B178" s="193" t="s">
        <v>600</v>
      </c>
      <c r="C178" s="193">
        <v>67328.070250000004</v>
      </c>
      <c r="D178" s="193">
        <v>12</v>
      </c>
      <c r="E178" s="193">
        <v>807936.84299999999</v>
      </c>
      <c r="I178" s="193">
        <v>807936.84299999999</v>
      </c>
      <c r="J178" s="193">
        <v>200000</v>
      </c>
      <c r="K178" s="193">
        <v>0.2</v>
      </c>
      <c r="L178" s="193">
        <v>161587.36859999999</v>
      </c>
      <c r="M178" s="193">
        <v>361587.36859999999</v>
      </c>
      <c r="N178" s="193">
        <v>361587.36859999999</v>
      </c>
      <c r="O178" s="193">
        <v>446349.47440000001</v>
      </c>
      <c r="P178" s="193">
        <v>21000</v>
      </c>
      <c r="Q178" s="193">
        <v>16098.442184</v>
      </c>
      <c r="R178" s="193">
        <v>0</v>
      </c>
      <c r="S178" s="193">
        <v>0</v>
      </c>
      <c r="T178" s="193">
        <v>0</v>
      </c>
      <c r="V178" s="193">
        <v>37098.442184</v>
      </c>
      <c r="W178" s="193">
        <v>12</v>
      </c>
      <c r="X178" s="193">
        <v>3091.5368486666698</v>
      </c>
      <c r="Z178" s="193">
        <v>3091.5368486666698</v>
      </c>
      <c r="AA178" s="193">
        <v>2972.91</v>
      </c>
      <c r="AB178" s="193">
        <v>118.626848666667</v>
      </c>
    </row>
    <row r="179" spans="1:28">
      <c r="A179" s="196"/>
      <c r="Z179" s="193">
        <v>8914137.5402293094</v>
      </c>
    </row>
    <row r="180" spans="1:28">
      <c r="Z180" s="193">
        <v>1553125.5702293101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5"/>
  <sheetViews>
    <sheetView view="pageBreakPreview" zoomScaleNormal="100" workbookViewId="0">
      <pane xSplit="3" ySplit="9" topLeftCell="E36" activePane="bottomRight" state="frozen"/>
      <selection pane="topRight"/>
      <selection pane="bottomLeft"/>
      <selection pane="bottomRight" activeCell="C43" sqref="C43"/>
    </sheetView>
  </sheetViews>
  <sheetFormatPr defaultColWidth="9.140625" defaultRowHeight="20.100000000000001" customHeight="1"/>
  <cols>
    <col min="1" max="1" width="5.42578125" style="45" customWidth="1"/>
    <col min="2" max="2" width="41.85546875" style="45" customWidth="1"/>
    <col min="3" max="3" width="41.28515625" style="45" customWidth="1"/>
    <col min="4" max="4" width="14.85546875" style="45" customWidth="1"/>
    <col min="5" max="5" width="18.5703125" style="45" customWidth="1"/>
    <col min="6" max="6" width="18.28515625" style="45" customWidth="1"/>
    <col min="7" max="7" width="19.7109375" style="45" customWidth="1"/>
    <col min="8" max="8" width="18.28515625" style="45" customWidth="1"/>
    <col min="9" max="16384" width="9.140625" style="45"/>
  </cols>
  <sheetData>
    <row r="1" spans="1:12" ht="29.25" customHeight="1">
      <c r="B1" s="93"/>
      <c r="C1" s="93"/>
      <c r="D1" s="93"/>
      <c r="E1" s="93"/>
      <c r="L1" s="45" t="s">
        <v>23</v>
      </c>
    </row>
    <row r="2" spans="1:12" ht="5.25" customHeight="1">
      <c r="F2" s="138"/>
      <c r="G2" s="138"/>
    </row>
    <row r="3" spans="1:12" ht="20.100000000000001" customHeight="1">
      <c r="A3" s="94"/>
      <c r="B3" s="870" t="s">
        <v>1247</v>
      </c>
      <c r="C3" s="870"/>
      <c r="D3" s="870"/>
      <c r="E3" s="95"/>
      <c r="F3" s="139"/>
      <c r="G3" s="139"/>
    </row>
    <row r="4" spans="1:12" ht="2.25" customHeight="1">
      <c r="A4" s="94"/>
      <c r="B4" s="94"/>
      <c r="C4" s="94"/>
      <c r="D4" s="94"/>
      <c r="E4" s="94"/>
      <c r="F4" s="140"/>
      <c r="G4" s="140"/>
    </row>
    <row r="5" spans="1:12" ht="20.100000000000001" customHeight="1">
      <c r="A5" s="94"/>
      <c r="B5" s="95" t="s">
        <v>2</v>
      </c>
      <c r="C5" s="98"/>
      <c r="D5" s="98"/>
      <c r="E5" s="98"/>
      <c r="F5" s="871"/>
      <c r="G5" s="871"/>
    </row>
    <row r="6" spans="1:12" ht="26.45" customHeight="1">
      <c r="A6" s="100"/>
      <c r="B6" s="101"/>
      <c r="C6" s="101" t="s">
        <v>3</v>
      </c>
      <c r="D6" s="101" t="s">
        <v>1248</v>
      </c>
      <c r="E6" s="101"/>
      <c r="F6" s="103"/>
      <c r="G6" s="103"/>
    </row>
    <row r="7" spans="1:12" ht="37.15" customHeight="1">
      <c r="A7" s="100"/>
      <c r="B7" s="126"/>
      <c r="C7" s="101"/>
      <c r="D7" s="101" t="s">
        <v>1249</v>
      </c>
      <c r="E7" s="104" t="s">
        <v>1250</v>
      </c>
      <c r="F7" s="104" t="s">
        <v>1251</v>
      </c>
      <c r="G7" s="102" t="s">
        <v>616</v>
      </c>
    </row>
    <row r="8" spans="1:12" ht="20.100000000000001" customHeight="1">
      <c r="A8" s="105" t="s">
        <v>21</v>
      </c>
      <c r="B8" s="162" t="s">
        <v>22</v>
      </c>
      <c r="C8" s="106"/>
      <c r="D8" s="106"/>
      <c r="E8" s="107" t="s">
        <v>20</v>
      </c>
      <c r="F8" s="107" t="s">
        <v>20</v>
      </c>
      <c r="G8" s="107" t="s">
        <v>20</v>
      </c>
    </row>
    <row r="9" spans="1:12" ht="20.100000000000001" customHeight="1">
      <c r="A9" s="108">
        <v>1</v>
      </c>
      <c r="B9" s="163" t="s">
        <v>345</v>
      </c>
      <c r="C9" s="111" t="s">
        <v>346</v>
      </c>
      <c r="D9" s="111" t="s">
        <v>347</v>
      </c>
      <c r="E9" s="164">
        <v>113176.97</v>
      </c>
      <c r="F9" s="112">
        <f>201165.84</f>
        <v>201165.84</v>
      </c>
      <c r="G9" s="112">
        <f>F9-E9</f>
        <v>87988.87</v>
      </c>
      <c r="H9" s="145"/>
    </row>
    <row r="10" spans="1:12" ht="20.100000000000001" customHeight="1">
      <c r="A10" s="108">
        <v>2</v>
      </c>
      <c r="B10" s="163" t="s">
        <v>1252</v>
      </c>
      <c r="C10" s="111" t="s">
        <v>1253</v>
      </c>
      <c r="D10" s="113" t="s">
        <v>405</v>
      </c>
      <c r="E10" s="165">
        <v>52776.63</v>
      </c>
      <c r="F10" s="112">
        <f>0</f>
        <v>0</v>
      </c>
      <c r="G10" s="112">
        <f t="shared" ref="G10:G75" si="0">F10-E10</f>
        <v>-52776.63</v>
      </c>
      <c r="H10" s="145"/>
    </row>
    <row r="11" spans="1:12" ht="20.100000000000001" customHeight="1">
      <c r="A11" s="108">
        <v>3</v>
      </c>
      <c r="B11" s="163" t="s">
        <v>1116</v>
      </c>
      <c r="C11" s="100" t="s">
        <v>1254</v>
      </c>
      <c r="D11" s="108" t="s">
        <v>416</v>
      </c>
      <c r="E11" s="165">
        <v>21618.09</v>
      </c>
      <c r="F11" s="112">
        <f>125875.96</f>
        <v>125875.96</v>
      </c>
      <c r="G11" s="112">
        <f t="shared" si="0"/>
        <v>104257.87</v>
      </c>
      <c r="H11" s="145"/>
    </row>
    <row r="12" spans="1:12" ht="20.100000000000001" customHeight="1">
      <c r="A12" s="108">
        <v>4</v>
      </c>
      <c r="B12" s="166" t="s">
        <v>1207</v>
      </c>
      <c r="C12" s="114" t="s">
        <v>1208</v>
      </c>
      <c r="D12" s="115" t="s">
        <v>416</v>
      </c>
      <c r="E12" s="167">
        <v>21618.09</v>
      </c>
      <c r="F12" s="112">
        <f>116473.51</f>
        <v>116473.51</v>
      </c>
      <c r="G12" s="112">
        <f t="shared" si="0"/>
        <v>94855.42</v>
      </c>
      <c r="H12" s="145"/>
    </row>
    <row r="13" spans="1:12" ht="20.100000000000001" customHeight="1">
      <c r="A13" s="108">
        <v>5</v>
      </c>
      <c r="B13" s="163" t="s">
        <v>348</v>
      </c>
      <c r="C13" s="111" t="s">
        <v>349</v>
      </c>
      <c r="D13" s="108" t="s">
        <v>1255</v>
      </c>
      <c r="E13" s="165">
        <v>21618.09</v>
      </c>
      <c r="F13" s="112">
        <f>79993.51</f>
        <v>79993.509999999995</v>
      </c>
      <c r="G13" s="112">
        <f t="shared" si="0"/>
        <v>58375.42</v>
      </c>
      <c r="H13" s="145"/>
    </row>
    <row r="14" spans="1:12" ht="20.100000000000001" customHeight="1">
      <c r="A14" s="108">
        <v>6</v>
      </c>
      <c r="B14" s="166" t="s">
        <v>350</v>
      </c>
      <c r="C14" s="100" t="s">
        <v>351</v>
      </c>
      <c r="D14" s="113" t="s">
        <v>1054</v>
      </c>
      <c r="E14" s="165">
        <v>21618.09</v>
      </c>
      <c r="F14" s="112">
        <f>107095.69</f>
        <v>107095.69</v>
      </c>
      <c r="G14" s="112">
        <f t="shared" si="0"/>
        <v>85477.6</v>
      </c>
      <c r="H14" s="145"/>
    </row>
    <row r="15" spans="1:12" ht="20.100000000000001" customHeight="1">
      <c r="A15" s="108">
        <v>7</v>
      </c>
      <c r="B15" s="166" t="s">
        <v>470</v>
      </c>
      <c r="C15" s="100" t="s">
        <v>1256</v>
      </c>
      <c r="D15" s="118" t="s">
        <v>358</v>
      </c>
      <c r="E15" s="165">
        <v>15548.33</v>
      </c>
      <c r="F15" s="112">
        <f>83636.1</f>
        <v>83636.100000000006</v>
      </c>
      <c r="G15" s="112">
        <f t="shared" si="0"/>
        <v>68087.77</v>
      </c>
      <c r="H15" s="145"/>
    </row>
    <row r="16" spans="1:12" ht="20.100000000000001" customHeight="1">
      <c r="A16" s="108">
        <v>8</v>
      </c>
      <c r="B16" s="168" t="s">
        <v>352</v>
      </c>
      <c r="C16" s="16" t="s">
        <v>434</v>
      </c>
      <c r="D16" s="9" t="s">
        <v>358</v>
      </c>
      <c r="E16" s="169">
        <v>15548.33</v>
      </c>
      <c r="F16" s="72">
        <f>64436.1</f>
        <v>64436.1</v>
      </c>
      <c r="G16" s="112">
        <f t="shared" si="0"/>
        <v>48887.77</v>
      </c>
      <c r="H16" s="145"/>
    </row>
    <row r="17" spans="1:8" ht="20.100000000000001" customHeight="1">
      <c r="A17" s="108">
        <v>9</v>
      </c>
      <c r="B17" s="166" t="s">
        <v>354</v>
      </c>
      <c r="C17" s="100" t="s">
        <v>1257</v>
      </c>
      <c r="D17" s="108" t="s">
        <v>358</v>
      </c>
      <c r="E17" s="165">
        <v>15548.33</v>
      </c>
      <c r="F17" s="112">
        <f>64436.1</f>
        <v>64436.1</v>
      </c>
      <c r="G17" s="112">
        <f t="shared" si="0"/>
        <v>48887.77</v>
      </c>
      <c r="H17" s="145"/>
    </row>
    <row r="18" spans="1:8" ht="20.100000000000001" customHeight="1">
      <c r="A18" s="108">
        <v>10</v>
      </c>
      <c r="B18" s="170" t="s">
        <v>356</v>
      </c>
      <c r="C18" s="111" t="s">
        <v>1258</v>
      </c>
      <c r="D18" s="113" t="s">
        <v>358</v>
      </c>
      <c r="E18" s="165">
        <v>15548.33</v>
      </c>
      <c r="F18" s="112">
        <f>64436.1</f>
        <v>64436.1</v>
      </c>
      <c r="G18" s="112">
        <f t="shared" si="0"/>
        <v>48887.77</v>
      </c>
      <c r="H18" s="145"/>
    </row>
    <row r="19" spans="1:8" ht="20.100000000000001" customHeight="1">
      <c r="A19" s="108">
        <v>11</v>
      </c>
      <c r="B19" s="171" t="s">
        <v>333</v>
      </c>
      <c r="C19" s="111" t="s">
        <v>334</v>
      </c>
      <c r="D19" s="48" t="s">
        <v>1054</v>
      </c>
      <c r="E19" s="172">
        <v>15548.33</v>
      </c>
      <c r="F19" s="112">
        <f>60212.92</f>
        <v>60212.92</v>
      </c>
      <c r="G19" s="112">
        <f t="shared" si="0"/>
        <v>44664.59</v>
      </c>
      <c r="H19" s="145"/>
    </row>
    <row r="20" spans="1:8" ht="20.100000000000001" customHeight="1">
      <c r="A20" s="108">
        <v>12</v>
      </c>
      <c r="B20" s="173" t="s">
        <v>1209</v>
      </c>
      <c r="C20" s="114" t="s">
        <v>1210</v>
      </c>
      <c r="D20" s="121" t="s">
        <v>450</v>
      </c>
      <c r="E20" s="167">
        <v>7709.76</v>
      </c>
      <c r="F20" s="116">
        <f>52638.9</f>
        <v>52638.9</v>
      </c>
      <c r="G20" s="112">
        <f t="shared" si="0"/>
        <v>44929.14</v>
      </c>
      <c r="H20" s="145"/>
    </row>
    <row r="21" spans="1:8" ht="19.5" customHeight="1">
      <c r="A21" s="108">
        <v>13</v>
      </c>
      <c r="B21" s="166" t="s">
        <v>1119</v>
      </c>
      <c r="C21" s="114" t="s">
        <v>362</v>
      </c>
      <c r="D21" s="108" t="s">
        <v>450</v>
      </c>
      <c r="E21" s="165">
        <v>7709.76</v>
      </c>
      <c r="F21" s="112">
        <f>43380</f>
        <v>43380</v>
      </c>
      <c r="G21" s="112">
        <f t="shared" si="0"/>
        <v>35670.239999999998</v>
      </c>
      <c r="H21" s="145"/>
    </row>
    <row r="22" spans="1:8" ht="19.5" customHeight="1">
      <c r="A22" s="108">
        <v>14</v>
      </c>
      <c r="B22" s="166" t="s">
        <v>1211</v>
      </c>
      <c r="C22" s="100" t="s">
        <v>1212</v>
      </c>
      <c r="D22" s="108" t="s">
        <v>450</v>
      </c>
      <c r="E22" s="165">
        <v>7709.76</v>
      </c>
      <c r="F22" s="112">
        <f>85278.9</f>
        <v>85278.9</v>
      </c>
      <c r="G22" s="112">
        <f t="shared" si="0"/>
        <v>77569.14</v>
      </c>
      <c r="H22" s="145"/>
    </row>
    <row r="23" spans="1:8" ht="20.100000000000001" customHeight="1">
      <c r="A23" s="108">
        <v>15</v>
      </c>
      <c r="B23" s="163" t="s">
        <v>361</v>
      </c>
      <c r="C23" s="114" t="s">
        <v>1259</v>
      </c>
      <c r="D23" s="113" t="s">
        <v>372</v>
      </c>
      <c r="E23" s="165">
        <v>7709.76</v>
      </c>
      <c r="F23" s="112">
        <f>42046.06</f>
        <v>42046.06</v>
      </c>
      <c r="G23" s="112">
        <f t="shared" si="0"/>
        <v>34336.300000000003</v>
      </c>
      <c r="H23" s="145"/>
    </row>
    <row r="24" spans="1:8" ht="20.100000000000001" customHeight="1">
      <c r="A24" s="108">
        <v>16</v>
      </c>
      <c r="B24" s="170" t="s">
        <v>448</v>
      </c>
      <c r="C24" s="100" t="s">
        <v>1069</v>
      </c>
      <c r="D24" s="113" t="s">
        <v>1052</v>
      </c>
      <c r="E24" s="165">
        <v>7709.76</v>
      </c>
      <c r="F24" s="112">
        <f>39478.93</f>
        <v>39478.93</v>
      </c>
      <c r="G24" s="112">
        <f t="shared" si="0"/>
        <v>31769.17</v>
      </c>
      <c r="H24" s="145"/>
    </row>
    <row r="25" spans="1:8" ht="20.100000000000001" customHeight="1">
      <c r="A25" s="108">
        <v>17</v>
      </c>
      <c r="B25" s="163" t="s">
        <v>373</v>
      </c>
      <c r="C25" s="111" t="s">
        <v>374</v>
      </c>
      <c r="D25" s="113" t="s">
        <v>1260</v>
      </c>
      <c r="E25" s="165">
        <v>7709.76</v>
      </c>
      <c r="F25" s="112">
        <f>46673.26</f>
        <v>46673.26</v>
      </c>
      <c r="G25" s="112">
        <f t="shared" si="0"/>
        <v>38963.5</v>
      </c>
      <c r="H25" s="145"/>
    </row>
    <row r="26" spans="1:8" ht="20.100000000000001" customHeight="1">
      <c r="A26" s="108">
        <v>18</v>
      </c>
      <c r="B26" s="171" t="s">
        <v>376</v>
      </c>
      <c r="C26" s="100" t="s">
        <v>377</v>
      </c>
      <c r="D26" s="113" t="s">
        <v>1261</v>
      </c>
      <c r="E26" s="165">
        <v>7709.76</v>
      </c>
      <c r="F26" s="112">
        <f>63364.81</f>
        <v>63364.81</v>
      </c>
      <c r="G26" s="112">
        <f t="shared" si="0"/>
        <v>55655.05</v>
      </c>
      <c r="H26" s="145"/>
    </row>
    <row r="27" spans="1:8" ht="20.100000000000001" customHeight="1">
      <c r="A27" s="108">
        <v>19</v>
      </c>
      <c r="B27" s="163" t="s">
        <v>496</v>
      </c>
      <c r="C27" s="111" t="s">
        <v>497</v>
      </c>
      <c r="D27" s="113" t="s">
        <v>440</v>
      </c>
      <c r="E27" s="165">
        <v>3369.51</v>
      </c>
      <c r="F27" s="112">
        <f>31848.56</f>
        <v>31848.560000000001</v>
      </c>
      <c r="G27" s="112">
        <f t="shared" si="0"/>
        <v>28479.05</v>
      </c>
      <c r="H27" s="145"/>
    </row>
    <row r="28" spans="1:8" ht="18.75" customHeight="1">
      <c r="A28" s="108">
        <v>20</v>
      </c>
      <c r="B28" s="163" t="s">
        <v>379</v>
      </c>
      <c r="C28" s="111" t="s">
        <v>1262</v>
      </c>
      <c r="D28" s="113" t="s">
        <v>539</v>
      </c>
      <c r="E28" s="165">
        <v>3369.51</v>
      </c>
      <c r="F28" s="112">
        <f>27873.08</f>
        <v>27873.08</v>
      </c>
      <c r="G28" s="112">
        <f t="shared" si="0"/>
        <v>24503.57</v>
      </c>
      <c r="H28" s="145"/>
    </row>
    <row r="29" spans="1:8" ht="18.75" customHeight="1">
      <c r="A29" s="108">
        <v>21</v>
      </c>
      <c r="B29" s="163" t="s">
        <v>494</v>
      </c>
      <c r="C29" s="100" t="s">
        <v>1263</v>
      </c>
      <c r="D29" s="113" t="s">
        <v>539</v>
      </c>
      <c r="E29" s="165">
        <v>3369.51</v>
      </c>
      <c r="F29" s="112">
        <f>27873.08</f>
        <v>27873.08</v>
      </c>
      <c r="G29" s="112">
        <f t="shared" si="0"/>
        <v>24503.57</v>
      </c>
      <c r="H29" s="145"/>
    </row>
    <row r="30" spans="1:8" ht="18.75" customHeight="1">
      <c r="A30" s="108">
        <v>22</v>
      </c>
      <c r="B30" s="171" t="s">
        <v>534</v>
      </c>
      <c r="C30" s="100" t="s">
        <v>1227</v>
      </c>
      <c r="D30" s="113" t="s">
        <v>453</v>
      </c>
      <c r="E30" s="165">
        <v>3369.51</v>
      </c>
      <c r="F30" s="112">
        <f>27105.99</f>
        <v>27105.99</v>
      </c>
      <c r="G30" s="112">
        <f t="shared" si="0"/>
        <v>23736.48</v>
      </c>
      <c r="H30" s="145"/>
    </row>
    <row r="31" spans="1:8" ht="18.75" customHeight="1">
      <c r="A31" s="108">
        <v>23</v>
      </c>
      <c r="B31" s="171" t="s">
        <v>1213</v>
      </c>
      <c r="C31" s="111" t="s">
        <v>401</v>
      </c>
      <c r="D31" s="113" t="s">
        <v>409</v>
      </c>
      <c r="E31" s="165">
        <v>1484.37</v>
      </c>
      <c r="F31" s="43">
        <f>26339.08</f>
        <v>26339.08</v>
      </c>
      <c r="G31" s="112">
        <f t="shared" si="0"/>
        <v>24854.71</v>
      </c>
      <c r="H31" s="145"/>
    </row>
    <row r="32" spans="1:8" ht="18.75" customHeight="1">
      <c r="A32" s="108">
        <v>24</v>
      </c>
      <c r="B32" s="45" t="s">
        <v>386</v>
      </c>
      <c r="C32" s="45" t="s">
        <v>289</v>
      </c>
      <c r="D32" s="108" t="s">
        <v>55</v>
      </c>
      <c r="E32" s="165">
        <v>3369.51</v>
      </c>
      <c r="F32" s="112">
        <f>21640.95</f>
        <v>21640.95</v>
      </c>
      <c r="G32" s="112">
        <f t="shared" si="0"/>
        <v>18271.439999999999</v>
      </c>
      <c r="H32" s="145"/>
    </row>
    <row r="33" spans="1:8" ht="18.75" customHeight="1">
      <c r="A33" s="108">
        <v>25</v>
      </c>
      <c r="B33" s="171" t="s">
        <v>388</v>
      </c>
      <c r="C33" s="111" t="s">
        <v>289</v>
      </c>
      <c r="D33" s="113" t="s">
        <v>1228</v>
      </c>
      <c r="E33" s="165">
        <v>1484.37</v>
      </c>
      <c r="F33" s="112">
        <f>18102.9</f>
        <v>18102.900000000001</v>
      </c>
      <c r="G33" s="112">
        <f t="shared" si="0"/>
        <v>16618.53</v>
      </c>
      <c r="H33" s="145"/>
    </row>
    <row r="34" spans="1:8" ht="18.75" customHeight="1">
      <c r="A34" s="108">
        <v>26</v>
      </c>
      <c r="B34" s="163" t="s">
        <v>1120</v>
      </c>
      <c r="C34" s="111" t="s">
        <v>1068</v>
      </c>
      <c r="D34" s="113" t="s">
        <v>1048</v>
      </c>
      <c r="E34" s="165">
        <v>1484.37</v>
      </c>
      <c r="F34" s="112">
        <f>18102.9</f>
        <v>18102.900000000001</v>
      </c>
      <c r="G34" s="112">
        <f t="shared" si="0"/>
        <v>16618.53</v>
      </c>
      <c r="H34" s="145"/>
    </row>
    <row r="35" spans="1:8" ht="18.75" customHeight="1">
      <c r="A35" s="108">
        <v>27</v>
      </c>
      <c r="B35" s="171" t="s">
        <v>390</v>
      </c>
      <c r="C35" s="111" t="s">
        <v>1068</v>
      </c>
      <c r="D35" s="113" t="s">
        <v>1264</v>
      </c>
      <c r="E35" s="165">
        <v>1484.37</v>
      </c>
      <c r="F35" s="112">
        <f>17572.89</f>
        <v>17572.89</v>
      </c>
      <c r="G35" s="112">
        <f t="shared" si="0"/>
        <v>16088.52</v>
      </c>
      <c r="H35" s="145"/>
    </row>
    <row r="36" spans="1:8" ht="18.75" customHeight="1">
      <c r="A36" s="108">
        <v>28</v>
      </c>
      <c r="B36" s="168" t="s">
        <v>477</v>
      </c>
      <c r="C36" s="16" t="s">
        <v>1229</v>
      </c>
      <c r="D36" s="113" t="s">
        <v>399</v>
      </c>
      <c r="E36" s="165">
        <v>1484.37</v>
      </c>
      <c r="F36" s="43">
        <f>17572.89</f>
        <v>17572.89</v>
      </c>
      <c r="G36" s="112">
        <f t="shared" si="0"/>
        <v>16088.52</v>
      </c>
      <c r="H36" s="145"/>
    </row>
    <row r="37" spans="1:8" ht="18.75" customHeight="1">
      <c r="A37" s="108">
        <v>29</v>
      </c>
      <c r="B37" s="171" t="s">
        <v>392</v>
      </c>
      <c r="C37" s="100" t="s">
        <v>1122</v>
      </c>
      <c r="D37" s="108" t="s">
        <v>399</v>
      </c>
      <c r="E37" s="165">
        <v>1484.37</v>
      </c>
      <c r="F37" s="112">
        <f>17572.89</f>
        <v>17572.89</v>
      </c>
      <c r="G37" s="112">
        <f t="shared" si="0"/>
        <v>16088.52</v>
      </c>
      <c r="H37" s="145"/>
    </row>
    <row r="38" spans="1:8" ht="18.75" customHeight="1">
      <c r="A38" s="108">
        <v>30</v>
      </c>
      <c r="B38" s="174" t="s">
        <v>395</v>
      </c>
      <c r="C38" s="16" t="s">
        <v>396</v>
      </c>
      <c r="D38" s="113" t="s">
        <v>72</v>
      </c>
      <c r="E38" s="165">
        <v>1484.37</v>
      </c>
      <c r="F38" s="43">
        <f>16512.68</f>
        <v>16512.68</v>
      </c>
      <c r="G38" s="112">
        <f t="shared" si="0"/>
        <v>15028.31</v>
      </c>
      <c r="H38" s="145"/>
    </row>
    <row r="39" spans="1:8" ht="18.75" customHeight="1">
      <c r="A39" s="108">
        <v>31</v>
      </c>
      <c r="B39" s="174" t="s">
        <v>1265</v>
      </c>
      <c r="C39" s="16" t="s">
        <v>396</v>
      </c>
      <c r="D39" s="113" t="s">
        <v>72</v>
      </c>
      <c r="E39" s="165">
        <v>1484.37</v>
      </c>
      <c r="F39" s="43">
        <f>16512.68</f>
        <v>16512.68</v>
      </c>
      <c r="G39" s="112">
        <f t="shared" si="0"/>
        <v>15028.31</v>
      </c>
      <c r="H39" s="145"/>
    </row>
    <row r="40" spans="1:8" ht="18.75" customHeight="1">
      <c r="A40" s="108">
        <v>32</v>
      </c>
      <c r="B40" s="171" t="s">
        <v>397</v>
      </c>
      <c r="C40" s="100" t="s">
        <v>1230</v>
      </c>
      <c r="D40" s="108" t="s">
        <v>72</v>
      </c>
      <c r="E40" s="165">
        <v>1484.37</v>
      </c>
      <c r="F40" s="112">
        <f>16512.68</f>
        <v>16512.68</v>
      </c>
      <c r="G40" s="112">
        <f t="shared" si="0"/>
        <v>15028.31</v>
      </c>
      <c r="H40" s="145"/>
    </row>
    <row r="41" spans="1:8" ht="18.75" customHeight="1">
      <c r="A41" s="108">
        <v>33</v>
      </c>
      <c r="B41" s="171" t="s">
        <v>1036</v>
      </c>
      <c r="C41" s="111" t="s">
        <v>401</v>
      </c>
      <c r="D41" s="113" t="s">
        <v>72</v>
      </c>
      <c r="E41" s="165">
        <v>1484.37</v>
      </c>
      <c r="F41" s="43">
        <f>16512.68</f>
        <v>16512.68</v>
      </c>
      <c r="G41" s="112">
        <f t="shared" si="0"/>
        <v>15028.31</v>
      </c>
      <c r="H41" s="145"/>
    </row>
    <row r="42" spans="1:8" ht="18.75" customHeight="1">
      <c r="A42" s="108">
        <v>34</v>
      </c>
      <c r="B42" s="171" t="s">
        <v>1214</v>
      </c>
      <c r="C42" s="111" t="s">
        <v>401</v>
      </c>
      <c r="D42" s="113" t="s">
        <v>72</v>
      </c>
      <c r="E42" s="165">
        <v>0</v>
      </c>
      <c r="F42" s="43">
        <f>16512.68</f>
        <v>16512.68</v>
      </c>
      <c r="G42" s="112">
        <f t="shared" ref="G42" si="1">F42-E42</f>
        <v>16512.68</v>
      </c>
      <c r="H42" s="145"/>
    </row>
    <row r="43" spans="1:8" ht="26.25" customHeight="1">
      <c r="A43" s="108"/>
      <c r="B43" s="175" t="s">
        <v>42</v>
      </c>
      <c r="C43" s="103">
        <v>33</v>
      </c>
      <c r="D43" s="113"/>
      <c r="E43" s="176">
        <f>SUM(E9:E42)</f>
        <v>415827.18</v>
      </c>
      <c r="F43" s="124">
        <f>SUM(F9:F41)</f>
        <v>1658278.62</v>
      </c>
      <c r="G43" s="142">
        <f t="shared" si="0"/>
        <v>1242451.44</v>
      </c>
      <c r="H43" s="145"/>
    </row>
    <row r="44" spans="1:8" ht="18.75" customHeight="1">
      <c r="A44" s="108"/>
      <c r="B44" s="177"/>
      <c r="C44" s="100"/>
      <c r="D44" s="113"/>
      <c r="E44" s="165"/>
      <c r="F44" s="124"/>
      <c r="G44" s="112">
        <f t="shared" si="0"/>
        <v>0</v>
      </c>
    </row>
    <row r="45" spans="1:8" ht="18.75" customHeight="1">
      <c r="A45" s="108"/>
      <c r="B45" s="175" t="s">
        <v>225</v>
      </c>
      <c r="C45" s="100"/>
      <c r="D45" s="113"/>
      <c r="E45" s="165"/>
      <c r="F45" s="112"/>
      <c r="G45" s="112">
        <f t="shared" si="0"/>
        <v>0</v>
      </c>
    </row>
    <row r="46" spans="1:8" ht="18.75" customHeight="1">
      <c r="A46" s="108">
        <v>1</v>
      </c>
      <c r="B46" s="171" t="s">
        <v>403</v>
      </c>
      <c r="C46" s="100" t="s">
        <v>404</v>
      </c>
      <c r="D46" s="108" t="s">
        <v>1266</v>
      </c>
      <c r="E46" s="165">
        <v>52776.63</v>
      </c>
      <c r="F46" s="112">
        <f>156349.82</f>
        <v>156349.82</v>
      </c>
      <c r="G46" s="112">
        <f t="shared" si="0"/>
        <v>103573.19</v>
      </c>
    </row>
    <row r="47" spans="1:8" ht="18.75" customHeight="1">
      <c r="A47" s="108">
        <v>2</v>
      </c>
      <c r="B47" s="171" t="s">
        <v>406</v>
      </c>
      <c r="C47" s="100" t="s">
        <v>642</v>
      </c>
      <c r="D47" s="108" t="s">
        <v>72</v>
      </c>
      <c r="E47" s="165">
        <v>1484.37</v>
      </c>
      <c r="F47" s="112">
        <f>16512.68</f>
        <v>16512.68</v>
      </c>
      <c r="G47" s="112">
        <f t="shared" si="0"/>
        <v>15028.31</v>
      </c>
    </row>
    <row r="48" spans="1:8" ht="19.5" customHeight="1">
      <c r="A48" s="108"/>
      <c r="B48" s="178"/>
      <c r="C48" s="103">
        <v>2</v>
      </c>
      <c r="D48" s="108"/>
      <c r="E48" s="176">
        <v>54261</v>
      </c>
      <c r="F48" s="124">
        <f>SUM(F46:F47)</f>
        <v>172862.5</v>
      </c>
      <c r="G48" s="142">
        <f t="shared" si="0"/>
        <v>118601.5</v>
      </c>
      <c r="H48" s="179"/>
    </row>
    <row r="49" spans="1:8" ht="20.100000000000001" customHeight="1">
      <c r="A49" s="108"/>
      <c r="B49" s="166"/>
      <c r="C49" s="100"/>
      <c r="D49" s="108"/>
      <c r="E49" s="165"/>
      <c r="F49" s="124"/>
      <c r="G49" s="112">
        <f t="shared" si="0"/>
        <v>0</v>
      </c>
      <c r="H49" s="94"/>
    </row>
    <row r="50" spans="1:8" ht="20.100000000000001" customHeight="1">
      <c r="A50" s="108"/>
      <c r="B50" s="180" t="s">
        <v>43</v>
      </c>
      <c r="C50" s="127"/>
      <c r="D50" s="102"/>
      <c r="E50" s="181"/>
      <c r="F50" s="112"/>
      <c r="G50" s="112">
        <f t="shared" si="0"/>
        <v>0</v>
      </c>
    </row>
    <row r="51" spans="1:8" ht="20.100000000000001" customHeight="1">
      <c r="A51" s="108">
        <v>1</v>
      </c>
      <c r="B51" s="163" t="s">
        <v>410</v>
      </c>
      <c r="C51" s="100" t="s">
        <v>411</v>
      </c>
      <c r="D51" s="108" t="s">
        <v>405</v>
      </c>
      <c r="E51" s="165">
        <v>52776.63</v>
      </c>
      <c r="F51" s="112">
        <f>180306.81</f>
        <v>180306.81</v>
      </c>
      <c r="G51" s="112">
        <f t="shared" si="0"/>
        <v>127530.18</v>
      </c>
    </row>
    <row r="52" spans="1:8" ht="20.100000000000001" customHeight="1">
      <c r="A52" s="108">
        <v>2</v>
      </c>
      <c r="B52" s="163" t="s">
        <v>412</v>
      </c>
      <c r="C52" s="100" t="s">
        <v>413</v>
      </c>
      <c r="D52" s="108" t="s">
        <v>358</v>
      </c>
      <c r="E52" s="165">
        <v>15548.33</v>
      </c>
      <c r="F52" s="112">
        <f>79956.94</f>
        <v>79956.94</v>
      </c>
      <c r="G52" s="112">
        <f t="shared" si="0"/>
        <v>64408.61</v>
      </c>
    </row>
    <row r="53" spans="1:8" ht="20.100000000000001" customHeight="1">
      <c r="A53" s="108">
        <v>3</v>
      </c>
      <c r="B53" s="163" t="s">
        <v>414</v>
      </c>
      <c r="C53" s="100" t="s">
        <v>418</v>
      </c>
      <c r="D53" s="108" t="s">
        <v>358</v>
      </c>
      <c r="E53" s="165">
        <v>15548.33</v>
      </c>
      <c r="F53" s="112">
        <f>79956.94</f>
        <v>79956.94</v>
      </c>
      <c r="G53" s="112">
        <f t="shared" si="0"/>
        <v>64408.61</v>
      </c>
    </row>
    <row r="54" spans="1:8" ht="20.100000000000001" customHeight="1">
      <c r="A54" s="108">
        <v>4</v>
      </c>
      <c r="B54" s="163" t="s">
        <v>417</v>
      </c>
      <c r="C54" s="100" t="s">
        <v>418</v>
      </c>
      <c r="D54" s="108" t="s">
        <v>435</v>
      </c>
      <c r="E54" s="165">
        <v>15548.33</v>
      </c>
      <c r="F54" s="112">
        <f>77764.98</f>
        <v>77764.98</v>
      </c>
      <c r="G54" s="112">
        <f t="shared" si="0"/>
        <v>62216.65</v>
      </c>
    </row>
    <row r="55" spans="1:8" ht="20.100000000000001" customHeight="1">
      <c r="A55" s="108">
        <v>5</v>
      </c>
      <c r="B55" s="163" t="s">
        <v>419</v>
      </c>
      <c r="C55" s="100" t="s">
        <v>368</v>
      </c>
      <c r="D55" s="108" t="s">
        <v>363</v>
      </c>
      <c r="E55" s="165">
        <v>7709.76</v>
      </c>
      <c r="F55" s="112">
        <f>59437.57</f>
        <v>59437.57</v>
      </c>
      <c r="G55" s="112">
        <f t="shared" si="0"/>
        <v>51727.81</v>
      </c>
    </row>
    <row r="56" spans="1:8" ht="20.100000000000001" customHeight="1">
      <c r="A56" s="108">
        <v>6</v>
      </c>
      <c r="B56" s="163" t="s">
        <v>420</v>
      </c>
      <c r="C56" s="100" t="s">
        <v>368</v>
      </c>
      <c r="D56" s="108" t="s">
        <v>450</v>
      </c>
      <c r="E56" s="165">
        <v>7709.76</v>
      </c>
      <c r="F56" s="112">
        <f>56478.9</f>
        <v>56478.9</v>
      </c>
      <c r="G56" s="112">
        <f t="shared" si="0"/>
        <v>48769.14</v>
      </c>
    </row>
    <row r="57" spans="1:8" ht="20.100000000000001" customHeight="1">
      <c r="A57" s="108">
        <v>7</v>
      </c>
      <c r="B57" s="182" t="s">
        <v>421</v>
      </c>
      <c r="C57" s="100" t="s">
        <v>365</v>
      </c>
      <c r="D57" s="15" t="s">
        <v>450</v>
      </c>
      <c r="E57" s="169">
        <v>7709.76</v>
      </c>
      <c r="F57" s="72">
        <f>56478.9</f>
        <v>56478.9</v>
      </c>
      <c r="G57" s="112">
        <f t="shared" si="0"/>
        <v>48769.14</v>
      </c>
    </row>
    <row r="58" spans="1:8" ht="20.100000000000001" customHeight="1">
      <c r="A58" s="108">
        <v>8</v>
      </c>
      <c r="B58" s="163" t="s">
        <v>1125</v>
      </c>
      <c r="C58" s="100" t="s">
        <v>231</v>
      </c>
      <c r="D58" s="108" t="s">
        <v>375</v>
      </c>
      <c r="E58" s="165">
        <v>7709.76</v>
      </c>
      <c r="F58" s="112">
        <f>49548.78</f>
        <v>49548.78</v>
      </c>
      <c r="G58" s="112">
        <f t="shared" si="0"/>
        <v>41839.019999999997</v>
      </c>
    </row>
    <row r="59" spans="1:8" ht="20.100000000000001" customHeight="1">
      <c r="A59" s="108">
        <v>9</v>
      </c>
      <c r="B59" s="168" t="s">
        <v>367</v>
      </c>
      <c r="C59" s="100" t="s">
        <v>461</v>
      </c>
      <c r="D59" s="9" t="s">
        <v>1052</v>
      </c>
      <c r="E59" s="169">
        <v>7709.76</v>
      </c>
      <c r="F59" s="72">
        <f>48052.11</f>
        <v>48052.11</v>
      </c>
      <c r="G59" s="112">
        <f t="shared" si="0"/>
        <v>40342.35</v>
      </c>
    </row>
    <row r="60" spans="1:8" ht="20.100000000000001" customHeight="1">
      <c r="A60" s="108">
        <v>10</v>
      </c>
      <c r="B60" s="168" t="s">
        <v>423</v>
      </c>
      <c r="C60" s="100" t="s">
        <v>64</v>
      </c>
      <c r="D60" s="108" t="s">
        <v>55</v>
      </c>
      <c r="E60" s="165">
        <v>3369.51</v>
      </c>
      <c r="F60" s="112">
        <f>28360.95</f>
        <v>28360.95</v>
      </c>
      <c r="G60" s="112">
        <f t="shared" si="0"/>
        <v>24991.439999999999</v>
      </c>
    </row>
    <row r="61" spans="1:8" ht="20.100000000000001" customHeight="1">
      <c r="A61" s="108">
        <v>11</v>
      </c>
      <c r="B61" s="168" t="s">
        <v>424</v>
      </c>
      <c r="C61" s="100" t="s">
        <v>64</v>
      </c>
      <c r="D61" s="108" t="s">
        <v>55</v>
      </c>
      <c r="E61" s="165">
        <v>3369.51</v>
      </c>
      <c r="F61" s="112">
        <f>28360.95</f>
        <v>28360.95</v>
      </c>
      <c r="G61" s="112">
        <f t="shared" si="0"/>
        <v>24991.439999999999</v>
      </c>
    </row>
    <row r="62" spans="1:8" ht="20.100000000000001" customHeight="1">
      <c r="A62" s="108">
        <v>12</v>
      </c>
      <c r="B62" s="168" t="s">
        <v>425</v>
      </c>
      <c r="C62" s="100" t="s">
        <v>64</v>
      </c>
      <c r="D62" s="108" t="s">
        <v>55</v>
      </c>
      <c r="E62" s="165">
        <v>0</v>
      </c>
      <c r="F62" s="112">
        <f>28360.95*23/31</f>
        <v>21041.995161290299</v>
      </c>
      <c r="G62" s="112">
        <f t="shared" ref="G62" si="2">F62-E62</f>
        <v>21041.995161290299</v>
      </c>
    </row>
    <row r="63" spans="1:8" ht="25.5" customHeight="1">
      <c r="A63" s="108"/>
      <c r="B63" s="183" t="s">
        <v>42</v>
      </c>
      <c r="C63" s="20">
        <v>11</v>
      </c>
      <c r="D63" s="20"/>
      <c r="E63" s="184">
        <f>SUM(E51:E62)</f>
        <v>144709.44</v>
      </c>
      <c r="F63" s="184">
        <f t="shared" ref="F63:G63" si="3">SUM(F51:F62)</f>
        <v>765745.82516129001</v>
      </c>
      <c r="G63" s="184">
        <f t="shared" si="3"/>
        <v>621036.38516128995</v>
      </c>
      <c r="H63" s="179"/>
    </row>
    <row r="64" spans="1:8" ht="20.100000000000001" customHeight="1">
      <c r="A64" s="108"/>
      <c r="B64" s="21"/>
      <c r="C64" s="20"/>
      <c r="D64" s="20"/>
      <c r="E64" s="184"/>
      <c r="F64" s="134"/>
      <c r="G64" s="112">
        <f t="shared" si="0"/>
        <v>0</v>
      </c>
    </row>
    <row r="65" spans="1:8" ht="20.100000000000001" customHeight="1">
      <c r="A65" s="108"/>
      <c r="B65" s="183" t="s">
        <v>426</v>
      </c>
      <c r="C65" s="20"/>
      <c r="D65" s="20"/>
      <c r="E65" s="184"/>
      <c r="F65" s="134"/>
      <c r="G65" s="112">
        <f t="shared" si="0"/>
        <v>0</v>
      </c>
    </row>
    <row r="66" spans="1:8" ht="20.100000000000001" customHeight="1">
      <c r="A66" s="108">
        <v>1</v>
      </c>
      <c r="B66" s="163" t="s">
        <v>427</v>
      </c>
      <c r="C66" s="111" t="s">
        <v>428</v>
      </c>
      <c r="D66" s="113" t="s">
        <v>405</v>
      </c>
      <c r="E66" s="165">
        <v>52776.63</v>
      </c>
      <c r="F66" s="112">
        <f>180306.81</f>
        <v>180306.81</v>
      </c>
      <c r="G66" s="112">
        <f t="shared" si="0"/>
        <v>127530.18</v>
      </c>
    </row>
    <row r="67" spans="1:8" ht="20.100000000000001" customHeight="1">
      <c r="A67" s="108">
        <v>2</v>
      </c>
      <c r="B67" s="171" t="s">
        <v>429</v>
      </c>
      <c r="C67" s="111" t="s">
        <v>430</v>
      </c>
      <c r="D67" s="113" t="s">
        <v>332</v>
      </c>
      <c r="E67" s="165">
        <v>15548.33</v>
      </c>
      <c r="F67" s="112">
        <f>62404.98</f>
        <v>62404.98</v>
      </c>
      <c r="G67" s="112">
        <f t="shared" si="0"/>
        <v>46856.65</v>
      </c>
    </row>
    <row r="68" spans="1:8" ht="20.100000000000001" customHeight="1">
      <c r="A68" s="108"/>
      <c r="B68" s="183" t="s">
        <v>42</v>
      </c>
      <c r="C68" s="20">
        <v>2</v>
      </c>
      <c r="D68" s="20"/>
      <c r="E68" s="184">
        <v>68324.960000000006</v>
      </c>
      <c r="F68" s="80">
        <f t="shared" ref="F68" si="4">SUM(F66:F67)</f>
        <v>242711.79</v>
      </c>
      <c r="G68" s="112">
        <f t="shared" si="0"/>
        <v>174386.83</v>
      </c>
      <c r="H68" s="179"/>
    </row>
    <row r="69" spans="1:8" ht="20.100000000000001" customHeight="1">
      <c r="A69" s="108"/>
      <c r="B69" s="183"/>
      <c r="C69" s="20"/>
      <c r="D69" s="20"/>
      <c r="E69" s="184"/>
      <c r="F69" s="134"/>
      <c r="G69" s="112">
        <f t="shared" si="0"/>
        <v>0</v>
      </c>
    </row>
    <row r="70" spans="1:8" ht="20.100000000000001" customHeight="1">
      <c r="A70" s="108"/>
      <c r="B70" s="183" t="s">
        <v>1267</v>
      </c>
      <c r="C70" s="20"/>
      <c r="D70" s="20"/>
      <c r="E70" s="184"/>
      <c r="F70" s="134"/>
      <c r="G70" s="112">
        <f t="shared" si="0"/>
        <v>0</v>
      </c>
    </row>
    <row r="71" spans="1:8" ht="20.100000000000001" customHeight="1">
      <c r="A71" s="108">
        <v>1</v>
      </c>
      <c r="B71" s="168" t="s">
        <v>431</v>
      </c>
      <c r="C71" s="16" t="s">
        <v>432</v>
      </c>
      <c r="D71" s="9" t="s">
        <v>405</v>
      </c>
      <c r="E71" s="169">
        <v>52776.63</v>
      </c>
      <c r="F71" s="72">
        <f>180306.81</f>
        <v>180306.81</v>
      </c>
      <c r="G71" s="112">
        <f t="shared" si="0"/>
        <v>127530.18</v>
      </c>
    </row>
    <row r="72" spans="1:8" ht="20.100000000000001" customHeight="1">
      <c r="A72" s="108">
        <v>2</v>
      </c>
      <c r="B72" s="174" t="s">
        <v>433</v>
      </c>
      <c r="C72" s="16" t="s">
        <v>434</v>
      </c>
      <c r="D72" s="113" t="s">
        <v>1054</v>
      </c>
      <c r="E72" s="165">
        <v>15548.33</v>
      </c>
      <c r="F72" s="112">
        <v>75572.92</v>
      </c>
      <c r="G72" s="112">
        <f t="shared" si="0"/>
        <v>60024.59</v>
      </c>
    </row>
    <row r="73" spans="1:8" ht="20.100000000000001" customHeight="1">
      <c r="A73" s="108">
        <v>3</v>
      </c>
      <c r="B73" s="168" t="s">
        <v>436</v>
      </c>
      <c r="C73" s="100" t="s">
        <v>231</v>
      </c>
      <c r="D73" s="9" t="s">
        <v>1052</v>
      </c>
      <c r="E73" s="169">
        <v>7709.76</v>
      </c>
      <c r="F73" s="72">
        <f>48170.87</f>
        <v>48170.87</v>
      </c>
      <c r="G73" s="112">
        <f t="shared" si="0"/>
        <v>40461.11</v>
      </c>
    </row>
    <row r="74" spans="1:8" ht="20.100000000000001" customHeight="1">
      <c r="A74" s="108">
        <v>4</v>
      </c>
      <c r="B74" s="174" t="s">
        <v>437</v>
      </c>
      <c r="C74" s="16" t="s">
        <v>231</v>
      </c>
      <c r="D74" s="113" t="s">
        <v>1260</v>
      </c>
      <c r="E74" s="165">
        <v>7709.76</v>
      </c>
      <c r="F74" s="112">
        <f>46673.26</f>
        <v>46673.26</v>
      </c>
      <c r="G74" s="112">
        <f t="shared" si="0"/>
        <v>38963.5</v>
      </c>
    </row>
    <row r="75" spans="1:8" ht="20.100000000000001" customHeight="1">
      <c r="A75" s="108">
        <v>5</v>
      </c>
      <c r="B75" s="166" t="s">
        <v>438</v>
      </c>
      <c r="C75" s="16" t="s">
        <v>365</v>
      </c>
      <c r="D75" s="113" t="s">
        <v>450</v>
      </c>
      <c r="E75" s="165">
        <v>7709.76</v>
      </c>
      <c r="F75" s="112">
        <v>56478.9</v>
      </c>
      <c r="G75" s="112">
        <f t="shared" si="0"/>
        <v>48769.14</v>
      </c>
    </row>
    <row r="76" spans="1:8" ht="20.100000000000001" customHeight="1">
      <c r="A76" s="108">
        <v>6</v>
      </c>
      <c r="B76" s="168" t="s">
        <v>439</v>
      </c>
      <c r="C76" s="3" t="s">
        <v>64</v>
      </c>
      <c r="D76" s="9" t="s">
        <v>1268</v>
      </c>
      <c r="E76" s="169">
        <v>3369.51</v>
      </c>
      <c r="F76" s="72">
        <v>36127.269999999997</v>
      </c>
      <c r="G76" s="112">
        <f t="shared" ref="G76:G139" si="5">F76-E76</f>
        <v>32757.759999999998</v>
      </c>
    </row>
    <row r="77" spans="1:8" ht="20.100000000000001" customHeight="1">
      <c r="A77" s="108">
        <v>7</v>
      </c>
      <c r="B77" s="170" t="s">
        <v>1133</v>
      </c>
      <c r="C77" s="16" t="s">
        <v>34</v>
      </c>
      <c r="D77" s="113" t="s">
        <v>440</v>
      </c>
      <c r="E77" s="165">
        <v>3369.51</v>
      </c>
      <c r="F77" s="112">
        <v>41248.559999999998</v>
      </c>
      <c r="G77" s="112">
        <f t="shared" si="5"/>
        <v>37879.050000000003</v>
      </c>
    </row>
    <row r="78" spans="1:8" ht="20.100000000000001" customHeight="1">
      <c r="A78" s="108">
        <v>8</v>
      </c>
      <c r="B78" s="163" t="s">
        <v>441</v>
      </c>
      <c r="C78" s="16" t="s">
        <v>34</v>
      </c>
      <c r="D78" s="113" t="s">
        <v>32</v>
      </c>
      <c r="E78" s="165">
        <v>3369.51</v>
      </c>
      <c r="F78" s="112">
        <f>40149.18</f>
        <v>40149.18</v>
      </c>
      <c r="G78" s="112">
        <f t="shared" si="5"/>
        <v>36779.67</v>
      </c>
    </row>
    <row r="79" spans="1:8" ht="20.100000000000001" customHeight="1">
      <c r="A79" s="108">
        <v>9</v>
      </c>
      <c r="B79" s="163" t="s">
        <v>442</v>
      </c>
      <c r="C79" s="16" t="s">
        <v>34</v>
      </c>
      <c r="D79" s="113" t="s">
        <v>32</v>
      </c>
      <c r="E79" s="165">
        <v>3369.51</v>
      </c>
      <c r="F79" s="112">
        <f>40149.18</f>
        <v>40149.18</v>
      </c>
      <c r="G79" s="112">
        <f t="shared" si="5"/>
        <v>36779.67</v>
      </c>
    </row>
    <row r="80" spans="1:8" ht="20.100000000000001" customHeight="1">
      <c r="A80" s="108">
        <v>10</v>
      </c>
      <c r="B80" s="163" t="s">
        <v>443</v>
      </c>
      <c r="C80" s="100" t="s">
        <v>452</v>
      </c>
      <c r="D80" s="108" t="s">
        <v>539</v>
      </c>
      <c r="E80" s="165">
        <v>3369.51</v>
      </c>
      <c r="F80" s="112">
        <f>34593.08</f>
        <v>34593.08</v>
      </c>
      <c r="G80" s="112">
        <f t="shared" si="5"/>
        <v>31223.57</v>
      </c>
    </row>
    <row r="81" spans="1:8" ht="20.100000000000001" customHeight="1">
      <c r="A81" s="108">
        <v>11</v>
      </c>
      <c r="B81" s="168" t="s">
        <v>1215</v>
      </c>
      <c r="C81" s="16" t="s">
        <v>64</v>
      </c>
      <c r="D81" s="108" t="s">
        <v>37</v>
      </c>
      <c r="E81" s="165">
        <v>3369.51</v>
      </c>
      <c r="F81" s="112">
        <f>32291.82</f>
        <v>32291.82</v>
      </c>
      <c r="G81" s="112">
        <f t="shared" si="5"/>
        <v>28922.31</v>
      </c>
    </row>
    <row r="82" spans="1:8" ht="20.100000000000001" customHeight="1">
      <c r="A82" s="108">
        <v>12</v>
      </c>
      <c r="B82" s="168" t="s">
        <v>389</v>
      </c>
      <c r="C82" s="16" t="s">
        <v>382</v>
      </c>
      <c r="D82" s="108" t="s">
        <v>55</v>
      </c>
      <c r="E82" s="165">
        <v>1484.37</v>
      </c>
      <c r="F82" s="112">
        <f>24685.95</f>
        <v>24685.95</v>
      </c>
      <c r="G82" s="112">
        <f t="shared" si="5"/>
        <v>23201.58</v>
      </c>
    </row>
    <row r="83" spans="1:8" ht="20.100000000000001" customHeight="1">
      <c r="A83" s="108">
        <v>13</v>
      </c>
      <c r="B83" s="166" t="s">
        <v>381</v>
      </c>
      <c r="C83" s="16" t="s">
        <v>382</v>
      </c>
      <c r="D83" s="108" t="s">
        <v>72</v>
      </c>
      <c r="E83" s="165">
        <v>1484.37</v>
      </c>
      <c r="F83" s="112">
        <f>24685.95</f>
        <v>24685.95</v>
      </c>
      <c r="G83" s="112">
        <f t="shared" si="5"/>
        <v>23201.58</v>
      </c>
    </row>
    <row r="84" spans="1:8" ht="20.100000000000001" customHeight="1">
      <c r="A84" s="108"/>
      <c r="B84" s="183" t="s">
        <v>42</v>
      </c>
      <c r="C84" s="20">
        <v>13</v>
      </c>
      <c r="D84" s="20"/>
      <c r="E84" s="184">
        <v>114640.04</v>
      </c>
      <c r="F84" s="80">
        <f t="shared" ref="F84" si="6">SUM(F71:F83)</f>
        <v>681133.75</v>
      </c>
      <c r="G84" s="142">
        <f t="shared" si="5"/>
        <v>566493.71</v>
      </c>
      <c r="H84" s="179"/>
    </row>
    <row r="85" spans="1:8" ht="20.100000000000001" customHeight="1">
      <c r="A85" s="108"/>
      <c r="B85" s="185"/>
      <c r="C85" s="20"/>
      <c r="D85" s="20"/>
      <c r="E85" s="184"/>
      <c r="F85" s="134"/>
      <c r="G85" s="112">
        <f t="shared" si="5"/>
        <v>0</v>
      </c>
    </row>
    <row r="86" spans="1:8" ht="20.100000000000001" customHeight="1">
      <c r="A86" s="108"/>
      <c r="B86" s="183" t="s">
        <v>1269</v>
      </c>
      <c r="C86" s="20"/>
      <c r="D86" s="20"/>
      <c r="E86" s="184"/>
      <c r="F86" s="134"/>
      <c r="G86" s="112">
        <f t="shared" si="5"/>
        <v>0</v>
      </c>
    </row>
    <row r="87" spans="1:8" ht="20.100000000000001" customHeight="1">
      <c r="A87" s="108">
        <v>1</v>
      </c>
      <c r="B87" s="163" t="s">
        <v>446</v>
      </c>
      <c r="C87" s="100" t="s">
        <v>447</v>
      </c>
      <c r="D87" s="108" t="s">
        <v>405</v>
      </c>
      <c r="E87" s="165">
        <v>52776.63</v>
      </c>
      <c r="F87" s="112">
        <f>180306.81</f>
        <v>180306.81</v>
      </c>
      <c r="G87" s="112">
        <f t="shared" si="5"/>
        <v>127530.18</v>
      </c>
    </row>
    <row r="88" spans="1:8" ht="20.100000000000001" customHeight="1">
      <c r="A88" s="108">
        <v>2</v>
      </c>
      <c r="B88" s="186" t="s">
        <v>331</v>
      </c>
      <c r="C88" s="45" t="s">
        <v>76</v>
      </c>
      <c r="D88" s="113" t="s">
        <v>1054</v>
      </c>
      <c r="E88" s="165">
        <v>15548.33</v>
      </c>
      <c r="F88" s="112">
        <f>75572.92</f>
        <v>75572.92</v>
      </c>
      <c r="G88" s="112">
        <f t="shared" si="5"/>
        <v>60024.59</v>
      </c>
    </row>
    <row r="89" spans="1:8" ht="20.100000000000001" customHeight="1">
      <c r="A89" s="108">
        <v>3</v>
      </c>
      <c r="B89" s="186" t="s">
        <v>1216</v>
      </c>
      <c r="C89" s="45" t="s">
        <v>1217</v>
      </c>
      <c r="D89" s="113" t="s">
        <v>1054</v>
      </c>
      <c r="E89" s="165">
        <v>15548.33</v>
      </c>
      <c r="F89" s="112">
        <f>75572.92</f>
        <v>75572.92</v>
      </c>
      <c r="G89" s="112">
        <f t="shared" si="5"/>
        <v>60024.59</v>
      </c>
    </row>
    <row r="90" spans="1:8" ht="20.100000000000001" customHeight="1">
      <c r="A90" s="108">
        <v>4</v>
      </c>
      <c r="B90" s="163" t="s">
        <v>451</v>
      </c>
      <c r="C90" s="100" t="s">
        <v>452</v>
      </c>
      <c r="D90" s="108" t="s">
        <v>37</v>
      </c>
      <c r="E90" s="165">
        <v>3369.51</v>
      </c>
      <c r="F90" s="112">
        <f>32291.82</f>
        <v>32291.82</v>
      </c>
      <c r="G90" s="112">
        <f t="shared" si="5"/>
        <v>28922.31</v>
      </c>
    </row>
    <row r="91" spans="1:8" ht="20.100000000000001" customHeight="1">
      <c r="A91" s="108"/>
      <c r="B91" s="183" t="s">
        <v>42</v>
      </c>
      <c r="C91" s="20">
        <v>4</v>
      </c>
      <c r="D91" s="20"/>
      <c r="E91" s="184">
        <v>87242.8</v>
      </c>
      <c r="F91" s="80">
        <f t="shared" ref="F91" si="7">SUM(F87:F90)</f>
        <v>363744.47</v>
      </c>
      <c r="G91" s="142">
        <f t="shared" si="5"/>
        <v>276501.67</v>
      </c>
      <c r="H91" s="179"/>
    </row>
    <row r="92" spans="1:8" ht="20.100000000000001" customHeight="1">
      <c r="A92" s="108"/>
      <c r="B92" s="187"/>
      <c r="C92" s="103"/>
      <c r="D92" s="103"/>
      <c r="E92" s="176"/>
      <c r="F92" s="142"/>
      <c r="G92" s="112">
        <f t="shared" si="5"/>
        <v>0</v>
      </c>
    </row>
    <row r="93" spans="1:8" ht="20.100000000000001" customHeight="1">
      <c r="A93" s="108"/>
      <c r="B93" s="187" t="s">
        <v>1270</v>
      </c>
      <c r="C93" s="146"/>
      <c r="D93" s="103"/>
      <c r="E93" s="176"/>
      <c r="F93" s="142"/>
      <c r="G93" s="112">
        <f t="shared" si="5"/>
        <v>0</v>
      </c>
    </row>
    <row r="94" spans="1:8" ht="20.100000000000001" customHeight="1">
      <c r="A94" s="108">
        <v>1</v>
      </c>
      <c r="B94" s="163" t="s">
        <v>1271</v>
      </c>
      <c r="C94" s="100" t="s">
        <v>1233</v>
      </c>
      <c r="D94" s="108" t="s">
        <v>416</v>
      </c>
      <c r="E94" s="165">
        <v>21618.09</v>
      </c>
      <c r="F94" s="112">
        <f>97273.51</f>
        <v>97273.51</v>
      </c>
      <c r="G94" s="112">
        <f t="shared" si="5"/>
        <v>75655.42</v>
      </c>
    </row>
    <row r="95" spans="1:8" ht="20.100000000000001" customHeight="1">
      <c r="A95" s="108">
        <v>2</v>
      </c>
      <c r="B95" s="163" t="s">
        <v>457</v>
      </c>
      <c r="C95" s="100" t="s">
        <v>418</v>
      </c>
      <c r="D95" s="108" t="s">
        <v>358</v>
      </c>
      <c r="E95" s="165">
        <v>15548.33</v>
      </c>
      <c r="F95" s="112">
        <f>79956.94</f>
        <v>79956.94</v>
      </c>
      <c r="G95" s="112">
        <f t="shared" si="5"/>
        <v>64408.61</v>
      </c>
    </row>
    <row r="96" spans="1:8" ht="20.100000000000001" customHeight="1">
      <c r="A96" s="108">
        <v>3</v>
      </c>
      <c r="B96" s="163" t="s">
        <v>458</v>
      </c>
      <c r="C96" s="100" t="s">
        <v>418</v>
      </c>
      <c r="D96" s="108" t="s">
        <v>358</v>
      </c>
      <c r="E96" s="165">
        <v>15548.33</v>
      </c>
      <c r="F96" s="112">
        <f>79796.1</f>
        <v>79796.100000000006</v>
      </c>
      <c r="G96" s="112">
        <f t="shared" si="5"/>
        <v>64247.77</v>
      </c>
    </row>
    <row r="97" spans="1:8" ht="20.100000000000001" customHeight="1">
      <c r="A97" s="108">
        <v>4</v>
      </c>
      <c r="B97" s="166" t="s">
        <v>493</v>
      </c>
      <c r="C97" s="100" t="s">
        <v>365</v>
      </c>
      <c r="D97" s="108" t="s">
        <v>366</v>
      </c>
      <c r="E97" s="165">
        <v>7709.76</v>
      </c>
      <c r="F97" s="112">
        <f>57894.08</f>
        <v>57894.080000000002</v>
      </c>
      <c r="G97" s="112">
        <f t="shared" si="5"/>
        <v>50184.32</v>
      </c>
    </row>
    <row r="98" spans="1:8" ht="20.100000000000001" customHeight="1">
      <c r="A98" s="108">
        <v>5</v>
      </c>
      <c r="B98" s="168" t="s">
        <v>459</v>
      </c>
      <c r="C98" s="100" t="s">
        <v>368</v>
      </c>
      <c r="D98" s="108" t="s">
        <v>450</v>
      </c>
      <c r="E98" s="165">
        <v>7709.76</v>
      </c>
      <c r="F98" s="112">
        <f>56478.9</f>
        <v>56478.9</v>
      </c>
      <c r="G98" s="112">
        <f t="shared" si="5"/>
        <v>48769.14</v>
      </c>
    </row>
    <row r="99" spans="1:8" ht="20.100000000000001" customHeight="1">
      <c r="A99" s="108">
        <v>6</v>
      </c>
      <c r="B99" s="168" t="s">
        <v>1272</v>
      </c>
      <c r="C99" s="100" t="s">
        <v>368</v>
      </c>
      <c r="D99" s="108" t="s">
        <v>29</v>
      </c>
      <c r="E99" s="165">
        <v>7709.76</v>
      </c>
      <c r="F99" s="112">
        <f>53384.05</f>
        <v>53384.05</v>
      </c>
      <c r="G99" s="112">
        <f t="shared" si="5"/>
        <v>45674.29</v>
      </c>
    </row>
    <row r="100" spans="1:8" ht="21.6" customHeight="1">
      <c r="A100" s="108">
        <v>7</v>
      </c>
      <c r="B100" s="170" t="s">
        <v>460</v>
      </c>
      <c r="C100" s="100" t="s">
        <v>461</v>
      </c>
      <c r="D100" s="113" t="s">
        <v>1052</v>
      </c>
      <c r="E100" s="165">
        <v>7709.76</v>
      </c>
      <c r="F100" s="112">
        <f>48170.87</f>
        <v>48170.87</v>
      </c>
      <c r="G100" s="112">
        <f t="shared" si="5"/>
        <v>40461.11</v>
      </c>
    </row>
    <row r="101" spans="1:8" ht="21.6" customHeight="1">
      <c r="A101" s="108">
        <v>8</v>
      </c>
      <c r="B101" s="163" t="s">
        <v>462</v>
      </c>
      <c r="C101" s="111" t="s">
        <v>231</v>
      </c>
      <c r="D101" s="113" t="s">
        <v>1260</v>
      </c>
      <c r="E101" s="165">
        <v>7709.76</v>
      </c>
      <c r="F101" s="112">
        <f>46673.26</f>
        <v>46673.26</v>
      </c>
      <c r="G101" s="112">
        <f t="shared" si="5"/>
        <v>38963.5</v>
      </c>
    </row>
    <row r="102" spans="1:8" ht="21.6" customHeight="1">
      <c r="A102" s="108">
        <v>9</v>
      </c>
      <c r="B102" s="163" t="s">
        <v>463</v>
      </c>
      <c r="C102" s="111" t="s">
        <v>231</v>
      </c>
      <c r="D102" s="113" t="s">
        <v>1260</v>
      </c>
      <c r="E102" s="165">
        <v>7709.76</v>
      </c>
      <c r="F102" s="112">
        <f>46673.26</f>
        <v>46673.26</v>
      </c>
      <c r="G102" s="112">
        <f t="shared" si="5"/>
        <v>38963.5</v>
      </c>
    </row>
    <row r="103" spans="1:8" ht="21.6" customHeight="1">
      <c r="A103" s="108">
        <v>10</v>
      </c>
      <c r="B103" s="163" t="s">
        <v>464</v>
      </c>
      <c r="C103" s="16" t="s">
        <v>34</v>
      </c>
      <c r="D103" s="113" t="s">
        <v>32</v>
      </c>
      <c r="E103" s="165">
        <v>3369.51</v>
      </c>
      <c r="F103" s="112">
        <f>40149.18</f>
        <v>40149.18</v>
      </c>
      <c r="G103" s="112">
        <f t="shared" si="5"/>
        <v>36779.67</v>
      </c>
    </row>
    <row r="104" spans="1:8" ht="21.6" customHeight="1">
      <c r="A104" s="108">
        <v>11</v>
      </c>
      <c r="B104" s="163" t="s">
        <v>466</v>
      </c>
      <c r="C104" s="100" t="s">
        <v>64</v>
      </c>
      <c r="D104" s="108" t="s">
        <v>55</v>
      </c>
      <c r="E104" s="165">
        <v>3369.51</v>
      </c>
      <c r="F104" s="112">
        <f>28360.95</f>
        <v>28360.95</v>
      </c>
      <c r="G104" s="112">
        <f t="shared" si="5"/>
        <v>24991.439999999999</v>
      </c>
    </row>
    <row r="105" spans="1:8" ht="21.6" customHeight="1">
      <c r="A105" s="108">
        <v>12</v>
      </c>
      <c r="B105" s="163" t="s">
        <v>468</v>
      </c>
      <c r="C105" s="16" t="s">
        <v>469</v>
      </c>
      <c r="D105" s="113" t="s">
        <v>72</v>
      </c>
      <c r="E105" s="165">
        <v>1484.37</v>
      </c>
      <c r="F105" s="112">
        <f>24685.95</f>
        <v>24685.95</v>
      </c>
      <c r="G105" s="112">
        <f t="shared" si="5"/>
        <v>23201.58</v>
      </c>
    </row>
    <row r="106" spans="1:8" ht="20.100000000000001" customHeight="1">
      <c r="A106" s="108"/>
      <c r="B106" s="175" t="s">
        <v>42</v>
      </c>
      <c r="C106" s="103">
        <v>12</v>
      </c>
      <c r="D106" s="103"/>
      <c r="E106" s="176">
        <v>107196.7</v>
      </c>
      <c r="F106" s="143">
        <f t="shared" ref="F106" si="8">SUM(F94:F105)</f>
        <v>659497.05000000005</v>
      </c>
      <c r="G106" s="143">
        <f t="shared" si="5"/>
        <v>552300.35</v>
      </c>
      <c r="H106" s="179"/>
    </row>
    <row r="107" spans="1:8" ht="20.100000000000001" customHeight="1">
      <c r="A107" s="108"/>
      <c r="B107" s="177"/>
      <c r="C107" s="103"/>
      <c r="D107" s="103"/>
      <c r="E107" s="176"/>
      <c r="F107" s="142"/>
      <c r="G107" s="112">
        <f t="shared" si="5"/>
        <v>0</v>
      </c>
    </row>
    <row r="108" spans="1:8" ht="20.100000000000001" customHeight="1">
      <c r="A108" s="108"/>
      <c r="B108" s="175" t="s">
        <v>1273</v>
      </c>
      <c r="C108" s="103"/>
      <c r="D108" s="103"/>
      <c r="E108" s="176"/>
      <c r="F108" s="142"/>
      <c r="G108" s="112">
        <f t="shared" si="5"/>
        <v>0</v>
      </c>
    </row>
    <row r="109" spans="1:8" ht="20.100000000000001" customHeight="1">
      <c r="A109" s="108">
        <v>1</v>
      </c>
      <c r="B109" s="171" t="s">
        <v>341</v>
      </c>
      <c r="C109" s="108" t="s">
        <v>342</v>
      </c>
      <c r="D109" s="113" t="s">
        <v>416</v>
      </c>
      <c r="E109" s="165">
        <v>21618.09</v>
      </c>
      <c r="F109" s="112">
        <f>79993.51</f>
        <v>79993.509999999995</v>
      </c>
      <c r="G109" s="112">
        <f t="shared" si="5"/>
        <v>58375.42</v>
      </c>
    </row>
    <row r="110" spans="1:8" ht="20.100000000000001" customHeight="1">
      <c r="A110" s="108">
        <v>2</v>
      </c>
      <c r="B110" s="168" t="s">
        <v>359</v>
      </c>
      <c r="C110" s="3" t="s">
        <v>474</v>
      </c>
      <c r="D110" s="9" t="s">
        <v>450</v>
      </c>
      <c r="E110" s="169">
        <v>7709.76</v>
      </c>
      <c r="F110" s="112">
        <f>43380.1</f>
        <v>43380.1</v>
      </c>
      <c r="G110" s="112">
        <f t="shared" si="5"/>
        <v>35670.339999999997</v>
      </c>
      <c r="H110" s="145"/>
    </row>
    <row r="111" spans="1:8" ht="20.100000000000001" customHeight="1">
      <c r="A111" s="108">
        <v>3</v>
      </c>
      <c r="B111" s="174" t="s">
        <v>1234</v>
      </c>
      <c r="C111" s="3" t="s">
        <v>1235</v>
      </c>
      <c r="D111" s="113" t="s">
        <v>1260</v>
      </c>
      <c r="E111" s="165">
        <v>7709.76</v>
      </c>
      <c r="F111" s="112">
        <f>38272.44</f>
        <v>38272.44</v>
      </c>
      <c r="G111" s="112">
        <f t="shared" si="5"/>
        <v>30562.68</v>
      </c>
      <c r="H111" s="145"/>
    </row>
    <row r="112" spans="1:8" ht="20.100000000000001" customHeight="1">
      <c r="A112" s="108">
        <v>4</v>
      </c>
      <c r="B112" s="163" t="s">
        <v>475</v>
      </c>
      <c r="C112" s="100" t="s">
        <v>1274</v>
      </c>
      <c r="D112" s="113" t="s">
        <v>1275</v>
      </c>
      <c r="E112" s="165">
        <v>3369.51</v>
      </c>
      <c r="F112" s="112">
        <f>28640.16</f>
        <v>28640.16</v>
      </c>
      <c r="G112" s="112">
        <f t="shared" si="5"/>
        <v>25270.65</v>
      </c>
      <c r="H112" s="145"/>
    </row>
    <row r="113" spans="1:8" ht="20.100000000000001" customHeight="1">
      <c r="A113" s="100"/>
      <c r="B113" s="175" t="s">
        <v>42</v>
      </c>
      <c r="C113" s="103">
        <v>4</v>
      </c>
      <c r="D113" s="147"/>
      <c r="E113" s="176">
        <v>40407.120000000003</v>
      </c>
      <c r="F113" s="80">
        <f t="shared" ref="F113" si="9">SUM(F109:F112)</f>
        <v>190286.21</v>
      </c>
      <c r="G113" s="143">
        <f t="shared" si="5"/>
        <v>149879.09</v>
      </c>
      <c r="H113" s="145"/>
    </row>
    <row r="114" spans="1:8" ht="20.100000000000001" customHeight="1">
      <c r="A114" s="100"/>
      <c r="B114" s="177"/>
      <c r="C114" s="103"/>
      <c r="D114" s="147"/>
      <c r="E114" s="176"/>
      <c r="F114" s="134"/>
      <c r="G114" s="112">
        <f t="shared" si="5"/>
        <v>0</v>
      </c>
    </row>
    <row r="115" spans="1:8" ht="20.100000000000001" customHeight="1">
      <c r="A115" s="100"/>
      <c r="B115" s="175" t="s">
        <v>1276</v>
      </c>
      <c r="C115" s="100"/>
      <c r="D115" s="100"/>
      <c r="E115" s="122"/>
      <c r="F115" s="100"/>
      <c r="G115" s="112">
        <f t="shared" si="5"/>
        <v>0</v>
      </c>
    </row>
    <row r="116" spans="1:8" ht="20.100000000000001" customHeight="1">
      <c r="A116" s="100">
        <v>1</v>
      </c>
      <c r="B116" s="163" t="s">
        <v>480</v>
      </c>
      <c r="C116" s="111" t="s">
        <v>481</v>
      </c>
      <c r="D116" s="113" t="s">
        <v>405</v>
      </c>
      <c r="E116" s="165">
        <v>52776.63</v>
      </c>
      <c r="F116" s="112">
        <f>180306.81</f>
        <v>180306.81</v>
      </c>
      <c r="G116" s="112">
        <f t="shared" si="5"/>
        <v>127530.18</v>
      </c>
    </row>
    <row r="117" spans="1:8" ht="20.100000000000001" customHeight="1">
      <c r="A117" s="100">
        <v>2</v>
      </c>
      <c r="B117" s="163" t="s">
        <v>482</v>
      </c>
      <c r="C117" s="100" t="s">
        <v>483</v>
      </c>
      <c r="D117" s="108" t="s">
        <v>358</v>
      </c>
      <c r="E117" s="165">
        <v>15548.33</v>
      </c>
      <c r="F117" s="112">
        <f>79796.1</f>
        <v>79796.100000000006</v>
      </c>
      <c r="G117" s="112">
        <f t="shared" si="5"/>
        <v>64247.77</v>
      </c>
    </row>
    <row r="118" spans="1:8" ht="20.100000000000001" customHeight="1">
      <c r="A118" s="100">
        <v>3</v>
      </c>
      <c r="B118" s="163" t="s">
        <v>484</v>
      </c>
      <c r="C118" s="100" t="s">
        <v>485</v>
      </c>
      <c r="D118" s="108" t="s">
        <v>372</v>
      </c>
      <c r="E118" s="165">
        <v>7709.76</v>
      </c>
      <c r="F118" s="112">
        <f>58814.67</f>
        <v>58814.67</v>
      </c>
      <c r="G118" s="112">
        <f t="shared" si="5"/>
        <v>51104.91</v>
      </c>
    </row>
    <row r="119" spans="1:8" ht="20.100000000000001" customHeight="1">
      <c r="A119" s="100">
        <v>4</v>
      </c>
      <c r="B119" s="168" t="s">
        <v>486</v>
      </c>
      <c r="C119" s="100" t="s">
        <v>485</v>
      </c>
      <c r="D119" s="9" t="s">
        <v>375</v>
      </c>
      <c r="E119" s="169">
        <v>7709.76</v>
      </c>
      <c r="F119" s="72">
        <f>57194.24</f>
        <v>57194.239999999998</v>
      </c>
      <c r="G119" s="112">
        <f t="shared" si="5"/>
        <v>49484.480000000003</v>
      </c>
    </row>
    <row r="120" spans="1:8" ht="20.100000000000001" customHeight="1">
      <c r="A120" s="100">
        <v>5</v>
      </c>
      <c r="B120" s="163" t="s">
        <v>487</v>
      </c>
      <c r="C120" s="45" t="s">
        <v>488</v>
      </c>
      <c r="D120" s="113" t="s">
        <v>1048</v>
      </c>
      <c r="E120" s="165">
        <v>1484.37</v>
      </c>
      <c r="F120" s="112">
        <f>30699.58</f>
        <v>30699.58</v>
      </c>
      <c r="G120" s="112">
        <f t="shared" si="5"/>
        <v>29215.21</v>
      </c>
    </row>
    <row r="121" spans="1:8" ht="20.100000000000001" customHeight="1">
      <c r="A121" s="100">
        <v>6</v>
      </c>
      <c r="B121" s="174" t="s">
        <v>490</v>
      </c>
      <c r="C121" s="45" t="s">
        <v>488</v>
      </c>
      <c r="D121" s="108" t="s">
        <v>399</v>
      </c>
      <c r="E121" s="165">
        <v>1484.37</v>
      </c>
      <c r="F121" s="112">
        <f>30049.31</f>
        <v>30049.31</v>
      </c>
      <c r="G121" s="112">
        <f t="shared" si="5"/>
        <v>28564.94</v>
      </c>
    </row>
    <row r="122" spans="1:8" ht="20.100000000000001" customHeight="1">
      <c r="A122" s="100">
        <v>7</v>
      </c>
      <c r="B122" s="171" t="s">
        <v>492</v>
      </c>
      <c r="C122" s="45" t="s">
        <v>488</v>
      </c>
      <c r="D122" s="113" t="s">
        <v>72</v>
      </c>
      <c r="E122" s="165">
        <v>1484.37</v>
      </c>
      <c r="F122" s="112">
        <f>28813.07</f>
        <v>28813.07</v>
      </c>
      <c r="G122" s="112">
        <f t="shared" si="5"/>
        <v>27328.7</v>
      </c>
    </row>
    <row r="123" spans="1:8" ht="20.100000000000001" customHeight="1">
      <c r="A123" s="100"/>
      <c r="B123" s="175" t="s">
        <v>42</v>
      </c>
      <c r="C123" s="103">
        <v>7</v>
      </c>
      <c r="D123" s="100"/>
      <c r="E123" s="188">
        <v>88197.59</v>
      </c>
      <c r="F123" s="148">
        <f t="shared" ref="F123" si="10">SUM(F116:F122)</f>
        <v>465673.78</v>
      </c>
      <c r="G123" s="143">
        <f t="shared" si="5"/>
        <v>377476.19</v>
      </c>
      <c r="H123" s="179"/>
    </row>
    <row r="124" spans="1:8" ht="20.100000000000001" customHeight="1">
      <c r="A124" s="100"/>
      <c r="B124" s="177"/>
      <c r="C124" s="108"/>
      <c r="D124" s="100"/>
      <c r="E124" s="122"/>
      <c r="F124" s="149"/>
      <c r="G124" s="112">
        <f t="shared" si="5"/>
        <v>0</v>
      </c>
    </row>
    <row r="125" spans="1:8" ht="20.100000000000001" customHeight="1">
      <c r="A125" s="100"/>
      <c r="B125" s="175" t="s">
        <v>1277</v>
      </c>
      <c r="C125" s="103"/>
      <c r="D125" s="103"/>
      <c r="E125" s="176"/>
      <c r="F125" s="142"/>
      <c r="G125" s="112">
        <f t="shared" si="5"/>
        <v>0</v>
      </c>
    </row>
    <row r="126" spans="1:8" ht="20.100000000000001" customHeight="1">
      <c r="A126" s="100">
        <v>1</v>
      </c>
      <c r="B126" s="170" t="s">
        <v>499</v>
      </c>
      <c r="C126" s="111" t="s">
        <v>500</v>
      </c>
      <c r="D126" s="113" t="s">
        <v>405</v>
      </c>
      <c r="E126" s="165">
        <v>52776.63</v>
      </c>
      <c r="F126" s="112">
        <f>179914.45</f>
        <v>179914.45</v>
      </c>
      <c r="G126" s="112">
        <f t="shared" si="5"/>
        <v>127137.82</v>
      </c>
    </row>
    <row r="127" spans="1:8" ht="20.100000000000001" customHeight="1">
      <c r="A127" s="100">
        <v>2</v>
      </c>
      <c r="B127" s="170" t="s">
        <v>1237</v>
      </c>
      <c r="C127" s="111" t="s">
        <v>1238</v>
      </c>
      <c r="D127" s="113" t="s">
        <v>340</v>
      </c>
      <c r="E127" s="165">
        <v>21618.09</v>
      </c>
      <c r="F127" s="112">
        <f>101827.95</f>
        <v>101827.95</v>
      </c>
      <c r="G127" s="112">
        <f t="shared" si="5"/>
        <v>80209.86</v>
      </c>
    </row>
    <row r="128" spans="1:8" ht="20.100000000000001" customHeight="1">
      <c r="A128" s="100">
        <v>3</v>
      </c>
      <c r="B128" s="170" t="s">
        <v>178</v>
      </c>
      <c r="C128" s="111" t="s">
        <v>337</v>
      </c>
      <c r="D128" s="113" t="s">
        <v>358</v>
      </c>
      <c r="E128" s="165">
        <v>15548.33</v>
      </c>
      <c r="F128" s="112">
        <f>64436.1</f>
        <v>64436.1</v>
      </c>
      <c r="G128" s="112">
        <f t="shared" si="5"/>
        <v>48887.77</v>
      </c>
    </row>
    <row r="129" spans="1:8" ht="20.100000000000001" customHeight="1">
      <c r="A129" s="100">
        <v>4</v>
      </c>
      <c r="B129" s="178" t="s">
        <v>502</v>
      </c>
      <c r="C129" s="111" t="s">
        <v>337</v>
      </c>
      <c r="D129" s="113" t="s">
        <v>358</v>
      </c>
      <c r="E129" s="165">
        <v>15548.33</v>
      </c>
      <c r="F129" s="112">
        <f>83636.1</f>
        <v>83636.100000000006</v>
      </c>
      <c r="G129" s="112">
        <f t="shared" si="5"/>
        <v>68087.77</v>
      </c>
    </row>
    <row r="130" spans="1:8" ht="20.100000000000001" customHeight="1">
      <c r="A130" s="100">
        <v>5</v>
      </c>
      <c r="B130" s="186" t="s">
        <v>336</v>
      </c>
      <c r="C130" s="111" t="s">
        <v>337</v>
      </c>
      <c r="D130" s="113" t="s">
        <v>99</v>
      </c>
      <c r="E130" s="165">
        <v>15548.33</v>
      </c>
      <c r="F130" s="112">
        <f>60212.92</f>
        <v>60212.92</v>
      </c>
      <c r="G130" s="112">
        <f t="shared" si="5"/>
        <v>44664.59</v>
      </c>
    </row>
    <row r="131" spans="1:8" ht="20.100000000000001" customHeight="1">
      <c r="A131" s="100">
        <v>6</v>
      </c>
      <c r="B131" s="170" t="s">
        <v>503</v>
      </c>
      <c r="C131" s="111" t="s">
        <v>1240</v>
      </c>
      <c r="D131" s="113" t="s">
        <v>375</v>
      </c>
      <c r="E131" s="165">
        <v>7709.76</v>
      </c>
      <c r="F131" s="112">
        <f>40788.51</f>
        <v>40788.51</v>
      </c>
      <c r="G131" s="112">
        <f t="shared" si="5"/>
        <v>33078.75</v>
      </c>
    </row>
    <row r="132" spans="1:8" ht="20.100000000000001" customHeight="1">
      <c r="A132" s="100">
        <v>7</v>
      </c>
      <c r="B132" s="170" t="s">
        <v>505</v>
      </c>
      <c r="C132" s="111" t="s">
        <v>506</v>
      </c>
      <c r="D132" s="113" t="s">
        <v>1052</v>
      </c>
      <c r="E132" s="165">
        <v>7709.76</v>
      </c>
      <c r="F132" s="112">
        <f>44518.93</f>
        <v>44518.93</v>
      </c>
      <c r="G132" s="112">
        <f t="shared" si="5"/>
        <v>36809.17</v>
      </c>
    </row>
    <row r="133" spans="1:8" ht="20.100000000000001" customHeight="1">
      <c r="A133" s="100">
        <v>8</v>
      </c>
      <c r="B133" s="170" t="s">
        <v>507</v>
      </c>
      <c r="C133" s="111" t="s">
        <v>1071</v>
      </c>
      <c r="D133" s="113" t="s">
        <v>1052</v>
      </c>
      <c r="E133" s="165">
        <v>7709.76</v>
      </c>
      <c r="F133" s="112">
        <f>39478.93</f>
        <v>39478.93</v>
      </c>
      <c r="G133" s="112">
        <f t="shared" si="5"/>
        <v>31769.17</v>
      </c>
    </row>
    <row r="134" spans="1:8" ht="20.100000000000001" customHeight="1">
      <c r="A134" s="100">
        <v>9</v>
      </c>
      <c r="B134" s="171" t="s">
        <v>1239</v>
      </c>
      <c r="C134" s="111" t="s">
        <v>1240</v>
      </c>
      <c r="D134" s="113" t="s">
        <v>1053</v>
      </c>
      <c r="E134" s="165">
        <v>7709.76</v>
      </c>
      <c r="F134" s="112">
        <f>38272.44</f>
        <v>38272.44</v>
      </c>
      <c r="G134" s="112">
        <f t="shared" si="5"/>
        <v>30562.68</v>
      </c>
    </row>
    <row r="135" spans="1:8" ht="20.100000000000001" customHeight="1">
      <c r="A135" s="100">
        <v>10</v>
      </c>
      <c r="B135" s="163" t="s">
        <v>508</v>
      </c>
      <c r="C135" s="111" t="s">
        <v>509</v>
      </c>
      <c r="D135" s="108" t="s">
        <v>55</v>
      </c>
      <c r="E135" s="165">
        <v>3369.51</v>
      </c>
      <c r="F135" s="112">
        <f>21640.95</f>
        <v>21640.95</v>
      </c>
      <c r="G135" s="112">
        <f t="shared" si="5"/>
        <v>18271.439999999999</v>
      </c>
    </row>
    <row r="136" spans="1:8" ht="20.100000000000001" customHeight="1">
      <c r="A136" s="100">
        <v>11</v>
      </c>
      <c r="B136" s="171" t="s">
        <v>510</v>
      </c>
      <c r="C136" s="111" t="s">
        <v>511</v>
      </c>
      <c r="D136" s="113" t="s">
        <v>72</v>
      </c>
      <c r="E136" s="165">
        <v>1484.37</v>
      </c>
      <c r="F136" s="112">
        <f>25245.23</f>
        <v>25245.23</v>
      </c>
      <c r="G136" s="112">
        <f t="shared" si="5"/>
        <v>23760.86</v>
      </c>
    </row>
    <row r="137" spans="1:8" ht="20.100000000000001" customHeight="1">
      <c r="A137" s="100"/>
      <c r="B137" s="175" t="s">
        <v>42</v>
      </c>
      <c r="C137" s="147" t="s">
        <v>1241</v>
      </c>
      <c r="D137" s="113"/>
      <c r="E137" s="189">
        <v>156732.63</v>
      </c>
      <c r="F137" s="143">
        <f t="shared" ref="F137" si="11">SUM(F126:F136)</f>
        <v>699972.51</v>
      </c>
      <c r="G137" s="143">
        <f t="shared" si="5"/>
        <v>543239.88</v>
      </c>
      <c r="H137" s="179"/>
    </row>
    <row r="138" spans="1:8" ht="20.100000000000001" customHeight="1">
      <c r="A138" s="100"/>
      <c r="B138" s="177"/>
      <c r="C138" s="147"/>
      <c r="D138" s="113"/>
      <c r="E138" s="165"/>
      <c r="F138" s="142"/>
      <c r="G138" s="112">
        <f t="shared" si="5"/>
        <v>0</v>
      </c>
    </row>
    <row r="139" spans="1:8" ht="20.100000000000001" customHeight="1">
      <c r="A139" s="100"/>
      <c r="B139" s="175" t="s">
        <v>1278</v>
      </c>
      <c r="C139" s="111"/>
      <c r="D139" s="113"/>
      <c r="E139" s="165"/>
      <c r="F139" s="112"/>
      <c r="G139" s="112">
        <f t="shared" si="5"/>
        <v>0</v>
      </c>
    </row>
    <row r="140" spans="1:8" ht="20.100000000000001" customHeight="1">
      <c r="A140" s="190">
        <v>1</v>
      </c>
      <c r="B140" s="170" t="s">
        <v>1279</v>
      </c>
      <c r="C140" s="111" t="s">
        <v>1280</v>
      </c>
      <c r="D140" s="113" t="s">
        <v>405</v>
      </c>
      <c r="E140" s="165">
        <v>52776.63</v>
      </c>
      <c r="F140" s="112"/>
      <c r="G140" s="112">
        <f t="shared" ref="G140:G199" si="12">F140-E140</f>
        <v>-52776.63</v>
      </c>
    </row>
    <row r="141" spans="1:8" ht="20.100000000000001" customHeight="1">
      <c r="A141" s="190">
        <v>2</v>
      </c>
      <c r="B141" s="170" t="s">
        <v>514</v>
      </c>
      <c r="C141" s="111" t="s">
        <v>515</v>
      </c>
      <c r="D141" s="113" t="s">
        <v>405</v>
      </c>
      <c r="E141" s="165">
        <v>52776.63</v>
      </c>
      <c r="F141" s="112">
        <f>161106.81</f>
        <v>161106.81</v>
      </c>
      <c r="G141" s="112">
        <f t="shared" si="12"/>
        <v>108330.18</v>
      </c>
    </row>
    <row r="142" spans="1:8" ht="20.100000000000001" customHeight="1">
      <c r="A142" s="190">
        <v>3</v>
      </c>
      <c r="B142" s="170" t="s">
        <v>338</v>
      </c>
      <c r="C142" s="111" t="s">
        <v>339</v>
      </c>
      <c r="D142" s="113" t="s">
        <v>340</v>
      </c>
      <c r="E142" s="165">
        <v>21618.09</v>
      </c>
      <c r="F142" s="112">
        <f>82627.95</f>
        <v>82627.95</v>
      </c>
      <c r="G142" s="112">
        <f t="shared" si="12"/>
        <v>61009.86</v>
      </c>
    </row>
    <row r="143" spans="1:8" ht="20.100000000000001" customHeight="1">
      <c r="A143" s="190">
        <v>4</v>
      </c>
      <c r="B143" s="182" t="s">
        <v>516</v>
      </c>
      <c r="C143" s="3" t="s">
        <v>1281</v>
      </c>
      <c r="D143" s="15" t="s">
        <v>358</v>
      </c>
      <c r="E143" s="169">
        <v>15548.33</v>
      </c>
      <c r="F143" s="72">
        <f>74036.1</f>
        <v>74036.100000000006</v>
      </c>
      <c r="G143" s="112">
        <f t="shared" si="12"/>
        <v>58487.77</v>
      </c>
    </row>
    <row r="144" spans="1:8" ht="20.100000000000001" customHeight="1">
      <c r="A144" s="190">
        <v>5</v>
      </c>
      <c r="B144" s="182" t="s">
        <v>1282</v>
      </c>
      <c r="C144" s="3" t="s">
        <v>1283</v>
      </c>
      <c r="D144" s="15" t="s">
        <v>358</v>
      </c>
      <c r="E144" s="169">
        <v>15548.33</v>
      </c>
      <c r="F144" s="72"/>
      <c r="G144" s="112">
        <f t="shared" si="12"/>
        <v>-15548.33</v>
      </c>
    </row>
    <row r="145" spans="1:7" ht="20.100000000000001" customHeight="1">
      <c r="A145" s="190">
        <v>6</v>
      </c>
      <c r="B145" s="170" t="s">
        <v>518</v>
      </c>
      <c r="C145" s="111" t="s">
        <v>519</v>
      </c>
      <c r="D145" s="113" t="s">
        <v>450</v>
      </c>
      <c r="E145" s="165">
        <v>7709.76</v>
      </c>
      <c r="F145" s="112">
        <f>43380.1</f>
        <v>43380.1</v>
      </c>
      <c r="G145" s="112">
        <f t="shared" si="12"/>
        <v>35670.339999999997</v>
      </c>
    </row>
    <row r="146" spans="1:7" ht="20.100000000000001" customHeight="1">
      <c r="A146" s="190">
        <v>7</v>
      </c>
      <c r="B146" s="170" t="s">
        <v>520</v>
      </c>
      <c r="C146" s="100" t="s">
        <v>521</v>
      </c>
      <c r="D146" s="113" t="s">
        <v>450</v>
      </c>
      <c r="E146" s="165">
        <v>7709.76</v>
      </c>
      <c r="F146" s="112">
        <f>43380.1</f>
        <v>43380.1</v>
      </c>
      <c r="G146" s="112">
        <f t="shared" si="12"/>
        <v>35670.339999999997</v>
      </c>
    </row>
    <row r="147" spans="1:7" ht="20.100000000000001" customHeight="1">
      <c r="A147" s="190">
        <v>8</v>
      </c>
      <c r="B147" s="170" t="s">
        <v>473</v>
      </c>
      <c r="C147" s="100" t="s">
        <v>527</v>
      </c>
      <c r="D147" s="113" t="s">
        <v>1052</v>
      </c>
      <c r="E147" s="165">
        <v>7709.76</v>
      </c>
      <c r="F147" s="112">
        <f>39582.84</f>
        <v>39582.839999999997</v>
      </c>
      <c r="G147" s="112">
        <f t="shared" si="12"/>
        <v>31873.08</v>
      </c>
    </row>
    <row r="148" spans="1:7" ht="20.100000000000001" customHeight="1">
      <c r="A148" s="190">
        <v>9</v>
      </c>
      <c r="B148" s="163" t="s">
        <v>523</v>
      </c>
      <c r="C148" s="111" t="s">
        <v>524</v>
      </c>
      <c r="D148" s="113" t="s">
        <v>440</v>
      </c>
      <c r="E148" s="165">
        <v>3369.51</v>
      </c>
      <c r="F148" s="112">
        <f>32848.56</f>
        <v>32848.559999999998</v>
      </c>
      <c r="G148" s="112">
        <f t="shared" si="12"/>
        <v>29479.05</v>
      </c>
    </row>
    <row r="149" spans="1:7" ht="20.100000000000001" customHeight="1">
      <c r="A149" s="190">
        <v>10</v>
      </c>
      <c r="B149" s="170" t="s">
        <v>525</v>
      </c>
      <c r="C149" s="111" t="s">
        <v>524</v>
      </c>
      <c r="D149" s="113" t="s">
        <v>440</v>
      </c>
      <c r="E149" s="165">
        <v>3369.51</v>
      </c>
      <c r="F149" s="112">
        <f>32938.95</f>
        <v>32938.949999999997</v>
      </c>
      <c r="G149" s="112">
        <f t="shared" si="12"/>
        <v>29569.439999999999</v>
      </c>
    </row>
    <row r="150" spans="1:7" ht="20.100000000000001" customHeight="1">
      <c r="A150" s="190">
        <v>11</v>
      </c>
      <c r="B150" s="163" t="s">
        <v>526</v>
      </c>
      <c r="C150" s="100" t="s">
        <v>527</v>
      </c>
      <c r="D150" s="113" t="s">
        <v>440</v>
      </c>
      <c r="E150" s="165">
        <v>3369.51</v>
      </c>
      <c r="F150" s="112">
        <f>32938.95</f>
        <v>32938.949999999997</v>
      </c>
      <c r="G150" s="112">
        <f t="shared" si="12"/>
        <v>29569.439999999999</v>
      </c>
    </row>
    <row r="151" spans="1:7" ht="20.100000000000001" customHeight="1">
      <c r="A151" s="190">
        <v>12</v>
      </c>
      <c r="B151" s="163" t="s">
        <v>528</v>
      </c>
      <c r="C151" s="100" t="s">
        <v>537</v>
      </c>
      <c r="D151" s="113" t="s">
        <v>539</v>
      </c>
      <c r="E151" s="165">
        <v>3369.51</v>
      </c>
      <c r="F151" s="112">
        <f>27873.08</f>
        <v>27873.08</v>
      </c>
      <c r="G151" s="112">
        <f t="shared" si="12"/>
        <v>24503.57</v>
      </c>
    </row>
    <row r="152" spans="1:7" ht="20.100000000000001" customHeight="1">
      <c r="A152" s="190">
        <v>13</v>
      </c>
      <c r="B152" s="163" t="s">
        <v>530</v>
      </c>
      <c r="C152" s="111" t="s">
        <v>1072</v>
      </c>
      <c r="D152" s="113" t="s">
        <v>453</v>
      </c>
      <c r="E152" s="165">
        <v>3369.51</v>
      </c>
      <c r="F152" s="112">
        <f>27029.2</f>
        <v>27029.200000000001</v>
      </c>
      <c r="G152" s="112">
        <f t="shared" si="12"/>
        <v>23659.69</v>
      </c>
    </row>
    <row r="153" spans="1:7" ht="20.100000000000001" customHeight="1">
      <c r="A153" s="190">
        <v>14</v>
      </c>
      <c r="B153" s="163" t="s">
        <v>532</v>
      </c>
      <c r="C153" s="111" t="s">
        <v>556</v>
      </c>
      <c r="D153" s="113" t="s">
        <v>539</v>
      </c>
      <c r="E153" s="165">
        <v>3369.51</v>
      </c>
      <c r="F153" s="112">
        <f>27794.21</f>
        <v>27794.21</v>
      </c>
      <c r="G153" s="112">
        <f t="shared" si="12"/>
        <v>24424.7</v>
      </c>
    </row>
    <row r="154" spans="1:7" ht="20.100000000000001" customHeight="1">
      <c r="A154" s="190">
        <v>15</v>
      </c>
      <c r="B154" s="163" t="s">
        <v>1284</v>
      </c>
      <c r="C154" s="100" t="s">
        <v>537</v>
      </c>
      <c r="D154" s="113" t="s">
        <v>409</v>
      </c>
      <c r="E154" s="165">
        <v>1484.37</v>
      </c>
      <c r="F154" s="112">
        <f>26339.08</f>
        <v>26339.08</v>
      </c>
      <c r="G154" s="112">
        <f t="shared" si="12"/>
        <v>24854.71</v>
      </c>
    </row>
    <row r="155" spans="1:7" ht="20.100000000000001" customHeight="1">
      <c r="A155" s="190">
        <v>16</v>
      </c>
      <c r="B155" s="163" t="s">
        <v>1285</v>
      </c>
      <c r="C155" s="100" t="s">
        <v>537</v>
      </c>
      <c r="D155" s="113" t="s">
        <v>409</v>
      </c>
      <c r="E155" s="165">
        <v>1484.37</v>
      </c>
      <c r="F155" s="112">
        <f>26264.39</f>
        <v>26264.39</v>
      </c>
      <c r="G155" s="112">
        <f t="shared" si="12"/>
        <v>24780.02</v>
      </c>
    </row>
    <row r="156" spans="1:7" ht="20.100000000000001" customHeight="1">
      <c r="A156" s="190">
        <v>17</v>
      </c>
      <c r="B156" s="163" t="s">
        <v>540</v>
      </c>
      <c r="C156" s="100" t="s">
        <v>537</v>
      </c>
      <c r="D156" s="113" t="s">
        <v>409</v>
      </c>
      <c r="E156" s="165">
        <v>1484.37</v>
      </c>
      <c r="F156" s="112">
        <f>26339.08</f>
        <v>26339.08</v>
      </c>
      <c r="G156" s="112">
        <f t="shared" si="12"/>
        <v>24854.71</v>
      </c>
    </row>
    <row r="157" spans="1:7" ht="20.100000000000001" customHeight="1">
      <c r="A157" s="190">
        <v>18</v>
      </c>
      <c r="B157" s="163" t="s">
        <v>541</v>
      </c>
      <c r="C157" s="111" t="s">
        <v>542</v>
      </c>
      <c r="D157" s="113" t="s">
        <v>37</v>
      </c>
      <c r="E157" s="165">
        <v>3369.51</v>
      </c>
      <c r="F157" s="112">
        <f>25571.82</f>
        <v>25571.82</v>
      </c>
      <c r="G157" s="112">
        <f t="shared" si="12"/>
        <v>22202.31</v>
      </c>
    </row>
    <row r="158" spans="1:7" ht="20.100000000000001" customHeight="1">
      <c r="A158" s="190">
        <v>19</v>
      </c>
      <c r="B158" s="163" t="s">
        <v>1055</v>
      </c>
      <c r="C158" s="111" t="s">
        <v>544</v>
      </c>
      <c r="D158" s="108" t="s">
        <v>55</v>
      </c>
      <c r="E158" s="165">
        <v>3369.51</v>
      </c>
      <c r="F158" s="112">
        <f>21640.95</f>
        <v>21640.95</v>
      </c>
      <c r="G158" s="112">
        <f t="shared" si="12"/>
        <v>18271.439999999999</v>
      </c>
    </row>
    <row r="159" spans="1:7" ht="20.100000000000001" customHeight="1">
      <c r="A159" s="190">
        <v>20</v>
      </c>
      <c r="B159" s="163" t="s">
        <v>545</v>
      </c>
      <c r="C159" s="111" t="s">
        <v>556</v>
      </c>
      <c r="D159" s="113" t="s">
        <v>1048</v>
      </c>
      <c r="E159" s="165">
        <v>1484.37</v>
      </c>
      <c r="F159" s="112">
        <f>18102.9</f>
        <v>18102.900000000001</v>
      </c>
      <c r="G159" s="112">
        <f t="shared" si="12"/>
        <v>16618.53</v>
      </c>
    </row>
    <row r="160" spans="1:7" ht="20.100000000000001" customHeight="1">
      <c r="A160" s="190">
        <v>21</v>
      </c>
      <c r="B160" s="163" t="s">
        <v>547</v>
      </c>
      <c r="C160" s="111" t="s">
        <v>1286</v>
      </c>
      <c r="D160" s="113" t="s">
        <v>1048</v>
      </c>
      <c r="E160" s="165">
        <v>1484.37</v>
      </c>
      <c r="F160" s="112">
        <f>18102.9</f>
        <v>18102.900000000001</v>
      </c>
      <c r="G160" s="112">
        <f t="shared" si="12"/>
        <v>16618.53</v>
      </c>
    </row>
    <row r="161" spans="1:7" ht="20.100000000000001" customHeight="1">
      <c r="A161" s="190">
        <v>22</v>
      </c>
      <c r="B161" s="163" t="s">
        <v>549</v>
      </c>
      <c r="C161" s="111" t="s">
        <v>556</v>
      </c>
      <c r="D161" s="113" t="s">
        <v>1048</v>
      </c>
      <c r="E161" s="165">
        <v>1484.37</v>
      </c>
      <c r="F161" s="112">
        <f>18051.63</f>
        <v>18051.63</v>
      </c>
      <c r="G161" s="112">
        <f t="shared" si="12"/>
        <v>16567.259999999998</v>
      </c>
    </row>
    <row r="162" spans="1:7" ht="20.100000000000001" customHeight="1">
      <c r="A162" s="190">
        <v>23</v>
      </c>
      <c r="B162" s="163" t="s">
        <v>551</v>
      </c>
      <c r="C162" s="111" t="s">
        <v>552</v>
      </c>
      <c r="D162" s="113" t="s">
        <v>1048</v>
      </c>
      <c r="E162" s="165">
        <v>1484.37</v>
      </c>
      <c r="F162" s="112">
        <f>18102.9</f>
        <v>18102.900000000001</v>
      </c>
      <c r="G162" s="112">
        <f t="shared" si="12"/>
        <v>16618.53</v>
      </c>
    </row>
    <row r="163" spans="1:7" ht="20.100000000000001" customHeight="1">
      <c r="A163" s="190">
        <v>24</v>
      </c>
      <c r="B163" s="171" t="s">
        <v>553</v>
      </c>
      <c r="C163" s="111" t="s">
        <v>558</v>
      </c>
      <c r="D163" s="113" t="s">
        <v>1264</v>
      </c>
      <c r="E163" s="165">
        <v>3369.51</v>
      </c>
      <c r="F163" s="112">
        <f>17572.89</f>
        <v>17572.89</v>
      </c>
      <c r="G163" s="112">
        <f t="shared" si="12"/>
        <v>14203.38</v>
      </c>
    </row>
    <row r="164" spans="1:7" ht="20.100000000000001" customHeight="1">
      <c r="A164" s="190">
        <v>25</v>
      </c>
      <c r="B164" s="171" t="s">
        <v>1242</v>
      </c>
      <c r="C164" s="111" t="s">
        <v>556</v>
      </c>
      <c r="D164" s="113" t="s">
        <v>72</v>
      </c>
      <c r="E164" s="165">
        <v>1484.37</v>
      </c>
      <c r="F164" s="112">
        <f>16512.68</f>
        <v>16512.68</v>
      </c>
      <c r="G164" s="112">
        <f t="shared" si="12"/>
        <v>15028.31</v>
      </c>
    </row>
    <row r="165" spans="1:7" ht="20.100000000000001" customHeight="1">
      <c r="A165" s="190">
        <v>26</v>
      </c>
      <c r="B165" s="171" t="s">
        <v>555</v>
      </c>
      <c r="C165" s="111" t="s">
        <v>556</v>
      </c>
      <c r="D165" s="113" t="s">
        <v>72</v>
      </c>
      <c r="E165" s="165">
        <v>1484.37</v>
      </c>
      <c r="F165" s="112">
        <f>16512.68</f>
        <v>16512.68</v>
      </c>
      <c r="G165" s="112">
        <f t="shared" si="12"/>
        <v>15028.31</v>
      </c>
    </row>
    <row r="166" spans="1:7" ht="20.100000000000001" customHeight="1">
      <c r="A166" s="190">
        <v>27</v>
      </c>
      <c r="B166" s="171" t="s">
        <v>557</v>
      </c>
      <c r="C166" s="111" t="s">
        <v>558</v>
      </c>
      <c r="D166" s="113" t="s">
        <v>72</v>
      </c>
      <c r="E166" s="165">
        <v>1484.37</v>
      </c>
      <c r="F166" s="112">
        <f>16512.68</f>
        <v>16512.68</v>
      </c>
      <c r="G166" s="112">
        <f t="shared" si="12"/>
        <v>15028.31</v>
      </c>
    </row>
    <row r="167" spans="1:7" ht="20.100000000000001" customHeight="1">
      <c r="A167" s="190">
        <v>28</v>
      </c>
      <c r="B167" s="171" t="s">
        <v>559</v>
      </c>
      <c r="C167" s="111" t="s">
        <v>560</v>
      </c>
      <c r="D167" s="113" t="s">
        <v>72</v>
      </c>
      <c r="E167" s="165">
        <v>1484.37</v>
      </c>
      <c r="F167" s="112">
        <f>16512.68</f>
        <v>16512.68</v>
      </c>
      <c r="G167" s="112">
        <f t="shared" si="12"/>
        <v>15028.31</v>
      </c>
    </row>
    <row r="168" spans="1:7" ht="20.100000000000001" customHeight="1">
      <c r="A168" s="190">
        <v>29</v>
      </c>
      <c r="B168" s="171" t="s">
        <v>561</v>
      </c>
      <c r="C168" s="111" t="s">
        <v>562</v>
      </c>
      <c r="D168" s="113" t="s">
        <v>72</v>
      </c>
      <c r="E168" s="165">
        <v>1484.37</v>
      </c>
      <c r="F168" s="112">
        <f>16512.68</f>
        <v>16512.68</v>
      </c>
      <c r="G168" s="112">
        <f t="shared" si="12"/>
        <v>15028.31</v>
      </c>
    </row>
    <row r="169" spans="1:7" ht="20.100000000000001" customHeight="1">
      <c r="A169" s="190">
        <v>30</v>
      </c>
      <c r="B169" s="170" t="s">
        <v>564</v>
      </c>
      <c r="C169" s="111" t="s">
        <v>565</v>
      </c>
      <c r="D169" s="113" t="s">
        <v>583</v>
      </c>
      <c r="E169" s="165">
        <v>236.04</v>
      </c>
      <c r="F169" s="112">
        <f>9117.05</f>
        <v>9117.0499999999993</v>
      </c>
      <c r="G169" s="112">
        <f t="shared" si="12"/>
        <v>8881.01</v>
      </c>
    </row>
    <row r="170" spans="1:7" ht="20.100000000000001" customHeight="1">
      <c r="A170" s="190">
        <v>31</v>
      </c>
      <c r="B170" s="170" t="s">
        <v>567</v>
      </c>
      <c r="C170" s="111" t="s">
        <v>565</v>
      </c>
      <c r="D170" s="113" t="s">
        <v>583</v>
      </c>
      <c r="E170" s="165">
        <v>236.04</v>
      </c>
      <c r="F170" s="112">
        <f>9504.2</f>
        <v>9504.2000000000007</v>
      </c>
      <c r="G170" s="112">
        <f t="shared" si="12"/>
        <v>9268.16</v>
      </c>
    </row>
    <row r="171" spans="1:7" ht="20.100000000000001" customHeight="1">
      <c r="A171" s="190">
        <v>32</v>
      </c>
      <c r="B171" s="170" t="s">
        <v>568</v>
      </c>
      <c r="C171" s="111" t="s">
        <v>565</v>
      </c>
      <c r="D171" s="113" t="s">
        <v>583</v>
      </c>
      <c r="E171" s="165">
        <v>236.04</v>
      </c>
      <c r="F171" s="112">
        <f>9144.2</f>
        <v>9144.2000000000007</v>
      </c>
      <c r="G171" s="112">
        <f t="shared" si="12"/>
        <v>8908.16</v>
      </c>
    </row>
    <row r="172" spans="1:7" ht="20.100000000000001" customHeight="1">
      <c r="A172" s="190">
        <v>33</v>
      </c>
      <c r="B172" s="170" t="s">
        <v>769</v>
      </c>
      <c r="C172" s="111" t="s">
        <v>565</v>
      </c>
      <c r="D172" s="113" t="s">
        <v>583</v>
      </c>
      <c r="E172" s="165">
        <v>236.04</v>
      </c>
      <c r="F172" s="112">
        <f>9144.2</f>
        <v>9144.2000000000007</v>
      </c>
      <c r="G172" s="112">
        <f t="shared" si="12"/>
        <v>8908.16</v>
      </c>
    </row>
    <row r="173" spans="1:7" ht="20.100000000000001" customHeight="1">
      <c r="A173" s="190">
        <v>34</v>
      </c>
      <c r="B173" s="170" t="s">
        <v>767</v>
      </c>
      <c r="C173" s="111" t="s">
        <v>565</v>
      </c>
      <c r="D173" s="113" t="s">
        <v>583</v>
      </c>
      <c r="E173" s="165">
        <v>236.04</v>
      </c>
      <c r="F173" s="112">
        <f>9144.2</f>
        <v>9144.2000000000007</v>
      </c>
      <c r="G173" s="112">
        <f t="shared" si="12"/>
        <v>8908.16</v>
      </c>
    </row>
    <row r="174" spans="1:7" ht="20.100000000000001" customHeight="1">
      <c r="A174" s="190">
        <v>35</v>
      </c>
      <c r="B174" s="170" t="s">
        <v>569</v>
      </c>
      <c r="C174" s="111" t="s">
        <v>565</v>
      </c>
      <c r="D174" s="113" t="s">
        <v>583</v>
      </c>
      <c r="E174" s="165">
        <v>236.04</v>
      </c>
      <c r="F174" s="112">
        <f>9117.05</f>
        <v>9117.0499999999993</v>
      </c>
      <c r="G174" s="112">
        <f t="shared" si="12"/>
        <v>8881.01</v>
      </c>
    </row>
    <row r="175" spans="1:7" ht="20.100000000000001" customHeight="1">
      <c r="A175" s="190">
        <v>36</v>
      </c>
      <c r="B175" s="170" t="s">
        <v>570</v>
      </c>
      <c r="C175" s="111" t="s">
        <v>565</v>
      </c>
      <c r="D175" s="113" t="s">
        <v>583</v>
      </c>
      <c r="E175" s="165">
        <v>236.04</v>
      </c>
      <c r="F175" s="112">
        <f>9144.2</f>
        <v>9144.2000000000007</v>
      </c>
      <c r="G175" s="112">
        <f t="shared" si="12"/>
        <v>8908.16</v>
      </c>
    </row>
    <row r="176" spans="1:7" ht="20.100000000000001" customHeight="1">
      <c r="A176" s="190">
        <v>37</v>
      </c>
      <c r="B176" s="170" t="s">
        <v>571</v>
      </c>
      <c r="C176" s="111" t="s">
        <v>585</v>
      </c>
      <c r="D176" s="113" t="s">
        <v>1287</v>
      </c>
      <c r="E176" s="165">
        <v>236.04</v>
      </c>
      <c r="F176" s="112">
        <f>4692.33</f>
        <v>4692.33</v>
      </c>
      <c r="G176" s="112">
        <f t="shared" si="12"/>
        <v>4456.29</v>
      </c>
    </row>
    <row r="177" spans="1:7" ht="20.100000000000001" customHeight="1">
      <c r="A177" s="190">
        <v>38</v>
      </c>
      <c r="B177" s="170" t="s">
        <v>573</v>
      </c>
      <c r="C177" s="111" t="s">
        <v>585</v>
      </c>
      <c r="D177" s="113" t="s">
        <v>1287</v>
      </c>
      <c r="E177" s="165">
        <v>236.04</v>
      </c>
      <c r="F177" s="112">
        <f>4377.04</f>
        <v>4377.04</v>
      </c>
      <c r="G177" s="112">
        <f t="shared" si="12"/>
        <v>4141</v>
      </c>
    </row>
    <row r="178" spans="1:7" ht="20.100000000000001" customHeight="1">
      <c r="A178" s="190">
        <v>39</v>
      </c>
      <c r="B178" s="170" t="s">
        <v>1220</v>
      </c>
      <c r="C178" s="111" t="s">
        <v>585</v>
      </c>
      <c r="D178" s="113" t="s">
        <v>1287</v>
      </c>
      <c r="E178" s="165">
        <v>236.04</v>
      </c>
      <c r="F178" s="112">
        <f>4377.04</f>
        <v>4377.04</v>
      </c>
      <c r="G178" s="112">
        <f t="shared" si="12"/>
        <v>4141</v>
      </c>
    </row>
    <row r="179" spans="1:7" ht="20.100000000000001" customHeight="1">
      <c r="A179" s="190">
        <v>40</v>
      </c>
      <c r="B179" s="178" t="s">
        <v>574</v>
      </c>
      <c r="C179" s="111" t="s">
        <v>585</v>
      </c>
      <c r="D179" s="113" t="s">
        <v>1287</v>
      </c>
      <c r="E179" s="165">
        <v>236.04</v>
      </c>
      <c r="F179" s="112">
        <f>4692.33</f>
        <v>4692.33</v>
      </c>
      <c r="G179" s="112">
        <f t="shared" si="12"/>
        <v>4456.29</v>
      </c>
    </row>
    <row r="180" spans="1:7" ht="20.100000000000001" customHeight="1">
      <c r="A180" s="190">
        <v>41</v>
      </c>
      <c r="B180" s="163" t="s">
        <v>575</v>
      </c>
      <c r="C180" s="111" t="s">
        <v>585</v>
      </c>
      <c r="D180" s="113" t="s">
        <v>1287</v>
      </c>
      <c r="E180" s="165">
        <v>236.04</v>
      </c>
      <c r="F180" s="112">
        <f>4377.04</f>
        <v>4377.04</v>
      </c>
      <c r="G180" s="112">
        <f t="shared" si="12"/>
        <v>4141</v>
      </c>
    </row>
    <row r="181" spans="1:7" ht="20.100000000000001" customHeight="1">
      <c r="A181" s="190">
        <v>42</v>
      </c>
      <c r="B181" s="191" t="s">
        <v>576</v>
      </c>
      <c r="C181" s="111" t="s">
        <v>585</v>
      </c>
      <c r="D181" s="113" t="s">
        <v>1287</v>
      </c>
      <c r="E181" s="165">
        <v>236.04</v>
      </c>
      <c r="F181" s="112">
        <f>4377.04</f>
        <v>4377.04</v>
      </c>
      <c r="G181" s="112">
        <f t="shared" si="12"/>
        <v>4141</v>
      </c>
    </row>
    <row r="182" spans="1:7" ht="20.100000000000001" customHeight="1">
      <c r="A182" s="190">
        <v>43</v>
      </c>
      <c r="B182" s="191" t="s">
        <v>577</v>
      </c>
      <c r="C182" s="111" t="s">
        <v>585</v>
      </c>
      <c r="D182" s="113" t="s">
        <v>1287</v>
      </c>
      <c r="E182" s="165">
        <v>236.04</v>
      </c>
      <c r="F182" s="112">
        <f>4692.33</f>
        <v>4692.33</v>
      </c>
      <c r="G182" s="112">
        <f t="shared" si="12"/>
        <v>4456.29</v>
      </c>
    </row>
    <row r="183" spans="1:7" ht="20.100000000000001" customHeight="1">
      <c r="A183" s="190">
        <v>44</v>
      </c>
      <c r="B183" s="163" t="s">
        <v>578</v>
      </c>
      <c r="C183" s="111" t="s">
        <v>585</v>
      </c>
      <c r="D183" s="113" t="s">
        <v>1056</v>
      </c>
      <c r="E183" s="165">
        <v>236.04</v>
      </c>
      <c r="F183" s="112">
        <f>4227.52</f>
        <v>4227.5200000000004</v>
      </c>
      <c r="G183" s="112">
        <f t="shared" si="12"/>
        <v>3991.48</v>
      </c>
    </row>
    <row r="184" spans="1:7" ht="20.100000000000001" customHeight="1">
      <c r="A184" s="190">
        <v>45</v>
      </c>
      <c r="B184" s="163" t="s">
        <v>581</v>
      </c>
      <c r="C184" s="111" t="s">
        <v>585</v>
      </c>
      <c r="D184" s="113" t="s">
        <v>1056</v>
      </c>
      <c r="E184" s="165">
        <v>236.04</v>
      </c>
      <c r="F184" s="112">
        <f>4227.52</f>
        <v>4227.5200000000004</v>
      </c>
      <c r="G184" s="112">
        <f t="shared" si="12"/>
        <v>3991.48</v>
      </c>
    </row>
    <row r="185" spans="1:7" ht="20.100000000000001" customHeight="1">
      <c r="A185" s="190">
        <v>46</v>
      </c>
      <c r="B185" s="191" t="s">
        <v>582</v>
      </c>
      <c r="C185" s="111" t="s">
        <v>585</v>
      </c>
      <c r="D185" s="113" t="s">
        <v>586</v>
      </c>
      <c r="E185" s="165">
        <v>236.04</v>
      </c>
      <c r="F185" s="112">
        <f>4365.33</f>
        <v>4365.33</v>
      </c>
      <c r="G185" s="112">
        <f t="shared" si="12"/>
        <v>4129.29</v>
      </c>
    </row>
    <row r="186" spans="1:7" ht="20.100000000000001" customHeight="1">
      <c r="A186" s="190">
        <v>47</v>
      </c>
      <c r="B186" s="163" t="s">
        <v>584</v>
      </c>
      <c r="C186" s="111" t="s">
        <v>585</v>
      </c>
      <c r="D186" s="113" t="s">
        <v>599</v>
      </c>
      <c r="E186" s="165">
        <v>236.04</v>
      </c>
      <c r="F186" s="112">
        <f>4089.72</f>
        <v>4089.72</v>
      </c>
      <c r="G186" s="112">
        <f t="shared" si="12"/>
        <v>3853.68</v>
      </c>
    </row>
    <row r="187" spans="1:7" ht="20.100000000000001" customHeight="1">
      <c r="A187" s="190">
        <v>48</v>
      </c>
      <c r="B187" s="163" t="s">
        <v>587</v>
      </c>
      <c r="C187" s="111" t="s">
        <v>588</v>
      </c>
      <c r="D187" s="113" t="s">
        <v>1288</v>
      </c>
      <c r="E187" s="165">
        <v>236.04</v>
      </c>
      <c r="F187" s="112">
        <f>3951.8</f>
        <v>3951.8</v>
      </c>
      <c r="G187" s="112">
        <f t="shared" si="12"/>
        <v>3715.76</v>
      </c>
    </row>
    <row r="188" spans="1:7" ht="20.100000000000001" customHeight="1">
      <c r="A188" s="190">
        <v>49</v>
      </c>
      <c r="B188" s="163" t="s">
        <v>590</v>
      </c>
      <c r="C188" s="111" t="s">
        <v>588</v>
      </c>
      <c r="D188" s="113" t="s">
        <v>1288</v>
      </c>
      <c r="E188" s="165">
        <v>236.04</v>
      </c>
      <c r="F188" s="112">
        <f>3687.8</f>
        <v>3687.8</v>
      </c>
      <c r="G188" s="112">
        <f t="shared" si="12"/>
        <v>3451.76</v>
      </c>
    </row>
    <row r="189" spans="1:7" ht="20.100000000000001" customHeight="1">
      <c r="A189" s="190">
        <v>50</v>
      </c>
      <c r="B189" s="163" t="s">
        <v>591</v>
      </c>
      <c r="C189" s="111" t="s">
        <v>588</v>
      </c>
      <c r="D189" s="113" t="s">
        <v>1288</v>
      </c>
      <c r="E189" s="165">
        <v>236.04</v>
      </c>
      <c r="F189" s="112">
        <f>3951.8</f>
        <v>3951.8</v>
      </c>
      <c r="G189" s="112">
        <f t="shared" si="12"/>
        <v>3715.76</v>
      </c>
    </row>
    <row r="190" spans="1:7" ht="20.100000000000001" customHeight="1">
      <c r="A190" s="190">
        <v>51</v>
      </c>
      <c r="B190" s="163" t="s">
        <v>592</v>
      </c>
      <c r="C190" s="111" t="s">
        <v>588</v>
      </c>
      <c r="D190" s="113" t="s">
        <v>1288</v>
      </c>
      <c r="E190" s="165">
        <v>236.04</v>
      </c>
      <c r="F190" s="112">
        <f>3687.8</f>
        <v>3687.8</v>
      </c>
      <c r="G190" s="112">
        <f t="shared" si="12"/>
        <v>3451.76</v>
      </c>
    </row>
    <row r="191" spans="1:7" ht="20.100000000000001" customHeight="1">
      <c r="A191" s="190">
        <v>52</v>
      </c>
      <c r="B191" s="163" t="s">
        <v>593</v>
      </c>
      <c r="C191" s="111" t="s">
        <v>588</v>
      </c>
      <c r="D191" s="113" t="s">
        <v>1288</v>
      </c>
      <c r="E191" s="165">
        <v>236.04</v>
      </c>
      <c r="F191" s="112">
        <f>3951.8</f>
        <v>3951.8</v>
      </c>
      <c r="G191" s="112">
        <f t="shared" si="12"/>
        <v>3715.76</v>
      </c>
    </row>
    <row r="192" spans="1:7" ht="20.100000000000001" customHeight="1">
      <c r="A192" s="190">
        <v>53</v>
      </c>
      <c r="B192" s="191" t="s">
        <v>594</v>
      </c>
      <c r="C192" s="111" t="s">
        <v>588</v>
      </c>
      <c r="D192" s="113" t="s">
        <v>609</v>
      </c>
      <c r="E192" s="165">
        <v>236.04</v>
      </c>
      <c r="F192" s="112">
        <f>3687.8</f>
        <v>3687.8</v>
      </c>
      <c r="G192" s="112">
        <f t="shared" si="12"/>
        <v>3451.76</v>
      </c>
    </row>
    <row r="193" spans="1:8" ht="20.100000000000001" customHeight="1">
      <c r="A193" s="190">
        <v>54</v>
      </c>
      <c r="B193" s="191" t="s">
        <v>595</v>
      </c>
      <c r="C193" s="111" t="s">
        <v>588</v>
      </c>
      <c r="D193" s="113" t="s">
        <v>609</v>
      </c>
      <c r="E193" s="165">
        <v>236.04</v>
      </c>
      <c r="F193" s="112">
        <f>3951.8</f>
        <v>3951.8</v>
      </c>
      <c r="G193" s="112">
        <f t="shared" si="12"/>
        <v>3715.76</v>
      </c>
    </row>
    <row r="194" spans="1:8" ht="20.100000000000001" customHeight="1">
      <c r="A194" s="190">
        <v>55</v>
      </c>
      <c r="B194" s="170" t="s">
        <v>596</v>
      </c>
      <c r="C194" s="111" t="s">
        <v>588</v>
      </c>
      <c r="D194" s="113" t="s">
        <v>601</v>
      </c>
      <c r="E194" s="165">
        <v>236.04</v>
      </c>
      <c r="F194" s="112">
        <f>3447.66</f>
        <v>3447.66</v>
      </c>
      <c r="G194" s="112">
        <f t="shared" si="12"/>
        <v>3211.62</v>
      </c>
    </row>
    <row r="195" spans="1:8" ht="20.100000000000001" customHeight="1">
      <c r="A195" s="190">
        <v>56</v>
      </c>
      <c r="B195" s="170" t="s">
        <v>597</v>
      </c>
      <c r="C195" s="111" t="s">
        <v>588</v>
      </c>
      <c r="D195" s="113" t="s">
        <v>601</v>
      </c>
      <c r="E195" s="165">
        <v>236.04</v>
      </c>
      <c r="F195" s="112">
        <f>3447.66</f>
        <v>3447.66</v>
      </c>
      <c r="G195" s="112">
        <f t="shared" si="12"/>
        <v>3211.62</v>
      </c>
    </row>
    <row r="196" spans="1:8" ht="20.100000000000001" customHeight="1">
      <c r="A196" s="190">
        <v>57</v>
      </c>
      <c r="B196" s="191" t="s">
        <v>598</v>
      </c>
      <c r="C196" s="111" t="s">
        <v>588</v>
      </c>
      <c r="D196" s="113" t="s">
        <v>601</v>
      </c>
      <c r="E196" s="165">
        <v>236.04</v>
      </c>
      <c r="F196" s="112">
        <f>3183.66</f>
        <v>3183.66</v>
      </c>
      <c r="G196" s="112">
        <f t="shared" si="12"/>
        <v>2947.62</v>
      </c>
    </row>
    <row r="197" spans="1:8" ht="20.100000000000001" customHeight="1">
      <c r="A197" s="190">
        <v>58</v>
      </c>
      <c r="B197" s="191" t="s">
        <v>600</v>
      </c>
      <c r="C197" s="111" t="s">
        <v>588</v>
      </c>
      <c r="D197" s="113" t="s">
        <v>604</v>
      </c>
      <c r="E197" s="165">
        <v>236.04</v>
      </c>
      <c r="F197" s="112">
        <f>2972.91</f>
        <v>2972.91</v>
      </c>
      <c r="G197" s="112">
        <f t="shared" si="12"/>
        <v>2736.87</v>
      </c>
    </row>
    <row r="198" spans="1:8" ht="20.100000000000001" customHeight="1">
      <c r="A198" s="190"/>
      <c r="B198" s="106" t="s">
        <v>42</v>
      </c>
      <c r="C198" s="152" t="s">
        <v>1289</v>
      </c>
      <c r="D198" s="153"/>
      <c r="E198" s="192">
        <v>236380.48</v>
      </c>
      <c r="F198" s="143">
        <f t="shared" ref="F198" si="13">SUM(F140:F197)</f>
        <v>1076921.6200000001</v>
      </c>
      <c r="G198" s="142">
        <f t="shared" si="12"/>
        <v>840541.14</v>
      </c>
    </row>
    <row r="199" spans="1:8" ht="20.100000000000001" customHeight="1">
      <c r="A199" s="42"/>
      <c r="B199" s="154" t="s">
        <v>125</v>
      </c>
      <c r="C199" s="155">
        <f>C43+C48+C63+C68+C84+C91+C106+C113+C123+C137+C198</f>
        <v>157</v>
      </c>
      <c r="D199" s="156"/>
      <c r="E199" s="189">
        <v>1513919.94</v>
      </c>
      <c r="F199" s="143">
        <f>F43+F48+F63+F68+F84+F91+F106+F113+F123+F137+F198</f>
        <v>6976828.1251612902</v>
      </c>
      <c r="G199" s="143">
        <f t="shared" si="12"/>
        <v>5462908.1851612898</v>
      </c>
      <c r="H199" s="179"/>
    </row>
    <row r="200" spans="1:8" ht="20.100000000000001" customHeight="1">
      <c r="A200" s="42"/>
      <c r="B200" s="158"/>
      <c r="C200" s="154"/>
      <c r="D200" s="158"/>
      <c r="E200" s="158"/>
      <c r="F200" s="159"/>
      <c r="G200" s="159"/>
    </row>
    <row r="201" spans="1:8" ht="20.100000000000001" customHeight="1">
      <c r="A201" s="42"/>
      <c r="B201" s="158"/>
      <c r="C201" s="872" t="s">
        <v>1290</v>
      </c>
      <c r="D201" s="872"/>
      <c r="E201" s="160"/>
      <c r="F201" s="159"/>
      <c r="G201" s="159"/>
    </row>
    <row r="202" spans="1:8" ht="20.100000000000001" customHeight="1">
      <c r="A202" s="42"/>
      <c r="B202" s="158"/>
      <c r="C202" s="872"/>
      <c r="D202" s="872"/>
      <c r="E202" s="160"/>
      <c r="F202" s="159"/>
      <c r="G202" s="159"/>
    </row>
    <row r="203" spans="1:8" ht="20.100000000000001" customHeight="1">
      <c r="B203" s="161"/>
      <c r="C203" s="161"/>
      <c r="D203" s="161"/>
      <c r="E203" s="161"/>
      <c r="F203" s="161"/>
      <c r="G203" s="161"/>
    </row>
    <row r="204" spans="1:8" ht="20.100000000000001" customHeight="1">
      <c r="B204" s="161"/>
      <c r="C204" s="161"/>
      <c r="D204" s="161"/>
      <c r="E204" s="161"/>
      <c r="F204" s="161"/>
      <c r="G204" s="161"/>
    </row>
    <row r="205" spans="1:8" ht="20.100000000000001" customHeight="1">
      <c r="C205" s="161"/>
      <c r="D205" s="161"/>
      <c r="E205" s="161"/>
      <c r="F205" s="161"/>
      <c r="G205" s="161"/>
    </row>
  </sheetData>
  <mergeCells count="4">
    <mergeCell ref="B3:D3"/>
    <mergeCell ref="F5:G5"/>
    <mergeCell ref="C201:C202"/>
    <mergeCell ref="D201:D202"/>
  </mergeCells>
  <pageMargins left="0.234251969" right="0.234251969" top="0.98425196850393704" bottom="0.98425196850393704" header="0.511811023622047" footer="0.511811023622047"/>
  <pageSetup paperSize="9" scale="80" orientation="landscape" horizontalDpi="1200" verticalDpi="1200" r:id="rId1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4"/>
  <sheetViews>
    <sheetView view="pageBreakPreview" zoomScaleNormal="100" workbookViewId="0">
      <pane xSplit="4" ySplit="9" topLeftCell="E185" activePane="bottomRight" state="frozen"/>
      <selection pane="topRight"/>
      <selection pane="bottomLeft"/>
      <selection pane="bottomRight" activeCell="H7" sqref="H7"/>
    </sheetView>
  </sheetViews>
  <sheetFormatPr defaultColWidth="9.140625" defaultRowHeight="20.100000000000001" customHeight="1"/>
  <cols>
    <col min="1" max="1" width="4.5703125" style="45" customWidth="1"/>
    <col min="2" max="2" width="4.85546875" style="45" customWidth="1"/>
    <col min="3" max="3" width="28.28515625" style="45" customWidth="1"/>
    <col min="4" max="4" width="32.5703125" style="45" customWidth="1"/>
    <col min="5" max="5" width="12.85546875" style="45" customWidth="1"/>
    <col min="6" max="6" width="18" style="45" customWidth="1"/>
    <col min="7" max="7" width="18.7109375" style="45" customWidth="1"/>
    <col min="8" max="8" width="23" style="45" customWidth="1"/>
    <col min="9" max="9" width="16.42578125" style="45" customWidth="1"/>
    <col min="10" max="10" width="18.140625" style="45" customWidth="1"/>
    <col min="11" max="11" width="18" style="45" customWidth="1"/>
    <col min="12" max="12" width="19.140625" style="45" customWidth="1"/>
    <col min="13" max="13" width="20" style="45" customWidth="1"/>
    <col min="14" max="14" width="24.5703125" style="45" customWidth="1"/>
    <col min="15" max="15" width="19.42578125" style="45" customWidth="1"/>
    <col min="16" max="16" width="16" style="45" customWidth="1"/>
    <col min="17" max="17" width="18.28515625" style="45" customWidth="1"/>
    <col min="18" max="18" width="20" style="45" customWidth="1"/>
    <col min="19" max="19" width="19.7109375" style="45" customWidth="1"/>
    <col min="20" max="20" width="20.140625" style="45" customWidth="1"/>
    <col min="21" max="21" width="20.5703125" style="45" customWidth="1"/>
    <col min="22" max="22" width="18.28515625" style="45" customWidth="1"/>
    <col min="23" max="23" width="18.7109375" style="45" customWidth="1"/>
    <col min="24" max="25" width="18.28515625" style="45" customWidth="1"/>
    <col min="26" max="27" width="19.7109375" style="45" customWidth="1"/>
    <col min="28" max="28" width="21" style="45" customWidth="1"/>
    <col min="29" max="16384" width="9.140625" style="45"/>
  </cols>
  <sheetData>
    <row r="1" spans="1:33" ht="29.25" customHeight="1"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AG1" s="45" t="s">
        <v>23</v>
      </c>
    </row>
    <row r="2" spans="1:33" ht="5.25" customHeight="1">
      <c r="S2" s="138"/>
      <c r="T2" s="138"/>
      <c r="U2" s="138"/>
      <c r="V2" s="138"/>
      <c r="W2" s="138"/>
      <c r="X2" s="138"/>
      <c r="Y2" s="138"/>
      <c r="Z2" s="138"/>
      <c r="AA2" s="138"/>
      <c r="AB2" s="138"/>
    </row>
    <row r="3" spans="1:33" ht="20.100000000000001" customHeight="1">
      <c r="A3" s="94"/>
      <c r="B3" s="870" t="s">
        <v>1291</v>
      </c>
      <c r="C3" s="870"/>
      <c r="D3" s="870"/>
      <c r="E3" s="870"/>
      <c r="F3" s="96"/>
      <c r="G3" s="96"/>
      <c r="H3" s="96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9"/>
      <c r="T3" s="139"/>
      <c r="U3" s="139"/>
      <c r="V3" s="139"/>
      <c r="W3" s="139"/>
      <c r="X3" s="139"/>
      <c r="Y3" s="139"/>
      <c r="Z3" s="139"/>
      <c r="AA3" s="139"/>
      <c r="AB3" s="139"/>
    </row>
    <row r="4" spans="1:33" ht="2.25" customHeight="1">
      <c r="A4" s="94"/>
      <c r="B4" s="94"/>
      <c r="C4" s="94"/>
      <c r="D4" s="94"/>
      <c r="E4" s="94"/>
      <c r="F4" s="97">
        <f>'[1]FEB 08'!E8/'[1]FEB 08'!M8</f>
        <v>0.22</v>
      </c>
      <c r="G4" s="97"/>
      <c r="H4" s="97"/>
      <c r="I4" s="97">
        <f>'[1]FEB 08'!F8/'[1]FEB 08'!Q8</f>
        <v>0.3</v>
      </c>
      <c r="J4" s="97"/>
      <c r="K4" s="97"/>
      <c r="L4" s="97"/>
      <c r="M4" s="97"/>
      <c r="N4" s="97"/>
      <c r="O4" s="97"/>
      <c r="P4" s="97"/>
      <c r="Q4" s="97"/>
      <c r="R4" s="97"/>
      <c r="S4" s="140"/>
      <c r="T4" s="140"/>
      <c r="U4" s="140"/>
      <c r="V4" s="140"/>
      <c r="W4" s="140"/>
      <c r="X4" s="140"/>
      <c r="Y4" s="140"/>
      <c r="Z4" s="140"/>
      <c r="AA4" s="140"/>
      <c r="AB4" s="140"/>
    </row>
    <row r="5" spans="1:33" ht="20.100000000000001" customHeight="1">
      <c r="A5" s="94"/>
      <c r="B5" s="870" t="s">
        <v>2</v>
      </c>
      <c r="C5" s="870"/>
      <c r="D5" s="98"/>
      <c r="E5" s="98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871"/>
      <c r="V5" s="871"/>
      <c r="W5" s="871"/>
      <c r="X5" s="871"/>
      <c r="Y5" s="871"/>
      <c r="Z5" s="871"/>
      <c r="AA5" s="98"/>
      <c r="AB5" s="98"/>
    </row>
    <row r="6" spans="1:33" ht="35.450000000000003" customHeight="1">
      <c r="A6" s="100"/>
      <c r="B6" s="873"/>
      <c r="C6" s="873"/>
      <c r="D6" s="101" t="s">
        <v>3</v>
      </c>
      <c r="E6" s="101" t="s">
        <v>1248</v>
      </c>
      <c r="F6" s="102" t="s">
        <v>1292</v>
      </c>
      <c r="G6" s="42"/>
      <c r="H6" s="102"/>
      <c r="I6" s="102"/>
      <c r="J6" s="102"/>
      <c r="K6" s="102"/>
      <c r="L6" s="102"/>
      <c r="M6" s="102" t="s">
        <v>1293</v>
      </c>
      <c r="N6" s="102" t="s">
        <v>1294</v>
      </c>
      <c r="O6" s="102" t="s">
        <v>1295</v>
      </c>
      <c r="P6" s="102" t="s">
        <v>1296</v>
      </c>
      <c r="Q6" s="102" t="s">
        <v>1297</v>
      </c>
      <c r="R6" s="102" t="s">
        <v>1298</v>
      </c>
      <c r="S6" s="102" t="s">
        <v>1299</v>
      </c>
      <c r="T6" s="102" t="s">
        <v>1300</v>
      </c>
      <c r="U6" s="102" t="s">
        <v>616</v>
      </c>
      <c r="V6" s="102"/>
      <c r="W6" s="102"/>
      <c r="X6" s="102"/>
      <c r="Y6" s="103"/>
      <c r="Z6" s="103"/>
      <c r="AA6" s="144"/>
      <c r="AB6" s="144"/>
    </row>
    <row r="7" spans="1:33" ht="48" customHeight="1">
      <c r="A7" s="100"/>
      <c r="B7" s="874"/>
      <c r="C7" s="874"/>
      <c r="D7" s="101"/>
      <c r="E7" s="101" t="s">
        <v>1249</v>
      </c>
      <c r="F7" s="102" t="s">
        <v>308</v>
      </c>
      <c r="G7" s="104" t="s">
        <v>1301</v>
      </c>
      <c r="H7" s="102" t="s">
        <v>671</v>
      </c>
      <c r="I7" s="102" t="s">
        <v>672</v>
      </c>
      <c r="J7" s="102" t="s">
        <v>673</v>
      </c>
      <c r="K7" s="102" t="s">
        <v>674</v>
      </c>
      <c r="L7" s="102" t="s">
        <v>675</v>
      </c>
      <c r="M7" s="102" t="s">
        <v>676</v>
      </c>
      <c r="N7" s="102" t="s">
        <v>7</v>
      </c>
      <c r="O7" s="102" t="s">
        <v>7</v>
      </c>
      <c r="P7" s="102" t="s">
        <v>677</v>
      </c>
      <c r="Q7" s="102" t="s">
        <v>677</v>
      </c>
      <c r="R7" s="102" t="s">
        <v>8</v>
      </c>
      <c r="S7" s="102" t="s">
        <v>308</v>
      </c>
      <c r="T7" s="104" t="s">
        <v>308</v>
      </c>
      <c r="U7" s="104"/>
      <c r="V7" s="104"/>
      <c r="W7" s="102" t="s">
        <v>614</v>
      </c>
      <c r="X7" s="104" t="s">
        <v>621</v>
      </c>
      <c r="Y7" s="102" t="s">
        <v>616</v>
      </c>
      <c r="Z7" s="102"/>
      <c r="AA7" s="102"/>
      <c r="AB7" s="102"/>
    </row>
    <row r="8" spans="1:33" ht="20.100000000000001" customHeight="1">
      <c r="A8" s="105" t="s">
        <v>21</v>
      </c>
      <c r="B8" s="875" t="s">
        <v>1302</v>
      </c>
      <c r="C8" s="875"/>
      <c r="D8" s="106"/>
      <c r="E8" s="106"/>
      <c r="F8" s="107" t="s">
        <v>20</v>
      </c>
      <c r="G8" s="103"/>
      <c r="H8" s="107"/>
      <c r="I8" s="107" t="s">
        <v>20</v>
      </c>
      <c r="J8" s="107"/>
      <c r="K8" s="107"/>
      <c r="L8" s="107"/>
      <c r="M8" s="107"/>
      <c r="N8" s="107"/>
      <c r="O8" s="107"/>
      <c r="P8" s="107"/>
      <c r="Q8" s="107"/>
      <c r="R8" s="107"/>
      <c r="S8" s="107" t="s">
        <v>20</v>
      </c>
      <c r="T8" s="107" t="s">
        <v>20</v>
      </c>
      <c r="U8" s="107" t="s">
        <v>20</v>
      </c>
      <c r="V8" s="107"/>
      <c r="W8" s="107" t="s">
        <v>20</v>
      </c>
      <c r="X8" s="107" t="s">
        <v>20</v>
      </c>
      <c r="Y8" s="107" t="s">
        <v>20</v>
      </c>
      <c r="Z8" s="107"/>
      <c r="AA8" s="107"/>
      <c r="AB8" s="107"/>
    </row>
    <row r="9" spans="1:33" ht="20.100000000000001" customHeight="1">
      <c r="A9" s="108">
        <v>1</v>
      </c>
      <c r="B9" s="876" t="s">
        <v>345</v>
      </c>
      <c r="C9" s="877"/>
      <c r="D9" s="111" t="s">
        <v>346</v>
      </c>
      <c r="E9" s="111" t="s">
        <v>347</v>
      </c>
      <c r="F9" s="112">
        <v>160488.75</v>
      </c>
      <c r="G9" s="112"/>
      <c r="H9" s="112">
        <v>320977.5</v>
      </c>
      <c r="I9" s="112">
        <v>48146.63</v>
      </c>
      <c r="J9" s="112">
        <v>120366.57</v>
      </c>
      <c r="K9" s="112">
        <v>72219.94</v>
      </c>
      <c r="L9" s="112">
        <v>0</v>
      </c>
      <c r="M9" s="112">
        <v>120366.57</v>
      </c>
      <c r="N9" s="43">
        <f>250000</f>
        <v>250000</v>
      </c>
      <c r="O9" s="43"/>
      <c r="P9" s="112">
        <v>16048.88</v>
      </c>
      <c r="Q9" s="112">
        <v>25000</v>
      </c>
      <c r="R9" s="112">
        <v>25235</v>
      </c>
      <c r="S9" s="112">
        <f>R9+Q9+P9+O9+N9+M9+L9+K9+J9+I9+H9+G9+F9</f>
        <v>1158849.8400000001</v>
      </c>
      <c r="T9" s="112">
        <v>1158849.8400000001</v>
      </c>
      <c r="U9" s="112">
        <f>S9-T9</f>
        <v>0</v>
      </c>
      <c r="V9" s="112"/>
      <c r="W9" s="112">
        <v>113176.97</v>
      </c>
      <c r="X9" s="112">
        <v>113176.97</v>
      </c>
      <c r="Y9" s="112">
        <f>X9-W9</f>
        <v>0</v>
      </c>
      <c r="Z9" s="112"/>
      <c r="AA9" s="112"/>
      <c r="AB9" s="112"/>
      <c r="AC9" s="145"/>
    </row>
    <row r="10" spans="1:33" ht="20.100000000000001" customHeight="1">
      <c r="A10" s="108">
        <v>2</v>
      </c>
      <c r="B10" s="876" t="s">
        <v>1252</v>
      </c>
      <c r="C10" s="877"/>
      <c r="D10" s="111" t="s">
        <v>1253</v>
      </c>
      <c r="E10" s="113" t="s">
        <v>405</v>
      </c>
      <c r="F10" s="112">
        <v>81740.02</v>
      </c>
      <c r="G10" s="112"/>
      <c r="H10" s="112">
        <f>F10*300%</f>
        <v>245220.06</v>
      </c>
      <c r="I10" s="112">
        <f>F10*7.5%</f>
        <v>6130.5015000000003</v>
      </c>
      <c r="J10" s="112">
        <v>80244.38</v>
      </c>
      <c r="K10" s="112">
        <f>F10*50%</f>
        <v>40870.01</v>
      </c>
      <c r="L10" s="112">
        <f>F10*350%</f>
        <v>286090.07</v>
      </c>
      <c r="M10" s="112">
        <f>F10*100%</f>
        <v>81740.02</v>
      </c>
      <c r="N10" s="43">
        <f>200000</f>
        <v>200000</v>
      </c>
      <c r="O10" s="43"/>
      <c r="P10" s="112">
        <f>F10*10%</f>
        <v>8174.0020000000004</v>
      </c>
      <c r="Q10" s="112">
        <v>20000</v>
      </c>
      <c r="R10" s="112">
        <v>0</v>
      </c>
      <c r="S10" s="112">
        <f t="shared" ref="S10:S38" si="0">R10+Q10+P10+O10+N10+M10+L10+K10+J10+I10+H10+G10+F10</f>
        <v>1050209.0634999999</v>
      </c>
      <c r="T10" s="112">
        <v>1050209.0634999999</v>
      </c>
      <c r="U10" s="112">
        <f t="shared" ref="U10:U73" si="1">S10-T10</f>
        <v>0</v>
      </c>
      <c r="V10" s="112"/>
      <c r="W10" s="112">
        <v>52776.63</v>
      </c>
      <c r="X10" s="112">
        <v>52776.63</v>
      </c>
      <c r="Y10" s="112">
        <f t="shared" ref="Y10:Y73" si="2">X10-W10</f>
        <v>0</v>
      </c>
      <c r="Z10" s="112"/>
      <c r="AA10" s="112"/>
      <c r="AB10" s="112"/>
      <c r="AC10" s="145"/>
    </row>
    <row r="11" spans="1:33" ht="20.100000000000001" customHeight="1">
      <c r="A11" s="108">
        <v>3</v>
      </c>
      <c r="B11" s="878" t="s">
        <v>1303</v>
      </c>
      <c r="C11" s="879"/>
      <c r="D11" s="114" t="s">
        <v>1304</v>
      </c>
      <c r="E11" s="115" t="s">
        <v>340</v>
      </c>
      <c r="F11" s="116">
        <f>42653.17</f>
        <v>42653.17</v>
      </c>
      <c r="G11" s="117"/>
      <c r="H11" s="112">
        <f>F11*300%</f>
        <v>127959.51</v>
      </c>
      <c r="I11" s="112">
        <f>F11*7.5%</f>
        <v>3198.9877499999998</v>
      </c>
      <c r="J11" s="112">
        <v>40122.19</v>
      </c>
      <c r="K11" s="112">
        <f>F11*50%</f>
        <v>21326.584999999999</v>
      </c>
      <c r="L11" s="112">
        <f>F11*350%</f>
        <v>149286.095</v>
      </c>
      <c r="M11" s="112">
        <f>F11*100%</f>
        <v>42653.17</v>
      </c>
      <c r="N11" s="43"/>
      <c r="O11" s="43">
        <f>90000</f>
        <v>90000</v>
      </c>
      <c r="P11" s="112">
        <f>F11*10%</f>
        <v>4265.317</v>
      </c>
      <c r="Q11" s="112">
        <v>20000</v>
      </c>
      <c r="R11" s="141"/>
      <c r="S11" s="112">
        <f t="shared" si="0"/>
        <v>541465.02474999998</v>
      </c>
      <c r="T11" s="116">
        <v>541465.02474999998</v>
      </c>
      <c r="U11" s="112">
        <f t="shared" si="1"/>
        <v>0</v>
      </c>
      <c r="V11" s="116"/>
      <c r="W11" s="112">
        <v>21618.09</v>
      </c>
      <c r="X11" s="116">
        <v>21618.09</v>
      </c>
      <c r="Y11" s="112">
        <f t="shared" si="2"/>
        <v>0</v>
      </c>
      <c r="Z11" s="112"/>
      <c r="AA11" s="112"/>
      <c r="AB11" s="112"/>
      <c r="AC11" s="145"/>
    </row>
    <row r="12" spans="1:33" ht="20.100000000000001" customHeight="1">
      <c r="A12" s="108">
        <v>4</v>
      </c>
      <c r="B12" s="876" t="s">
        <v>1116</v>
      </c>
      <c r="C12" s="877"/>
      <c r="D12" s="100" t="s">
        <v>1254</v>
      </c>
      <c r="E12" s="108" t="s">
        <v>416</v>
      </c>
      <c r="F12" s="112">
        <f>41157.69</f>
        <v>41157.69</v>
      </c>
      <c r="G12" s="112"/>
      <c r="H12" s="112">
        <f>F12*300%</f>
        <v>123473.07</v>
      </c>
      <c r="I12" s="112">
        <f>F12*7.5%</f>
        <v>3086.8267500000002</v>
      </c>
      <c r="J12" s="112">
        <v>40122.19</v>
      </c>
      <c r="K12" s="112">
        <f>F12*50%</f>
        <v>20578.845000000001</v>
      </c>
      <c r="L12" s="112">
        <f>F12*350%</f>
        <v>144051.91500000001</v>
      </c>
      <c r="M12" s="112">
        <f>F12*100%</f>
        <v>41157.69</v>
      </c>
      <c r="N12" s="43">
        <f>180000</f>
        <v>180000</v>
      </c>
      <c r="O12" s="43"/>
      <c r="P12" s="112">
        <f>F12*10%</f>
        <v>4115.7690000000002</v>
      </c>
      <c r="Q12" s="112">
        <v>20000</v>
      </c>
      <c r="R12" s="112">
        <v>150000</v>
      </c>
      <c r="S12" s="112">
        <f t="shared" si="0"/>
        <v>767743.99575</v>
      </c>
      <c r="T12" s="112">
        <v>754023.33374999999</v>
      </c>
      <c r="U12" s="112">
        <f t="shared" si="1"/>
        <v>13720.662</v>
      </c>
      <c r="V12" s="112"/>
      <c r="W12" s="112">
        <f>21618.09</f>
        <v>21618.09</v>
      </c>
      <c r="X12" s="112">
        <v>21618.09</v>
      </c>
      <c r="Y12" s="112">
        <f t="shared" si="2"/>
        <v>0</v>
      </c>
      <c r="Z12" s="112"/>
      <c r="AA12" s="112"/>
      <c r="AB12" s="112"/>
      <c r="AC12" s="145"/>
    </row>
    <row r="13" spans="1:33" ht="20.100000000000001" customHeight="1">
      <c r="A13" s="108">
        <v>5</v>
      </c>
      <c r="B13" s="878" t="s">
        <v>1207</v>
      </c>
      <c r="C13" s="879"/>
      <c r="D13" s="114" t="s">
        <v>1208</v>
      </c>
      <c r="E13" s="115" t="s">
        <v>416</v>
      </c>
      <c r="F13" s="116">
        <f>41157.69</f>
        <v>41157.69</v>
      </c>
      <c r="G13" s="116"/>
      <c r="H13" s="112">
        <f>F13*300%</f>
        <v>123473.07</v>
      </c>
      <c r="I13" s="112">
        <f>F13*7.5%</f>
        <v>3086.8267500000002</v>
      </c>
      <c r="J13" s="112">
        <v>40122.19</v>
      </c>
      <c r="K13" s="112">
        <f>F13*50%</f>
        <v>20578.845000000001</v>
      </c>
      <c r="L13" s="112">
        <f>F13*350%</f>
        <v>144051.91500000001</v>
      </c>
      <c r="M13" s="112">
        <f>F13*100%</f>
        <v>41157.69</v>
      </c>
      <c r="N13" s="43">
        <f>180000</f>
        <v>180000</v>
      </c>
      <c r="O13" s="43"/>
      <c r="P13" s="112">
        <f>F13*10%</f>
        <v>4115.7690000000002</v>
      </c>
      <c r="Q13" s="112">
        <v>20000</v>
      </c>
      <c r="R13" s="116">
        <f>100000</f>
        <v>100000</v>
      </c>
      <c r="S13" s="112">
        <f t="shared" si="0"/>
        <v>717743.99575</v>
      </c>
      <c r="T13" s="116">
        <v>704023.33374999999</v>
      </c>
      <c r="U13" s="112">
        <f t="shared" si="1"/>
        <v>13720.662</v>
      </c>
      <c r="V13" s="116"/>
      <c r="W13" s="112">
        <f>21618.09</f>
        <v>21618.09</v>
      </c>
      <c r="X13" s="116">
        <v>21618.09</v>
      </c>
      <c r="Y13" s="112">
        <f t="shared" si="2"/>
        <v>0</v>
      </c>
      <c r="Z13" s="112"/>
      <c r="AA13" s="112"/>
      <c r="AB13" s="112"/>
      <c r="AC13" s="145"/>
    </row>
    <row r="14" spans="1:33" ht="20.100000000000001" customHeight="1">
      <c r="A14" s="108">
        <v>6</v>
      </c>
      <c r="B14" s="876" t="s">
        <v>348</v>
      </c>
      <c r="C14" s="877"/>
      <c r="D14" s="111" t="s">
        <v>349</v>
      </c>
      <c r="E14" s="108" t="s">
        <v>1255</v>
      </c>
      <c r="F14" s="116">
        <f>41157.69</f>
        <v>41157.69</v>
      </c>
      <c r="G14" s="116"/>
      <c r="H14" s="112">
        <f>F14*300%</f>
        <v>123473.07</v>
      </c>
      <c r="I14" s="112">
        <f>F14*7.5%</f>
        <v>3086.8267500000002</v>
      </c>
      <c r="J14" s="112">
        <v>40122.19</v>
      </c>
      <c r="K14" s="112">
        <f>F14*50%</f>
        <v>20578.845000000001</v>
      </c>
      <c r="L14" s="112">
        <f>F14*350%</f>
        <v>144051.91500000001</v>
      </c>
      <c r="M14" s="112">
        <f>F14*100%</f>
        <v>41157.69</v>
      </c>
      <c r="N14" s="43"/>
      <c r="O14" s="43">
        <f>90000</f>
        <v>90000</v>
      </c>
      <c r="P14" s="112">
        <f>F14*10%</f>
        <v>4115.7690000000002</v>
      </c>
      <c r="Q14" s="112">
        <v>20000</v>
      </c>
      <c r="R14" s="116">
        <v>0</v>
      </c>
      <c r="S14" s="112">
        <f t="shared" si="0"/>
        <v>527743.99575</v>
      </c>
      <c r="T14" s="116">
        <v>514023.33374999999</v>
      </c>
      <c r="U14" s="112">
        <f t="shared" si="1"/>
        <v>13720.662</v>
      </c>
      <c r="V14" s="116"/>
      <c r="W14" s="112">
        <f>21618.09</f>
        <v>21618.09</v>
      </c>
      <c r="X14" s="116">
        <v>21618.09</v>
      </c>
      <c r="Y14" s="112">
        <f t="shared" si="2"/>
        <v>0</v>
      </c>
      <c r="Z14" s="112"/>
      <c r="AA14" s="112"/>
      <c r="AB14" s="112"/>
      <c r="AC14" s="145"/>
    </row>
    <row r="15" spans="1:33" ht="20.100000000000001" customHeight="1">
      <c r="A15" s="108">
        <v>7</v>
      </c>
      <c r="B15" s="878" t="s">
        <v>470</v>
      </c>
      <c r="C15" s="879"/>
      <c r="D15" s="100" t="s">
        <v>1256</v>
      </c>
      <c r="E15" s="118" t="s">
        <v>358</v>
      </c>
      <c r="F15" s="112">
        <v>33507.5</v>
      </c>
      <c r="G15" s="112"/>
      <c r="H15" s="112">
        <f t="shared" ref="H15:H34" si="3">F15*300%</f>
        <v>100522.5</v>
      </c>
      <c r="I15" s="112">
        <f t="shared" ref="I15:I34" si="4">F15*7.5%</f>
        <v>2513.0625</v>
      </c>
      <c r="J15" s="112">
        <v>40122.19</v>
      </c>
      <c r="K15" s="112">
        <f t="shared" ref="K15:K34" si="5">F15*50%</f>
        <v>16753.75</v>
      </c>
      <c r="L15" s="112">
        <f t="shared" ref="L15:L34" si="6">F15*350%</f>
        <v>117276.25</v>
      </c>
      <c r="M15" s="112">
        <f t="shared" ref="M15:M34" si="7">F15*100%</f>
        <v>33507.5</v>
      </c>
      <c r="N15" s="43"/>
      <c r="O15" s="43">
        <f>80000</f>
        <v>80000</v>
      </c>
      <c r="P15" s="112">
        <f t="shared" ref="P15:P34" si="8">F15*10%</f>
        <v>3350.75</v>
      </c>
      <c r="Q15" s="112">
        <v>20000</v>
      </c>
      <c r="R15" s="112">
        <f>100000</f>
        <v>100000</v>
      </c>
      <c r="S15" s="112">
        <f t="shared" si="0"/>
        <v>547553.50249999994</v>
      </c>
      <c r="T15" s="112">
        <v>547553.50249999994</v>
      </c>
      <c r="U15" s="112">
        <f t="shared" si="1"/>
        <v>0</v>
      </c>
      <c r="V15" s="112"/>
      <c r="W15" s="112">
        <v>15548.33</v>
      </c>
      <c r="X15" s="112">
        <v>15548.33</v>
      </c>
      <c r="Y15" s="112">
        <f t="shared" si="2"/>
        <v>0</v>
      </c>
      <c r="Z15" s="112"/>
      <c r="AA15" s="112"/>
      <c r="AB15" s="112"/>
      <c r="AC15" s="145"/>
    </row>
    <row r="16" spans="1:33" ht="20.100000000000001" customHeight="1">
      <c r="A16" s="108">
        <v>8</v>
      </c>
      <c r="B16" s="880" t="s">
        <v>352</v>
      </c>
      <c r="C16" s="881"/>
      <c r="D16" s="16" t="s">
        <v>434</v>
      </c>
      <c r="E16" s="9" t="s">
        <v>358</v>
      </c>
      <c r="F16" s="72">
        <f>33507.5</f>
        <v>33507.5</v>
      </c>
      <c r="G16" s="72"/>
      <c r="H16" s="72">
        <f t="shared" si="3"/>
        <v>100522.5</v>
      </c>
      <c r="I16" s="72">
        <f t="shared" si="4"/>
        <v>2513.0625</v>
      </c>
      <c r="J16" s="72">
        <v>40122.19</v>
      </c>
      <c r="K16" s="72">
        <f t="shared" si="5"/>
        <v>16753.75</v>
      </c>
      <c r="L16" s="72">
        <f t="shared" si="6"/>
        <v>117276.25</v>
      </c>
      <c r="M16" s="72">
        <f t="shared" si="7"/>
        <v>33507.5</v>
      </c>
      <c r="N16" s="43"/>
      <c r="O16" s="43">
        <f>80000</f>
        <v>80000</v>
      </c>
      <c r="P16" s="72">
        <f t="shared" si="8"/>
        <v>3350.75</v>
      </c>
      <c r="Q16" s="72">
        <v>20000</v>
      </c>
      <c r="R16" s="72">
        <v>0</v>
      </c>
      <c r="S16" s="112">
        <f t="shared" si="0"/>
        <v>447553.5025</v>
      </c>
      <c r="T16" s="112">
        <v>447553.5025</v>
      </c>
      <c r="U16" s="112">
        <f t="shared" si="1"/>
        <v>0</v>
      </c>
      <c r="V16" s="72"/>
      <c r="W16" s="72">
        <v>15548.33</v>
      </c>
      <c r="X16" s="72">
        <v>15548.33</v>
      </c>
      <c r="Y16" s="112">
        <f t="shared" si="2"/>
        <v>0</v>
      </c>
      <c r="Z16" s="112"/>
      <c r="AA16" s="72"/>
      <c r="AB16" s="72"/>
      <c r="AC16" s="145"/>
    </row>
    <row r="17" spans="1:29" ht="20.100000000000001" customHeight="1">
      <c r="A17" s="108">
        <v>9</v>
      </c>
      <c r="B17" s="878" t="s">
        <v>354</v>
      </c>
      <c r="C17" s="879"/>
      <c r="D17" s="100" t="s">
        <v>1257</v>
      </c>
      <c r="E17" s="108" t="s">
        <v>358</v>
      </c>
      <c r="F17" s="112">
        <f>33507.5</f>
        <v>33507.5</v>
      </c>
      <c r="G17" s="112"/>
      <c r="H17" s="112">
        <f t="shared" si="3"/>
        <v>100522.5</v>
      </c>
      <c r="I17" s="112">
        <f t="shared" si="4"/>
        <v>2513.0625</v>
      </c>
      <c r="J17" s="112">
        <v>40122.19</v>
      </c>
      <c r="K17" s="112">
        <f t="shared" si="5"/>
        <v>16753.75</v>
      </c>
      <c r="L17" s="112">
        <f t="shared" si="6"/>
        <v>117276.25</v>
      </c>
      <c r="M17" s="112">
        <f t="shared" si="7"/>
        <v>33507.5</v>
      </c>
      <c r="N17" s="43"/>
      <c r="O17" s="43">
        <f>80000</f>
        <v>80000</v>
      </c>
      <c r="P17" s="112">
        <f t="shared" si="8"/>
        <v>3350.75</v>
      </c>
      <c r="Q17" s="112">
        <v>20000</v>
      </c>
      <c r="R17" s="142">
        <v>0</v>
      </c>
      <c r="S17" s="112">
        <f t="shared" si="0"/>
        <v>447553.5025</v>
      </c>
      <c r="T17" s="112">
        <v>447553.5025</v>
      </c>
      <c r="U17" s="112">
        <f t="shared" si="1"/>
        <v>0</v>
      </c>
      <c r="V17" s="112"/>
      <c r="W17" s="112">
        <v>15548.33</v>
      </c>
      <c r="X17" s="112">
        <v>15548.33</v>
      </c>
      <c r="Y17" s="112">
        <f t="shared" si="2"/>
        <v>0</v>
      </c>
      <c r="Z17" s="112"/>
      <c r="AA17" s="112"/>
      <c r="AB17" s="112"/>
      <c r="AC17" s="145"/>
    </row>
    <row r="18" spans="1:29" ht="20.100000000000001" customHeight="1">
      <c r="A18" s="108">
        <v>10</v>
      </c>
      <c r="B18" s="882" t="s">
        <v>356</v>
      </c>
      <c r="C18" s="882"/>
      <c r="D18" s="111" t="s">
        <v>1258</v>
      </c>
      <c r="E18" s="113" t="s">
        <v>358</v>
      </c>
      <c r="F18" s="112">
        <f>33507.5</f>
        <v>33507.5</v>
      </c>
      <c r="G18" s="112"/>
      <c r="H18" s="112">
        <f t="shared" si="3"/>
        <v>100522.5</v>
      </c>
      <c r="I18" s="112">
        <f t="shared" si="4"/>
        <v>2513.0625</v>
      </c>
      <c r="J18" s="112">
        <f>40122.19</f>
        <v>40122.19</v>
      </c>
      <c r="K18" s="112">
        <f t="shared" si="5"/>
        <v>16753.75</v>
      </c>
      <c r="L18" s="112">
        <f t="shared" si="6"/>
        <v>117276.25</v>
      </c>
      <c r="M18" s="112">
        <f t="shared" si="7"/>
        <v>33507.5</v>
      </c>
      <c r="N18" s="43"/>
      <c r="O18" s="43">
        <f t="shared" ref="O18:O124" si="9">80000</f>
        <v>80000</v>
      </c>
      <c r="P18" s="112">
        <f t="shared" si="8"/>
        <v>3350.75</v>
      </c>
      <c r="Q18" s="112">
        <v>20000</v>
      </c>
      <c r="R18" s="112">
        <v>0</v>
      </c>
      <c r="S18" s="112">
        <f>SUM(F18:R18)</f>
        <v>447553.5025</v>
      </c>
      <c r="T18" s="112">
        <v>436137.05</v>
      </c>
      <c r="U18" s="112">
        <f t="shared" si="1"/>
        <v>11416.452499999999</v>
      </c>
      <c r="V18" s="112"/>
      <c r="W18" s="112">
        <f>15548.33</f>
        <v>15548.33</v>
      </c>
      <c r="X18" s="112">
        <v>15548.33</v>
      </c>
      <c r="Y18" s="112">
        <f t="shared" si="2"/>
        <v>0</v>
      </c>
      <c r="Z18" s="112"/>
      <c r="AA18" s="112"/>
      <c r="AB18" s="112"/>
      <c r="AC18" s="145"/>
    </row>
    <row r="19" spans="1:29" ht="20.100000000000001" customHeight="1">
      <c r="A19" s="108">
        <v>11</v>
      </c>
      <c r="B19" s="109" t="s">
        <v>333</v>
      </c>
      <c r="C19" s="110"/>
      <c r="D19" s="111" t="s">
        <v>334</v>
      </c>
      <c r="E19" s="48" t="s">
        <v>1054</v>
      </c>
      <c r="F19" s="112">
        <v>31018.84</v>
      </c>
      <c r="G19" s="112"/>
      <c r="H19" s="112">
        <f t="shared" ref="H19" si="10">F19*300%</f>
        <v>93056.52</v>
      </c>
      <c r="I19" s="112">
        <f t="shared" ref="I19" si="11">F19*7.5%</f>
        <v>2326.413</v>
      </c>
      <c r="J19" s="112">
        <v>40122.19</v>
      </c>
      <c r="K19" s="112">
        <f t="shared" ref="K19" si="12">F19*50%</f>
        <v>15509.42</v>
      </c>
      <c r="L19" s="112">
        <f t="shared" ref="L19" si="13">F19*350%</f>
        <v>108565.94</v>
      </c>
      <c r="M19" s="112">
        <f t="shared" ref="M19" si="14">F19*100%</f>
        <v>31018.84</v>
      </c>
      <c r="N19" s="43"/>
      <c r="O19" s="43">
        <f t="shared" si="9"/>
        <v>80000</v>
      </c>
      <c r="P19" s="112">
        <f t="shared" ref="P19" si="15">F19*10%</f>
        <v>3101.884</v>
      </c>
      <c r="Q19" s="112">
        <v>20000</v>
      </c>
      <c r="R19" s="142">
        <v>0</v>
      </c>
      <c r="S19" s="112">
        <f t="shared" si="0"/>
        <v>424720.04700000002</v>
      </c>
      <c r="T19" s="112">
        <v>424720.04700000002</v>
      </c>
      <c r="U19" s="112">
        <f t="shared" si="1"/>
        <v>0</v>
      </c>
      <c r="V19" s="112"/>
      <c r="W19" s="112">
        <v>15548.33</v>
      </c>
      <c r="X19" s="112">
        <v>15548.33</v>
      </c>
      <c r="Y19" s="112">
        <f t="shared" si="2"/>
        <v>0</v>
      </c>
      <c r="Z19" s="112"/>
      <c r="AA19" s="112"/>
      <c r="AB19" s="112"/>
      <c r="AC19" s="145"/>
    </row>
    <row r="20" spans="1:29" ht="20.100000000000001" customHeight="1">
      <c r="A20" s="108">
        <v>12</v>
      </c>
      <c r="B20" s="878" t="s">
        <v>1209</v>
      </c>
      <c r="C20" s="879"/>
      <c r="D20" s="114" t="s">
        <v>1210</v>
      </c>
      <c r="E20" s="121" t="s">
        <v>450</v>
      </c>
      <c r="F20" s="116">
        <f>26732.65</f>
        <v>26732.65</v>
      </c>
      <c r="G20" s="116"/>
      <c r="H20" s="116">
        <f t="shared" si="3"/>
        <v>80197.95</v>
      </c>
      <c r="I20" s="116">
        <f t="shared" si="4"/>
        <v>2004.94875</v>
      </c>
      <c r="J20" s="116"/>
      <c r="K20" s="116">
        <f t="shared" si="5"/>
        <v>13366.325000000001</v>
      </c>
      <c r="L20" s="116">
        <f t="shared" si="6"/>
        <v>93564.274999999994</v>
      </c>
      <c r="M20" s="116">
        <f t="shared" si="7"/>
        <v>26732.65</v>
      </c>
      <c r="N20" s="43"/>
      <c r="O20" s="43">
        <f t="shared" ref="O20:O24" si="16">70000</f>
        <v>70000</v>
      </c>
      <c r="P20" s="116">
        <f t="shared" si="8"/>
        <v>2673.2649999999999</v>
      </c>
      <c r="Q20" s="116">
        <v>20000</v>
      </c>
      <c r="R20" s="116">
        <v>50000</v>
      </c>
      <c r="S20" s="112">
        <f t="shared" si="0"/>
        <v>385272.06374999997</v>
      </c>
      <c r="T20" s="116">
        <v>377211.36749999999</v>
      </c>
      <c r="U20" s="112">
        <f t="shared" si="1"/>
        <v>8060.69625000004</v>
      </c>
      <c r="V20" s="116"/>
      <c r="W20" s="116">
        <v>7709.76</v>
      </c>
      <c r="X20" s="116">
        <v>7709.76</v>
      </c>
      <c r="Y20" s="112">
        <f t="shared" si="2"/>
        <v>0</v>
      </c>
      <c r="Z20" s="112"/>
      <c r="AA20" s="112"/>
      <c r="AB20" s="112"/>
      <c r="AC20" s="145"/>
    </row>
    <row r="21" spans="1:29" ht="19.5" customHeight="1">
      <c r="A21" s="108">
        <v>13</v>
      </c>
      <c r="B21" s="878" t="s">
        <v>1119</v>
      </c>
      <c r="C21" s="879"/>
      <c r="D21" s="114" t="s">
        <v>362</v>
      </c>
      <c r="E21" s="108" t="s">
        <v>450</v>
      </c>
      <c r="F21" s="116">
        <f>26732.65</f>
        <v>26732.65</v>
      </c>
      <c r="G21" s="112"/>
      <c r="H21" s="112">
        <f t="shared" si="3"/>
        <v>80197.95</v>
      </c>
      <c r="I21" s="112">
        <f t="shared" si="4"/>
        <v>2004.94875</v>
      </c>
      <c r="J21" s="112"/>
      <c r="K21" s="112">
        <f t="shared" si="5"/>
        <v>13366.325000000001</v>
      </c>
      <c r="L21" s="112">
        <f t="shared" si="6"/>
        <v>93564.274999999994</v>
      </c>
      <c r="M21" s="112">
        <f t="shared" si="7"/>
        <v>26732.65</v>
      </c>
      <c r="N21" s="43"/>
      <c r="O21" s="43">
        <f t="shared" si="16"/>
        <v>70000</v>
      </c>
      <c r="P21" s="112">
        <f t="shared" si="8"/>
        <v>2673.2649999999999</v>
      </c>
      <c r="Q21" s="112">
        <v>20000</v>
      </c>
      <c r="R21" s="112">
        <v>0</v>
      </c>
      <c r="S21" s="112">
        <f t="shared" si="0"/>
        <v>335272.06374999997</v>
      </c>
      <c r="T21" s="112">
        <v>327211.36749999999</v>
      </c>
      <c r="U21" s="112">
        <f t="shared" si="1"/>
        <v>8060.6962500001</v>
      </c>
      <c r="V21" s="112"/>
      <c r="W21" s="112">
        <v>7709.76</v>
      </c>
      <c r="X21" s="112">
        <v>7709.76</v>
      </c>
      <c r="Y21" s="112">
        <f t="shared" si="2"/>
        <v>0</v>
      </c>
      <c r="Z21" s="112"/>
      <c r="AA21" s="112"/>
      <c r="AB21" s="112"/>
      <c r="AC21" s="145"/>
    </row>
    <row r="22" spans="1:29" ht="19.5" customHeight="1">
      <c r="A22" s="108">
        <v>14</v>
      </c>
      <c r="B22" s="878" t="s">
        <v>1211</v>
      </c>
      <c r="C22" s="879"/>
      <c r="D22" s="100" t="s">
        <v>1212</v>
      </c>
      <c r="E22" s="108" t="s">
        <v>450</v>
      </c>
      <c r="F22" s="116">
        <f>26732.65</f>
        <v>26732.65</v>
      </c>
      <c r="G22" s="112"/>
      <c r="H22" s="112">
        <f t="shared" si="3"/>
        <v>80197.95</v>
      </c>
      <c r="I22" s="112">
        <f t="shared" si="4"/>
        <v>2004.94875</v>
      </c>
      <c r="J22" s="112"/>
      <c r="K22" s="112">
        <f t="shared" si="5"/>
        <v>13366.325000000001</v>
      </c>
      <c r="L22" s="112">
        <f t="shared" si="6"/>
        <v>93564.274999999994</v>
      </c>
      <c r="M22" s="112">
        <f t="shared" si="7"/>
        <v>26732.65</v>
      </c>
      <c r="N22" s="43">
        <f>140000</f>
        <v>140000</v>
      </c>
      <c r="O22" s="43"/>
      <c r="P22" s="112">
        <f t="shared" si="8"/>
        <v>2673.2649999999999</v>
      </c>
      <c r="Q22" s="112">
        <v>20000</v>
      </c>
      <c r="R22" s="112">
        <f>50000+100000</f>
        <v>150000</v>
      </c>
      <c r="S22" s="112">
        <f t="shared" si="0"/>
        <v>555272.06374999997</v>
      </c>
      <c r="T22" s="112">
        <v>547211.36750000005</v>
      </c>
      <c r="U22" s="112">
        <f t="shared" si="1"/>
        <v>8060.69625000004</v>
      </c>
      <c r="V22" s="112"/>
      <c r="W22" s="112">
        <f t="shared" ref="W22:W104" si="17">7709.76</f>
        <v>7709.76</v>
      </c>
      <c r="X22" s="112">
        <v>7709.76</v>
      </c>
      <c r="Y22" s="112">
        <f t="shared" si="2"/>
        <v>0</v>
      </c>
      <c r="Z22" s="112"/>
      <c r="AA22" s="112"/>
      <c r="AB22" s="112"/>
      <c r="AC22" s="145"/>
    </row>
    <row r="23" spans="1:29" ht="20.100000000000001" customHeight="1">
      <c r="A23" s="108">
        <v>15</v>
      </c>
      <c r="B23" s="876" t="s">
        <v>361</v>
      </c>
      <c r="C23" s="877"/>
      <c r="D23" s="114" t="s">
        <v>1259</v>
      </c>
      <c r="E23" s="113" t="s">
        <v>372</v>
      </c>
      <c r="F23" s="112">
        <f>26339.3</f>
        <v>26339.3</v>
      </c>
      <c r="G23" s="112"/>
      <c r="H23" s="112">
        <f t="shared" si="3"/>
        <v>79017.899999999994</v>
      </c>
      <c r="I23" s="112">
        <f t="shared" si="4"/>
        <v>1975.4475</v>
      </c>
      <c r="J23" s="112">
        <v>0</v>
      </c>
      <c r="K23" s="112">
        <f t="shared" si="5"/>
        <v>13169.65</v>
      </c>
      <c r="L23" s="112">
        <f t="shared" si="6"/>
        <v>92187.55</v>
      </c>
      <c r="M23" s="112">
        <f t="shared" si="7"/>
        <v>26339.3</v>
      </c>
      <c r="N23" s="43"/>
      <c r="O23" s="43">
        <f t="shared" si="16"/>
        <v>70000</v>
      </c>
      <c r="P23" s="112">
        <f t="shared" si="8"/>
        <v>2633.93</v>
      </c>
      <c r="Q23" s="112">
        <v>15000</v>
      </c>
      <c r="R23" s="112">
        <f>0</f>
        <v>0</v>
      </c>
      <c r="S23" s="112">
        <f t="shared" si="0"/>
        <v>326663.07750000001</v>
      </c>
      <c r="T23" s="112">
        <v>326663.07750000001</v>
      </c>
      <c r="U23" s="112">
        <f t="shared" si="1"/>
        <v>0</v>
      </c>
      <c r="V23" s="112"/>
      <c r="W23" s="112">
        <f t="shared" si="17"/>
        <v>7709.76</v>
      </c>
      <c r="X23" s="112">
        <v>7709.76</v>
      </c>
      <c r="Y23" s="112">
        <f t="shared" si="2"/>
        <v>0</v>
      </c>
      <c r="Z23" s="112"/>
      <c r="AA23" s="112"/>
      <c r="AB23" s="112"/>
      <c r="AC23" s="145"/>
    </row>
    <row r="24" spans="1:29" ht="20.100000000000001" customHeight="1">
      <c r="A24" s="108">
        <v>16</v>
      </c>
      <c r="B24" s="878" t="s">
        <v>350</v>
      </c>
      <c r="C24" s="879"/>
      <c r="D24" s="100" t="s">
        <v>1305</v>
      </c>
      <c r="E24" s="113" t="s">
        <v>1261</v>
      </c>
      <c r="F24" s="112">
        <f>23074.99</f>
        <v>23074.99</v>
      </c>
      <c r="G24" s="112"/>
      <c r="H24" s="112">
        <f t="shared" si="3"/>
        <v>69224.97</v>
      </c>
      <c r="I24" s="112">
        <f t="shared" si="4"/>
        <v>1730.6242500000001</v>
      </c>
      <c r="J24" s="112">
        <f>265272</f>
        <v>265272</v>
      </c>
      <c r="K24" s="112">
        <f t="shared" si="5"/>
        <v>11537.495000000001</v>
      </c>
      <c r="L24" s="112">
        <f t="shared" si="6"/>
        <v>80762.464999999997</v>
      </c>
      <c r="M24" s="112">
        <f t="shared" si="7"/>
        <v>23074.99</v>
      </c>
      <c r="N24" s="43"/>
      <c r="O24" s="43">
        <f t="shared" si="16"/>
        <v>70000</v>
      </c>
      <c r="P24" s="112">
        <f t="shared" si="8"/>
        <v>2307.4989999999998</v>
      </c>
      <c r="Q24" s="112">
        <v>15000</v>
      </c>
      <c r="R24" s="112">
        <f>100000+100000</f>
        <v>200000</v>
      </c>
      <c r="S24" s="112">
        <f t="shared" si="0"/>
        <v>761985.03324999998</v>
      </c>
      <c r="T24" s="112">
        <v>761985.03324999998</v>
      </c>
      <c r="U24" s="112">
        <f t="shared" si="1"/>
        <v>0</v>
      </c>
      <c r="V24" s="112"/>
      <c r="W24" s="112">
        <f t="shared" si="17"/>
        <v>7709.76</v>
      </c>
      <c r="X24" s="112">
        <v>7709.76</v>
      </c>
      <c r="Y24" s="112">
        <f t="shared" si="2"/>
        <v>0</v>
      </c>
      <c r="Z24" s="112"/>
      <c r="AA24" s="112"/>
      <c r="AB24" s="112"/>
      <c r="AC24" s="145"/>
    </row>
    <row r="25" spans="1:29" ht="20.100000000000001" customHeight="1">
      <c r="A25" s="108">
        <v>17</v>
      </c>
      <c r="B25" s="876" t="s">
        <v>373</v>
      </c>
      <c r="C25" s="877"/>
      <c r="D25" s="111" t="s">
        <v>374</v>
      </c>
      <c r="E25" s="113" t="s">
        <v>1260</v>
      </c>
      <c r="F25" s="112">
        <f>23891.12</f>
        <v>23891.119999999999</v>
      </c>
      <c r="G25" s="112"/>
      <c r="H25" s="112">
        <f t="shared" si="3"/>
        <v>71673.36</v>
      </c>
      <c r="I25" s="112">
        <f t="shared" si="4"/>
        <v>1791.8340000000001</v>
      </c>
      <c r="J25" s="112">
        <v>0</v>
      </c>
      <c r="K25" s="112">
        <f t="shared" si="5"/>
        <v>11945.56</v>
      </c>
      <c r="L25" s="112">
        <f t="shared" si="6"/>
        <v>83618.92</v>
      </c>
      <c r="M25" s="112">
        <f t="shared" si="7"/>
        <v>23891.119999999999</v>
      </c>
      <c r="N25" s="43">
        <f>120000</f>
        <v>120000</v>
      </c>
      <c r="O25" s="43"/>
      <c r="P25" s="112">
        <f t="shared" si="8"/>
        <v>2389.1120000000001</v>
      </c>
      <c r="Q25" s="112">
        <v>15000</v>
      </c>
      <c r="R25" s="112">
        <v>0</v>
      </c>
      <c r="S25" s="112">
        <f t="shared" si="0"/>
        <v>354201.02600000001</v>
      </c>
      <c r="T25" s="112">
        <v>346713.03324999998</v>
      </c>
      <c r="U25" s="112">
        <f t="shared" si="1"/>
        <v>7487.9927500000304</v>
      </c>
      <c r="V25" s="112"/>
      <c r="W25" s="112">
        <f t="shared" ref="W25:W98" si="18">7709.76</f>
        <v>7709.76</v>
      </c>
      <c r="X25" s="112">
        <v>7709.76</v>
      </c>
      <c r="Y25" s="112">
        <f t="shared" si="2"/>
        <v>0</v>
      </c>
      <c r="Z25" s="112"/>
      <c r="AA25" s="112"/>
      <c r="AB25" s="112"/>
      <c r="AC25" s="145"/>
    </row>
    <row r="26" spans="1:29" ht="20.100000000000001" customHeight="1">
      <c r="A26" s="108">
        <v>18</v>
      </c>
      <c r="B26" s="876" t="s">
        <v>379</v>
      </c>
      <c r="C26" s="877"/>
      <c r="D26" s="111" t="s">
        <v>1262</v>
      </c>
      <c r="E26" s="113" t="s">
        <v>539</v>
      </c>
      <c r="F26" s="112">
        <f>18779.3</f>
        <v>18779.3</v>
      </c>
      <c r="G26" s="112"/>
      <c r="H26" s="112">
        <f t="shared" si="3"/>
        <v>56337.9</v>
      </c>
      <c r="I26" s="112">
        <f t="shared" si="4"/>
        <v>1408.4475</v>
      </c>
      <c r="J26" s="112"/>
      <c r="K26" s="112">
        <f t="shared" si="5"/>
        <v>9389.65</v>
      </c>
      <c r="L26" s="112">
        <f t="shared" si="6"/>
        <v>65727.55</v>
      </c>
      <c r="M26" s="112">
        <f t="shared" si="7"/>
        <v>18779.3</v>
      </c>
      <c r="N26" s="43"/>
      <c r="O26" s="43">
        <f>60000</f>
        <v>60000</v>
      </c>
      <c r="P26" s="112">
        <f t="shared" si="8"/>
        <v>1877.93</v>
      </c>
      <c r="Q26" s="112">
        <v>10000</v>
      </c>
      <c r="R26" s="112"/>
      <c r="S26" s="112">
        <f t="shared" si="0"/>
        <v>242300.07750000001</v>
      </c>
      <c r="T26" s="112">
        <v>237734.04699999999</v>
      </c>
      <c r="U26" s="112">
        <f t="shared" si="1"/>
        <v>4566.0304999999898</v>
      </c>
      <c r="V26" s="112"/>
      <c r="W26" s="112">
        <v>3369.51</v>
      </c>
      <c r="X26" s="112">
        <v>3369.51</v>
      </c>
      <c r="Y26" s="112">
        <f t="shared" si="2"/>
        <v>0</v>
      </c>
      <c r="Z26" s="112"/>
      <c r="AA26" s="112"/>
      <c r="AB26" s="112"/>
      <c r="AC26" s="145"/>
    </row>
    <row r="27" spans="1:29" ht="18.75" customHeight="1">
      <c r="A27" s="108">
        <v>19</v>
      </c>
      <c r="B27" s="876" t="s">
        <v>496</v>
      </c>
      <c r="C27" s="877"/>
      <c r="D27" s="111" t="s">
        <v>497</v>
      </c>
      <c r="E27" s="113" t="s">
        <v>440</v>
      </c>
      <c r="F27" s="112">
        <f>21520.88</f>
        <v>21520.880000000001</v>
      </c>
      <c r="G27" s="112"/>
      <c r="H27" s="112">
        <f t="shared" si="3"/>
        <v>64562.64</v>
      </c>
      <c r="I27" s="112">
        <f t="shared" si="4"/>
        <v>1614.066</v>
      </c>
      <c r="J27" s="112"/>
      <c r="K27" s="112">
        <f t="shared" si="5"/>
        <v>10760.44</v>
      </c>
      <c r="L27" s="112">
        <f t="shared" si="6"/>
        <v>75323.08</v>
      </c>
      <c r="M27" s="112">
        <f t="shared" si="7"/>
        <v>21520.880000000001</v>
      </c>
      <c r="N27" s="43"/>
      <c r="O27" s="43">
        <f>60000</f>
        <v>60000</v>
      </c>
      <c r="P27" s="112">
        <f t="shared" si="8"/>
        <v>2152.0880000000002</v>
      </c>
      <c r="Q27" s="112">
        <v>15000</v>
      </c>
      <c r="R27" s="112"/>
      <c r="S27" s="112">
        <f t="shared" si="0"/>
        <v>272454.07400000002</v>
      </c>
      <c r="T27" s="112">
        <v>265372.07500000001</v>
      </c>
      <c r="U27" s="112">
        <f t="shared" si="1"/>
        <v>7081.9990000000098</v>
      </c>
      <c r="V27" s="112"/>
      <c r="W27" s="112">
        <v>3369.51</v>
      </c>
      <c r="X27" s="112">
        <v>3369.51</v>
      </c>
      <c r="Y27" s="112">
        <f t="shared" si="2"/>
        <v>0</v>
      </c>
      <c r="Z27" s="112"/>
      <c r="AA27" s="112"/>
      <c r="AB27" s="112"/>
      <c r="AC27" s="145"/>
    </row>
    <row r="28" spans="1:29" ht="18.75" customHeight="1">
      <c r="A28" s="108">
        <v>20</v>
      </c>
      <c r="B28" s="109" t="s">
        <v>376</v>
      </c>
      <c r="C28" s="110"/>
      <c r="D28" s="100" t="s">
        <v>377</v>
      </c>
      <c r="E28" s="113" t="s">
        <v>453</v>
      </c>
      <c r="F28" s="72">
        <f>18281.64</f>
        <v>18281.64</v>
      </c>
      <c r="G28" s="72"/>
      <c r="H28" s="72">
        <f t="shared" si="3"/>
        <v>54844.92</v>
      </c>
      <c r="I28" s="72">
        <f t="shared" si="4"/>
        <v>1371.123</v>
      </c>
      <c r="J28" s="72"/>
      <c r="K28" s="72">
        <f t="shared" si="5"/>
        <v>9140.82</v>
      </c>
      <c r="L28" s="72">
        <f t="shared" si="6"/>
        <v>63985.74</v>
      </c>
      <c r="M28" s="72">
        <f t="shared" si="7"/>
        <v>18281.64</v>
      </c>
      <c r="N28" s="43">
        <f>100000</f>
        <v>100000</v>
      </c>
      <c r="O28" s="43"/>
      <c r="P28" s="72">
        <f t="shared" si="8"/>
        <v>1828.164</v>
      </c>
      <c r="Q28" s="72">
        <v>10000</v>
      </c>
      <c r="R28" s="72">
        <f>100000</f>
        <v>100000</v>
      </c>
      <c r="S28" s="112">
        <f t="shared" si="0"/>
        <v>377734.04700000002</v>
      </c>
      <c r="T28" s="112">
        <v>373168.2</v>
      </c>
      <c r="U28" s="112">
        <f t="shared" si="1"/>
        <v>4565.8470000000098</v>
      </c>
      <c r="V28" s="72"/>
      <c r="W28" s="72">
        <v>3369.51</v>
      </c>
      <c r="X28" s="72">
        <v>3369.51</v>
      </c>
      <c r="Y28" s="112">
        <f t="shared" si="2"/>
        <v>0</v>
      </c>
      <c r="Z28" s="112"/>
      <c r="AA28" s="72"/>
      <c r="AB28" s="72"/>
      <c r="AC28" s="145"/>
    </row>
    <row r="29" spans="1:29" ht="18.75" customHeight="1">
      <c r="A29" s="108">
        <v>21</v>
      </c>
      <c r="B29" s="109" t="s">
        <v>388</v>
      </c>
      <c r="C29" s="110"/>
      <c r="D29" s="111" t="s">
        <v>289</v>
      </c>
      <c r="E29" s="113" t="s">
        <v>1228</v>
      </c>
      <c r="F29" s="122">
        <f>13492.21</f>
        <v>13492.21</v>
      </c>
      <c r="G29" s="112"/>
      <c r="H29" s="112">
        <f t="shared" si="3"/>
        <v>40476.629999999997</v>
      </c>
      <c r="I29" s="112">
        <f t="shared" si="4"/>
        <v>1011.91575</v>
      </c>
      <c r="J29" s="112"/>
      <c r="K29" s="112">
        <f t="shared" si="5"/>
        <v>6746.1049999999996</v>
      </c>
      <c r="L29" s="112">
        <f t="shared" si="6"/>
        <v>47222.735000000001</v>
      </c>
      <c r="M29" s="112">
        <f t="shared" si="7"/>
        <v>13492.21</v>
      </c>
      <c r="N29" s="43"/>
      <c r="O29" s="43">
        <f>50000</f>
        <v>50000</v>
      </c>
      <c r="P29" s="112">
        <f t="shared" si="8"/>
        <v>1349.221</v>
      </c>
      <c r="Q29" s="112">
        <v>10000</v>
      </c>
      <c r="R29" s="112"/>
      <c r="S29" s="112">
        <f t="shared" si="0"/>
        <v>183791.02674999999</v>
      </c>
      <c r="T29" s="112">
        <v>180304.068</v>
      </c>
      <c r="U29" s="112">
        <f t="shared" si="1"/>
        <v>3486.9587499999898</v>
      </c>
      <c r="V29" s="112"/>
      <c r="W29" s="112">
        <v>1484.37</v>
      </c>
      <c r="X29" s="112">
        <v>1484.37</v>
      </c>
      <c r="Y29" s="112">
        <f t="shared" si="2"/>
        <v>0</v>
      </c>
      <c r="Z29" s="112"/>
      <c r="AA29" s="112"/>
      <c r="AB29" s="112"/>
      <c r="AC29" s="145"/>
    </row>
    <row r="30" spans="1:29" ht="18.75" customHeight="1">
      <c r="A30" s="108">
        <v>22</v>
      </c>
      <c r="B30" s="109" t="s">
        <v>1036</v>
      </c>
      <c r="C30" s="110"/>
      <c r="D30" s="111" t="s">
        <v>401</v>
      </c>
      <c r="E30" s="113" t="s">
        <v>72</v>
      </c>
      <c r="F30" s="72">
        <f>12351.94</f>
        <v>12351.94</v>
      </c>
      <c r="G30" s="72"/>
      <c r="H30" s="72">
        <f t="shared" si="3"/>
        <v>37055.82</v>
      </c>
      <c r="I30" s="72">
        <f t="shared" si="4"/>
        <v>926.39549999999997</v>
      </c>
      <c r="J30" s="72"/>
      <c r="K30" s="72">
        <f t="shared" si="5"/>
        <v>6175.97</v>
      </c>
      <c r="L30" s="72">
        <f t="shared" si="6"/>
        <v>43231.79</v>
      </c>
      <c r="M30" s="72">
        <f t="shared" si="7"/>
        <v>12351.94</v>
      </c>
      <c r="N30" s="43"/>
      <c r="O30" s="43">
        <f>50000</f>
        <v>50000</v>
      </c>
      <c r="P30" s="72">
        <f t="shared" si="8"/>
        <v>1235.194</v>
      </c>
      <c r="Q30" s="72">
        <v>10000</v>
      </c>
      <c r="R30" s="72"/>
      <c r="S30" s="112">
        <f t="shared" si="0"/>
        <v>173329.04949999999</v>
      </c>
      <c r="T30" s="112">
        <v>173329.04949999999</v>
      </c>
      <c r="U30" s="112">
        <f t="shared" si="1"/>
        <v>0</v>
      </c>
      <c r="V30" s="72"/>
      <c r="W30" s="43">
        <f t="shared" ref="W30:W31" si="19">1484.37</f>
        <v>1484.37</v>
      </c>
      <c r="X30" s="72">
        <v>1484.37</v>
      </c>
      <c r="Y30" s="112">
        <f t="shared" si="2"/>
        <v>0</v>
      </c>
      <c r="Z30" s="112"/>
      <c r="AA30" s="72"/>
      <c r="AB30" s="72"/>
      <c r="AC30" s="145"/>
    </row>
    <row r="31" spans="1:29" ht="18.75" customHeight="1">
      <c r="A31" s="108">
        <v>23</v>
      </c>
      <c r="B31" s="109" t="s">
        <v>1213</v>
      </c>
      <c r="C31" s="110"/>
      <c r="D31" s="111" t="s">
        <v>401</v>
      </c>
      <c r="E31" s="113" t="s">
        <v>409</v>
      </c>
      <c r="F31" s="72">
        <f>17784.1</f>
        <v>17784.099999999999</v>
      </c>
      <c r="G31" s="72"/>
      <c r="H31" s="72">
        <f t="shared" si="3"/>
        <v>53352.3</v>
      </c>
      <c r="I31" s="72">
        <f t="shared" si="4"/>
        <v>1333.8074999999999</v>
      </c>
      <c r="J31" s="72"/>
      <c r="K31" s="72">
        <f t="shared" si="5"/>
        <v>8892.0499999999993</v>
      </c>
      <c r="L31" s="72">
        <f t="shared" si="6"/>
        <v>62244.35</v>
      </c>
      <c r="M31" s="72">
        <f t="shared" si="7"/>
        <v>17784.099999999999</v>
      </c>
      <c r="N31" s="43"/>
      <c r="O31" s="43">
        <f>60000</f>
        <v>60000</v>
      </c>
      <c r="P31" s="72">
        <f t="shared" si="8"/>
        <v>1778.41</v>
      </c>
      <c r="Q31" s="72">
        <v>10000</v>
      </c>
      <c r="R31" s="72"/>
      <c r="S31" s="112">
        <f t="shared" si="0"/>
        <v>233169.11749999999</v>
      </c>
      <c r="T31" s="112">
        <v>228602.07775</v>
      </c>
      <c r="U31" s="112">
        <f t="shared" si="1"/>
        <v>4567.0397499999699</v>
      </c>
      <c r="V31" s="72"/>
      <c r="W31" s="43">
        <f t="shared" si="19"/>
        <v>1484.37</v>
      </c>
      <c r="X31" s="72">
        <v>1484.37</v>
      </c>
      <c r="Y31" s="112">
        <f t="shared" si="2"/>
        <v>0</v>
      </c>
      <c r="Z31" s="112"/>
      <c r="AA31" s="72"/>
      <c r="AB31" s="72"/>
      <c r="AC31" s="145"/>
    </row>
    <row r="32" spans="1:29" ht="18.75" customHeight="1">
      <c r="A32" s="108">
        <v>24</v>
      </c>
      <c r="B32" s="882" t="s">
        <v>448</v>
      </c>
      <c r="C32" s="882"/>
      <c r="D32" s="100" t="s">
        <v>1069</v>
      </c>
      <c r="E32" s="113" t="s">
        <v>1052</v>
      </c>
      <c r="F32" s="112">
        <f>24741.26</f>
        <v>24741.26</v>
      </c>
      <c r="G32" s="112"/>
      <c r="H32" s="112">
        <f t="shared" si="3"/>
        <v>74223.78</v>
      </c>
      <c r="I32" s="112">
        <f t="shared" si="4"/>
        <v>1855.5944999999999</v>
      </c>
      <c r="J32" s="112">
        <v>0</v>
      </c>
      <c r="K32" s="112">
        <f t="shared" si="5"/>
        <v>12370.63</v>
      </c>
      <c r="L32" s="112">
        <f t="shared" si="6"/>
        <v>86594.41</v>
      </c>
      <c r="M32" s="112">
        <f t="shared" si="7"/>
        <v>24741.26</v>
      </c>
      <c r="N32" s="43"/>
      <c r="O32" s="43">
        <f>70000</f>
        <v>70000</v>
      </c>
      <c r="P32" s="112">
        <f t="shared" si="8"/>
        <v>2474.1260000000002</v>
      </c>
      <c r="Q32" s="112">
        <v>15000</v>
      </c>
      <c r="R32" s="112">
        <v>0</v>
      </c>
      <c r="S32" s="112">
        <f t="shared" si="0"/>
        <v>312001.06050000002</v>
      </c>
      <c r="T32" s="112">
        <v>304201.02600000001</v>
      </c>
      <c r="U32" s="112">
        <f t="shared" si="1"/>
        <v>7800.0345000000098</v>
      </c>
      <c r="V32" s="112"/>
      <c r="W32" s="112">
        <f>7709.76</f>
        <v>7709.76</v>
      </c>
      <c r="X32" s="112">
        <v>7709.76</v>
      </c>
      <c r="Y32" s="112">
        <f t="shared" si="2"/>
        <v>0</v>
      </c>
      <c r="Z32" s="112"/>
      <c r="AA32" s="112"/>
      <c r="AB32" s="112"/>
      <c r="AC32" s="145"/>
    </row>
    <row r="33" spans="1:29" ht="18.75" customHeight="1">
      <c r="A33" s="108">
        <v>25</v>
      </c>
      <c r="B33" s="876" t="s">
        <v>494</v>
      </c>
      <c r="C33" s="877"/>
      <c r="D33" s="100" t="s">
        <v>1263</v>
      </c>
      <c r="E33" s="113" t="s">
        <v>539</v>
      </c>
      <c r="F33" s="112">
        <f>18779.3</f>
        <v>18779.3</v>
      </c>
      <c r="G33" s="112"/>
      <c r="H33" s="112">
        <f t="shared" si="3"/>
        <v>56337.9</v>
      </c>
      <c r="I33" s="112">
        <f t="shared" si="4"/>
        <v>1408.4475</v>
      </c>
      <c r="J33" s="112"/>
      <c r="K33" s="112">
        <f t="shared" si="5"/>
        <v>9389.65</v>
      </c>
      <c r="L33" s="112">
        <f t="shared" si="6"/>
        <v>65727.55</v>
      </c>
      <c r="M33" s="112">
        <f t="shared" si="7"/>
        <v>18779.3</v>
      </c>
      <c r="N33" s="43"/>
      <c r="O33" s="43">
        <f>60000</f>
        <v>60000</v>
      </c>
      <c r="P33" s="112">
        <f t="shared" si="8"/>
        <v>1877.93</v>
      </c>
      <c r="Q33" s="112">
        <v>10000</v>
      </c>
      <c r="R33" s="112"/>
      <c r="S33" s="112">
        <f t="shared" si="0"/>
        <v>242300.07750000001</v>
      </c>
      <c r="T33" s="112">
        <v>237734.04699999999</v>
      </c>
      <c r="U33" s="112">
        <f t="shared" si="1"/>
        <v>4566.0304999999898</v>
      </c>
      <c r="V33" s="112"/>
      <c r="W33" s="112">
        <v>3369.51</v>
      </c>
      <c r="X33" s="112">
        <v>3369.51</v>
      </c>
      <c r="Y33" s="112">
        <f t="shared" si="2"/>
        <v>0</v>
      </c>
      <c r="Z33" s="112"/>
      <c r="AA33" s="112"/>
      <c r="AB33" s="112"/>
      <c r="AC33" s="145"/>
    </row>
    <row r="34" spans="1:29" ht="18.75" customHeight="1">
      <c r="A34" s="108">
        <v>26</v>
      </c>
      <c r="B34" s="109" t="s">
        <v>534</v>
      </c>
      <c r="C34" s="110"/>
      <c r="D34" s="100" t="s">
        <v>1227</v>
      </c>
      <c r="E34" s="113" t="s">
        <v>453</v>
      </c>
      <c r="F34" s="72">
        <f>18281.64</f>
        <v>18281.64</v>
      </c>
      <c r="G34" s="72"/>
      <c r="H34" s="72">
        <f t="shared" si="3"/>
        <v>54844.92</v>
      </c>
      <c r="I34" s="72">
        <f t="shared" si="4"/>
        <v>1371.123</v>
      </c>
      <c r="J34" s="72"/>
      <c r="K34" s="72">
        <f t="shared" si="5"/>
        <v>9140.82</v>
      </c>
      <c r="L34" s="72">
        <f t="shared" si="6"/>
        <v>63985.74</v>
      </c>
      <c r="M34" s="72">
        <f t="shared" si="7"/>
        <v>18281.64</v>
      </c>
      <c r="N34" s="43"/>
      <c r="O34" s="43">
        <v>60000</v>
      </c>
      <c r="P34" s="72">
        <f t="shared" si="8"/>
        <v>1828.164</v>
      </c>
      <c r="Q34" s="72">
        <v>10000</v>
      </c>
      <c r="R34" s="72"/>
      <c r="S34" s="112">
        <f t="shared" si="0"/>
        <v>237734.04699999999</v>
      </c>
      <c r="T34" s="112">
        <v>233168.2</v>
      </c>
      <c r="U34" s="112">
        <f t="shared" si="1"/>
        <v>4565.8470000000098</v>
      </c>
      <c r="V34" s="112"/>
      <c r="W34" s="112">
        <v>3369.51</v>
      </c>
      <c r="X34" s="112">
        <v>3369.51</v>
      </c>
      <c r="Y34" s="112">
        <f t="shared" si="2"/>
        <v>0</v>
      </c>
      <c r="Z34" s="112"/>
      <c r="AA34" s="112"/>
      <c r="AB34" s="112"/>
      <c r="AC34" s="145"/>
    </row>
    <row r="35" spans="1:29" ht="18.75" customHeight="1">
      <c r="A35" s="108">
        <v>27</v>
      </c>
      <c r="B35" s="876" t="s">
        <v>1120</v>
      </c>
      <c r="C35" s="877"/>
      <c r="D35" s="111" t="s">
        <v>1068</v>
      </c>
      <c r="E35" s="113" t="s">
        <v>1048</v>
      </c>
      <c r="F35" s="122">
        <f>13492.21</f>
        <v>13492.21</v>
      </c>
      <c r="G35" s="112"/>
      <c r="H35" s="112">
        <f t="shared" ref="H35:H38" si="20">F35*300%</f>
        <v>40476.629999999997</v>
      </c>
      <c r="I35" s="112">
        <f t="shared" ref="I35:I38" si="21">F35*7.5%</f>
        <v>1011.91575</v>
      </c>
      <c r="J35" s="112"/>
      <c r="K35" s="112">
        <f t="shared" ref="K35:K38" si="22">F35*50%</f>
        <v>6746.1049999999996</v>
      </c>
      <c r="L35" s="112">
        <f t="shared" ref="L35:L38" si="23">F35*350%</f>
        <v>47222.735000000001</v>
      </c>
      <c r="M35" s="112">
        <f t="shared" ref="M35:M38" si="24">F35*100%</f>
        <v>13492.21</v>
      </c>
      <c r="N35" s="43"/>
      <c r="O35" s="43">
        <f>50000</f>
        <v>50000</v>
      </c>
      <c r="P35" s="112">
        <f t="shared" ref="P35:P38" si="25">F35*10%</f>
        <v>1349.221</v>
      </c>
      <c r="Q35" s="112">
        <v>10000</v>
      </c>
      <c r="R35" s="112"/>
      <c r="S35" s="112">
        <f t="shared" ref="S35:S36" si="26">SUM(F35:R35)</f>
        <v>183791.02674999999</v>
      </c>
      <c r="T35" s="112">
        <v>180304.068</v>
      </c>
      <c r="U35" s="112">
        <f t="shared" si="1"/>
        <v>3486.9587499999898</v>
      </c>
      <c r="V35" s="112"/>
      <c r="W35" s="112">
        <v>1484.37</v>
      </c>
      <c r="X35" s="112">
        <v>1484.37</v>
      </c>
      <c r="Y35" s="112">
        <f t="shared" si="2"/>
        <v>0</v>
      </c>
      <c r="Z35" s="112"/>
      <c r="AA35" s="112"/>
      <c r="AB35" s="112"/>
      <c r="AC35" s="145"/>
    </row>
    <row r="36" spans="1:29" ht="18.75" customHeight="1">
      <c r="A36" s="108">
        <v>28</v>
      </c>
      <c r="B36" s="109" t="s">
        <v>390</v>
      </c>
      <c r="C36" s="110"/>
      <c r="D36" s="111" t="s">
        <v>1068</v>
      </c>
      <c r="E36" s="113" t="s">
        <v>1264</v>
      </c>
      <c r="F36" s="122">
        <f>13112.16</f>
        <v>13112.16</v>
      </c>
      <c r="G36" s="112"/>
      <c r="H36" s="112">
        <f t="shared" si="20"/>
        <v>39336.480000000003</v>
      </c>
      <c r="I36" s="112">
        <f t="shared" si="21"/>
        <v>983.41200000000003</v>
      </c>
      <c r="J36" s="112"/>
      <c r="K36" s="112">
        <f t="shared" si="22"/>
        <v>6556.08</v>
      </c>
      <c r="L36" s="112">
        <f t="shared" si="23"/>
        <v>45892.56</v>
      </c>
      <c r="M36" s="112">
        <f t="shared" si="24"/>
        <v>13112.16</v>
      </c>
      <c r="N36" s="43"/>
      <c r="O36" s="43">
        <f>50000</f>
        <v>50000</v>
      </c>
      <c r="P36" s="112">
        <f t="shared" si="25"/>
        <v>1311.2159999999999</v>
      </c>
      <c r="Q36" s="112">
        <v>10000</v>
      </c>
      <c r="S36" s="112">
        <f t="shared" si="26"/>
        <v>180304.068</v>
      </c>
      <c r="T36" s="112">
        <v>176816.1</v>
      </c>
      <c r="U36" s="112">
        <f t="shared" si="1"/>
        <v>3487.9679999999898</v>
      </c>
      <c r="V36" s="112"/>
      <c r="W36" s="112">
        <f>(1484.37)</f>
        <v>1484.37</v>
      </c>
      <c r="X36" s="112">
        <v>1484.37</v>
      </c>
      <c r="Y36" s="112">
        <f t="shared" si="2"/>
        <v>0</v>
      </c>
      <c r="Z36" s="112"/>
      <c r="AA36" s="112"/>
      <c r="AB36" s="112"/>
      <c r="AC36" s="145"/>
    </row>
    <row r="37" spans="1:29" ht="18.75" customHeight="1">
      <c r="A37" s="108">
        <v>29</v>
      </c>
      <c r="B37" s="880" t="s">
        <v>477</v>
      </c>
      <c r="C37" s="881"/>
      <c r="D37" s="16" t="s">
        <v>1229</v>
      </c>
      <c r="E37" s="113" t="s">
        <v>399</v>
      </c>
      <c r="F37" s="72">
        <f>13112.16</f>
        <v>13112.16</v>
      </c>
      <c r="G37" s="72"/>
      <c r="H37" s="72">
        <f t="shared" si="20"/>
        <v>39336.480000000003</v>
      </c>
      <c r="I37" s="72">
        <f t="shared" si="21"/>
        <v>983.41200000000003</v>
      </c>
      <c r="J37" s="72"/>
      <c r="K37" s="72">
        <f t="shared" si="22"/>
        <v>6556.08</v>
      </c>
      <c r="L37" s="72">
        <f t="shared" si="23"/>
        <v>45892.56</v>
      </c>
      <c r="M37" s="72">
        <f t="shared" si="24"/>
        <v>13112.16</v>
      </c>
      <c r="N37" s="43"/>
      <c r="O37" s="43">
        <f>50000</f>
        <v>50000</v>
      </c>
      <c r="P37" s="72">
        <f t="shared" si="25"/>
        <v>1311.2159999999999</v>
      </c>
      <c r="Q37" s="72">
        <v>10000</v>
      </c>
      <c r="R37" s="72"/>
      <c r="S37" s="112">
        <f t="shared" si="0"/>
        <v>180304.068</v>
      </c>
      <c r="T37" s="112">
        <v>176816.1</v>
      </c>
      <c r="U37" s="112">
        <f t="shared" si="1"/>
        <v>3487.9679999999898</v>
      </c>
      <c r="V37" s="112"/>
      <c r="W37" s="43">
        <f t="shared" ref="W37:W38" si="27">1484.37</f>
        <v>1484.37</v>
      </c>
      <c r="X37" s="112">
        <v>1484.37</v>
      </c>
      <c r="Y37" s="112">
        <f t="shared" si="2"/>
        <v>0</v>
      </c>
      <c r="Z37" s="112"/>
      <c r="AA37" s="112"/>
      <c r="AB37" s="112"/>
      <c r="AC37" s="145"/>
    </row>
    <row r="38" spans="1:29" ht="18.75" customHeight="1">
      <c r="A38" s="108">
        <v>30</v>
      </c>
      <c r="B38" s="119" t="s">
        <v>395</v>
      </c>
      <c r="C38" s="120"/>
      <c r="D38" s="16" t="s">
        <v>396</v>
      </c>
      <c r="E38" s="113" t="s">
        <v>72</v>
      </c>
      <c r="F38" s="72">
        <f>12351.94</f>
        <v>12351.94</v>
      </c>
      <c r="G38" s="72"/>
      <c r="H38" s="72">
        <f t="shared" si="20"/>
        <v>37055.82</v>
      </c>
      <c r="I38" s="72">
        <f t="shared" si="21"/>
        <v>926.39549999999997</v>
      </c>
      <c r="J38" s="72"/>
      <c r="K38" s="72">
        <f t="shared" si="22"/>
        <v>6175.97</v>
      </c>
      <c r="L38" s="72">
        <f t="shared" si="23"/>
        <v>43231.79</v>
      </c>
      <c r="M38" s="72">
        <f t="shared" si="24"/>
        <v>12351.94</v>
      </c>
      <c r="N38" s="43"/>
      <c r="O38" s="43">
        <f>50000</f>
        <v>50000</v>
      </c>
      <c r="P38" s="72">
        <f t="shared" si="25"/>
        <v>1235.194</v>
      </c>
      <c r="Q38" s="72">
        <v>10000</v>
      </c>
      <c r="R38" s="72"/>
      <c r="S38" s="112">
        <f t="shared" si="0"/>
        <v>173329.04949999999</v>
      </c>
      <c r="T38" s="112">
        <v>173329.04949999999</v>
      </c>
      <c r="U38" s="112">
        <f t="shared" si="1"/>
        <v>0</v>
      </c>
      <c r="V38" s="112"/>
      <c r="W38" s="43">
        <f t="shared" si="27"/>
        <v>1484.37</v>
      </c>
      <c r="X38" s="112">
        <v>1484.37</v>
      </c>
      <c r="Y38" s="112">
        <f t="shared" si="2"/>
        <v>0</v>
      </c>
      <c r="Z38" s="112"/>
      <c r="AA38" s="112"/>
      <c r="AB38" s="112"/>
      <c r="AC38" s="145"/>
    </row>
    <row r="39" spans="1:29" ht="18.75" customHeight="1">
      <c r="A39" s="108"/>
      <c r="B39" s="883" t="s">
        <v>42</v>
      </c>
      <c r="C39" s="883"/>
      <c r="D39" s="103">
        <v>30</v>
      </c>
      <c r="E39" s="113"/>
      <c r="F39" s="124">
        <f t="shared" ref="F39:S39" si="28">SUM(F9:F38)</f>
        <v>942987.95</v>
      </c>
      <c r="G39" s="124">
        <f t="shared" si="28"/>
        <v>0</v>
      </c>
      <c r="H39" s="124">
        <f t="shared" si="28"/>
        <v>2668475.1</v>
      </c>
      <c r="I39" s="124">
        <f t="shared" si="28"/>
        <v>106834.07</v>
      </c>
      <c r="J39" s="124">
        <f t="shared" si="28"/>
        <v>826982.66</v>
      </c>
      <c r="K39" s="124">
        <f t="shared" si="28"/>
        <v>463469.54</v>
      </c>
      <c r="L39" s="124">
        <f t="shared" si="28"/>
        <v>2738747.2</v>
      </c>
      <c r="M39" s="124">
        <f t="shared" si="28"/>
        <v>902865.77</v>
      </c>
      <c r="N39" s="136">
        <f t="shared" si="28"/>
        <v>1170000</v>
      </c>
      <c r="O39" s="136">
        <f t="shared" si="28"/>
        <v>1530000</v>
      </c>
      <c r="P39" s="124">
        <f t="shared" si="28"/>
        <v>94298.8</v>
      </c>
      <c r="Q39" s="124">
        <f t="shared" si="28"/>
        <v>470000</v>
      </c>
      <c r="R39" s="124">
        <f t="shared" si="28"/>
        <v>875235</v>
      </c>
      <c r="S39" s="124">
        <f t="shared" si="28"/>
        <v>12789896.09</v>
      </c>
      <c r="T39" s="124">
        <v>12388712.888250001</v>
      </c>
      <c r="U39" s="143">
        <f>SUM(U9:U38)</f>
        <v>135911.20175000001</v>
      </c>
      <c r="V39" s="124"/>
      <c r="W39" s="124">
        <f t="shared" ref="W39" si="29">SUM(W9:W38)</f>
        <v>411374.07</v>
      </c>
      <c r="X39" s="124">
        <v>411374.07</v>
      </c>
      <c r="Y39" s="112">
        <f t="shared" si="2"/>
        <v>0</v>
      </c>
      <c r="Z39" s="124"/>
      <c r="AA39" s="124"/>
      <c r="AB39" s="124"/>
      <c r="AC39" s="145"/>
    </row>
    <row r="40" spans="1:29" ht="18.75" customHeight="1">
      <c r="A40" s="108"/>
      <c r="B40" s="123"/>
      <c r="C40" s="123"/>
      <c r="D40" s="100"/>
      <c r="E40" s="113"/>
      <c r="F40" s="124"/>
      <c r="G40" s="124"/>
      <c r="H40" s="124"/>
      <c r="I40" s="124"/>
      <c r="J40" s="124"/>
      <c r="K40" s="124"/>
      <c r="L40" s="124"/>
      <c r="M40" s="124"/>
      <c r="N40" s="43"/>
      <c r="O40" s="43"/>
      <c r="P40" s="124"/>
      <c r="Q40" s="124"/>
      <c r="R40" s="124"/>
      <c r="S40" s="124"/>
      <c r="T40" s="124"/>
      <c r="U40" s="112">
        <f t="shared" si="1"/>
        <v>0</v>
      </c>
      <c r="V40" s="124"/>
      <c r="W40" s="124"/>
      <c r="X40" s="124"/>
      <c r="Y40" s="112">
        <f t="shared" si="2"/>
        <v>0</v>
      </c>
      <c r="Z40" s="124"/>
      <c r="AA40" s="124"/>
      <c r="AB40" s="124"/>
    </row>
    <row r="41" spans="1:29" ht="18.75" customHeight="1">
      <c r="A41" s="108"/>
      <c r="B41" s="883" t="s">
        <v>225</v>
      </c>
      <c r="C41" s="883"/>
      <c r="D41" s="100"/>
      <c r="E41" s="113"/>
      <c r="F41" s="112"/>
      <c r="G41" s="112"/>
      <c r="H41" s="112"/>
      <c r="I41" s="112"/>
      <c r="J41" s="112"/>
      <c r="K41" s="112"/>
      <c r="L41" s="112"/>
      <c r="M41" s="112"/>
      <c r="N41" s="43"/>
      <c r="O41" s="43"/>
      <c r="P41" s="112"/>
      <c r="Q41" s="112"/>
      <c r="R41" s="112"/>
      <c r="S41" s="112"/>
      <c r="T41" s="112"/>
      <c r="U41" s="112">
        <f t="shared" si="1"/>
        <v>0</v>
      </c>
      <c r="V41" s="112"/>
      <c r="W41" s="112"/>
      <c r="X41" s="112"/>
      <c r="Y41" s="112">
        <f t="shared" si="2"/>
        <v>0</v>
      </c>
      <c r="Z41" s="112"/>
      <c r="AA41" s="112"/>
      <c r="AB41" s="112"/>
    </row>
    <row r="42" spans="1:29" ht="18.75" customHeight="1">
      <c r="A42" s="108">
        <v>1</v>
      </c>
      <c r="B42" s="109" t="s">
        <v>403</v>
      </c>
      <c r="C42" s="110"/>
      <c r="D42" s="100" t="s">
        <v>404</v>
      </c>
      <c r="E42" s="108" t="s">
        <v>1266</v>
      </c>
      <c r="F42" s="112">
        <f>79039.64</f>
        <v>79039.64</v>
      </c>
      <c r="G42" s="112"/>
      <c r="H42" s="112">
        <f>F42*300%</f>
        <v>237118.92</v>
      </c>
      <c r="I42" s="112">
        <f>F42*7.5%</f>
        <v>5927.973</v>
      </c>
      <c r="J42" s="112">
        <v>80244.38</v>
      </c>
      <c r="K42" s="112">
        <f>F42*50%</f>
        <v>39519.82</v>
      </c>
      <c r="L42" s="112">
        <f>F42*350%</f>
        <v>276638.74</v>
      </c>
      <c r="M42" s="112">
        <f t="shared" ref="M42" si="30">F42*100%</f>
        <v>79039.64</v>
      </c>
      <c r="N42" s="43"/>
      <c r="O42" s="43">
        <f>100000</f>
        <v>100000</v>
      </c>
      <c r="P42" s="112">
        <f t="shared" ref="P42" si="31">F42*10%</f>
        <v>7903.9639999999999</v>
      </c>
      <c r="Q42" s="112">
        <v>20000</v>
      </c>
      <c r="R42" s="112"/>
      <c r="S42" s="112">
        <f>SUM(F42:R42)</f>
        <v>925433.07700000005</v>
      </c>
      <c r="T42" s="112">
        <v>900657.45750000002</v>
      </c>
      <c r="U42" s="112">
        <f t="shared" si="1"/>
        <v>24775.619500000001</v>
      </c>
      <c r="V42" s="112"/>
      <c r="W42" s="112">
        <f>(52776.63)</f>
        <v>52776.63</v>
      </c>
      <c r="X42" s="112">
        <v>52776.63</v>
      </c>
      <c r="Y42" s="112">
        <f t="shared" si="2"/>
        <v>0</v>
      </c>
      <c r="Z42" s="112"/>
      <c r="AA42" s="112"/>
      <c r="AB42" s="112"/>
    </row>
    <row r="43" spans="1:29" ht="19.5" customHeight="1">
      <c r="A43" s="108"/>
      <c r="B43" s="125"/>
      <c r="C43" s="126" t="s">
        <v>42</v>
      </c>
      <c r="D43" s="103">
        <v>1</v>
      </c>
      <c r="E43" s="108"/>
      <c r="F43" s="124">
        <f t="shared" ref="F43:M43" si="32">SUM(F42:F42)</f>
        <v>79039.64</v>
      </c>
      <c r="G43" s="124">
        <f t="shared" si="32"/>
        <v>0</v>
      </c>
      <c r="H43" s="124">
        <f t="shared" si="32"/>
        <v>237118.92</v>
      </c>
      <c r="I43" s="124">
        <f t="shared" si="32"/>
        <v>5927.973</v>
      </c>
      <c r="J43" s="124">
        <f t="shared" si="32"/>
        <v>80244.38</v>
      </c>
      <c r="K43" s="124">
        <f t="shared" si="32"/>
        <v>39519.82</v>
      </c>
      <c r="L43" s="124">
        <f t="shared" si="32"/>
        <v>276638.74</v>
      </c>
      <c r="M43" s="124">
        <f t="shared" si="32"/>
        <v>79039.64</v>
      </c>
      <c r="N43" s="136"/>
      <c r="O43" s="136">
        <f>SUM(O42:O42)</f>
        <v>100000</v>
      </c>
      <c r="P43" s="124">
        <f>SUM(P42:P42)</f>
        <v>7903.9639999999999</v>
      </c>
      <c r="Q43" s="124">
        <f>SUM(Q42:Q42)</f>
        <v>20000</v>
      </c>
      <c r="R43" s="124">
        <f>SUM(R42:R42)</f>
        <v>0</v>
      </c>
      <c r="S43" s="124">
        <f>SUM(S42:S42)</f>
        <v>925433.07700000005</v>
      </c>
      <c r="T43" s="124">
        <v>900657.45750000002</v>
      </c>
      <c r="U43" s="143">
        <f t="shared" si="1"/>
        <v>24775.619500000001</v>
      </c>
      <c r="V43" s="124"/>
      <c r="W43" s="124">
        <f>SUM(W42:W42)</f>
        <v>52776.63</v>
      </c>
      <c r="X43" s="124">
        <v>52776.63</v>
      </c>
      <c r="Y43" s="112">
        <f t="shared" si="2"/>
        <v>0</v>
      </c>
      <c r="Z43" s="124"/>
      <c r="AA43" s="124"/>
      <c r="AB43" s="124"/>
    </row>
    <row r="44" spans="1:29" ht="20.100000000000001" customHeight="1">
      <c r="A44" s="108"/>
      <c r="B44" s="884"/>
      <c r="C44" s="885"/>
      <c r="D44" s="100"/>
      <c r="E44" s="108"/>
      <c r="F44" s="124"/>
      <c r="G44" s="124"/>
      <c r="H44" s="124"/>
      <c r="I44" s="124"/>
      <c r="J44" s="124"/>
      <c r="K44" s="124"/>
      <c r="L44" s="124"/>
      <c r="M44" s="124"/>
      <c r="N44" s="43"/>
      <c r="O44" s="43"/>
      <c r="P44" s="124"/>
      <c r="Q44" s="124"/>
      <c r="R44" s="124"/>
      <c r="S44" s="124"/>
      <c r="T44" s="124"/>
      <c r="U44" s="112">
        <f t="shared" si="1"/>
        <v>0</v>
      </c>
      <c r="V44" s="124"/>
      <c r="W44" s="124"/>
      <c r="X44" s="124"/>
      <c r="Y44" s="112">
        <f t="shared" si="2"/>
        <v>0</v>
      </c>
      <c r="Z44" s="112"/>
      <c r="AA44" s="112"/>
      <c r="AB44" s="112"/>
      <c r="AC44" s="94"/>
    </row>
    <row r="45" spans="1:29" ht="20.100000000000001" customHeight="1">
      <c r="A45" s="108"/>
      <c r="B45" s="886" t="s">
        <v>43</v>
      </c>
      <c r="C45" s="887"/>
      <c r="D45" s="127"/>
      <c r="E45" s="102"/>
      <c r="F45" s="124"/>
      <c r="G45" s="124"/>
      <c r="H45" s="124"/>
      <c r="I45" s="112"/>
      <c r="J45" s="112"/>
      <c r="K45" s="112"/>
      <c r="L45" s="112"/>
      <c r="M45" s="112"/>
      <c r="N45" s="43"/>
      <c r="O45" s="43"/>
      <c r="P45" s="112"/>
      <c r="Q45" s="112"/>
      <c r="R45" s="112"/>
      <c r="S45" s="112"/>
      <c r="T45" s="112"/>
      <c r="U45" s="112">
        <f t="shared" si="1"/>
        <v>0</v>
      </c>
      <c r="V45" s="112"/>
      <c r="W45" s="112"/>
      <c r="X45" s="112"/>
      <c r="Y45" s="112">
        <f t="shared" si="2"/>
        <v>0</v>
      </c>
      <c r="Z45" s="112"/>
      <c r="AA45" s="112"/>
      <c r="AB45" s="112"/>
    </row>
    <row r="46" spans="1:29" ht="20.100000000000001" customHeight="1">
      <c r="A46" s="108">
        <v>1</v>
      </c>
      <c r="B46" s="876" t="s">
        <v>410</v>
      </c>
      <c r="C46" s="877"/>
      <c r="D46" s="100" t="s">
        <v>411</v>
      </c>
      <c r="E46" s="108" t="s">
        <v>405</v>
      </c>
      <c r="F46" s="112">
        <f>81740.02</f>
        <v>81740.02</v>
      </c>
      <c r="G46" s="112"/>
      <c r="H46" s="112">
        <f>F46*300%</f>
        <v>245220.06</v>
      </c>
      <c r="I46" s="112">
        <f>F46*7.5%</f>
        <v>6130.5015000000003</v>
      </c>
      <c r="J46" s="112">
        <v>80244.38</v>
      </c>
      <c r="K46" s="112">
        <f>F46*50%</f>
        <v>40870.01</v>
      </c>
      <c r="L46" s="112">
        <f>F46*350%</f>
        <v>286090.07</v>
      </c>
      <c r="M46" s="112">
        <f t="shared" ref="M46:M55" si="33">F46*100%</f>
        <v>81740.02</v>
      </c>
      <c r="N46" s="43">
        <f>200000</f>
        <v>200000</v>
      </c>
      <c r="O46" s="43"/>
      <c r="P46" s="112">
        <f t="shared" ref="P46:P55" si="34">F46*10%</f>
        <v>8174.0020000000004</v>
      </c>
      <c r="Q46" s="112">
        <v>20000</v>
      </c>
      <c r="R46" s="112"/>
      <c r="S46" s="112">
        <f t="shared" ref="S46:S55" si="35">SUM(F46:R46)</f>
        <v>1050209.0634999999</v>
      </c>
      <c r="T46" s="112">
        <v>1050209.0634999999</v>
      </c>
      <c r="U46" s="112">
        <f t="shared" si="1"/>
        <v>0</v>
      </c>
      <c r="V46" s="112"/>
      <c r="W46" s="112">
        <f>52776.63</f>
        <v>52776.63</v>
      </c>
      <c r="X46" s="112">
        <v>52776.63</v>
      </c>
      <c r="Y46" s="112">
        <f t="shared" si="2"/>
        <v>0</v>
      </c>
      <c r="Z46" s="112"/>
      <c r="AA46" s="112"/>
      <c r="AB46" s="112"/>
    </row>
    <row r="47" spans="1:29" ht="20.100000000000001" customHeight="1">
      <c r="A47" s="108">
        <v>2</v>
      </c>
      <c r="B47" s="876" t="s">
        <v>412</v>
      </c>
      <c r="C47" s="877"/>
      <c r="D47" s="100" t="s">
        <v>413</v>
      </c>
      <c r="E47" s="108" t="s">
        <v>358</v>
      </c>
      <c r="F47" s="112">
        <f>33507.5</f>
        <v>33507.5</v>
      </c>
      <c r="G47" s="112"/>
      <c r="H47" s="112">
        <f>F47*300%</f>
        <v>100522.5</v>
      </c>
      <c r="I47" s="112">
        <f>F47*7.5%</f>
        <v>2513.0625</v>
      </c>
      <c r="J47" s="112">
        <v>40122.19</v>
      </c>
      <c r="K47" s="112">
        <f>F47*50%</f>
        <v>16753.75</v>
      </c>
      <c r="L47" s="112">
        <f>F47*350%</f>
        <v>117276.25</v>
      </c>
      <c r="M47" s="112">
        <f t="shared" si="33"/>
        <v>33507.5</v>
      </c>
      <c r="N47" s="43">
        <f>160000</f>
        <v>160000</v>
      </c>
      <c r="O47" s="43"/>
      <c r="P47" s="112">
        <f t="shared" si="34"/>
        <v>3350.75</v>
      </c>
      <c r="Q47" s="112">
        <v>20000</v>
      </c>
      <c r="R47" s="112">
        <v>0</v>
      </c>
      <c r="S47" s="112">
        <f t="shared" si="35"/>
        <v>527553.50249999994</v>
      </c>
      <c r="T47" s="112">
        <v>527553.50249999994</v>
      </c>
      <c r="U47" s="112">
        <f t="shared" si="1"/>
        <v>0</v>
      </c>
      <c r="V47" s="112"/>
      <c r="W47" s="112">
        <v>15548.33</v>
      </c>
      <c r="X47" s="112">
        <v>15548.33</v>
      </c>
      <c r="Y47" s="112">
        <f t="shared" si="2"/>
        <v>0</v>
      </c>
      <c r="Z47" s="112"/>
      <c r="AA47" s="112"/>
      <c r="AB47" s="112"/>
    </row>
    <row r="48" spans="1:29" ht="20.100000000000001" customHeight="1">
      <c r="A48" s="108">
        <v>3</v>
      </c>
      <c r="B48" s="876" t="s">
        <v>414</v>
      </c>
      <c r="C48" s="877"/>
      <c r="D48" s="100" t="s">
        <v>418</v>
      </c>
      <c r="E48" s="108" t="s">
        <v>358</v>
      </c>
      <c r="F48" s="112">
        <f>33507.5</f>
        <v>33507.5</v>
      </c>
      <c r="G48" s="112"/>
      <c r="H48" s="112">
        <f>F48*300%</f>
        <v>100522.5</v>
      </c>
      <c r="I48" s="112">
        <f>F48*7.5%</f>
        <v>2513.0625</v>
      </c>
      <c r="J48" s="112">
        <v>40122.19</v>
      </c>
      <c r="K48" s="112">
        <f>F48*50%</f>
        <v>16753.75</v>
      </c>
      <c r="L48" s="112">
        <f>F48*350%</f>
        <v>117276.25</v>
      </c>
      <c r="M48" s="112">
        <f t="shared" si="33"/>
        <v>33507.5</v>
      </c>
      <c r="N48" s="43">
        <f>160000</f>
        <v>160000</v>
      </c>
      <c r="O48" s="43"/>
      <c r="P48" s="112">
        <f t="shared" si="34"/>
        <v>3350.75</v>
      </c>
      <c r="Q48" s="112">
        <v>20000</v>
      </c>
      <c r="R48" s="112"/>
      <c r="S48" s="112">
        <f t="shared" si="35"/>
        <v>527553.50249999994</v>
      </c>
      <c r="T48" s="112">
        <v>527553.50249999994</v>
      </c>
      <c r="U48" s="112">
        <f t="shared" si="1"/>
        <v>0</v>
      </c>
      <c r="V48" s="112"/>
      <c r="W48" s="112">
        <v>15548.33</v>
      </c>
      <c r="X48" s="112">
        <v>15548.33</v>
      </c>
      <c r="Y48" s="112">
        <f t="shared" si="2"/>
        <v>0</v>
      </c>
      <c r="Z48" s="112"/>
      <c r="AA48" s="112"/>
      <c r="AB48" s="112"/>
    </row>
    <row r="49" spans="1:28" ht="20.100000000000001" customHeight="1">
      <c r="A49" s="108">
        <v>4</v>
      </c>
      <c r="B49" s="876" t="s">
        <v>417</v>
      </c>
      <c r="C49" s="877"/>
      <c r="D49" s="100" t="s">
        <v>418</v>
      </c>
      <c r="E49" s="108" t="s">
        <v>435</v>
      </c>
      <c r="F49" s="112">
        <f>32263.2</f>
        <v>32263.200000000001</v>
      </c>
      <c r="G49" s="112"/>
      <c r="H49" s="112">
        <f>F49*300%</f>
        <v>96789.6</v>
      </c>
      <c r="I49" s="112">
        <f>F49*7.5%</f>
        <v>2419.7399999999998</v>
      </c>
      <c r="J49" s="112">
        <v>40122.19</v>
      </c>
      <c r="K49" s="112">
        <f>F49*50%</f>
        <v>16131.6</v>
      </c>
      <c r="L49" s="112">
        <f>F49*350%</f>
        <v>112921.2</v>
      </c>
      <c r="M49" s="112">
        <f t="shared" si="33"/>
        <v>32263.200000000001</v>
      </c>
      <c r="N49" s="43">
        <f>160000</f>
        <v>160000</v>
      </c>
      <c r="O49" s="43"/>
      <c r="P49" s="112">
        <f t="shared" si="34"/>
        <v>3226.32</v>
      </c>
      <c r="Q49" s="112">
        <v>20000</v>
      </c>
      <c r="R49" s="112"/>
      <c r="S49" s="112">
        <f t="shared" si="35"/>
        <v>516137.05</v>
      </c>
      <c r="T49" s="112">
        <v>504720.04700000002</v>
      </c>
      <c r="U49" s="112">
        <f t="shared" si="1"/>
        <v>11417.003000000001</v>
      </c>
      <c r="V49" s="112"/>
      <c r="W49" s="112">
        <f>15548.33</f>
        <v>15548.33</v>
      </c>
      <c r="X49" s="112">
        <v>15548.33</v>
      </c>
      <c r="Y49" s="112">
        <f t="shared" si="2"/>
        <v>0</v>
      </c>
      <c r="Z49" s="112"/>
      <c r="AA49" s="112"/>
      <c r="AB49" s="112"/>
    </row>
    <row r="50" spans="1:28" ht="20.100000000000001" customHeight="1">
      <c r="A50" s="108">
        <v>5</v>
      </c>
      <c r="B50" s="876" t="s">
        <v>419</v>
      </c>
      <c r="C50" s="877"/>
      <c r="D50" s="100" t="s">
        <v>368</v>
      </c>
      <c r="E50" s="108" t="s">
        <v>363</v>
      </c>
      <c r="F50" s="112">
        <f>28489.81</f>
        <v>28489.81</v>
      </c>
      <c r="G50" s="112"/>
      <c r="H50" s="112">
        <f t="shared" ref="H50:H55" si="36">F50*300%</f>
        <v>85469.43</v>
      </c>
      <c r="I50" s="112">
        <f t="shared" ref="I50:I55" si="37">F50*7.5%</f>
        <v>2136.7357499999998</v>
      </c>
      <c r="J50" s="112">
        <v>0</v>
      </c>
      <c r="K50" s="112">
        <f t="shared" ref="K50:K55" si="38">F50*50%</f>
        <v>14244.905000000001</v>
      </c>
      <c r="L50" s="112">
        <f t="shared" ref="L50:L55" si="39">F50*350%</f>
        <v>99714.335000000006</v>
      </c>
      <c r="M50" s="112">
        <f t="shared" si="33"/>
        <v>28489.81</v>
      </c>
      <c r="N50" s="43">
        <f t="shared" ref="N50:N52" si="40">140000</f>
        <v>140000</v>
      </c>
      <c r="O50" s="43"/>
      <c r="P50" s="112">
        <f t="shared" si="34"/>
        <v>2848.9810000000002</v>
      </c>
      <c r="Q50" s="112">
        <v>20000</v>
      </c>
      <c r="R50" s="112">
        <v>0</v>
      </c>
      <c r="S50" s="112">
        <f t="shared" si="35"/>
        <v>421394.00675</v>
      </c>
      <c r="T50" s="112">
        <v>421394.00675</v>
      </c>
      <c r="U50" s="112">
        <f t="shared" si="1"/>
        <v>0</v>
      </c>
      <c r="V50" s="112"/>
      <c r="W50" s="112">
        <v>7709.76</v>
      </c>
      <c r="X50" s="112">
        <v>7709.76</v>
      </c>
      <c r="Y50" s="112">
        <f t="shared" si="2"/>
        <v>0</v>
      </c>
      <c r="Z50" s="112"/>
      <c r="AA50" s="112"/>
      <c r="AB50" s="112"/>
    </row>
    <row r="51" spans="1:28" ht="20.100000000000001" customHeight="1">
      <c r="A51" s="108">
        <v>6</v>
      </c>
      <c r="B51" s="876" t="s">
        <v>420</v>
      </c>
      <c r="C51" s="877"/>
      <c r="D51" s="100" t="s">
        <v>368</v>
      </c>
      <c r="E51" s="108" t="s">
        <v>450</v>
      </c>
      <c r="F51" s="112">
        <f>26732.65</f>
        <v>26732.65</v>
      </c>
      <c r="G51" s="112"/>
      <c r="H51" s="112">
        <f t="shared" si="36"/>
        <v>80197.95</v>
      </c>
      <c r="I51" s="112">
        <f t="shared" si="37"/>
        <v>2004.94875</v>
      </c>
      <c r="J51" s="112"/>
      <c r="K51" s="112">
        <f t="shared" si="38"/>
        <v>13366.325000000001</v>
      </c>
      <c r="L51" s="112">
        <f t="shared" si="39"/>
        <v>93564.274999999994</v>
      </c>
      <c r="M51" s="112">
        <f t="shared" si="33"/>
        <v>26732.65</v>
      </c>
      <c r="N51" s="43">
        <f t="shared" si="40"/>
        <v>140000</v>
      </c>
      <c r="O51" s="43"/>
      <c r="P51" s="112">
        <f t="shared" si="34"/>
        <v>2673.2649999999999</v>
      </c>
      <c r="Q51" s="112">
        <v>20000</v>
      </c>
      <c r="R51" s="112"/>
      <c r="S51" s="112">
        <f t="shared" si="35"/>
        <v>405272.06374999997</v>
      </c>
      <c r="T51" s="112">
        <v>397211.36749999999</v>
      </c>
      <c r="U51" s="112">
        <f t="shared" si="1"/>
        <v>8060.69624999998</v>
      </c>
      <c r="V51" s="112"/>
      <c r="W51" s="112">
        <v>7709.76</v>
      </c>
      <c r="X51" s="112">
        <v>7709.76</v>
      </c>
      <c r="Y51" s="112">
        <f t="shared" si="2"/>
        <v>0</v>
      </c>
      <c r="Z51" s="112"/>
      <c r="AA51" s="112"/>
      <c r="AB51" s="112"/>
    </row>
    <row r="52" spans="1:28" ht="20.100000000000001" customHeight="1">
      <c r="A52" s="108">
        <v>7</v>
      </c>
      <c r="B52" s="888" t="s">
        <v>421</v>
      </c>
      <c r="C52" s="889"/>
      <c r="D52" s="100" t="s">
        <v>365</v>
      </c>
      <c r="E52" s="15" t="s">
        <v>450</v>
      </c>
      <c r="F52" s="72">
        <f>26732.65</f>
        <v>26732.65</v>
      </c>
      <c r="G52" s="72"/>
      <c r="H52" s="72">
        <f t="shared" si="36"/>
        <v>80197.95</v>
      </c>
      <c r="I52" s="72">
        <f t="shared" si="37"/>
        <v>2004.94875</v>
      </c>
      <c r="J52" s="72"/>
      <c r="K52" s="72">
        <f t="shared" si="38"/>
        <v>13366.325000000001</v>
      </c>
      <c r="L52" s="72">
        <f t="shared" si="39"/>
        <v>93564.274999999994</v>
      </c>
      <c r="M52" s="72">
        <f t="shared" si="33"/>
        <v>26732.65</v>
      </c>
      <c r="N52" s="43">
        <f t="shared" si="40"/>
        <v>140000</v>
      </c>
      <c r="O52" s="43"/>
      <c r="P52" s="72">
        <f t="shared" si="34"/>
        <v>2673.2649999999999</v>
      </c>
      <c r="Q52" s="72">
        <v>20000</v>
      </c>
      <c r="R52" s="72"/>
      <c r="S52" s="112">
        <f t="shared" si="35"/>
        <v>405272.06374999997</v>
      </c>
      <c r="T52" s="112">
        <v>397211.36749999999</v>
      </c>
      <c r="U52" s="112">
        <f t="shared" si="1"/>
        <v>8060.69624999998</v>
      </c>
      <c r="V52" s="72"/>
      <c r="W52" s="72">
        <v>7709.76</v>
      </c>
      <c r="X52" s="72">
        <v>7709.76</v>
      </c>
      <c r="Y52" s="112">
        <f t="shared" si="2"/>
        <v>0</v>
      </c>
      <c r="Z52" s="112"/>
      <c r="AA52" s="112"/>
      <c r="AB52" s="112"/>
    </row>
    <row r="53" spans="1:28" ht="20.100000000000001" customHeight="1">
      <c r="A53" s="108">
        <v>8</v>
      </c>
      <c r="B53" s="876" t="s">
        <v>1125</v>
      </c>
      <c r="C53" s="877"/>
      <c r="D53" s="100" t="s">
        <v>231</v>
      </c>
      <c r="E53" s="108" t="s">
        <v>375</v>
      </c>
      <c r="F53" s="112">
        <f>25523.45</f>
        <v>25523.45</v>
      </c>
      <c r="G53" s="112"/>
      <c r="H53" s="112">
        <f t="shared" si="36"/>
        <v>76570.350000000006</v>
      </c>
      <c r="I53" s="112">
        <f t="shared" si="37"/>
        <v>1914.25875</v>
      </c>
      <c r="J53" s="112">
        <v>0</v>
      </c>
      <c r="K53" s="112">
        <f t="shared" si="38"/>
        <v>12761.725</v>
      </c>
      <c r="L53" s="112">
        <f t="shared" si="39"/>
        <v>89332.074999999997</v>
      </c>
      <c r="M53" s="112">
        <f t="shared" si="33"/>
        <v>25523.45</v>
      </c>
      <c r="N53" s="43">
        <f>120000</f>
        <v>120000</v>
      </c>
      <c r="O53" s="43"/>
      <c r="P53" s="112">
        <f t="shared" si="34"/>
        <v>2552.3449999999998</v>
      </c>
      <c r="Q53" s="112">
        <v>15000</v>
      </c>
      <c r="R53" s="112">
        <v>0</v>
      </c>
      <c r="S53" s="112">
        <f t="shared" si="35"/>
        <v>369177.65375</v>
      </c>
      <c r="T53" s="112">
        <v>362001.06050000002</v>
      </c>
      <c r="U53" s="112">
        <f t="shared" si="1"/>
        <v>7176.5932499999799</v>
      </c>
      <c r="V53" s="112"/>
      <c r="W53" s="112">
        <v>7709.76</v>
      </c>
      <c r="X53" s="112">
        <v>7709.76</v>
      </c>
      <c r="Y53" s="112">
        <f t="shared" si="2"/>
        <v>0</v>
      </c>
      <c r="Z53" s="112"/>
      <c r="AA53" s="112"/>
      <c r="AB53" s="112"/>
    </row>
    <row r="54" spans="1:28" ht="20.100000000000001" customHeight="1">
      <c r="A54" s="108">
        <v>9</v>
      </c>
      <c r="B54" s="890" t="s">
        <v>1306</v>
      </c>
      <c r="C54" s="891"/>
      <c r="D54" s="128" t="s">
        <v>365</v>
      </c>
      <c r="E54" s="129" t="s">
        <v>369</v>
      </c>
      <c r="F54" s="130">
        <f>25854.1</f>
        <v>25854.1</v>
      </c>
      <c r="G54" s="130"/>
      <c r="H54" s="130">
        <f t="shared" si="36"/>
        <v>77562.3</v>
      </c>
      <c r="I54" s="130">
        <f t="shared" si="37"/>
        <v>1939.0574999999999</v>
      </c>
      <c r="J54" s="130">
        <v>0</v>
      </c>
      <c r="K54" s="130">
        <f t="shared" si="38"/>
        <v>12927.05</v>
      </c>
      <c r="L54" s="130">
        <f t="shared" si="39"/>
        <v>90489.35</v>
      </c>
      <c r="M54" s="130">
        <f t="shared" si="33"/>
        <v>25854.1</v>
      </c>
      <c r="N54" s="137">
        <v>140000</v>
      </c>
      <c r="O54" s="137"/>
      <c r="P54" s="130">
        <f t="shared" si="34"/>
        <v>2585.41</v>
      </c>
      <c r="Q54" s="130">
        <v>20000</v>
      </c>
      <c r="R54" s="130">
        <v>0</v>
      </c>
      <c r="S54" s="130">
        <f t="shared" si="35"/>
        <v>397211.36749999999</v>
      </c>
      <c r="T54" s="130">
        <v>397211.36749999999</v>
      </c>
      <c r="U54" s="112">
        <f t="shared" si="1"/>
        <v>0</v>
      </c>
      <c r="V54" s="130"/>
      <c r="W54" s="130">
        <v>7709.76</v>
      </c>
      <c r="X54" s="130">
        <v>7709.76</v>
      </c>
      <c r="Y54" s="112">
        <f t="shared" si="2"/>
        <v>0</v>
      </c>
      <c r="Z54" s="112"/>
      <c r="AA54" s="112"/>
      <c r="AB54" s="112"/>
    </row>
    <row r="55" spans="1:28" ht="20.100000000000001" customHeight="1">
      <c r="A55" s="108">
        <v>10</v>
      </c>
      <c r="B55" s="880" t="s">
        <v>367</v>
      </c>
      <c r="C55" s="881"/>
      <c r="D55" s="100" t="s">
        <v>461</v>
      </c>
      <c r="E55" s="9" t="s">
        <v>1052</v>
      </c>
      <c r="F55" s="72">
        <f>24741.26</f>
        <v>24741.26</v>
      </c>
      <c r="G55" s="112"/>
      <c r="H55" s="72">
        <f t="shared" si="36"/>
        <v>74223.78</v>
      </c>
      <c r="I55" s="72">
        <f t="shared" si="37"/>
        <v>1855.5944999999999</v>
      </c>
      <c r="J55" s="72"/>
      <c r="K55" s="72">
        <f t="shared" si="38"/>
        <v>12370.63</v>
      </c>
      <c r="L55" s="72">
        <f t="shared" si="39"/>
        <v>86594.41</v>
      </c>
      <c r="M55" s="72">
        <f t="shared" si="33"/>
        <v>24741.26</v>
      </c>
      <c r="N55" s="43">
        <f t="shared" ref="N55" si="41">120000</f>
        <v>120000</v>
      </c>
      <c r="O55" s="43"/>
      <c r="P55" s="72">
        <f t="shared" si="34"/>
        <v>2474.1260000000002</v>
      </c>
      <c r="Q55" s="72">
        <v>15000</v>
      </c>
      <c r="R55" s="72"/>
      <c r="S55" s="112">
        <f t="shared" si="35"/>
        <v>362001.06050000002</v>
      </c>
      <c r="T55" s="112">
        <v>354201.02600000001</v>
      </c>
      <c r="U55" s="112">
        <f t="shared" si="1"/>
        <v>7800.0344999999497</v>
      </c>
      <c r="V55" s="72"/>
      <c r="W55" s="72">
        <f>7709.76</f>
        <v>7709.76</v>
      </c>
      <c r="X55" s="72">
        <v>7709.76</v>
      </c>
      <c r="Y55" s="112">
        <f t="shared" si="2"/>
        <v>0</v>
      </c>
      <c r="Z55" s="112"/>
      <c r="AA55" s="112"/>
      <c r="AB55" s="112"/>
    </row>
    <row r="56" spans="1:28" ht="20.100000000000001" customHeight="1">
      <c r="A56" s="108"/>
      <c r="B56" s="892" t="s">
        <v>42</v>
      </c>
      <c r="C56" s="893"/>
      <c r="D56" s="20">
        <v>10</v>
      </c>
      <c r="E56" s="20"/>
      <c r="F56" s="80">
        <f t="shared" ref="F56:N56" si="42">SUM(F46:F55)</f>
        <v>339092.14</v>
      </c>
      <c r="G56" s="80">
        <f t="shared" si="42"/>
        <v>0</v>
      </c>
      <c r="H56" s="80">
        <f t="shared" si="42"/>
        <v>1017276.42</v>
      </c>
      <c r="I56" s="80">
        <f t="shared" si="42"/>
        <v>25431.910500000002</v>
      </c>
      <c r="J56" s="80">
        <f t="shared" si="42"/>
        <v>200610.95</v>
      </c>
      <c r="K56" s="80">
        <f t="shared" si="42"/>
        <v>169546.07</v>
      </c>
      <c r="L56" s="80">
        <f t="shared" si="42"/>
        <v>1186822.49</v>
      </c>
      <c r="M56" s="80">
        <f t="shared" si="42"/>
        <v>339092.14</v>
      </c>
      <c r="N56" s="136">
        <f t="shared" si="42"/>
        <v>1480000</v>
      </c>
      <c r="O56" s="136"/>
      <c r="P56" s="80">
        <f>SUM(P46:P55)</f>
        <v>33909.214</v>
      </c>
      <c r="Q56" s="80">
        <f>SUM(Q46:Q55)</f>
        <v>190000</v>
      </c>
      <c r="R56" s="80">
        <f>SUM(R46:R55)</f>
        <v>0</v>
      </c>
      <c r="S56" s="80">
        <f>SUM(S46:S55)</f>
        <v>4981781.3344999999</v>
      </c>
      <c r="T56" s="80">
        <v>4939266.3112500003</v>
      </c>
      <c r="U56" s="143">
        <f t="shared" si="1"/>
        <v>42515.023249998703</v>
      </c>
      <c r="V56" s="80"/>
      <c r="W56" s="80">
        <f>SUM(W46:W55)</f>
        <v>145680.18</v>
      </c>
      <c r="X56" s="80">
        <v>145680.18</v>
      </c>
      <c r="Y56" s="112">
        <f t="shared" si="2"/>
        <v>0</v>
      </c>
      <c r="Z56" s="80"/>
      <c r="AA56" s="80"/>
      <c r="AB56" s="80"/>
    </row>
    <row r="57" spans="1:28" ht="20.100000000000001" customHeight="1">
      <c r="A57" s="108"/>
      <c r="B57" s="133"/>
      <c r="C57" s="133"/>
      <c r="D57" s="20"/>
      <c r="E57" s="20"/>
      <c r="F57" s="134"/>
      <c r="G57" s="134"/>
      <c r="H57" s="134"/>
      <c r="I57" s="134"/>
      <c r="J57" s="134"/>
      <c r="K57" s="134"/>
      <c r="L57" s="134"/>
      <c r="M57" s="134"/>
      <c r="N57" s="43"/>
      <c r="O57" s="43"/>
      <c r="P57" s="134"/>
      <c r="Q57" s="134"/>
      <c r="R57" s="134"/>
      <c r="S57" s="134"/>
      <c r="T57" s="134"/>
      <c r="U57" s="112">
        <f t="shared" si="1"/>
        <v>0</v>
      </c>
      <c r="V57" s="134"/>
      <c r="W57" s="134"/>
      <c r="X57" s="134"/>
      <c r="Y57" s="112">
        <f t="shared" si="2"/>
        <v>0</v>
      </c>
      <c r="Z57" s="134"/>
      <c r="AA57" s="134"/>
      <c r="AB57" s="134"/>
    </row>
    <row r="58" spans="1:28" ht="20.100000000000001" customHeight="1">
      <c r="A58" s="108"/>
      <c r="B58" s="892" t="s">
        <v>426</v>
      </c>
      <c r="C58" s="893"/>
      <c r="D58" s="20"/>
      <c r="E58" s="20"/>
      <c r="F58" s="134"/>
      <c r="G58" s="134"/>
      <c r="H58" s="134"/>
      <c r="I58" s="134"/>
      <c r="J58" s="134"/>
      <c r="K58" s="134"/>
      <c r="L58" s="134"/>
      <c r="M58" s="134"/>
      <c r="N58" s="43"/>
      <c r="O58" s="43"/>
      <c r="P58" s="134"/>
      <c r="Q58" s="134"/>
      <c r="R58" s="134"/>
      <c r="S58" s="134"/>
      <c r="T58" s="134"/>
      <c r="U58" s="112">
        <f t="shared" si="1"/>
        <v>0</v>
      </c>
      <c r="V58" s="134"/>
      <c r="W58" s="134"/>
      <c r="X58" s="134"/>
      <c r="Y58" s="112">
        <f t="shared" si="2"/>
        <v>0</v>
      </c>
      <c r="Z58" s="134"/>
      <c r="AA58" s="134"/>
      <c r="AB58" s="134"/>
    </row>
    <row r="59" spans="1:28" ht="20.100000000000001" customHeight="1">
      <c r="A59" s="108">
        <v>1</v>
      </c>
      <c r="B59" s="876" t="s">
        <v>427</v>
      </c>
      <c r="C59" s="877"/>
      <c r="D59" s="111" t="s">
        <v>428</v>
      </c>
      <c r="E59" s="113" t="s">
        <v>405</v>
      </c>
      <c r="F59" s="112">
        <f>81740.02</f>
        <v>81740.02</v>
      </c>
      <c r="G59" s="112"/>
      <c r="H59" s="112">
        <f>F59*300%</f>
        <v>245220.06</v>
      </c>
      <c r="I59" s="112">
        <f>F59*7.5%</f>
        <v>6130.5015000000003</v>
      </c>
      <c r="J59" s="112">
        <v>80244.38</v>
      </c>
      <c r="K59" s="112">
        <f>F59*50%</f>
        <v>40870.01</v>
      </c>
      <c r="L59" s="112">
        <f>F59*350%</f>
        <v>286090.07</v>
      </c>
      <c r="M59" s="112">
        <f>F59*100%</f>
        <v>81740.02</v>
      </c>
      <c r="N59" s="43">
        <f>200000</f>
        <v>200000</v>
      </c>
      <c r="O59" s="43"/>
      <c r="P59" s="112">
        <f>F59*10%</f>
        <v>8174.0020000000004</v>
      </c>
      <c r="Q59" s="112">
        <v>20000</v>
      </c>
      <c r="R59" s="112">
        <v>0</v>
      </c>
      <c r="S59" s="112">
        <f>SUM(F59:R59)</f>
        <v>1050209.0634999999</v>
      </c>
      <c r="T59" s="112">
        <v>1050209.0634999999</v>
      </c>
      <c r="U59" s="112">
        <f t="shared" si="1"/>
        <v>0</v>
      </c>
      <c r="V59" s="112"/>
      <c r="W59" s="112">
        <v>52776.63</v>
      </c>
      <c r="X59" s="112">
        <v>52776.63</v>
      </c>
      <c r="Y59" s="112">
        <f t="shared" si="2"/>
        <v>0</v>
      </c>
      <c r="Z59" s="112"/>
      <c r="AA59" s="112"/>
      <c r="AB59" s="112"/>
    </row>
    <row r="60" spans="1:28" ht="20.100000000000001" customHeight="1">
      <c r="A60" s="108">
        <v>2</v>
      </c>
      <c r="B60" s="109" t="s">
        <v>429</v>
      </c>
      <c r="C60" s="110"/>
      <c r="D60" s="111" t="s">
        <v>430</v>
      </c>
      <c r="E60" s="113" t="s">
        <v>332</v>
      </c>
      <c r="F60" s="112">
        <f>32263.2</f>
        <v>32263.200000000001</v>
      </c>
      <c r="G60" s="112"/>
      <c r="H60" s="112">
        <f t="shared" ref="H60" si="43">F60*300%</f>
        <v>96789.6</v>
      </c>
      <c r="I60" s="112">
        <f t="shared" ref="I60" si="44">F60*7.5%</f>
        <v>2419.7399999999998</v>
      </c>
      <c r="J60" s="112">
        <v>40122.19</v>
      </c>
      <c r="K60" s="112">
        <f t="shared" ref="K60" si="45">F60*50%</f>
        <v>16131.6</v>
      </c>
      <c r="L60" s="112">
        <f t="shared" ref="L60" si="46">F60*350%</f>
        <v>112921.2</v>
      </c>
      <c r="M60" s="112">
        <f t="shared" ref="M60" si="47">F60*100%</f>
        <v>32263.200000000001</v>
      </c>
      <c r="N60" s="43"/>
      <c r="O60" s="43">
        <f>80000</f>
        <v>80000</v>
      </c>
      <c r="P60" s="112">
        <f t="shared" ref="P60" si="48">F60*10%</f>
        <v>3226.32</v>
      </c>
      <c r="Q60" s="112">
        <v>20000</v>
      </c>
      <c r="R60" s="142">
        <v>0</v>
      </c>
      <c r="S60" s="112">
        <f t="shared" ref="S60" si="49">SUM(F60:R60)</f>
        <v>436137.05</v>
      </c>
      <c r="T60" s="112">
        <v>424720.04700000002</v>
      </c>
      <c r="U60" s="112">
        <f t="shared" si="1"/>
        <v>11417.003000000001</v>
      </c>
      <c r="V60" s="112"/>
      <c r="W60" s="112">
        <f>15548.33</f>
        <v>15548.33</v>
      </c>
      <c r="X60" s="112">
        <v>15548.33</v>
      </c>
      <c r="Y60" s="112">
        <f t="shared" si="2"/>
        <v>0</v>
      </c>
      <c r="Z60" s="112"/>
      <c r="AA60" s="112"/>
      <c r="AB60" s="112"/>
    </row>
    <row r="61" spans="1:28" ht="20.100000000000001" customHeight="1">
      <c r="A61" s="108"/>
      <c r="B61" s="892" t="s">
        <v>42</v>
      </c>
      <c r="C61" s="893"/>
      <c r="D61" s="20">
        <v>2</v>
      </c>
      <c r="E61" s="20"/>
      <c r="F61" s="80">
        <f>SUM(F59:F60)</f>
        <v>114003.22</v>
      </c>
      <c r="G61" s="80"/>
      <c r="H61" s="80">
        <f t="shared" ref="H61:S61" si="50">SUM(H59:H60)</f>
        <v>342009.66</v>
      </c>
      <c r="I61" s="80">
        <f t="shared" si="50"/>
        <v>8550.2415000000001</v>
      </c>
      <c r="J61" s="80">
        <f t="shared" si="50"/>
        <v>120366.57</v>
      </c>
      <c r="K61" s="80">
        <f t="shared" si="50"/>
        <v>57001.61</v>
      </c>
      <c r="L61" s="80">
        <f t="shared" si="50"/>
        <v>399011.27</v>
      </c>
      <c r="M61" s="80">
        <f t="shared" si="50"/>
        <v>114003.22</v>
      </c>
      <c r="N61" s="136">
        <f t="shared" si="50"/>
        <v>200000</v>
      </c>
      <c r="O61" s="136">
        <f t="shared" si="50"/>
        <v>80000</v>
      </c>
      <c r="P61" s="80">
        <f t="shared" si="50"/>
        <v>11400.322</v>
      </c>
      <c r="Q61" s="80">
        <f t="shared" si="50"/>
        <v>40000</v>
      </c>
      <c r="R61" s="80">
        <f t="shared" si="50"/>
        <v>0</v>
      </c>
      <c r="S61" s="80">
        <f t="shared" si="50"/>
        <v>1486346.1135</v>
      </c>
      <c r="T61" s="80">
        <v>1474929.1105</v>
      </c>
      <c r="U61" s="143">
        <f t="shared" si="1"/>
        <v>11417.003000000301</v>
      </c>
      <c r="V61" s="80"/>
      <c r="W61" s="80">
        <f>SUM(W59:W60)</f>
        <v>68324.960000000006</v>
      </c>
      <c r="X61" s="80">
        <v>68324.960000000006</v>
      </c>
      <c r="Y61" s="112">
        <f t="shared" si="2"/>
        <v>0</v>
      </c>
      <c r="Z61" s="80"/>
      <c r="AA61" s="80"/>
      <c r="AB61" s="80"/>
    </row>
    <row r="62" spans="1:28" ht="20.100000000000001" customHeight="1">
      <c r="A62" s="108"/>
      <c r="B62" s="892"/>
      <c r="C62" s="893"/>
      <c r="D62" s="20"/>
      <c r="E62" s="20"/>
      <c r="F62" s="134"/>
      <c r="G62" s="134"/>
      <c r="H62" s="134"/>
      <c r="I62" s="134"/>
      <c r="J62" s="134"/>
      <c r="K62" s="134"/>
      <c r="L62" s="134"/>
      <c r="M62" s="134"/>
      <c r="N62" s="43"/>
      <c r="O62" s="43"/>
      <c r="P62" s="134"/>
      <c r="Q62" s="134"/>
      <c r="R62" s="134"/>
      <c r="S62" s="134"/>
      <c r="T62" s="134"/>
      <c r="U62" s="112">
        <f t="shared" si="1"/>
        <v>0</v>
      </c>
      <c r="V62" s="134"/>
      <c r="W62" s="134"/>
      <c r="X62" s="134"/>
      <c r="Y62" s="112">
        <f t="shared" si="2"/>
        <v>0</v>
      </c>
      <c r="Z62" s="134"/>
      <c r="AA62" s="134"/>
      <c r="AB62" s="134"/>
    </row>
    <row r="63" spans="1:28" ht="20.100000000000001" customHeight="1">
      <c r="A63" s="108"/>
      <c r="B63" s="892" t="s">
        <v>1267</v>
      </c>
      <c r="C63" s="893"/>
      <c r="D63" s="20"/>
      <c r="E63" s="20"/>
      <c r="F63" s="134"/>
      <c r="G63" s="134"/>
      <c r="H63" s="134"/>
      <c r="I63" s="134"/>
      <c r="J63" s="134"/>
      <c r="K63" s="134"/>
      <c r="L63" s="134"/>
      <c r="M63" s="134"/>
      <c r="N63" s="43"/>
      <c r="O63" s="43"/>
      <c r="P63" s="134"/>
      <c r="Q63" s="134"/>
      <c r="R63" s="134"/>
      <c r="S63" s="134"/>
      <c r="T63" s="134"/>
      <c r="U63" s="112">
        <f t="shared" si="1"/>
        <v>0</v>
      </c>
      <c r="V63" s="134"/>
      <c r="W63" s="134"/>
      <c r="X63" s="134"/>
      <c r="Y63" s="112">
        <f t="shared" si="2"/>
        <v>0</v>
      </c>
      <c r="Z63" s="134"/>
      <c r="AA63" s="134"/>
      <c r="AB63" s="134"/>
    </row>
    <row r="64" spans="1:28" ht="20.100000000000001" customHeight="1">
      <c r="A64" s="108">
        <v>1</v>
      </c>
      <c r="B64" s="880" t="s">
        <v>431</v>
      </c>
      <c r="C64" s="881"/>
      <c r="D64" s="16" t="s">
        <v>432</v>
      </c>
      <c r="E64" s="9" t="s">
        <v>405</v>
      </c>
      <c r="F64" s="72">
        <f>81740.02</f>
        <v>81740.02</v>
      </c>
      <c r="G64" s="72"/>
      <c r="H64" s="72">
        <f t="shared" ref="H64:H75" si="51">F64*300%</f>
        <v>245220.06</v>
      </c>
      <c r="I64" s="72">
        <f t="shared" ref="I64:I75" si="52">F64*7.5%</f>
        <v>6130.5015000000003</v>
      </c>
      <c r="J64" s="112">
        <v>80244.38</v>
      </c>
      <c r="K64" s="72">
        <f t="shared" ref="K64:K75" si="53">F64*50%</f>
        <v>40870.01</v>
      </c>
      <c r="L64" s="72">
        <f t="shared" ref="L64:L75" si="54">F64*350%</f>
        <v>286090.07</v>
      </c>
      <c r="M64" s="72">
        <f t="shared" ref="M64:M75" si="55">F64*100%</f>
        <v>81740.02</v>
      </c>
      <c r="N64" s="43">
        <f>200000</f>
        <v>200000</v>
      </c>
      <c r="O64" s="43"/>
      <c r="P64" s="72">
        <f t="shared" ref="P64:P75" si="56">F64*10%</f>
        <v>8174.0020000000004</v>
      </c>
      <c r="Q64" s="72">
        <v>20000</v>
      </c>
      <c r="R64" s="72">
        <v>0</v>
      </c>
      <c r="S64" s="72">
        <v>1050209.0634999999</v>
      </c>
      <c r="T64" s="72">
        <v>1025433.077</v>
      </c>
      <c r="U64" s="112">
        <f t="shared" si="1"/>
        <v>24775.986499999901</v>
      </c>
      <c r="V64" s="72"/>
      <c r="W64" s="72">
        <f>52776.63</f>
        <v>52776.63</v>
      </c>
      <c r="X64" s="72">
        <v>52776.63</v>
      </c>
      <c r="Y64" s="112">
        <f t="shared" si="2"/>
        <v>0</v>
      </c>
      <c r="Z64" s="72"/>
      <c r="AA64" s="72"/>
      <c r="AB64" s="72"/>
    </row>
    <row r="65" spans="1:28" ht="20.100000000000001" customHeight="1">
      <c r="A65" s="108">
        <v>2</v>
      </c>
      <c r="B65" s="119" t="s">
        <v>433</v>
      </c>
      <c r="C65" s="120"/>
      <c r="D65" s="16" t="s">
        <v>434</v>
      </c>
      <c r="E65" s="113" t="s">
        <v>1054</v>
      </c>
      <c r="F65" s="112">
        <v>31018.84</v>
      </c>
      <c r="G65" s="112"/>
      <c r="H65" s="112">
        <f t="shared" si="51"/>
        <v>93056.52</v>
      </c>
      <c r="I65" s="112">
        <f t="shared" si="52"/>
        <v>2326.413</v>
      </c>
      <c r="J65" s="112">
        <v>40122.19</v>
      </c>
      <c r="K65" s="112">
        <f t="shared" si="53"/>
        <v>15509.42</v>
      </c>
      <c r="L65" s="112">
        <f t="shared" si="54"/>
        <v>108565.94</v>
      </c>
      <c r="M65" s="112">
        <f t="shared" si="55"/>
        <v>31018.84</v>
      </c>
      <c r="N65" s="43">
        <f>160000</f>
        <v>160000</v>
      </c>
      <c r="O65" s="43"/>
      <c r="P65" s="112">
        <f t="shared" si="56"/>
        <v>3101.884</v>
      </c>
      <c r="Q65" s="112">
        <v>20000</v>
      </c>
      <c r="R65" s="142">
        <v>0</v>
      </c>
      <c r="S65" s="112">
        <f t="shared" ref="S65:S75" si="57">SUM(F65:R65)</f>
        <v>504720.04700000002</v>
      </c>
      <c r="T65" s="112">
        <v>504720.04700000002</v>
      </c>
      <c r="U65" s="112">
        <f t="shared" si="1"/>
        <v>0</v>
      </c>
      <c r="V65" s="112"/>
      <c r="W65" s="112">
        <f>15548.33</f>
        <v>15548.33</v>
      </c>
      <c r="X65" s="112">
        <v>15548.33</v>
      </c>
      <c r="Y65" s="112">
        <f t="shared" si="2"/>
        <v>0</v>
      </c>
      <c r="Z65" s="72"/>
      <c r="AA65" s="112"/>
      <c r="AB65" s="112"/>
    </row>
    <row r="66" spans="1:28" ht="20.100000000000001" customHeight="1">
      <c r="A66" s="108">
        <v>3</v>
      </c>
      <c r="B66" s="880" t="s">
        <v>1307</v>
      </c>
      <c r="C66" s="881"/>
      <c r="D66" s="3" t="s">
        <v>461</v>
      </c>
      <c r="E66" s="9" t="s">
        <v>372</v>
      </c>
      <c r="F66" s="72">
        <f>26339.3</f>
        <v>26339.3</v>
      </c>
      <c r="G66" s="72"/>
      <c r="H66" s="72">
        <f t="shared" si="51"/>
        <v>79017.899999999994</v>
      </c>
      <c r="I66" s="72">
        <f t="shared" si="52"/>
        <v>1975.4475</v>
      </c>
      <c r="J66" s="72"/>
      <c r="K66" s="72">
        <f t="shared" si="53"/>
        <v>13169.65</v>
      </c>
      <c r="L66" s="72">
        <f t="shared" si="54"/>
        <v>92187.55</v>
      </c>
      <c r="M66" s="72">
        <f t="shared" si="55"/>
        <v>26339.3</v>
      </c>
      <c r="N66" s="43">
        <f t="shared" ref="N66:N68" si="58">120000</f>
        <v>120000</v>
      </c>
      <c r="O66" s="43"/>
      <c r="P66" s="72">
        <f t="shared" si="56"/>
        <v>2633.93</v>
      </c>
      <c r="Q66" s="72">
        <v>15000</v>
      </c>
      <c r="R66" s="72"/>
      <c r="S66" s="112">
        <f t="shared" si="57"/>
        <v>376663.07750000001</v>
      </c>
      <c r="T66" s="112">
        <v>369177.65375</v>
      </c>
      <c r="U66" s="112">
        <f t="shared" si="1"/>
        <v>7485.4237499999599</v>
      </c>
      <c r="V66" s="72"/>
      <c r="W66" s="72">
        <v>7709.76</v>
      </c>
      <c r="X66" s="72">
        <v>7709.76</v>
      </c>
      <c r="Y66" s="112">
        <f t="shared" si="2"/>
        <v>0</v>
      </c>
      <c r="Z66" s="72"/>
      <c r="AA66" s="112"/>
      <c r="AB66" s="112"/>
    </row>
    <row r="67" spans="1:28" ht="20.100000000000001" customHeight="1">
      <c r="A67" s="108">
        <v>4</v>
      </c>
      <c r="B67" s="880" t="s">
        <v>436</v>
      </c>
      <c r="C67" s="881"/>
      <c r="D67" s="100" t="s">
        <v>231</v>
      </c>
      <c r="E67" s="9" t="s">
        <v>1052</v>
      </c>
      <c r="F67" s="72">
        <f>24741.26</f>
        <v>24741.26</v>
      </c>
      <c r="G67" s="72"/>
      <c r="H67" s="72">
        <f t="shared" si="51"/>
        <v>74223.78</v>
      </c>
      <c r="I67" s="72">
        <f t="shared" si="52"/>
        <v>1855.5944999999999</v>
      </c>
      <c r="J67" s="72"/>
      <c r="K67" s="72">
        <f t="shared" si="53"/>
        <v>12370.63</v>
      </c>
      <c r="L67" s="72">
        <f t="shared" si="54"/>
        <v>86594.41</v>
      </c>
      <c r="M67" s="72">
        <f t="shared" si="55"/>
        <v>24741.26</v>
      </c>
      <c r="N67" s="43">
        <f t="shared" si="58"/>
        <v>120000</v>
      </c>
      <c r="O67" s="43"/>
      <c r="P67" s="72">
        <f t="shared" si="56"/>
        <v>2474.1260000000002</v>
      </c>
      <c r="Q67" s="72">
        <v>15000</v>
      </c>
      <c r="R67" s="72"/>
      <c r="S67" s="72">
        <f t="shared" si="57"/>
        <v>362001.06050000002</v>
      </c>
      <c r="T67" s="72">
        <v>354201.02600000001</v>
      </c>
      <c r="U67" s="112">
        <f t="shared" si="1"/>
        <v>7800.0344999999497</v>
      </c>
      <c r="V67" s="72"/>
      <c r="W67" s="72">
        <f>7709.76</f>
        <v>7709.76</v>
      </c>
      <c r="X67" s="72">
        <v>7709.76</v>
      </c>
      <c r="Y67" s="112">
        <f t="shared" si="2"/>
        <v>0</v>
      </c>
      <c r="Z67" s="72"/>
      <c r="AA67" s="72"/>
      <c r="AB67" s="72"/>
    </row>
    <row r="68" spans="1:28" ht="20.100000000000001" customHeight="1">
      <c r="A68" s="108">
        <v>5</v>
      </c>
      <c r="B68" s="119" t="s">
        <v>1308</v>
      </c>
      <c r="C68" s="120"/>
      <c r="D68" s="16" t="s">
        <v>231</v>
      </c>
      <c r="E68" s="113" t="s">
        <v>1260</v>
      </c>
      <c r="F68" s="112">
        <f>23891.12</f>
        <v>23891.119999999999</v>
      </c>
      <c r="G68" s="112"/>
      <c r="H68" s="112">
        <f t="shared" si="51"/>
        <v>71673.36</v>
      </c>
      <c r="I68" s="112">
        <f t="shared" si="52"/>
        <v>1791.8340000000001</v>
      </c>
      <c r="J68" s="112">
        <v>0</v>
      </c>
      <c r="K68" s="112">
        <f t="shared" si="53"/>
        <v>11945.56</v>
      </c>
      <c r="L68" s="112">
        <f t="shared" si="54"/>
        <v>83618.92</v>
      </c>
      <c r="M68" s="112">
        <f t="shared" si="55"/>
        <v>23891.119999999999</v>
      </c>
      <c r="N68" s="43">
        <f t="shared" si="58"/>
        <v>120000</v>
      </c>
      <c r="O68" s="43"/>
      <c r="P68" s="112">
        <f t="shared" si="56"/>
        <v>2389.1120000000001</v>
      </c>
      <c r="Q68" s="112">
        <v>15000</v>
      </c>
      <c r="R68" s="112">
        <v>0</v>
      </c>
      <c r="S68" s="112">
        <f t="shared" si="57"/>
        <v>354201.02600000001</v>
      </c>
      <c r="T68" s="112">
        <v>346713.03324999998</v>
      </c>
      <c r="U68" s="112">
        <f t="shared" si="1"/>
        <v>7487.9927500000304</v>
      </c>
      <c r="V68" s="112"/>
      <c r="W68" s="112">
        <v>7709.76</v>
      </c>
      <c r="X68" s="112">
        <v>7709.76</v>
      </c>
      <c r="Y68" s="112">
        <f t="shared" si="2"/>
        <v>0</v>
      </c>
      <c r="Z68" s="72"/>
      <c r="AA68" s="112"/>
      <c r="AB68" s="112"/>
    </row>
    <row r="69" spans="1:28" ht="20.100000000000001" customHeight="1">
      <c r="A69" s="108">
        <v>6</v>
      </c>
      <c r="B69" s="878" t="s">
        <v>438</v>
      </c>
      <c r="C69" s="879"/>
      <c r="D69" s="16" t="s">
        <v>365</v>
      </c>
      <c r="E69" s="113" t="s">
        <v>450</v>
      </c>
      <c r="F69" s="112">
        <f>26732.65</f>
        <v>26732.65</v>
      </c>
      <c r="G69" s="112"/>
      <c r="H69" s="112">
        <f t="shared" si="51"/>
        <v>80197.95</v>
      </c>
      <c r="I69" s="112">
        <f t="shared" si="52"/>
        <v>2004.94875</v>
      </c>
      <c r="J69" s="112"/>
      <c r="K69" s="112">
        <f t="shared" si="53"/>
        <v>13366.325000000001</v>
      </c>
      <c r="L69" s="112">
        <f t="shared" si="54"/>
        <v>93564.274999999994</v>
      </c>
      <c r="M69" s="112">
        <f t="shared" si="55"/>
        <v>26732.65</v>
      </c>
      <c r="N69" s="43">
        <f>140000</f>
        <v>140000</v>
      </c>
      <c r="O69" s="43"/>
      <c r="P69" s="112">
        <f t="shared" si="56"/>
        <v>2673.2649999999999</v>
      </c>
      <c r="Q69" s="112">
        <v>20000</v>
      </c>
      <c r="R69" s="112"/>
      <c r="S69" s="112">
        <f t="shared" si="57"/>
        <v>405272.06374999997</v>
      </c>
      <c r="T69" s="112">
        <v>397211.36749999999</v>
      </c>
      <c r="U69" s="112">
        <f t="shared" si="1"/>
        <v>8060.69624999998</v>
      </c>
      <c r="V69" s="112"/>
      <c r="W69" s="112">
        <f>7709.76</f>
        <v>7709.76</v>
      </c>
      <c r="X69" s="112">
        <v>7709.76</v>
      </c>
      <c r="Y69" s="112">
        <f t="shared" si="2"/>
        <v>0</v>
      </c>
      <c r="Z69" s="72"/>
      <c r="AA69" s="112"/>
      <c r="AB69" s="112"/>
    </row>
    <row r="70" spans="1:28" ht="20.100000000000001" customHeight="1">
      <c r="A70" s="108">
        <v>7</v>
      </c>
      <c r="B70" s="880" t="s">
        <v>439</v>
      </c>
      <c r="C70" s="881"/>
      <c r="D70" s="3" t="s">
        <v>64</v>
      </c>
      <c r="E70" s="9" t="s">
        <v>1268</v>
      </c>
      <c r="F70" s="72">
        <f>19774.62</f>
        <v>19774.62</v>
      </c>
      <c r="G70" s="72"/>
      <c r="H70" s="72">
        <f t="shared" si="51"/>
        <v>59323.86</v>
      </c>
      <c r="I70" s="72">
        <f t="shared" si="52"/>
        <v>1483.0965000000001</v>
      </c>
      <c r="J70" s="72">
        <v>0</v>
      </c>
      <c r="K70" s="72">
        <f t="shared" si="53"/>
        <v>9887.31</v>
      </c>
      <c r="L70" s="72">
        <f t="shared" si="54"/>
        <v>69211.17</v>
      </c>
      <c r="M70" s="72">
        <f t="shared" si="55"/>
        <v>19774.62</v>
      </c>
      <c r="N70" s="43">
        <f>100000</f>
        <v>100000</v>
      </c>
      <c r="O70" s="43"/>
      <c r="P70" s="72">
        <f t="shared" si="56"/>
        <v>1977.462</v>
      </c>
      <c r="Q70" s="72">
        <v>10000</v>
      </c>
      <c r="R70" s="72">
        <v>0</v>
      </c>
      <c r="S70" s="112">
        <f t="shared" si="57"/>
        <v>291432.1385</v>
      </c>
      <c r="T70" s="112">
        <v>291432.1385</v>
      </c>
      <c r="U70" s="112">
        <f t="shared" si="1"/>
        <v>0</v>
      </c>
      <c r="V70" s="72"/>
      <c r="W70" s="72">
        <v>3369.51</v>
      </c>
      <c r="X70" s="72">
        <v>3369.51</v>
      </c>
      <c r="Y70" s="112">
        <f t="shared" si="2"/>
        <v>0</v>
      </c>
      <c r="Z70" s="72"/>
      <c r="AA70" s="112"/>
      <c r="AB70" s="112"/>
    </row>
    <row r="71" spans="1:28" ht="20.100000000000001" customHeight="1">
      <c r="A71" s="108">
        <v>8</v>
      </c>
      <c r="B71" s="882" t="s">
        <v>1133</v>
      </c>
      <c r="C71" s="882"/>
      <c r="D71" s="16" t="s">
        <v>64</v>
      </c>
      <c r="E71" s="113" t="s">
        <v>440</v>
      </c>
      <c r="F71" s="112">
        <f>21520.88</f>
        <v>21520.880000000001</v>
      </c>
      <c r="G71" s="112"/>
      <c r="H71" s="112">
        <f t="shared" si="51"/>
        <v>64562.64</v>
      </c>
      <c r="I71" s="112">
        <f t="shared" si="52"/>
        <v>1614.066</v>
      </c>
      <c r="J71" s="112">
        <v>0</v>
      </c>
      <c r="K71" s="112">
        <f t="shared" si="53"/>
        <v>10760.44</v>
      </c>
      <c r="L71" s="112">
        <f t="shared" si="54"/>
        <v>75323.08</v>
      </c>
      <c r="M71" s="112">
        <f t="shared" si="55"/>
        <v>21520.880000000001</v>
      </c>
      <c r="N71" s="43">
        <f>110000</f>
        <v>110000</v>
      </c>
      <c r="O71" s="43"/>
      <c r="P71" s="112">
        <f t="shared" si="56"/>
        <v>2152.0880000000002</v>
      </c>
      <c r="Q71" s="112">
        <v>15000</v>
      </c>
      <c r="R71" s="112">
        <v>0</v>
      </c>
      <c r="S71" s="112">
        <f t="shared" si="57"/>
        <v>322454.07400000002</v>
      </c>
      <c r="T71" s="112">
        <v>315372.07500000001</v>
      </c>
      <c r="U71" s="112">
        <f t="shared" si="1"/>
        <v>7081.9990000000098</v>
      </c>
      <c r="V71" s="112"/>
      <c r="W71" s="112">
        <f>3369.51</f>
        <v>3369.51</v>
      </c>
      <c r="X71" s="112">
        <v>3369.51</v>
      </c>
      <c r="Y71" s="112">
        <f t="shared" si="2"/>
        <v>0</v>
      </c>
      <c r="Z71" s="72"/>
      <c r="AA71" s="112"/>
      <c r="AB71" s="112"/>
    </row>
    <row r="72" spans="1:28" ht="20.100000000000001" customHeight="1">
      <c r="A72" s="108">
        <v>9</v>
      </c>
      <c r="B72" s="876" t="s">
        <v>443</v>
      </c>
      <c r="C72" s="877"/>
      <c r="D72" s="100" t="s">
        <v>452</v>
      </c>
      <c r="E72" s="108" t="s">
        <v>539</v>
      </c>
      <c r="F72" s="112">
        <f>18779.3</f>
        <v>18779.3</v>
      </c>
      <c r="G72" s="112"/>
      <c r="H72" s="112">
        <f t="shared" si="51"/>
        <v>56337.9</v>
      </c>
      <c r="I72" s="112">
        <f t="shared" si="52"/>
        <v>1408.4475</v>
      </c>
      <c r="J72" s="112"/>
      <c r="K72" s="112">
        <f t="shared" si="53"/>
        <v>9389.65</v>
      </c>
      <c r="L72" s="112">
        <f t="shared" si="54"/>
        <v>65727.55</v>
      </c>
      <c r="M72" s="112">
        <f t="shared" si="55"/>
        <v>18779.3</v>
      </c>
      <c r="N72" s="43">
        <f t="shared" ref="N72:N75" si="59">100000</f>
        <v>100000</v>
      </c>
      <c r="O72" s="43"/>
      <c r="P72" s="112">
        <f t="shared" si="56"/>
        <v>1877.93</v>
      </c>
      <c r="Q72" s="112">
        <v>10000</v>
      </c>
      <c r="R72" s="112"/>
      <c r="S72" s="112">
        <f t="shared" si="57"/>
        <v>282300.07750000001</v>
      </c>
      <c r="T72" s="112">
        <v>277734.04700000002</v>
      </c>
      <c r="U72" s="112">
        <f t="shared" si="1"/>
        <v>4566.0304999999398</v>
      </c>
      <c r="V72" s="112"/>
      <c r="W72" s="112">
        <v>3369.51</v>
      </c>
      <c r="X72" s="112">
        <v>3369.51</v>
      </c>
      <c r="Y72" s="112">
        <f t="shared" si="2"/>
        <v>0</v>
      </c>
      <c r="Z72" s="72"/>
      <c r="AA72" s="112"/>
      <c r="AB72" s="112"/>
    </row>
    <row r="73" spans="1:28" ht="20.100000000000001" customHeight="1">
      <c r="A73" s="108">
        <v>10</v>
      </c>
      <c r="B73" s="880" t="s">
        <v>1215</v>
      </c>
      <c r="C73" s="881"/>
      <c r="D73" s="16" t="s">
        <v>64</v>
      </c>
      <c r="E73" s="108" t="s">
        <v>37</v>
      </c>
      <c r="F73" s="112">
        <f>17286.33</f>
        <v>17286.330000000002</v>
      </c>
      <c r="G73" s="112"/>
      <c r="H73" s="112">
        <f t="shared" si="51"/>
        <v>51858.99</v>
      </c>
      <c r="I73" s="112">
        <f t="shared" si="52"/>
        <v>1296.4747500000001</v>
      </c>
      <c r="J73" s="112"/>
      <c r="K73" s="112">
        <f t="shared" si="53"/>
        <v>8643.1650000000009</v>
      </c>
      <c r="L73" s="112">
        <f t="shared" si="54"/>
        <v>60502.154999999999</v>
      </c>
      <c r="M73" s="112">
        <f t="shared" si="55"/>
        <v>17286.330000000002</v>
      </c>
      <c r="N73" s="43">
        <f t="shared" si="59"/>
        <v>100000</v>
      </c>
      <c r="O73" s="43"/>
      <c r="P73" s="112">
        <f t="shared" si="56"/>
        <v>1728.633</v>
      </c>
      <c r="Q73" s="112">
        <v>10000</v>
      </c>
      <c r="R73" s="112"/>
      <c r="S73" s="112">
        <f t="shared" si="57"/>
        <v>268602.07775</v>
      </c>
      <c r="T73" s="112">
        <v>268602.07775</v>
      </c>
      <c r="U73" s="112">
        <f t="shared" si="1"/>
        <v>0</v>
      </c>
      <c r="V73" s="112"/>
      <c r="W73" s="112">
        <v>3369.51</v>
      </c>
      <c r="X73" s="112">
        <v>3369.51</v>
      </c>
      <c r="Y73" s="112">
        <f t="shared" si="2"/>
        <v>0</v>
      </c>
      <c r="Z73" s="72"/>
      <c r="AA73" s="112"/>
      <c r="AB73" s="112"/>
    </row>
    <row r="74" spans="1:28" ht="20.100000000000001" customHeight="1">
      <c r="A74" s="108">
        <v>11</v>
      </c>
      <c r="B74" s="880" t="s">
        <v>389</v>
      </c>
      <c r="C74" s="881"/>
      <c r="D74" s="16" t="s">
        <v>382</v>
      </c>
      <c r="E74" s="108" t="s">
        <v>72</v>
      </c>
      <c r="F74" s="112">
        <f>12351.94</f>
        <v>12351.94</v>
      </c>
      <c r="G74" s="112"/>
      <c r="H74" s="112">
        <f t="shared" si="51"/>
        <v>37055.82</v>
      </c>
      <c r="I74" s="112">
        <f t="shared" si="52"/>
        <v>926.39549999999997</v>
      </c>
      <c r="J74" s="112"/>
      <c r="K74" s="112">
        <f t="shared" si="53"/>
        <v>6175.97</v>
      </c>
      <c r="L74" s="112">
        <f t="shared" si="54"/>
        <v>43231.79</v>
      </c>
      <c r="M74" s="112">
        <f t="shared" si="55"/>
        <v>12351.94</v>
      </c>
      <c r="N74" s="43">
        <f t="shared" si="59"/>
        <v>100000</v>
      </c>
      <c r="O74" s="43"/>
      <c r="P74" s="112">
        <f t="shared" si="56"/>
        <v>1235.194</v>
      </c>
      <c r="Q74" s="112">
        <v>10000</v>
      </c>
      <c r="R74" s="112"/>
      <c r="S74" s="112">
        <f t="shared" si="57"/>
        <v>223329.04949999999</v>
      </c>
      <c r="T74" s="112">
        <v>223329.04949999999</v>
      </c>
      <c r="U74" s="112">
        <f t="shared" ref="U74:U137" si="60">S74-T74</f>
        <v>0</v>
      </c>
      <c r="V74" s="112"/>
      <c r="W74" s="112">
        <v>1484.37</v>
      </c>
      <c r="X74" s="112">
        <v>1484.37</v>
      </c>
      <c r="Y74" s="112">
        <f t="shared" ref="Y74:Y137" si="61">X74-W74</f>
        <v>0</v>
      </c>
      <c r="Z74" s="72"/>
      <c r="AA74" s="112"/>
      <c r="AB74" s="112"/>
    </row>
    <row r="75" spans="1:28" ht="20.100000000000001" customHeight="1">
      <c r="A75" s="108">
        <v>12</v>
      </c>
      <c r="B75" s="878" t="s">
        <v>381</v>
      </c>
      <c r="C75" s="879"/>
      <c r="D75" s="16" t="s">
        <v>382</v>
      </c>
      <c r="E75" s="108" t="s">
        <v>72</v>
      </c>
      <c r="F75" s="112">
        <f>12351.94</f>
        <v>12351.94</v>
      </c>
      <c r="G75" s="112"/>
      <c r="H75" s="112">
        <f t="shared" si="51"/>
        <v>37055.82</v>
      </c>
      <c r="I75" s="112">
        <f t="shared" si="52"/>
        <v>926.39549999999997</v>
      </c>
      <c r="J75" s="112"/>
      <c r="K75" s="112">
        <f t="shared" si="53"/>
        <v>6175.97</v>
      </c>
      <c r="L75" s="112">
        <f t="shared" si="54"/>
        <v>43231.79</v>
      </c>
      <c r="M75" s="112">
        <f t="shared" si="55"/>
        <v>12351.94</v>
      </c>
      <c r="N75" s="43">
        <f t="shared" si="59"/>
        <v>100000</v>
      </c>
      <c r="O75" s="43"/>
      <c r="P75" s="112">
        <f t="shared" si="56"/>
        <v>1235.194</v>
      </c>
      <c r="Q75" s="112">
        <v>10000</v>
      </c>
      <c r="R75" s="112"/>
      <c r="S75" s="112">
        <f t="shared" si="57"/>
        <v>223329.04949999999</v>
      </c>
      <c r="T75" s="112">
        <v>223329.04949999999</v>
      </c>
      <c r="U75" s="112">
        <f t="shared" si="60"/>
        <v>0</v>
      </c>
      <c r="V75" s="112"/>
      <c r="W75" s="112">
        <v>1484.37</v>
      </c>
      <c r="X75" s="112">
        <v>1484.37</v>
      </c>
      <c r="Y75" s="112">
        <f t="shared" si="61"/>
        <v>0</v>
      </c>
      <c r="Z75" s="72"/>
      <c r="AA75" s="112"/>
      <c r="AB75" s="112"/>
    </row>
    <row r="76" spans="1:28" ht="20.100000000000001" customHeight="1">
      <c r="A76" s="108"/>
      <c r="B76" s="892" t="s">
        <v>42</v>
      </c>
      <c r="C76" s="893"/>
      <c r="D76" s="20">
        <v>12</v>
      </c>
      <c r="E76" s="20"/>
      <c r="F76" s="80">
        <f t="shared" ref="F76:N76" si="62">SUM(F64:F75)</f>
        <v>316528.2</v>
      </c>
      <c r="G76" s="80">
        <f t="shared" si="62"/>
        <v>0</v>
      </c>
      <c r="H76" s="80">
        <f t="shared" si="62"/>
        <v>949584.6</v>
      </c>
      <c r="I76" s="80">
        <f t="shared" si="62"/>
        <v>23739.615000000002</v>
      </c>
      <c r="J76" s="80">
        <f t="shared" si="62"/>
        <v>120366.57</v>
      </c>
      <c r="K76" s="80">
        <f t="shared" si="62"/>
        <v>158264.1</v>
      </c>
      <c r="L76" s="80">
        <f t="shared" si="62"/>
        <v>1107848.7</v>
      </c>
      <c r="M76" s="80">
        <f t="shared" si="62"/>
        <v>316528.2</v>
      </c>
      <c r="N76" s="136">
        <f t="shared" si="62"/>
        <v>1470000</v>
      </c>
      <c r="O76" s="136"/>
      <c r="P76" s="80">
        <f>SUM(P64:P75)</f>
        <v>31652.82</v>
      </c>
      <c r="Q76" s="80">
        <f>SUM(Q64:Q75)</f>
        <v>170000</v>
      </c>
      <c r="R76" s="80">
        <f>SUM(R64:R75)</f>
        <v>0</v>
      </c>
      <c r="S76" s="80">
        <f>SUM(S64:S75)</f>
        <v>4664512.8049999997</v>
      </c>
      <c r="T76" s="80">
        <v>4597254.6417500004</v>
      </c>
      <c r="U76" s="143">
        <f t="shared" si="60"/>
        <v>67258.163249999299</v>
      </c>
      <c r="V76" s="80"/>
      <c r="W76" s="80">
        <f t="shared" ref="W76" si="63">SUM(W64:W75)</f>
        <v>115610.78</v>
      </c>
      <c r="X76" s="80">
        <v>115610.78</v>
      </c>
      <c r="Y76" s="112">
        <f t="shared" si="61"/>
        <v>0</v>
      </c>
      <c r="Z76" s="80"/>
      <c r="AA76" s="80"/>
      <c r="AB76" s="80"/>
    </row>
    <row r="77" spans="1:28" ht="20.100000000000001" customHeight="1">
      <c r="A77" s="108"/>
      <c r="B77" s="131"/>
      <c r="C77" s="132"/>
      <c r="D77" s="20"/>
      <c r="E77" s="20"/>
      <c r="F77" s="134"/>
      <c r="G77" s="134"/>
      <c r="H77" s="134"/>
      <c r="I77" s="134"/>
      <c r="J77" s="134"/>
      <c r="K77" s="134"/>
      <c r="L77" s="134"/>
      <c r="M77" s="134"/>
      <c r="N77" s="43"/>
      <c r="O77" s="43"/>
      <c r="P77" s="134"/>
      <c r="Q77" s="134"/>
      <c r="R77" s="134"/>
      <c r="S77" s="134"/>
      <c r="T77" s="134"/>
      <c r="U77" s="112">
        <f t="shared" si="60"/>
        <v>0</v>
      </c>
      <c r="V77" s="134"/>
      <c r="W77" s="134"/>
      <c r="X77" s="134"/>
      <c r="Y77" s="112">
        <f t="shared" si="61"/>
        <v>0</v>
      </c>
      <c r="Z77" s="134"/>
      <c r="AA77" s="134"/>
      <c r="AB77" s="134"/>
    </row>
    <row r="78" spans="1:28" ht="20.100000000000001" customHeight="1">
      <c r="A78" s="108"/>
      <c r="B78" s="892" t="s">
        <v>1269</v>
      </c>
      <c r="C78" s="893"/>
      <c r="D78" s="20"/>
      <c r="E78" s="20"/>
      <c r="F78" s="134"/>
      <c r="G78" s="134"/>
      <c r="H78" s="134"/>
      <c r="I78" s="134"/>
      <c r="J78" s="134"/>
      <c r="K78" s="134"/>
      <c r="L78" s="134"/>
      <c r="M78" s="134"/>
      <c r="N78" s="43"/>
      <c r="O78" s="43"/>
      <c r="P78" s="134"/>
      <c r="Q78" s="134"/>
      <c r="R78" s="134"/>
      <c r="S78" s="134"/>
      <c r="T78" s="134"/>
      <c r="U78" s="112">
        <f t="shared" si="60"/>
        <v>0</v>
      </c>
      <c r="V78" s="134"/>
      <c r="W78" s="134"/>
      <c r="X78" s="134"/>
      <c r="Y78" s="112">
        <f t="shared" si="61"/>
        <v>0</v>
      </c>
      <c r="Z78" s="134"/>
      <c r="AA78" s="134"/>
      <c r="AB78" s="134"/>
    </row>
    <row r="79" spans="1:28" ht="20.100000000000001" customHeight="1">
      <c r="A79" s="108">
        <v>1</v>
      </c>
      <c r="B79" s="876" t="s">
        <v>446</v>
      </c>
      <c r="C79" s="877"/>
      <c r="D79" s="100" t="s">
        <v>447</v>
      </c>
      <c r="E79" s="108" t="s">
        <v>405</v>
      </c>
      <c r="F79" s="112">
        <f>81740.02</f>
        <v>81740.02</v>
      </c>
      <c r="G79" s="112"/>
      <c r="H79" s="112">
        <f t="shared" ref="H79:H85" si="64">F79*300%</f>
        <v>245220.06</v>
      </c>
      <c r="I79" s="112">
        <f t="shared" ref="I79:I85" si="65">F79*7.5%</f>
        <v>6130.5015000000003</v>
      </c>
      <c r="J79" s="112">
        <v>80244.38</v>
      </c>
      <c r="K79" s="112">
        <f>F79*50%</f>
        <v>40870.01</v>
      </c>
      <c r="L79" s="112">
        <f t="shared" ref="L79:L85" si="66">F79*350%</f>
        <v>286090.07</v>
      </c>
      <c r="M79" s="112">
        <f>F79*100%</f>
        <v>81740.02</v>
      </c>
      <c r="N79" s="43">
        <f>200000</f>
        <v>200000</v>
      </c>
      <c r="O79" s="43"/>
      <c r="P79" s="112">
        <f>F79*10%</f>
        <v>8174.0020000000004</v>
      </c>
      <c r="Q79" s="112">
        <v>20000</v>
      </c>
      <c r="R79" s="112">
        <v>0</v>
      </c>
      <c r="S79" s="112">
        <f>SUM(F79:R79)</f>
        <v>1050209.0634999999</v>
      </c>
      <c r="T79" s="112">
        <v>1050209.0634999999</v>
      </c>
      <c r="U79" s="112">
        <f t="shared" si="60"/>
        <v>0</v>
      </c>
      <c r="V79" s="112"/>
      <c r="W79" s="112">
        <v>52776.63</v>
      </c>
      <c r="X79" s="112">
        <v>52776.63</v>
      </c>
      <c r="Y79" s="112">
        <f t="shared" si="61"/>
        <v>0</v>
      </c>
      <c r="Z79" s="112"/>
      <c r="AA79" s="112"/>
      <c r="AB79" s="112"/>
    </row>
    <row r="80" spans="1:28" ht="20.100000000000001" customHeight="1">
      <c r="A80" s="108">
        <v>2</v>
      </c>
      <c r="B80" s="45" t="s">
        <v>331</v>
      </c>
      <c r="D80" s="45" t="s">
        <v>76</v>
      </c>
      <c r="E80" s="113" t="s">
        <v>1054</v>
      </c>
      <c r="F80" s="112">
        <v>31018.84</v>
      </c>
      <c r="G80" s="112"/>
      <c r="H80" s="112">
        <f t="shared" si="64"/>
        <v>93056.52</v>
      </c>
      <c r="I80" s="112">
        <f t="shared" si="65"/>
        <v>2326.413</v>
      </c>
      <c r="J80" s="112">
        <v>40122.19</v>
      </c>
      <c r="K80" s="112">
        <f t="shared" ref="K80:K82" si="67">F80*50%</f>
        <v>15509.42</v>
      </c>
      <c r="L80" s="112">
        <f t="shared" si="66"/>
        <v>108565.94</v>
      </c>
      <c r="M80" s="112">
        <f t="shared" ref="M80:M82" si="68">F80*100%</f>
        <v>31018.84</v>
      </c>
      <c r="N80" s="43">
        <f>160000</f>
        <v>160000</v>
      </c>
      <c r="O80" s="43"/>
      <c r="P80" s="112">
        <f t="shared" ref="P80:P82" si="69">F80*10%</f>
        <v>3101.884</v>
      </c>
      <c r="Q80" s="112">
        <v>20000</v>
      </c>
      <c r="R80" s="142">
        <v>0</v>
      </c>
      <c r="S80" s="112">
        <f t="shared" ref="S80:S82" si="70">SUM(F80:R80)</f>
        <v>504720.04700000002</v>
      </c>
      <c r="T80" s="112">
        <v>504720.04700000002</v>
      </c>
      <c r="U80" s="112">
        <f t="shared" si="60"/>
        <v>0</v>
      </c>
      <c r="V80" s="112"/>
      <c r="W80" s="112">
        <f t="shared" ref="W80:W81" si="71">15548.33</f>
        <v>15548.33</v>
      </c>
      <c r="X80" s="112">
        <v>15548.33</v>
      </c>
      <c r="Y80" s="112">
        <f t="shared" si="61"/>
        <v>0</v>
      </c>
      <c r="Z80" s="112"/>
      <c r="AA80" s="112"/>
      <c r="AB80" s="112"/>
    </row>
    <row r="81" spans="1:28" ht="20.100000000000001" customHeight="1">
      <c r="A81" s="108">
        <v>3</v>
      </c>
      <c r="B81" s="45" t="s">
        <v>1216</v>
      </c>
      <c r="D81" s="45" t="s">
        <v>1217</v>
      </c>
      <c r="E81" s="113" t="s">
        <v>1054</v>
      </c>
      <c r="F81" s="112">
        <v>31018.84</v>
      </c>
      <c r="G81" s="112"/>
      <c r="H81" s="112">
        <f t="shared" si="64"/>
        <v>93056.52</v>
      </c>
      <c r="I81" s="112">
        <f t="shared" si="65"/>
        <v>2326.413</v>
      </c>
      <c r="J81" s="112">
        <v>40122.19</v>
      </c>
      <c r="K81" s="112">
        <f t="shared" si="67"/>
        <v>15509.42</v>
      </c>
      <c r="L81" s="112">
        <f t="shared" si="66"/>
        <v>108565.94</v>
      </c>
      <c r="M81" s="112">
        <f t="shared" si="68"/>
        <v>31018.84</v>
      </c>
      <c r="N81" s="43">
        <f>160000</f>
        <v>160000</v>
      </c>
      <c r="O81" s="43"/>
      <c r="P81" s="112">
        <f t="shared" si="69"/>
        <v>3101.884</v>
      </c>
      <c r="Q81" s="112">
        <v>20000</v>
      </c>
      <c r="R81" s="142">
        <v>0</v>
      </c>
      <c r="S81" s="112">
        <f t="shared" si="70"/>
        <v>504720.04700000002</v>
      </c>
      <c r="T81" s="112">
        <v>504720.04700000002</v>
      </c>
      <c r="U81" s="112">
        <f t="shared" si="60"/>
        <v>0</v>
      </c>
      <c r="V81" s="112"/>
      <c r="W81" s="112">
        <f t="shared" si="71"/>
        <v>15548.33</v>
      </c>
      <c r="X81" s="112">
        <v>15548.33</v>
      </c>
      <c r="Y81" s="112">
        <f t="shared" si="61"/>
        <v>0</v>
      </c>
      <c r="Z81" s="112"/>
      <c r="AA81" s="112"/>
      <c r="AB81" s="112"/>
    </row>
    <row r="82" spans="1:28" ht="20.100000000000001" customHeight="1">
      <c r="A82" s="108">
        <v>4</v>
      </c>
      <c r="B82" s="876" t="s">
        <v>1309</v>
      </c>
      <c r="C82" s="877"/>
      <c r="D82" s="100" t="s">
        <v>461</v>
      </c>
      <c r="E82" s="113" t="s">
        <v>1052</v>
      </c>
      <c r="F82" s="112">
        <f>24741.26</f>
        <v>24741.26</v>
      </c>
      <c r="G82" s="112"/>
      <c r="H82" s="112">
        <f t="shared" si="64"/>
        <v>74223.78</v>
      </c>
      <c r="I82" s="112">
        <f t="shared" si="65"/>
        <v>1855.5944999999999</v>
      </c>
      <c r="J82" s="112">
        <v>0</v>
      </c>
      <c r="K82" s="112">
        <f t="shared" si="67"/>
        <v>12370.63</v>
      </c>
      <c r="L82" s="112">
        <f t="shared" si="66"/>
        <v>86594.41</v>
      </c>
      <c r="M82" s="112">
        <f t="shared" si="68"/>
        <v>24741.26</v>
      </c>
      <c r="N82" s="43">
        <f>120000</f>
        <v>120000</v>
      </c>
      <c r="O82" s="43"/>
      <c r="P82" s="112">
        <f t="shared" si="69"/>
        <v>2474.1260000000002</v>
      </c>
      <c r="Q82" s="112">
        <v>15000</v>
      </c>
      <c r="R82" s="112">
        <v>0</v>
      </c>
      <c r="S82" s="112">
        <f t="shared" si="70"/>
        <v>362001.06050000002</v>
      </c>
      <c r="T82" s="112">
        <v>354201.02600000001</v>
      </c>
      <c r="U82" s="112">
        <f t="shared" si="60"/>
        <v>7800.0344999999497</v>
      </c>
      <c r="V82" s="112"/>
      <c r="W82" s="112">
        <f>7709.76</f>
        <v>7709.76</v>
      </c>
      <c r="X82" s="112">
        <v>7709.76</v>
      </c>
      <c r="Y82" s="112">
        <f t="shared" si="61"/>
        <v>0</v>
      </c>
      <c r="Z82" s="112"/>
      <c r="AA82" s="112"/>
      <c r="AB82" s="112"/>
    </row>
    <row r="83" spans="1:28" ht="20.100000000000001" customHeight="1">
      <c r="A83" s="108">
        <v>5</v>
      </c>
      <c r="B83" s="876" t="s">
        <v>451</v>
      </c>
      <c r="C83" s="877"/>
      <c r="D83" s="100" t="s">
        <v>452</v>
      </c>
      <c r="E83" s="108" t="s">
        <v>37</v>
      </c>
      <c r="F83" s="112">
        <f t="shared" ref="F83" si="72">17286.33</f>
        <v>17286.330000000002</v>
      </c>
      <c r="G83" s="112"/>
      <c r="H83" s="112">
        <f t="shared" si="64"/>
        <v>51858.99</v>
      </c>
      <c r="I83" s="112">
        <f t="shared" si="65"/>
        <v>1296.4747500000001</v>
      </c>
      <c r="J83" s="112"/>
      <c r="K83" s="112">
        <f t="shared" ref="K83:K85" si="73">F83*50%</f>
        <v>8643.1650000000009</v>
      </c>
      <c r="L83" s="112">
        <f t="shared" si="66"/>
        <v>60502.154999999999</v>
      </c>
      <c r="M83" s="112">
        <f t="shared" ref="M83:M85" si="74">F83*100%</f>
        <v>17286.330000000002</v>
      </c>
      <c r="N83" s="43">
        <f>100000</f>
        <v>100000</v>
      </c>
      <c r="O83" s="43"/>
      <c r="P83" s="112">
        <f t="shared" ref="P83:P85" si="75">F83*10%</f>
        <v>1728.633</v>
      </c>
      <c r="Q83" s="112">
        <v>10000</v>
      </c>
      <c r="R83" s="112"/>
      <c r="S83" s="112">
        <f t="shared" ref="S83:S85" si="76">SUM(F83:R83)</f>
        <v>268602.07775</v>
      </c>
      <c r="T83" s="112">
        <v>268602.07775</v>
      </c>
      <c r="U83" s="112">
        <f t="shared" si="60"/>
        <v>0</v>
      </c>
      <c r="V83" s="112"/>
      <c r="W83" s="112">
        <v>3369.51</v>
      </c>
      <c r="X83" s="112">
        <v>3369.51</v>
      </c>
      <c r="Y83" s="112">
        <f t="shared" si="61"/>
        <v>0</v>
      </c>
      <c r="Z83" s="112"/>
      <c r="AA83" s="112"/>
      <c r="AB83" s="112"/>
    </row>
    <row r="84" spans="1:28" ht="20.100000000000001" customHeight="1">
      <c r="A84" s="108">
        <v>6</v>
      </c>
      <c r="B84" s="109" t="s">
        <v>392</v>
      </c>
      <c r="C84" s="110"/>
      <c r="D84" s="100" t="s">
        <v>1122</v>
      </c>
      <c r="E84" s="108" t="s">
        <v>399</v>
      </c>
      <c r="F84" s="112">
        <f>13112.16</f>
        <v>13112.16</v>
      </c>
      <c r="G84" s="112"/>
      <c r="H84" s="112">
        <f t="shared" si="64"/>
        <v>39336.480000000003</v>
      </c>
      <c r="I84" s="112">
        <f t="shared" si="65"/>
        <v>983.41200000000003</v>
      </c>
      <c r="J84" s="112"/>
      <c r="K84" s="112">
        <f t="shared" si="73"/>
        <v>6556.08</v>
      </c>
      <c r="L84" s="112">
        <f t="shared" si="66"/>
        <v>45892.56</v>
      </c>
      <c r="M84" s="112">
        <f t="shared" si="74"/>
        <v>13112.16</v>
      </c>
      <c r="N84" s="43">
        <f t="shared" ref="N84:N85" si="77">100000</f>
        <v>100000</v>
      </c>
      <c r="O84" s="43"/>
      <c r="P84" s="112">
        <f t="shared" si="75"/>
        <v>1311.2159999999999</v>
      </c>
      <c r="Q84" s="112">
        <v>10000</v>
      </c>
      <c r="R84" s="112"/>
      <c r="S84" s="112">
        <f t="shared" si="76"/>
        <v>230304.068</v>
      </c>
      <c r="T84" s="112">
        <v>226816.1</v>
      </c>
      <c r="U84" s="112">
        <f t="shared" si="60"/>
        <v>3487.9679999999898</v>
      </c>
      <c r="V84" s="112"/>
      <c r="W84" s="112">
        <v>1484.37</v>
      </c>
      <c r="X84" s="112">
        <v>1484.37</v>
      </c>
      <c r="Y84" s="112">
        <f t="shared" si="61"/>
        <v>0</v>
      </c>
      <c r="Z84" s="112"/>
      <c r="AA84" s="112"/>
      <c r="AB84" s="112"/>
    </row>
    <row r="85" spans="1:28" ht="20.100000000000001" customHeight="1">
      <c r="A85" s="108">
        <v>7</v>
      </c>
      <c r="B85" s="109" t="s">
        <v>397</v>
      </c>
      <c r="C85" s="110"/>
      <c r="D85" s="100" t="s">
        <v>1230</v>
      </c>
      <c r="E85" s="108" t="s">
        <v>72</v>
      </c>
      <c r="F85" s="112">
        <f>12351.94</f>
        <v>12351.94</v>
      </c>
      <c r="G85" s="112"/>
      <c r="H85" s="112">
        <f t="shared" si="64"/>
        <v>37055.82</v>
      </c>
      <c r="I85" s="112">
        <f t="shared" si="65"/>
        <v>926.39549999999997</v>
      </c>
      <c r="J85" s="112"/>
      <c r="K85" s="112">
        <f t="shared" si="73"/>
        <v>6175.97</v>
      </c>
      <c r="L85" s="112">
        <f t="shared" si="66"/>
        <v>43231.79</v>
      </c>
      <c r="M85" s="112">
        <f t="shared" si="74"/>
        <v>12351.94</v>
      </c>
      <c r="N85" s="43">
        <f t="shared" si="77"/>
        <v>100000</v>
      </c>
      <c r="O85" s="43"/>
      <c r="P85" s="112">
        <f t="shared" si="75"/>
        <v>1235.194</v>
      </c>
      <c r="Q85" s="112">
        <v>10000</v>
      </c>
      <c r="R85" s="112"/>
      <c r="S85" s="112">
        <f t="shared" si="76"/>
        <v>223329.04949999999</v>
      </c>
      <c r="T85" s="112">
        <v>223329.04949999999</v>
      </c>
      <c r="U85" s="112">
        <f t="shared" si="60"/>
        <v>0</v>
      </c>
      <c r="V85" s="112"/>
      <c r="W85" s="112">
        <v>1484.37</v>
      </c>
      <c r="X85" s="112">
        <v>1484.37</v>
      </c>
      <c r="Y85" s="112">
        <f t="shared" si="61"/>
        <v>0</v>
      </c>
      <c r="Z85" s="112"/>
      <c r="AA85" s="112"/>
      <c r="AB85" s="112"/>
    </row>
    <row r="86" spans="1:28" ht="20.100000000000001" customHeight="1">
      <c r="A86" s="108"/>
      <c r="B86" s="892" t="s">
        <v>42</v>
      </c>
      <c r="C86" s="893"/>
      <c r="D86" s="20">
        <v>7</v>
      </c>
      <c r="E86" s="20"/>
      <c r="F86" s="80">
        <f>SUM(F79:F85)</f>
        <v>211269.39</v>
      </c>
      <c r="G86" s="80"/>
      <c r="H86" s="80">
        <f t="shared" ref="H86:N86" si="78">SUM(H79:H85)</f>
        <v>633808.17000000004</v>
      </c>
      <c r="I86" s="80">
        <f t="shared" si="78"/>
        <v>15845.204250000001</v>
      </c>
      <c r="J86" s="80">
        <f t="shared" si="78"/>
        <v>160488.76</v>
      </c>
      <c r="K86" s="80">
        <f t="shared" si="78"/>
        <v>105634.69500000001</v>
      </c>
      <c r="L86" s="80">
        <f t="shared" si="78"/>
        <v>739442.86499999999</v>
      </c>
      <c r="M86" s="80">
        <f t="shared" si="78"/>
        <v>211269.39</v>
      </c>
      <c r="N86" s="136">
        <f t="shared" si="78"/>
        <v>940000</v>
      </c>
      <c r="O86" s="136"/>
      <c r="P86" s="80">
        <f>SUM(P79:P85)</f>
        <v>21126.938999999998</v>
      </c>
      <c r="Q86" s="80">
        <f>SUM(Q79:Q85)</f>
        <v>105000</v>
      </c>
      <c r="R86" s="80">
        <f>SUM(R79:R85)</f>
        <v>0</v>
      </c>
      <c r="S86" s="80">
        <f>SUM(S79:S85)</f>
        <v>3143885.4132500002</v>
      </c>
      <c r="T86" s="80">
        <v>3132597.4107499998</v>
      </c>
      <c r="U86" s="143">
        <f t="shared" si="60"/>
        <v>11288.002500000901</v>
      </c>
      <c r="V86" s="80"/>
      <c r="W86" s="80">
        <f>SUM(W79:W85)</f>
        <v>97921.3</v>
      </c>
      <c r="X86" s="80">
        <v>97921.3</v>
      </c>
      <c r="Y86" s="112">
        <f t="shared" si="61"/>
        <v>0</v>
      </c>
      <c r="Z86" s="80"/>
      <c r="AA86" s="80"/>
      <c r="AB86" s="80"/>
    </row>
    <row r="87" spans="1:28" ht="20.100000000000001" customHeight="1">
      <c r="A87" s="108"/>
      <c r="B87" s="894"/>
      <c r="C87" s="895"/>
      <c r="D87" s="103"/>
      <c r="E87" s="103"/>
      <c r="F87" s="142"/>
      <c r="G87" s="142"/>
      <c r="H87" s="142"/>
      <c r="I87" s="142"/>
      <c r="J87" s="142"/>
      <c r="K87" s="142"/>
      <c r="L87" s="142"/>
      <c r="M87" s="142"/>
      <c r="N87" s="43"/>
      <c r="O87" s="43"/>
      <c r="P87" s="142"/>
      <c r="Q87" s="142"/>
      <c r="R87" s="142"/>
      <c r="S87" s="142"/>
      <c r="T87" s="142"/>
      <c r="U87" s="112">
        <f t="shared" si="60"/>
        <v>0</v>
      </c>
      <c r="V87" s="142"/>
      <c r="W87" s="142"/>
      <c r="X87" s="142"/>
      <c r="Y87" s="112">
        <f t="shared" si="61"/>
        <v>0</v>
      </c>
      <c r="Z87" s="112"/>
      <c r="AA87" s="112"/>
      <c r="AB87" s="112"/>
    </row>
    <row r="88" spans="1:28" ht="20.100000000000001" customHeight="1">
      <c r="A88" s="108"/>
      <c r="B88" s="896" t="s">
        <v>1270</v>
      </c>
      <c r="C88" s="897"/>
      <c r="D88" s="146"/>
      <c r="E88" s="103"/>
      <c r="F88" s="142"/>
      <c r="G88" s="142"/>
      <c r="H88" s="142"/>
      <c r="I88" s="142"/>
      <c r="J88" s="142"/>
      <c r="K88" s="142"/>
      <c r="L88" s="142"/>
      <c r="M88" s="142"/>
      <c r="N88" s="43"/>
      <c r="O88" s="43"/>
      <c r="P88" s="142"/>
      <c r="Q88" s="142"/>
      <c r="R88" s="142"/>
      <c r="S88" s="142"/>
      <c r="T88" s="142"/>
      <c r="U88" s="112">
        <f t="shared" si="60"/>
        <v>0</v>
      </c>
      <c r="V88" s="142"/>
      <c r="W88" s="142"/>
      <c r="X88" s="142"/>
      <c r="Y88" s="112">
        <f t="shared" si="61"/>
        <v>0</v>
      </c>
      <c r="Z88" s="112"/>
      <c r="AA88" s="112"/>
      <c r="AB88" s="112"/>
    </row>
    <row r="89" spans="1:28" ht="20.100000000000001" customHeight="1">
      <c r="A89" s="108">
        <v>1</v>
      </c>
      <c r="B89" s="876" t="s">
        <v>1271</v>
      </c>
      <c r="C89" s="877"/>
      <c r="D89" s="100" t="s">
        <v>1233</v>
      </c>
      <c r="E89" s="108" t="s">
        <v>416</v>
      </c>
      <c r="F89" s="112">
        <f>41157.69</f>
        <v>41157.69</v>
      </c>
      <c r="G89" s="112"/>
      <c r="H89" s="112">
        <f t="shared" ref="H89:H98" si="79">F89*300%</f>
        <v>123473.07</v>
      </c>
      <c r="I89" s="112">
        <f t="shared" ref="I89:I98" si="80">F89*7.5%</f>
        <v>3086.8267500000002</v>
      </c>
      <c r="J89" s="112">
        <v>40122.19</v>
      </c>
      <c r="K89" s="112">
        <f t="shared" ref="K89:K98" si="81">F89*50%</f>
        <v>20578.845000000001</v>
      </c>
      <c r="L89" s="112">
        <f t="shared" ref="L89:L98" si="82">F89*350%</f>
        <v>144051.91500000001</v>
      </c>
      <c r="M89" s="112">
        <f t="shared" ref="M89:M98" si="83">F89*100%</f>
        <v>41157.69</v>
      </c>
      <c r="N89" s="43">
        <f>180000</f>
        <v>180000</v>
      </c>
      <c r="O89" s="43"/>
      <c r="P89" s="112">
        <f t="shared" ref="P89:P98" si="84">F89*10%</f>
        <v>4115.7690000000002</v>
      </c>
      <c r="Q89" s="112">
        <v>20000</v>
      </c>
      <c r="R89" s="112"/>
      <c r="S89" s="112">
        <f t="shared" ref="S89:S98" si="85">SUM(F89:R89)</f>
        <v>617743.99575</v>
      </c>
      <c r="T89" s="112">
        <v>604023.33374999999</v>
      </c>
      <c r="U89" s="112">
        <f t="shared" si="60"/>
        <v>13720.662</v>
      </c>
      <c r="V89" s="112"/>
      <c r="W89" s="112">
        <f>21618.09</f>
        <v>21618.09</v>
      </c>
      <c r="X89" s="112">
        <v>21618.09</v>
      </c>
      <c r="Y89" s="112">
        <f t="shared" si="61"/>
        <v>0</v>
      </c>
      <c r="Z89" s="112"/>
      <c r="AA89" s="112"/>
      <c r="AB89" s="112"/>
    </row>
    <row r="90" spans="1:28" ht="20.100000000000001" customHeight="1">
      <c r="A90" s="108">
        <v>2</v>
      </c>
      <c r="B90" s="876" t="s">
        <v>457</v>
      </c>
      <c r="C90" s="877"/>
      <c r="D90" s="100" t="s">
        <v>418</v>
      </c>
      <c r="E90" s="108" t="s">
        <v>358</v>
      </c>
      <c r="F90" s="112">
        <f>33507.5</f>
        <v>33507.5</v>
      </c>
      <c r="G90" s="112"/>
      <c r="H90" s="112">
        <f t="shared" si="79"/>
        <v>100522.5</v>
      </c>
      <c r="I90" s="112">
        <f t="shared" si="80"/>
        <v>2513.0625</v>
      </c>
      <c r="J90" s="112">
        <f>40122.19</f>
        <v>40122.19</v>
      </c>
      <c r="K90" s="112">
        <f t="shared" si="81"/>
        <v>16753.75</v>
      </c>
      <c r="L90" s="112">
        <f t="shared" si="82"/>
        <v>117276.25</v>
      </c>
      <c r="M90" s="112">
        <f t="shared" si="83"/>
        <v>33507.5</v>
      </c>
      <c r="N90" s="43">
        <f>160000</f>
        <v>160000</v>
      </c>
      <c r="O90" s="43"/>
      <c r="P90" s="112">
        <f t="shared" si="84"/>
        <v>3350.75</v>
      </c>
      <c r="Q90" s="112">
        <v>20000</v>
      </c>
      <c r="R90" s="112"/>
      <c r="S90" s="112">
        <f t="shared" si="85"/>
        <v>527553.50249999994</v>
      </c>
      <c r="T90" s="112">
        <v>516137.05</v>
      </c>
      <c r="U90" s="112">
        <f t="shared" si="60"/>
        <v>11416.452499999999</v>
      </c>
      <c r="V90" s="112"/>
      <c r="W90" s="112">
        <f>15548.33</f>
        <v>15548.33</v>
      </c>
      <c r="X90" s="112">
        <v>15548.33</v>
      </c>
      <c r="Y90" s="112">
        <f t="shared" si="61"/>
        <v>0</v>
      </c>
      <c r="Z90" s="112"/>
      <c r="AA90" s="112"/>
      <c r="AB90" s="112"/>
    </row>
    <row r="91" spans="1:28" ht="20.100000000000001" customHeight="1">
      <c r="A91" s="108">
        <v>3</v>
      </c>
      <c r="B91" s="876" t="s">
        <v>458</v>
      </c>
      <c r="C91" s="877"/>
      <c r="D91" s="100" t="s">
        <v>418</v>
      </c>
      <c r="E91" s="108" t="s">
        <v>358</v>
      </c>
      <c r="F91" s="112">
        <f>33507.5</f>
        <v>33507.5</v>
      </c>
      <c r="G91" s="112"/>
      <c r="H91" s="112">
        <f t="shared" si="79"/>
        <v>100522.5</v>
      </c>
      <c r="I91" s="112">
        <f t="shared" si="80"/>
        <v>2513.0625</v>
      </c>
      <c r="J91" s="112">
        <f>40122.19</f>
        <v>40122.19</v>
      </c>
      <c r="K91" s="112">
        <f t="shared" si="81"/>
        <v>16753.75</v>
      </c>
      <c r="L91" s="112">
        <f t="shared" si="82"/>
        <v>117276.25</v>
      </c>
      <c r="M91" s="112">
        <f t="shared" si="83"/>
        <v>33507.5</v>
      </c>
      <c r="N91" s="43">
        <f>160000</f>
        <v>160000</v>
      </c>
      <c r="O91" s="43"/>
      <c r="P91" s="112">
        <f t="shared" si="84"/>
        <v>3350.75</v>
      </c>
      <c r="Q91" s="112">
        <v>20000</v>
      </c>
      <c r="R91" s="112"/>
      <c r="S91" s="112">
        <f t="shared" si="85"/>
        <v>527553.50249999994</v>
      </c>
      <c r="T91" s="112">
        <v>516137.05</v>
      </c>
      <c r="U91" s="112">
        <f t="shared" si="60"/>
        <v>11416.452499999999</v>
      </c>
      <c r="V91" s="112"/>
      <c r="W91" s="112">
        <f>15548.33</f>
        <v>15548.33</v>
      </c>
      <c r="X91" s="112">
        <v>15548.33</v>
      </c>
      <c r="Y91" s="112">
        <f t="shared" si="61"/>
        <v>0</v>
      </c>
      <c r="Z91" s="112"/>
      <c r="AA91" s="112"/>
      <c r="AB91" s="112"/>
    </row>
    <row r="92" spans="1:28" ht="20.100000000000001" customHeight="1">
      <c r="A92" s="108">
        <v>4</v>
      </c>
      <c r="B92" s="876" t="s">
        <v>1310</v>
      </c>
      <c r="C92" s="877"/>
      <c r="D92" s="100" t="s">
        <v>368</v>
      </c>
      <c r="E92" s="108" t="s">
        <v>450</v>
      </c>
      <c r="F92" s="112">
        <f>26732.65</f>
        <v>26732.65</v>
      </c>
      <c r="G92" s="112"/>
      <c r="H92" s="112">
        <f t="shared" si="79"/>
        <v>80197.95</v>
      </c>
      <c r="I92" s="112">
        <f t="shared" si="80"/>
        <v>2004.94875</v>
      </c>
      <c r="J92" s="112">
        <v>0</v>
      </c>
      <c r="K92" s="112">
        <f t="shared" si="81"/>
        <v>13366.325000000001</v>
      </c>
      <c r="L92" s="112">
        <f t="shared" si="82"/>
        <v>93564.274999999994</v>
      </c>
      <c r="M92" s="112">
        <f t="shared" si="83"/>
        <v>26732.65</v>
      </c>
      <c r="N92" s="43">
        <v>140000</v>
      </c>
      <c r="O92" s="43"/>
      <c r="P92" s="112">
        <f t="shared" si="84"/>
        <v>2673.2649999999999</v>
      </c>
      <c r="Q92" s="112">
        <v>20000</v>
      </c>
      <c r="R92" s="112">
        <v>0</v>
      </c>
      <c r="S92" s="112">
        <f t="shared" si="85"/>
        <v>405272.06374999997</v>
      </c>
      <c r="T92" s="112">
        <v>397211.36749999999</v>
      </c>
      <c r="U92" s="112">
        <f t="shared" si="60"/>
        <v>8060.69624999998</v>
      </c>
      <c r="V92" s="112"/>
      <c r="W92" s="112">
        <f t="shared" si="17"/>
        <v>7709.76</v>
      </c>
      <c r="X92" s="112">
        <v>7709.76</v>
      </c>
      <c r="Y92" s="112">
        <f t="shared" si="61"/>
        <v>0</v>
      </c>
      <c r="Z92" s="112"/>
      <c r="AA92" s="112"/>
      <c r="AB92" s="112"/>
    </row>
    <row r="93" spans="1:28" ht="20.100000000000001" customHeight="1">
      <c r="A93" s="108">
        <v>5</v>
      </c>
      <c r="B93" s="878" t="s">
        <v>493</v>
      </c>
      <c r="C93" s="879"/>
      <c r="D93" s="100" t="s">
        <v>365</v>
      </c>
      <c r="E93" s="108" t="s">
        <v>366</v>
      </c>
      <c r="F93" s="112">
        <f>27611.23</f>
        <v>27611.23</v>
      </c>
      <c r="G93" s="112"/>
      <c r="H93" s="112">
        <f t="shared" si="79"/>
        <v>82833.69</v>
      </c>
      <c r="I93" s="112">
        <f t="shared" si="80"/>
        <v>2070.8422500000001</v>
      </c>
      <c r="J93" s="112"/>
      <c r="K93" s="112">
        <f t="shared" si="81"/>
        <v>13805.615</v>
      </c>
      <c r="L93" s="112">
        <f t="shared" si="82"/>
        <v>96639.304999999993</v>
      </c>
      <c r="M93" s="112">
        <f t="shared" si="83"/>
        <v>27611.23</v>
      </c>
      <c r="N93" s="43">
        <v>140000</v>
      </c>
      <c r="O93" s="43"/>
      <c r="P93" s="112">
        <f t="shared" si="84"/>
        <v>2761.123</v>
      </c>
      <c r="Q93" s="112">
        <v>20000</v>
      </c>
      <c r="R93" s="112">
        <v>0</v>
      </c>
      <c r="S93" s="72">
        <f t="shared" si="85"/>
        <v>413333.03525000002</v>
      </c>
      <c r="T93" s="72">
        <v>405272.06374999997</v>
      </c>
      <c r="U93" s="112">
        <f t="shared" si="60"/>
        <v>8060.9715000000997</v>
      </c>
      <c r="V93" s="112"/>
      <c r="W93" s="112">
        <f t="shared" si="17"/>
        <v>7709.76</v>
      </c>
      <c r="X93" s="112">
        <v>7709.76</v>
      </c>
      <c r="Y93" s="112">
        <f t="shared" si="61"/>
        <v>0</v>
      </c>
      <c r="Z93" s="112"/>
      <c r="AA93" s="72"/>
      <c r="AB93" s="72"/>
    </row>
    <row r="94" spans="1:28" ht="20.100000000000001" customHeight="1">
      <c r="A94" s="108">
        <v>6</v>
      </c>
      <c r="B94" s="880" t="s">
        <v>459</v>
      </c>
      <c r="C94" s="881"/>
      <c r="D94" s="100" t="s">
        <v>368</v>
      </c>
      <c r="E94" s="108" t="s">
        <v>450</v>
      </c>
      <c r="F94" s="72">
        <f>26732.65</f>
        <v>26732.65</v>
      </c>
      <c r="G94" s="112"/>
      <c r="H94" s="72">
        <f t="shared" si="79"/>
        <v>80197.95</v>
      </c>
      <c r="I94" s="72">
        <f t="shared" si="80"/>
        <v>2004.94875</v>
      </c>
      <c r="J94" s="72"/>
      <c r="K94" s="72">
        <f t="shared" si="81"/>
        <v>13366.325000000001</v>
      </c>
      <c r="L94" s="72">
        <f t="shared" si="82"/>
        <v>93564.274999999994</v>
      </c>
      <c r="M94" s="72">
        <f t="shared" si="83"/>
        <v>26732.65</v>
      </c>
      <c r="N94" s="43">
        <v>140000</v>
      </c>
      <c r="O94" s="43"/>
      <c r="P94" s="72">
        <f t="shared" si="84"/>
        <v>2673.2649999999999</v>
      </c>
      <c r="Q94" s="72">
        <v>20000</v>
      </c>
      <c r="R94" s="72"/>
      <c r="S94" s="112">
        <f t="shared" si="85"/>
        <v>405272.06374999997</v>
      </c>
      <c r="T94" s="112">
        <v>397211.36749999999</v>
      </c>
      <c r="U94" s="112">
        <f t="shared" si="60"/>
        <v>8060.69624999998</v>
      </c>
      <c r="V94" s="72"/>
      <c r="W94" s="112">
        <f t="shared" si="17"/>
        <v>7709.76</v>
      </c>
      <c r="X94" s="72">
        <v>7709.76</v>
      </c>
      <c r="Y94" s="112">
        <f t="shared" si="61"/>
        <v>0</v>
      </c>
      <c r="Z94" s="112"/>
      <c r="AA94" s="112"/>
      <c r="AB94" s="112"/>
    </row>
    <row r="95" spans="1:28" ht="20.100000000000001" customHeight="1">
      <c r="A95" s="108">
        <v>7</v>
      </c>
      <c r="B95" s="876" t="s">
        <v>1311</v>
      </c>
      <c r="C95" s="877"/>
      <c r="D95" s="111" t="s">
        <v>365</v>
      </c>
      <c r="E95" s="113" t="s">
        <v>369</v>
      </c>
      <c r="F95" s="112">
        <f>25854.1</f>
        <v>25854.1</v>
      </c>
      <c r="G95" s="112"/>
      <c r="H95" s="112">
        <f t="shared" si="79"/>
        <v>77562.3</v>
      </c>
      <c r="I95" s="112">
        <f t="shared" si="80"/>
        <v>1939.0574999999999</v>
      </c>
      <c r="J95" s="112">
        <v>0</v>
      </c>
      <c r="K95" s="112">
        <f t="shared" si="81"/>
        <v>12927.05</v>
      </c>
      <c r="L95" s="112">
        <f t="shared" si="82"/>
        <v>90489.35</v>
      </c>
      <c r="M95" s="112">
        <f t="shared" si="83"/>
        <v>25854.1</v>
      </c>
      <c r="N95" s="43">
        <v>140000</v>
      </c>
      <c r="O95" s="43"/>
      <c r="P95" s="112">
        <f t="shared" si="84"/>
        <v>2585.41</v>
      </c>
      <c r="Q95" s="112">
        <v>20000</v>
      </c>
      <c r="R95" s="837" t="s">
        <v>1312</v>
      </c>
      <c r="S95" s="112">
        <f t="shared" si="85"/>
        <v>397211.36749999999</v>
      </c>
      <c r="T95" s="112">
        <v>389153.05674999999</v>
      </c>
      <c r="U95" s="112">
        <f t="shared" si="60"/>
        <v>8058.3107499999996</v>
      </c>
      <c r="V95" s="112"/>
      <c r="W95" s="112">
        <f t="shared" si="18"/>
        <v>7709.76</v>
      </c>
      <c r="X95" s="112">
        <v>7709.76</v>
      </c>
      <c r="Y95" s="112">
        <f t="shared" si="61"/>
        <v>0</v>
      </c>
      <c r="Z95" s="112"/>
      <c r="AA95" s="112"/>
      <c r="AB95" s="112"/>
    </row>
    <row r="96" spans="1:28" ht="21.6" customHeight="1">
      <c r="A96" s="108">
        <v>8</v>
      </c>
      <c r="B96" s="882" t="s">
        <v>460</v>
      </c>
      <c r="C96" s="882"/>
      <c r="D96" s="100" t="s">
        <v>461</v>
      </c>
      <c r="E96" s="113" t="s">
        <v>1052</v>
      </c>
      <c r="F96" s="112">
        <f>24741.26</f>
        <v>24741.26</v>
      </c>
      <c r="G96" s="112"/>
      <c r="H96" s="112">
        <f t="shared" si="79"/>
        <v>74223.78</v>
      </c>
      <c r="I96" s="112">
        <f t="shared" si="80"/>
        <v>1855.5944999999999</v>
      </c>
      <c r="J96" s="112">
        <v>0</v>
      </c>
      <c r="K96" s="112">
        <f t="shared" si="81"/>
        <v>12370.63</v>
      </c>
      <c r="L96" s="112">
        <f t="shared" si="82"/>
        <v>86594.41</v>
      </c>
      <c r="M96" s="112">
        <f t="shared" si="83"/>
        <v>24741.26</v>
      </c>
      <c r="N96" s="43">
        <f>120000</f>
        <v>120000</v>
      </c>
      <c r="O96" s="43"/>
      <c r="P96" s="112">
        <f t="shared" si="84"/>
        <v>2474.1260000000002</v>
      </c>
      <c r="Q96" s="112">
        <v>15000</v>
      </c>
      <c r="R96" s="112">
        <v>0</v>
      </c>
      <c r="S96" s="112">
        <f t="shared" si="85"/>
        <v>362001.06050000002</v>
      </c>
      <c r="T96" s="112">
        <v>354201.02600000001</v>
      </c>
      <c r="U96" s="112">
        <f t="shared" si="60"/>
        <v>7800.0344999999497</v>
      </c>
      <c r="V96" s="112"/>
      <c r="W96" s="112">
        <f t="shared" si="18"/>
        <v>7709.76</v>
      </c>
      <c r="X96" s="112">
        <v>7709.76</v>
      </c>
      <c r="Y96" s="112">
        <f t="shared" si="61"/>
        <v>0</v>
      </c>
      <c r="Z96" s="112"/>
      <c r="AA96" s="112"/>
      <c r="AB96" s="112"/>
    </row>
    <row r="97" spans="1:29" ht="21.6" customHeight="1">
      <c r="A97" s="108">
        <v>9</v>
      </c>
      <c r="B97" s="876" t="s">
        <v>462</v>
      </c>
      <c r="C97" s="877"/>
      <c r="D97" s="111" t="s">
        <v>231</v>
      </c>
      <c r="E97" s="113" t="s">
        <v>1260</v>
      </c>
      <c r="F97" s="112">
        <f>23891.12</f>
        <v>23891.119999999999</v>
      </c>
      <c r="G97" s="112"/>
      <c r="H97" s="112">
        <f t="shared" si="79"/>
        <v>71673.36</v>
      </c>
      <c r="I97" s="112">
        <f t="shared" si="80"/>
        <v>1791.8340000000001</v>
      </c>
      <c r="J97" s="112">
        <v>0</v>
      </c>
      <c r="K97" s="112">
        <f t="shared" si="81"/>
        <v>11945.56</v>
      </c>
      <c r="L97" s="112">
        <f t="shared" si="82"/>
        <v>83618.92</v>
      </c>
      <c r="M97" s="112">
        <f t="shared" si="83"/>
        <v>23891.119999999999</v>
      </c>
      <c r="N97" s="43">
        <f t="shared" ref="N97:N98" si="86">120000</f>
        <v>120000</v>
      </c>
      <c r="O97" s="43"/>
      <c r="P97" s="112">
        <f t="shared" si="84"/>
        <v>2389.1120000000001</v>
      </c>
      <c r="Q97" s="112">
        <v>15000</v>
      </c>
      <c r="R97" s="112">
        <v>0</v>
      </c>
      <c r="S97" s="112">
        <f t="shared" si="85"/>
        <v>354201.02600000001</v>
      </c>
      <c r="T97" s="112">
        <v>346713.03324999998</v>
      </c>
      <c r="U97" s="112">
        <f t="shared" si="60"/>
        <v>7487.9927500000304</v>
      </c>
      <c r="V97" s="112"/>
      <c r="W97" s="112">
        <f t="shared" si="18"/>
        <v>7709.76</v>
      </c>
      <c r="X97" s="112">
        <v>7709.76</v>
      </c>
      <c r="Y97" s="112">
        <f t="shared" si="61"/>
        <v>0</v>
      </c>
      <c r="Z97" s="112"/>
      <c r="AA97" s="112"/>
      <c r="AB97" s="112"/>
    </row>
    <row r="98" spans="1:29" ht="21.6" customHeight="1">
      <c r="A98" s="108">
        <v>10</v>
      </c>
      <c r="B98" s="876" t="s">
        <v>463</v>
      </c>
      <c r="C98" s="877"/>
      <c r="D98" s="111" t="s">
        <v>231</v>
      </c>
      <c r="E98" s="113" t="s">
        <v>1260</v>
      </c>
      <c r="F98" s="112">
        <f>23891.12</f>
        <v>23891.119999999999</v>
      </c>
      <c r="G98" s="112"/>
      <c r="H98" s="112">
        <f t="shared" si="79"/>
        <v>71673.36</v>
      </c>
      <c r="I98" s="112">
        <f t="shared" si="80"/>
        <v>1791.8340000000001</v>
      </c>
      <c r="J98" s="112">
        <v>0</v>
      </c>
      <c r="K98" s="112">
        <f t="shared" si="81"/>
        <v>11945.56</v>
      </c>
      <c r="L98" s="112">
        <f t="shared" si="82"/>
        <v>83618.92</v>
      </c>
      <c r="M98" s="112">
        <f t="shared" si="83"/>
        <v>23891.119999999999</v>
      </c>
      <c r="N98" s="43">
        <f t="shared" si="86"/>
        <v>120000</v>
      </c>
      <c r="O98" s="43"/>
      <c r="P98" s="112">
        <f t="shared" si="84"/>
        <v>2389.1120000000001</v>
      </c>
      <c r="Q98" s="112">
        <v>15000</v>
      </c>
      <c r="R98" s="112">
        <v>0</v>
      </c>
      <c r="S98" s="112">
        <f t="shared" si="85"/>
        <v>354201.02600000001</v>
      </c>
      <c r="T98" s="112">
        <v>346713.03324999998</v>
      </c>
      <c r="U98" s="112">
        <f t="shared" si="60"/>
        <v>7487.9927500000304</v>
      </c>
      <c r="V98" s="112"/>
      <c r="W98" s="112">
        <f t="shared" si="18"/>
        <v>7709.76</v>
      </c>
      <c r="X98" s="112">
        <v>7709.76</v>
      </c>
      <c r="Y98" s="112">
        <f t="shared" si="61"/>
        <v>0</v>
      </c>
      <c r="Z98" s="112"/>
      <c r="AA98" s="112"/>
      <c r="AB98" s="112"/>
    </row>
    <row r="99" spans="1:29" ht="20.100000000000001" customHeight="1">
      <c r="A99" s="108"/>
      <c r="B99" s="883" t="s">
        <v>42</v>
      </c>
      <c r="C99" s="883"/>
      <c r="D99" s="103">
        <v>10</v>
      </c>
      <c r="E99" s="103"/>
      <c r="F99" s="143">
        <f>SUM(F89:F98)</f>
        <v>287626.82</v>
      </c>
      <c r="G99" s="143"/>
      <c r="H99" s="143">
        <f t="shared" ref="H99:N99" si="87">SUM(H89:H98)</f>
        <v>862880.46</v>
      </c>
      <c r="I99" s="143">
        <f t="shared" si="87"/>
        <v>21572.011500000001</v>
      </c>
      <c r="J99" s="143">
        <f t="shared" si="87"/>
        <v>120366.57</v>
      </c>
      <c r="K99" s="143">
        <f t="shared" si="87"/>
        <v>143813.41</v>
      </c>
      <c r="L99" s="143">
        <f t="shared" si="87"/>
        <v>1006693.87</v>
      </c>
      <c r="M99" s="143">
        <f t="shared" si="87"/>
        <v>287626.82</v>
      </c>
      <c r="N99" s="136">
        <f t="shared" si="87"/>
        <v>1420000</v>
      </c>
      <c r="O99" s="136"/>
      <c r="P99" s="143">
        <f>SUM(P89:P98)</f>
        <v>28762.682000000001</v>
      </c>
      <c r="Q99" s="143">
        <f>SUM(Q89:Q98)</f>
        <v>185000</v>
      </c>
      <c r="R99" s="143">
        <f>SUM(R89:R98)</f>
        <v>0</v>
      </c>
      <c r="S99" s="143">
        <f>SUM(S89:S98)</f>
        <v>4364342.6435000002</v>
      </c>
      <c r="T99" s="143">
        <v>4272772.3817499997</v>
      </c>
      <c r="U99" s="143">
        <f t="shared" si="60"/>
        <v>91570.2617500005</v>
      </c>
      <c r="V99" s="143"/>
      <c r="W99" s="143">
        <f>SUM(W89:W98)</f>
        <v>106683.07</v>
      </c>
      <c r="X99" s="143">
        <v>106683.07</v>
      </c>
      <c r="Y99" s="112">
        <f t="shared" si="61"/>
        <v>0</v>
      </c>
      <c r="Z99" s="143"/>
      <c r="AA99" s="143"/>
      <c r="AB99" s="143"/>
    </row>
    <row r="100" spans="1:29" ht="20.100000000000001" customHeight="1">
      <c r="A100" s="108"/>
      <c r="B100" s="123"/>
      <c r="C100" s="123"/>
      <c r="D100" s="103"/>
      <c r="E100" s="103"/>
      <c r="F100" s="142"/>
      <c r="G100" s="142"/>
      <c r="H100" s="142"/>
      <c r="I100" s="142"/>
      <c r="J100" s="142"/>
      <c r="K100" s="142"/>
      <c r="L100" s="142"/>
      <c r="M100" s="142"/>
      <c r="N100" s="43"/>
      <c r="O100" s="43"/>
      <c r="P100" s="142"/>
      <c r="Q100" s="142"/>
      <c r="R100" s="142"/>
      <c r="S100" s="142"/>
      <c r="T100" s="142"/>
      <c r="U100" s="112">
        <f t="shared" si="60"/>
        <v>0</v>
      </c>
      <c r="V100" s="142"/>
      <c r="W100" s="142"/>
      <c r="X100" s="142"/>
      <c r="Y100" s="112">
        <f t="shared" si="61"/>
        <v>0</v>
      </c>
      <c r="Z100" s="142"/>
      <c r="AA100" s="142"/>
      <c r="AB100" s="142"/>
    </row>
    <row r="101" spans="1:29" ht="20.100000000000001" customHeight="1">
      <c r="A101" s="108"/>
      <c r="B101" s="883" t="s">
        <v>1273</v>
      </c>
      <c r="C101" s="883"/>
      <c r="D101" s="103"/>
      <c r="E101" s="103"/>
      <c r="F101" s="142"/>
      <c r="G101" s="142"/>
      <c r="H101" s="142"/>
      <c r="I101" s="142"/>
      <c r="J101" s="142"/>
      <c r="K101" s="142"/>
      <c r="L101" s="142"/>
      <c r="M101" s="142"/>
      <c r="N101" s="43"/>
      <c r="O101" s="43"/>
      <c r="P101" s="142"/>
      <c r="Q101" s="142"/>
      <c r="R101" s="142"/>
      <c r="S101" s="142"/>
      <c r="T101" s="142"/>
      <c r="U101" s="112">
        <f t="shared" si="60"/>
        <v>0</v>
      </c>
      <c r="V101" s="142"/>
      <c r="W101" s="142"/>
      <c r="X101" s="142"/>
      <c r="Y101" s="112">
        <f t="shared" si="61"/>
        <v>0</v>
      </c>
      <c r="Z101" s="142"/>
      <c r="AA101" s="142"/>
      <c r="AB101" s="142"/>
    </row>
    <row r="102" spans="1:29" ht="20.100000000000001" customHeight="1">
      <c r="A102" s="108">
        <v>1</v>
      </c>
      <c r="B102" s="109" t="s">
        <v>341</v>
      </c>
      <c r="C102" s="110"/>
      <c r="D102" s="108" t="s">
        <v>342</v>
      </c>
      <c r="E102" s="113" t="s">
        <v>416</v>
      </c>
      <c r="F102" s="112">
        <f>41157.69</f>
        <v>41157.69</v>
      </c>
      <c r="G102" s="112"/>
      <c r="H102" s="112">
        <f t="shared" ref="H102:H103" si="88">F102*300%</f>
        <v>123473.07</v>
      </c>
      <c r="I102" s="112">
        <f t="shared" ref="I102:I103" si="89">F102*7.5%</f>
        <v>3086.8267500000002</v>
      </c>
      <c r="J102" s="112">
        <v>40122.19</v>
      </c>
      <c r="K102" s="112">
        <f t="shared" ref="K102:K103" si="90">F102*50%</f>
        <v>20578.845000000001</v>
      </c>
      <c r="L102" s="112">
        <f t="shared" ref="L102:L103" si="91">F102*350%</f>
        <v>144051.91500000001</v>
      </c>
      <c r="M102" s="112">
        <f t="shared" ref="M102:M103" si="92">F102*100%</f>
        <v>41157.69</v>
      </c>
      <c r="N102" s="43"/>
      <c r="O102" s="43">
        <f>90000</f>
        <v>90000</v>
      </c>
      <c r="P102" s="112">
        <f t="shared" ref="P102:P103" si="93">F102*10%</f>
        <v>4115.7690000000002</v>
      </c>
      <c r="Q102" s="112">
        <v>20000</v>
      </c>
      <c r="R102" s="112"/>
      <c r="S102" s="112">
        <f>SUM(F102:R102)</f>
        <v>527743.99575</v>
      </c>
      <c r="T102" s="112">
        <v>514023.33374999999</v>
      </c>
      <c r="U102" s="112">
        <f t="shared" si="60"/>
        <v>13720.662</v>
      </c>
      <c r="V102" s="112"/>
      <c r="W102" s="112">
        <f>21618.09</f>
        <v>21618.09</v>
      </c>
      <c r="X102" s="112">
        <v>21618.09</v>
      </c>
      <c r="Y102" s="112">
        <f t="shared" si="61"/>
        <v>0</v>
      </c>
      <c r="Z102" s="112"/>
      <c r="AA102" s="112"/>
      <c r="AB102" s="112"/>
    </row>
    <row r="103" spans="1:29" ht="20.100000000000001" customHeight="1">
      <c r="A103" s="108">
        <v>2</v>
      </c>
      <c r="B103" s="880" t="s">
        <v>359</v>
      </c>
      <c r="C103" s="881"/>
      <c r="D103" s="3" t="s">
        <v>474</v>
      </c>
      <c r="E103" s="9" t="s">
        <v>450</v>
      </c>
      <c r="F103" s="72">
        <f>26732.65</f>
        <v>26732.65</v>
      </c>
      <c r="G103" s="112"/>
      <c r="H103" s="72">
        <f t="shared" si="88"/>
        <v>80197.95</v>
      </c>
      <c r="I103" s="72">
        <f t="shared" si="89"/>
        <v>2004.94875</v>
      </c>
      <c r="J103" s="72"/>
      <c r="K103" s="72">
        <f t="shared" si="90"/>
        <v>13366.325000000001</v>
      </c>
      <c r="L103" s="72">
        <f t="shared" si="91"/>
        <v>93564.274999999994</v>
      </c>
      <c r="M103" s="72">
        <f t="shared" si="92"/>
        <v>26732.65</v>
      </c>
      <c r="N103" s="43"/>
      <c r="O103" s="43">
        <f>70000</f>
        <v>70000</v>
      </c>
      <c r="P103" s="72">
        <f t="shared" si="93"/>
        <v>2673.2649999999999</v>
      </c>
      <c r="Q103" s="72">
        <v>20000</v>
      </c>
      <c r="R103" s="72"/>
      <c r="S103" s="112">
        <f>SUM(F103:R103)</f>
        <v>335272.06374999997</v>
      </c>
      <c r="T103" s="112">
        <v>327211.36749999999</v>
      </c>
      <c r="U103" s="112">
        <f t="shared" si="60"/>
        <v>8060.69624999998</v>
      </c>
      <c r="V103" s="72"/>
      <c r="W103" s="112">
        <f t="shared" si="17"/>
        <v>7709.76</v>
      </c>
      <c r="X103" s="72">
        <v>7709.76</v>
      </c>
      <c r="Y103" s="112">
        <f t="shared" si="61"/>
        <v>0</v>
      </c>
      <c r="Z103" s="112"/>
      <c r="AA103" s="112"/>
      <c r="AB103" s="112"/>
      <c r="AC103" s="145"/>
    </row>
    <row r="104" spans="1:29" ht="20.100000000000001" customHeight="1">
      <c r="A104" s="108">
        <v>3</v>
      </c>
      <c r="B104" s="119" t="s">
        <v>1234</v>
      </c>
      <c r="C104" s="120"/>
      <c r="D104" s="3" t="s">
        <v>1235</v>
      </c>
      <c r="E104" s="113" t="s">
        <v>1260</v>
      </c>
      <c r="F104" s="112">
        <f>23891.12</f>
        <v>23891.119999999999</v>
      </c>
      <c r="G104" s="112"/>
      <c r="H104" s="112">
        <f t="shared" ref="H104:H105" si="94">F104*300%</f>
        <v>71673.36</v>
      </c>
      <c r="I104" s="112">
        <f t="shared" ref="I104:I105" si="95">F104*7.5%</f>
        <v>1791.8340000000001</v>
      </c>
      <c r="J104" s="112">
        <v>0</v>
      </c>
      <c r="K104" s="112">
        <f t="shared" ref="K104:K105" si="96">F104*50%</f>
        <v>11945.56</v>
      </c>
      <c r="L104" s="112">
        <f t="shared" ref="L104:L105" si="97">F104*350%</f>
        <v>83618.92</v>
      </c>
      <c r="M104" s="112">
        <f t="shared" ref="M104:M105" si="98">F104*100%</f>
        <v>23891.119999999999</v>
      </c>
      <c r="N104" s="43"/>
      <c r="O104" s="43">
        <v>70000</v>
      </c>
      <c r="P104" s="112">
        <f t="shared" ref="P104:P105" si="99">F104*10%</f>
        <v>2389.1120000000001</v>
      </c>
      <c r="Q104" s="112">
        <v>15000</v>
      </c>
      <c r="R104" s="112">
        <v>0</v>
      </c>
      <c r="S104" s="112">
        <f t="shared" ref="S104:S105" si="100">SUM(F104:R104)</f>
        <v>304201.02600000001</v>
      </c>
      <c r="T104" s="112">
        <v>296713.03324999998</v>
      </c>
      <c r="U104" s="112">
        <f t="shared" si="60"/>
        <v>7487.9927500000304</v>
      </c>
      <c r="V104" s="112"/>
      <c r="W104" s="112">
        <f t="shared" si="17"/>
        <v>7709.76</v>
      </c>
      <c r="X104" s="112">
        <v>7709.76</v>
      </c>
      <c r="Y104" s="112">
        <f t="shared" si="61"/>
        <v>0</v>
      </c>
      <c r="Z104" s="112"/>
      <c r="AA104" s="112"/>
      <c r="AB104" s="112"/>
      <c r="AC104" s="145"/>
    </row>
    <row r="105" spans="1:29" ht="20.100000000000001" customHeight="1">
      <c r="A105" s="108">
        <v>4</v>
      </c>
      <c r="B105" s="876" t="s">
        <v>475</v>
      </c>
      <c r="C105" s="877"/>
      <c r="D105" s="100" t="s">
        <v>1274</v>
      </c>
      <c r="E105" s="113" t="s">
        <v>1275</v>
      </c>
      <c r="F105" s="72">
        <f>19276.95</f>
        <v>19276.95</v>
      </c>
      <c r="G105" s="112"/>
      <c r="H105" s="112">
        <f t="shared" si="94"/>
        <v>57830.85</v>
      </c>
      <c r="I105" s="112">
        <f t="shared" si="95"/>
        <v>1445.77125</v>
      </c>
      <c r="J105" s="112"/>
      <c r="K105" s="112">
        <f t="shared" si="96"/>
        <v>9638.4750000000004</v>
      </c>
      <c r="L105" s="112">
        <f t="shared" si="97"/>
        <v>67469.324999999997</v>
      </c>
      <c r="M105" s="72">
        <f t="shared" si="98"/>
        <v>19276.95</v>
      </c>
      <c r="N105" s="43"/>
      <c r="O105" s="43">
        <f>60000</f>
        <v>60000</v>
      </c>
      <c r="P105" s="112">
        <f t="shared" si="99"/>
        <v>1927.6949999999999</v>
      </c>
      <c r="Q105" s="112">
        <v>10000</v>
      </c>
      <c r="R105" s="112"/>
      <c r="S105" s="112">
        <f t="shared" si="100"/>
        <v>246866.01624999999</v>
      </c>
      <c r="T105" s="112">
        <v>237734.04699999999</v>
      </c>
      <c r="U105" s="112">
        <f t="shared" si="60"/>
        <v>9131.9692500000492</v>
      </c>
      <c r="V105" s="112"/>
      <c r="W105" s="112">
        <v>3369.51</v>
      </c>
      <c r="X105" s="112">
        <v>3369.51</v>
      </c>
      <c r="Y105" s="112">
        <f t="shared" si="61"/>
        <v>0</v>
      </c>
      <c r="Z105" s="112"/>
      <c r="AA105" s="112"/>
      <c r="AB105" s="112"/>
      <c r="AC105" s="145"/>
    </row>
    <row r="106" spans="1:29" ht="20.100000000000001" customHeight="1">
      <c r="A106" s="100"/>
      <c r="B106" s="883" t="s">
        <v>42</v>
      </c>
      <c r="C106" s="883"/>
      <c r="D106" s="103">
        <v>4</v>
      </c>
      <c r="E106" s="147"/>
      <c r="F106" s="80">
        <f>SUM(F102:F105)</f>
        <v>111058.41</v>
      </c>
      <c r="G106" s="80"/>
      <c r="H106" s="80">
        <f t="shared" ref="H106:M106" si="101">SUM(H102:H105)</f>
        <v>333175.23</v>
      </c>
      <c r="I106" s="80">
        <f t="shared" si="101"/>
        <v>8329.3807500000003</v>
      </c>
      <c r="J106" s="80">
        <f t="shared" si="101"/>
        <v>40122.19</v>
      </c>
      <c r="K106" s="80">
        <f t="shared" si="101"/>
        <v>55529.205000000002</v>
      </c>
      <c r="L106" s="80">
        <f t="shared" si="101"/>
        <v>388704.435</v>
      </c>
      <c r="M106" s="80">
        <f t="shared" si="101"/>
        <v>111058.41</v>
      </c>
      <c r="N106" s="136"/>
      <c r="O106" s="136">
        <f>SUM(O102:O105)</f>
        <v>290000</v>
      </c>
      <c r="P106" s="80">
        <f>SUM(P102:P105)</f>
        <v>11105.841</v>
      </c>
      <c r="Q106" s="80">
        <f>SUM(Q102:Q105)</f>
        <v>65000</v>
      </c>
      <c r="R106" s="80">
        <f>SUM(R102:R105)</f>
        <v>0</v>
      </c>
      <c r="S106" s="80">
        <f>SUM(S102:S105)</f>
        <v>1414083.1017499999</v>
      </c>
      <c r="T106" s="80">
        <v>1375681.7815</v>
      </c>
      <c r="U106" s="143">
        <f t="shared" si="60"/>
        <v>38401.320250000099</v>
      </c>
      <c r="V106" s="80"/>
      <c r="W106" s="80">
        <f t="shared" ref="W106" si="102">SUM(W102:W105)</f>
        <v>40407.120000000003</v>
      </c>
      <c r="X106" s="80">
        <v>40407.120000000003</v>
      </c>
      <c r="Y106" s="112">
        <f t="shared" si="61"/>
        <v>0</v>
      </c>
      <c r="Z106" s="80"/>
      <c r="AA106" s="80"/>
      <c r="AB106" s="80"/>
      <c r="AC106" s="145"/>
    </row>
    <row r="107" spans="1:29" ht="20.100000000000001" customHeight="1">
      <c r="A107" s="100"/>
      <c r="B107" s="123"/>
      <c r="C107" s="123"/>
      <c r="D107" s="103"/>
      <c r="E107" s="147"/>
      <c r="F107" s="134"/>
      <c r="G107" s="134"/>
      <c r="H107" s="134"/>
      <c r="I107" s="134"/>
      <c r="J107" s="134"/>
      <c r="K107" s="134"/>
      <c r="L107" s="134"/>
      <c r="M107" s="134"/>
      <c r="N107" s="43"/>
      <c r="O107" s="43"/>
      <c r="P107" s="134"/>
      <c r="Q107" s="134"/>
      <c r="R107" s="134"/>
      <c r="S107" s="134"/>
      <c r="T107" s="134"/>
      <c r="U107" s="112">
        <f t="shared" si="60"/>
        <v>0</v>
      </c>
      <c r="V107" s="134"/>
      <c r="W107" s="134"/>
      <c r="X107" s="134"/>
      <c r="Y107" s="112">
        <f t="shared" si="61"/>
        <v>0</v>
      </c>
      <c r="Z107" s="134"/>
      <c r="AA107" s="134"/>
      <c r="AB107" s="134"/>
    </row>
    <row r="108" spans="1:29" ht="20.100000000000001" customHeight="1">
      <c r="A108" s="100"/>
      <c r="B108" s="883" t="s">
        <v>1276</v>
      </c>
      <c r="C108" s="883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43"/>
      <c r="O108" s="43"/>
      <c r="P108" s="100"/>
      <c r="Q108" s="100"/>
      <c r="R108" s="100"/>
      <c r="S108" s="100"/>
      <c r="T108" s="100"/>
      <c r="U108" s="112">
        <f t="shared" si="60"/>
        <v>0</v>
      </c>
      <c r="V108" s="100"/>
      <c r="W108" s="100"/>
      <c r="X108" s="100"/>
      <c r="Y108" s="112">
        <f t="shared" si="61"/>
        <v>0</v>
      </c>
      <c r="Z108" s="100"/>
      <c r="AA108" s="100"/>
      <c r="AB108" s="100"/>
    </row>
    <row r="109" spans="1:29" ht="20.100000000000001" customHeight="1">
      <c r="A109" s="100">
        <v>1</v>
      </c>
      <c r="B109" s="876" t="s">
        <v>480</v>
      </c>
      <c r="C109" s="877"/>
      <c r="D109" s="111" t="s">
        <v>481</v>
      </c>
      <c r="E109" s="113" t="s">
        <v>405</v>
      </c>
      <c r="F109" s="112">
        <f>81740.02</f>
        <v>81740.02</v>
      </c>
      <c r="G109" s="112"/>
      <c r="H109" s="112">
        <f>F109*300%</f>
        <v>245220.06</v>
      </c>
      <c r="I109" s="112">
        <f>F109*7.5%</f>
        <v>6130.5015000000003</v>
      </c>
      <c r="J109" s="112">
        <v>80244.38</v>
      </c>
      <c r="K109" s="112">
        <f>F109*50%</f>
        <v>40870.01</v>
      </c>
      <c r="L109" s="112">
        <f>F109*350%</f>
        <v>286090.07</v>
      </c>
      <c r="M109" s="112">
        <f>F109*100%</f>
        <v>81740.02</v>
      </c>
      <c r="N109" s="43">
        <f>200000</f>
        <v>200000</v>
      </c>
      <c r="O109" s="43"/>
      <c r="P109" s="112">
        <f>F109*10%</f>
        <v>8174.0020000000004</v>
      </c>
      <c r="Q109" s="112">
        <v>20000</v>
      </c>
      <c r="R109" s="112">
        <v>0</v>
      </c>
      <c r="S109" s="112">
        <f>SUM(F109:R109)</f>
        <v>1050209.0634999999</v>
      </c>
      <c r="T109" s="112">
        <v>1025433.077</v>
      </c>
      <c r="U109" s="112">
        <f t="shared" si="60"/>
        <v>24775.986500000101</v>
      </c>
      <c r="V109" s="112"/>
      <c r="W109" s="112">
        <f>52776.63</f>
        <v>52776.63</v>
      </c>
      <c r="X109" s="112">
        <v>52776.63</v>
      </c>
      <c r="Y109" s="112">
        <f t="shared" si="61"/>
        <v>0</v>
      </c>
      <c r="Z109" s="112"/>
      <c r="AA109" s="112"/>
      <c r="AB109" s="112"/>
    </row>
    <row r="110" spans="1:29" ht="20.100000000000001" customHeight="1">
      <c r="A110" s="100">
        <v>2</v>
      </c>
      <c r="B110" s="898" t="s">
        <v>482</v>
      </c>
      <c r="C110" s="899"/>
      <c r="D110" s="100" t="s">
        <v>483</v>
      </c>
      <c r="E110" s="108" t="s">
        <v>358</v>
      </c>
      <c r="F110" s="112">
        <f>33507.5</f>
        <v>33507.5</v>
      </c>
      <c r="G110" s="112"/>
      <c r="H110" s="112">
        <f>F110*300%</f>
        <v>100522.5</v>
      </c>
      <c r="I110" s="112">
        <f>F110*7.5%</f>
        <v>2513.0625</v>
      </c>
      <c r="J110" s="112">
        <v>40122.19</v>
      </c>
      <c r="K110" s="112">
        <f>F110*50%</f>
        <v>16753.75</v>
      </c>
      <c r="L110" s="112">
        <f>F110*350%</f>
        <v>117276.25</v>
      </c>
      <c r="M110" s="112">
        <f>F110*100%</f>
        <v>33507.5</v>
      </c>
      <c r="N110" s="43">
        <f>160000</f>
        <v>160000</v>
      </c>
      <c r="O110" s="43"/>
      <c r="P110" s="112">
        <f>F110*10%</f>
        <v>3350.75</v>
      </c>
      <c r="Q110" s="112">
        <v>20000</v>
      </c>
      <c r="R110" s="112">
        <v>0</v>
      </c>
      <c r="S110" s="112">
        <f>SUM(F110:R110)</f>
        <v>527553.50249999994</v>
      </c>
      <c r="T110" s="112">
        <v>527553.50249999994</v>
      </c>
      <c r="U110" s="112">
        <f t="shared" si="60"/>
        <v>0</v>
      </c>
      <c r="V110" s="112"/>
      <c r="W110" s="112">
        <v>15548.33</v>
      </c>
      <c r="X110" s="112">
        <v>15548.33</v>
      </c>
      <c r="Y110" s="112">
        <f t="shared" si="61"/>
        <v>0</v>
      </c>
      <c r="Z110" s="112"/>
      <c r="AA110" s="112"/>
      <c r="AB110" s="112"/>
    </row>
    <row r="111" spans="1:29" ht="20.100000000000001" customHeight="1">
      <c r="A111" s="100">
        <v>3</v>
      </c>
      <c r="B111" s="876" t="s">
        <v>484</v>
      </c>
      <c r="C111" s="877"/>
      <c r="D111" s="100" t="s">
        <v>485</v>
      </c>
      <c r="E111" s="108" t="s">
        <v>372</v>
      </c>
      <c r="F111" s="112">
        <f>26339.3</f>
        <v>26339.3</v>
      </c>
      <c r="G111" s="112"/>
      <c r="H111" s="112">
        <f>F111*300%</f>
        <v>79017.899999999994</v>
      </c>
      <c r="I111" s="112">
        <f>F111*7.5%</f>
        <v>1975.4475</v>
      </c>
      <c r="J111" s="112">
        <v>0</v>
      </c>
      <c r="K111" s="112">
        <f>F111*50%</f>
        <v>13169.65</v>
      </c>
      <c r="L111" s="112">
        <f>F111*350%</f>
        <v>92187.55</v>
      </c>
      <c r="M111" s="112">
        <f>F111*100%</f>
        <v>26339.3</v>
      </c>
      <c r="N111" s="43">
        <f>120000</f>
        <v>120000</v>
      </c>
      <c r="O111" s="43"/>
      <c r="P111" s="112">
        <f>F111*10%</f>
        <v>2633.93</v>
      </c>
      <c r="Q111" s="112">
        <v>15000</v>
      </c>
      <c r="R111" s="112" t="e">
        <f>#REF!</f>
        <v>#REF!</v>
      </c>
      <c r="S111" s="112" t="e">
        <f>SUM(F111:R111)</f>
        <v>#REF!</v>
      </c>
      <c r="T111" s="112">
        <v>418096.01602500002</v>
      </c>
      <c r="U111" s="112" t="e">
        <f t="shared" si="60"/>
        <v>#REF!</v>
      </c>
      <c r="V111" s="112"/>
      <c r="W111" s="112">
        <f>7709.76</f>
        <v>7709.76</v>
      </c>
      <c r="X111" s="112">
        <v>7709.76</v>
      </c>
      <c r="Y111" s="112">
        <f t="shared" si="61"/>
        <v>0</v>
      </c>
      <c r="Z111" s="112"/>
      <c r="AA111" s="112"/>
      <c r="AB111" s="112"/>
    </row>
    <row r="112" spans="1:29" ht="20.100000000000001" customHeight="1">
      <c r="A112" s="100">
        <v>4</v>
      </c>
      <c r="B112" s="880" t="s">
        <v>486</v>
      </c>
      <c r="C112" s="881"/>
      <c r="D112" s="100" t="s">
        <v>485</v>
      </c>
      <c r="E112" s="9" t="s">
        <v>375</v>
      </c>
      <c r="F112" s="72">
        <f>25523.45</f>
        <v>25523.45</v>
      </c>
      <c r="G112" s="72"/>
      <c r="H112" s="72">
        <f>F112*300%</f>
        <v>76570.350000000006</v>
      </c>
      <c r="I112" s="72">
        <f>F112*7.5%</f>
        <v>1914.25875</v>
      </c>
      <c r="J112" s="72">
        <v>0</v>
      </c>
      <c r="K112" s="72">
        <f>F112*50%</f>
        <v>12761.725</v>
      </c>
      <c r="L112" s="72">
        <f>F112*350%</f>
        <v>89332.074999999997</v>
      </c>
      <c r="M112" s="72">
        <f>F112*100%</f>
        <v>25523.45</v>
      </c>
      <c r="N112" s="43">
        <f>120000</f>
        <v>120000</v>
      </c>
      <c r="O112" s="43"/>
      <c r="P112" s="72">
        <f>F112*10%</f>
        <v>2552.3449999999998</v>
      </c>
      <c r="Q112" s="72">
        <v>15000</v>
      </c>
      <c r="R112" s="72" t="e">
        <f>#REF!</f>
        <v>#REF!</v>
      </c>
      <c r="S112" s="112" t="e">
        <f>SUM(F112:R112)</f>
        <v>#REF!</v>
      </c>
      <c r="T112" s="112">
        <v>401821.17715499998</v>
      </c>
      <c r="U112" s="112" t="e">
        <f t="shared" si="60"/>
        <v>#REF!</v>
      </c>
      <c r="V112" s="72"/>
      <c r="W112" s="72">
        <f>7709.76</f>
        <v>7709.76</v>
      </c>
      <c r="X112" s="72">
        <v>7709.76</v>
      </c>
      <c r="Y112" s="112">
        <f t="shared" si="61"/>
        <v>0</v>
      </c>
      <c r="Z112" s="112"/>
      <c r="AA112" s="112"/>
      <c r="AB112" s="112"/>
    </row>
    <row r="113" spans="1:28" ht="20.100000000000001" customHeight="1">
      <c r="A113" s="100">
        <v>5</v>
      </c>
      <c r="B113" s="876" t="s">
        <v>487</v>
      </c>
      <c r="C113" s="877"/>
      <c r="D113" s="45" t="s">
        <v>488</v>
      </c>
      <c r="E113" s="113" t="s">
        <v>1048</v>
      </c>
      <c r="F113" s="122">
        <f>13492.21</f>
        <v>13492.21</v>
      </c>
      <c r="G113" s="112"/>
      <c r="H113" s="112">
        <f>F113*300%</f>
        <v>40476.629999999997</v>
      </c>
      <c r="I113" s="112">
        <f>F113*7.5%</f>
        <v>1011.91575</v>
      </c>
      <c r="J113" s="112"/>
      <c r="K113" s="112">
        <f>F113*50%</f>
        <v>6746.1049999999996</v>
      </c>
      <c r="L113" s="112">
        <f>F113*350%</f>
        <v>47222.735000000001</v>
      </c>
      <c r="M113" s="112">
        <f>F113*100%</f>
        <v>13492.21</v>
      </c>
      <c r="N113" s="43">
        <f>100000</f>
        <v>100000</v>
      </c>
      <c r="O113" s="43"/>
      <c r="P113" s="112">
        <f>F113*10%</f>
        <v>1349.221</v>
      </c>
      <c r="Q113" s="112">
        <v>10000</v>
      </c>
      <c r="R113" s="112" t="e">
        <f>#REF!</f>
        <v>#REF!</v>
      </c>
      <c r="S113" s="112" t="e">
        <f>SUM(F113:R113)</f>
        <v>#REF!</v>
      </c>
      <c r="T113" s="112">
        <v>255637.51548</v>
      </c>
      <c r="U113" s="112" t="e">
        <f t="shared" si="60"/>
        <v>#REF!</v>
      </c>
      <c r="V113" s="112"/>
      <c r="W113" s="112">
        <v>1484.37</v>
      </c>
      <c r="X113" s="112">
        <v>1484.37</v>
      </c>
      <c r="Y113" s="112">
        <f t="shared" si="61"/>
        <v>0</v>
      </c>
      <c r="Z113" s="112"/>
      <c r="AA113" s="112"/>
      <c r="AB113" s="112"/>
    </row>
    <row r="114" spans="1:28" ht="20.100000000000001" customHeight="1">
      <c r="A114" s="100">
        <v>6</v>
      </c>
      <c r="B114" s="119" t="s">
        <v>490</v>
      </c>
      <c r="C114" s="120"/>
      <c r="D114" s="45" t="s">
        <v>488</v>
      </c>
      <c r="E114" s="108" t="s">
        <v>399</v>
      </c>
      <c r="F114" s="112">
        <f>13112.16</f>
        <v>13112.16</v>
      </c>
      <c r="G114" s="112"/>
      <c r="H114" s="112">
        <f t="shared" ref="H114:H116" si="103">F114*300%</f>
        <v>39336.480000000003</v>
      </c>
      <c r="I114" s="112">
        <f t="shared" ref="I114:I116" si="104">F114*7.5%</f>
        <v>983.41200000000003</v>
      </c>
      <c r="J114" s="112"/>
      <c r="K114" s="112">
        <f t="shared" ref="K114:K116" si="105">F114*50%</f>
        <v>6556.08</v>
      </c>
      <c r="L114" s="112">
        <f t="shared" ref="L114:L116" si="106">F114*350%</f>
        <v>45892.56</v>
      </c>
      <c r="M114" s="112">
        <f t="shared" ref="M114:M116" si="107">F114*100%</f>
        <v>13112.16</v>
      </c>
      <c r="N114" s="43">
        <f>100000</f>
        <v>100000</v>
      </c>
      <c r="O114" s="43"/>
      <c r="P114" s="112">
        <f t="shared" ref="P114:P116" si="108">F114*10%</f>
        <v>1311.2159999999999</v>
      </c>
      <c r="Q114" s="112">
        <v>10000</v>
      </c>
      <c r="R114" s="112" t="e">
        <f>#REF!</f>
        <v>#REF!</v>
      </c>
      <c r="S114" s="112" t="e">
        <f t="shared" ref="S114:S116" si="109">SUM(F114:R114)</f>
        <v>#REF!</v>
      </c>
      <c r="T114" s="112">
        <v>251765.87100000001</v>
      </c>
      <c r="U114" s="112" t="e">
        <f t="shared" si="60"/>
        <v>#REF!</v>
      </c>
      <c r="V114" s="112"/>
      <c r="W114" s="112">
        <v>1484.37</v>
      </c>
      <c r="X114" s="112">
        <v>1484.37</v>
      </c>
      <c r="Y114" s="112">
        <f t="shared" si="61"/>
        <v>0</v>
      </c>
      <c r="Z114" s="112"/>
      <c r="AA114" s="112"/>
      <c r="AB114" s="112"/>
    </row>
    <row r="115" spans="1:28" ht="20.100000000000001" customHeight="1">
      <c r="A115" s="100">
        <v>7</v>
      </c>
      <c r="B115" s="109" t="s">
        <v>492</v>
      </c>
      <c r="C115" s="110"/>
      <c r="D115" s="45" t="s">
        <v>488</v>
      </c>
      <c r="E115" s="113" t="s">
        <v>72</v>
      </c>
      <c r="F115" s="122">
        <f>12351.94</f>
        <v>12351.94</v>
      </c>
      <c r="G115" s="112"/>
      <c r="H115" s="112">
        <f t="shared" si="103"/>
        <v>37055.82</v>
      </c>
      <c r="I115" s="112">
        <f t="shared" si="104"/>
        <v>926.39549999999997</v>
      </c>
      <c r="J115" s="112"/>
      <c r="K115" s="112">
        <f t="shared" si="105"/>
        <v>6175.97</v>
      </c>
      <c r="L115" s="112">
        <f t="shared" si="106"/>
        <v>43231.79</v>
      </c>
      <c r="M115" s="112">
        <f t="shared" si="107"/>
        <v>12351.94</v>
      </c>
      <c r="N115" s="43">
        <f t="shared" ref="N115:N116" si="110">100000</f>
        <v>100000</v>
      </c>
      <c r="O115" s="43"/>
      <c r="P115" s="112">
        <f t="shared" si="108"/>
        <v>1235.194</v>
      </c>
      <c r="Q115" s="112">
        <v>10000</v>
      </c>
      <c r="R115" s="112" t="e">
        <f>#REF!</f>
        <v>#REF!</v>
      </c>
      <c r="S115" s="112" t="e">
        <f t="shared" si="109"/>
        <v>#REF!</v>
      </c>
      <c r="T115" s="112">
        <v>247895.24494500001</v>
      </c>
      <c r="U115" s="112" t="e">
        <f t="shared" si="60"/>
        <v>#REF!</v>
      </c>
      <c r="V115" s="112"/>
      <c r="W115" s="112">
        <v>1484.37</v>
      </c>
      <c r="X115" s="112">
        <v>1484.37</v>
      </c>
      <c r="Y115" s="112">
        <f t="shared" si="61"/>
        <v>0</v>
      </c>
      <c r="Z115" s="112"/>
      <c r="AA115" s="112"/>
      <c r="AB115" s="112"/>
    </row>
    <row r="116" spans="1:28" ht="20.100000000000001" customHeight="1">
      <c r="A116" s="100">
        <v>8</v>
      </c>
      <c r="B116" s="109" t="s">
        <v>1313</v>
      </c>
      <c r="C116" s="110"/>
      <c r="D116" s="45" t="s">
        <v>488</v>
      </c>
      <c r="E116" s="113" t="s">
        <v>72</v>
      </c>
      <c r="F116" s="122">
        <f>12351.94</f>
        <v>12351.94</v>
      </c>
      <c r="G116" s="112"/>
      <c r="H116" s="112">
        <f t="shared" si="103"/>
        <v>37055.82</v>
      </c>
      <c r="I116" s="112">
        <f t="shared" si="104"/>
        <v>926.39549999999997</v>
      </c>
      <c r="J116" s="112"/>
      <c r="K116" s="112">
        <f t="shared" si="105"/>
        <v>6175.97</v>
      </c>
      <c r="L116" s="112">
        <f t="shared" si="106"/>
        <v>43231.79</v>
      </c>
      <c r="M116" s="112">
        <f t="shared" si="107"/>
        <v>12351.94</v>
      </c>
      <c r="N116" s="43">
        <f t="shared" si="110"/>
        <v>100000</v>
      </c>
      <c r="O116" s="43"/>
      <c r="P116" s="112">
        <f t="shared" si="108"/>
        <v>1235.194</v>
      </c>
      <c r="Q116" s="112">
        <v>10000</v>
      </c>
      <c r="R116" s="112" t="e">
        <f>#REF!</f>
        <v>#REF!</v>
      </c>
      <c r="S116" s="112" t="e">
        <f t="shared" si="109"/>
        <v>#REF!</v>
      </c>
      <c r="T116" s="112">
        <v>247895.24494500001</v>
      </c>
      <c r="U116" s="112" t="e">
        <f t="shared" si="60"/>
        <v>#REF!</v>
      </c>
      <c r="V116" s="112"/>
      <c r="W116" s="112">
        <v>1484.37</v>
      </c>
      <c r="X116" s="112">
        <v>1484.37</v>
      </c>
      <c r="Y116" s="112">
        <f t="shared" si="61"/>
        <v>0</v>
      </c>
      <c r="Z116" s="112"/>
      <c r="AA116" s="112"/>
      <c r="AB116" s="112"/>
    </row>
    <row r="117" spans="1:28" ht="20.100000000000001" customHeight="1">
      <c r="A117" s="100"/>
      <c r="B117" s="883" t="s">
        <v>42</v>
      </c>
      <c r="C117" s="883"/>
      <c r="D117" s="108">
        <v>8</v>
      </c>
      <c r="E117" s="100"/>
      <c r="F117" s="148">
        <f>SUM(F109:F116)</f>
        <v>218418.52</v>
      </c>
      <c r="G117" s="148"/>
      <c r="H117" s="148">
        <f t="shared" ref="H117:N117" si="111">SUM(H109:H116)</f>
        <v>655255.56000000006</v>
      </c>
      <c r="I117" s="148">
        <f t="shared" si="111"/>
        <v>16381.388999999999</v>
      </c>
      <c r="J117" s="148">
        <f t="shared" si="111"/>
        <v>120366.57</v>
      </c>
      <c r="K117" s="148">
        <f t="shared" si="111"/>
        <v>109209.26</v>
      </c>
      <c r="L117" s="148">
        <f t="shared" si="111"/>
        <v>764464.82</v>
      </c>
      <c r="M117" s="148">
        <f t="shared" si="111"/>
        <v>218418.52</v>
      </c>
      <c r="N117" s="136">
        <f t="shared" si="111"/>
        <v>1000000</v>
      </c>
      <c r="O117" s="136"/>
      <c r="P117" s="148">
        <f>SUM(P109:P116)</f>
        <v>21841.851999999999</v>
      </c>
      <c r="Q117" s="148">
        <f>SUM(Q109:Q116)</f>
        <v>110000</v>
      </c>
      <c r="R117" s="148" t="e">
        <f>SUM(R109:R116)</f>
        <v>#REF!</v>
      </c>
      <c r="S117" s="148" t="e">
        <f>SUM(S109:S116)</f>
        <v>#REF!</v>
      </c>
      <c r="T117" s="148">
        <v>3376097.6490500001</v>
      </c>
      <c r="U117" s="143" t="e">
        <f t="shared" si="60"/>
        <v>#REF!</v>
      </c>
      <c r="V117" s="148"/>
      <c r="W117" s="148">
        <f t="shared" ref="W117" si="112">SUM(W109:W116)</f>
        <v>89681.96</v>
      </c>
      <c r="X117" s="148">
        <v>89681.96</v>
      </c>
      <c r="Y117" s="112">
        <f t="shared" si="61"/>
        <v>0</v>
      </c>
      <c r="Z117" s="148"/>
      <c r="AA117" s="148"/>
      <c r="AB117" s="148"/>
    </row>
    <row r="118" spans="1:28" ht="20.100000000000001" customHeight="1">
      <c r="A118" s="100"/>
      <c r="B118" s="123"/>
      <c r="C118" s="123"/>
      <c r="D118" s="108"/>
      <c r="E118" s="100"/>
      <c r="F118" s="149"/>
      <c r="G118" s="105"/>
      <c r="H118" s="149"/>
      <c r="I118" s="149"/>
      <c r="J118" s="149"/>
      <c r="K118" s="149"/>
      <c r="L118" s="149"/>
      <c r="M118" s="149"/>
      <c r="N118" s="43"/>
      <c r="O118" s="43"/>
      <c r="P118" s="149"/>
      <c r="Q118" s="149"/>
      <c r="R118" s="149"/>
      <c r="S118" s="149"/>
      <c r="T118" s="149"/>
      <c r="U118" s="112">
        <f t="shared" si="60"/>
        <v>0</v>
      </c>
      <c r="V118" s="149"/>
      <c r="W118" s="149"/>
      <c r="X118" s="149"/>
      <c r="Y118" s="112">
        <f t="shared" si="61"/>
        <v>0</v>
      </c>
      <c r="Z118" s="149"/>
      <c r="AA118" s="149"/>
      <c r="AB118" s="149"/>
    </row>
    <row r="119" spans="1:28" ht="20.100000000000001" customHeight="1">
      <c r="A119" s="100"/>
      <c r="B119" s="883" t="s">
        <v>1277</v>
      </c>
      <c r="C119" s="883"/>
      <c r="D119" s="103"/>
      <c r="E119" s="103"/>
      <c r="F119" s="142"/>
      <c r="G119" s="142"/>
      <c r="H119" s="142"/>
      <c r="I119" s="142"/>
      <c r="J119" s="142"/>
      <c r="K119" s="142"/>
      <c r="L119" s="142"/>
      <c r="M119" s="142"/>
      <c r="N119" s="43"/>
      <c r="O119" s="43"/>
      <c r="P119" s="142"/>
      <c r="Q119" s="142"/>
      <c r="R119" s="142"/>
      <c r="S119" s="142"/>
      <c r="T119" s="142"/>
      <c r="U119" s="112">
        <f t="shared" si="60"/>
        <v>0</v>
      </c>
      <c r="V119" s="142"/>
      <c r="W119" s="142"/>
      <c r="X119" s="142"/>
      <c r="Y119" s="112">
        <f t="shared" si="61"/>
        <v>0</v>
      </c>
      <c r="Z119" s="112"/>
      <c r="AA119" s="112"/>
      <c r="AB119" s="112"/>
    </row>
    <row r="120" spans="1:28" ht="20.100000000000001" customHeight="1">
      <c r="A120" s="100">
        <v>1</v>
      </c>
      <c r="B120" s="882" t="s">
        <v>499</v>
      </c>
      <c r="C120" s="882"/>
      <c r="D120" s="111" t="s">
        <v>500</v>
      </c>
      <c r="E120" s="113" t="s">
        <v>405</v>
      </c>
      <c r="F120" s="112">
        <f>81740.02</f>
        <v>81740.02</v>
      </c>
      <c r="G120" s="112"/>
      <c r="H120" s="112">
        <f t="shared" ref="H120:H128" si="113">F120*300%</f>
        <v>245220.06</v>
      </c>
      <c r="I120" s="112">
        <f t="shared" ref="I120:I128" si="114">F120*7.5%</f>
        <v>6130.5015000000003</v>
      </c>
      <c r="J120" s="112">
        <f>80244.38</f>
        <v>80244.38</v>
      </c>
      <c r="K120" s="112">
        <f t="shared" ref="K120:K128" si="115">F120*50%</f>
        <v>40870.01</v>
      </c>
      <c r="L120" s="112">
        <f t="shared" ref="L120:L128" si="116">F120*350%</f>
        <v>286090.07</v>
      </c>
      <c r="M120" s="112">
        <f t="shared" ref="M120:M128" si="117">F120*100%</f>
        <v>81740.02</v>
      </c>
      <c r="N120" s="43"/>
      <c r="O120" s="43">
        <f>100000</f>
        <v>100000</v>
      </c>
      <c r="P120" s="112">
        <f t="shared" ref="P120:P128" si="118">F120*10%</f>
        <v>8174.0020000000004</v>
      </c>
      <c r="Q120" s="112">
        <v>20000</v>
      </c>
      <c r="R120" s="112">
        <v>100000</v>
      </c>
      <c r="S120" s="112">
        <f t="shared" ref="S120:S128" si="119">SUM(F120:R120)</f>
        <v>1050209.0634999999</v>
      </c>
      <c r="T120" s="112">
        <v>1050209.0634999999</v>
      </c>
      <c r="U120" s="112">
        <f t="shared" si="60"/>
        <v>0</v>
      </c>
      <c r="V120" s="112"/>
      <c r="W120" s="112">
        <f>52776.63</f>
        <v>52776.63</v>
      </c>
      <c r="X120" s="112">
        <v>52776.63</v>
      </c>
      <c r="Y120" s="112">
        <f t="shared" si="61"/>
        <v>0</v>
      </c>
      <c r="Z120" s="112"/>
      <c r="AA120" s="112"/>
      <c r="AB120" s="112"/>
    </row>
    <row r="121" spans="1:28" ht="20.100000000000001" customHeight="1">
      <c r="A121" s="100">
        <v>2</v>
      </c>
      <c r="B121" s="882" t="s">
        <v>1237</v>
      </c>
      <c r="C121" s="882"/>
      <c r="D121" s="111" t="s">
        <v>1238</v>
      </c>
      <c r="E121" s="113" t="s">
        <v>340</v>
      </c>
      <c r="F121" s="112">
        <f>42653.17</f>
        <v>42653.17</v>
      </c>
      <c r="G121" s="112"/>
      <c r="H121" s="112">
        <f t="shared" si="113"/>
        <v>127959.51</v>
      </c>
      <c r="I121" s="112">
        <f t="shared" si="114"/>
        <v>3198.9877499999998</v>
      </c>
      <c r="J121" s="112">
        <v>40122.19</v>
      </c>
      <c r="K121" s="112">
        <f t="shared" si="115"/>
        <v>21326.584999999999</v>
      </c>
      <c r="L121" s="112">
        <f t="shared" si="116"/>
        <v>149286.095</v>
      </c>
      <c r="M121" s="112">
        <f t="shared" si="117"/>
        <v>42653.17</v>
      </c>
      <c r="N121" s="43"/>
      <c r="O121" s="43">
        <f>90000</f>
        <v>90000</v>
      </c>
      <c r="P121" s="112">
        <f t="shared" si="118"/>
        <v>4265.317</v>
      </c>
      <c r="Q121" s="112">
        <v>20000</v>
      </c>
      <c r="R121" s="112">
        <f>100000</f>
        <v>100000</v>
      </c>
      <c r="S121" s="112">
        <f t="shared" si="119"/>
        <v>641465.02474999998</v>
      </c>
      <c r="T121" s="112">
        <v>641465.02474999998</v>
      </c>
      <c r="U121" s="112">
        <f t="shared" si="60"/>
        <v>0</v>
      </c>
      <c r="V121" s="112"/>
      <c r="W121" s="112">
        <f>21618.09</f>
        <v>21618.09</v>
      </c>
      <c r="X121" s="112">
        <v>21618.09</v>
      </c>
      <c r="Y121" s="112">
        <f t="shared" si="61"/>
        <v>0</v>
      </c>
      <c r="Z121" s="112"/>
      <c r="AA121" s="112"/>
      <c r="AB121" s="112"/>
    </row>
    <row r="122" spans="1:28" ht="20.100000000000001" customHeight="1">
      <c r="A122" s="100">
        <v>3</v>
      </c>
      <c r="B122" s="882" t="s">
        <v>178</v>
      </c>
      <c r="C122" s="882"/>
      <c r="D122" s="111" t="s">
        <v>337</v>
      </c>
      <c r="E122" s="113" t="s">
        <v>358</v>
      </c>
      <c r="F122" s="72">
        <f>33507.5</f>
        <v>33507.5</v>
      </c>
      <c r="G122" s="112"/>
      <c r="H122" s="112">
        <f t="shared" si="113"/>
        <v>100522.5</v>
      </c>
      <c r="I122" s="112">
        <f t="shared" si="114"/>
        <v>2513.0625</v>
      </c>
      <c r="J122" s="112">
        <v>40122.19</v>
      </c>
      <c r="K122" s="112">
        <f t="shared" si="115"/>
        <v>16753.75</v>
      </c>
      <c r="L122" s="112">
        <f t="shared" si="116"/>
        <v>117276.25</v>
      </c>
      <c r="M122" s="112">
        <f t="shared" si="117"/>
        <v>33507.5</v>
      </c>
      <c r="N122" s="43"/>
      <c r="O122" s="43">
        <f>80000</f>
        <v>80000</v>
      </c>
      <c r="P122" s="112">
        <f t="shared" si="118"/>
        <v>3350.75</v>
      </c>
      <c r="Q122" s="112">
        <v>20000</v>
      </c>
      <c r="R122" s="112">
        <v>0</v>
      </c>
      <c r="S122" s="112">
        <f t="shared" si="119"/>
        <v>447553.5025</v>
      </c>
      <c r="T122" s="112">
        <v>447553.5025</v>
      </c>
      <c r="U122" s="112">
        <f t="shared" si="60"/>
        <v>0</v>
      </c>
      <c r="V122" s="112"/>
      <c r="W122" s="112">
        <v>15548.33</v>
      </c>
      <c r="X122" s="112">
        <v>15548.33</v>
      </c>
      <c r="Y122" s="112">
        <f t="shared" si="61"/>
        <v>0</v>
      </c>
      <c r="Z122" s="112"/>
      <c r="AA122" s="112"/>
      <c r="AB122" s="112"/>
    </row>
    <row r="123" spans="1:28" ht="20.100000000000001" customHeight="1">
      <c r="A123" s="100">
        <v>4</v>
      </c>
      <c r="B123" s="900" t="s">
        <v>502</v>
      </c>
      <c r="C123" s="900"/>
      <c r="D123" s="111" t="s">
        <v>337</v>
      </c>
      <c r="E123" s="113" t="s">
        <v>358</v>
      </c>
      <c r="F123" s="112">
        <f>33507.5</f>
        <v>33507.5</v>
      </c>
      <c r="G123" s="112"/>
      <c r="H123" s="112">
        <f t="shared" si="113"/>
        <v>100522.5</v>
      </c>
      <c r="I123" s="112">
        <f t="shared" si="114"/>
        <v>2513.0625</v>
      </c>
      <c r="J123" s="112">
        <f>40122.19</f>
        <v>40122.19</v>
      </c>
      <c r="K123" s="112">
        <f t="shared" si="115"/>
        <v>16753.75</v>
      </c>
      <c r="L123" s="112">
        <f t="shared" si="116"/>
        <v>117276.25</v>
      </c>
      <c r="M123" s="112">
        <f t="shared" si="117"/>
        <v>33507.5</v>
      </c>
      <c r="N123" s="43"/>
      <c r="O123" s="43">
        <f t="shared" si="9"/>
        <v>80000</v>
      </c>
      <c r="P123" s="112">
        <f t="shared" si="118"/>
        <v>3350.75</v>
      </c>
      <c r="Q123" s="112">
        <v>20000</v>
      </c>
      <c r="R123" s="112">
        <f>100000</f>
        <v>100000</v>
      </c>
      <c r="S123" s="112">
        <f t="shared" si="119"/>
        <v>547553.50249999994</v>
      </c>
      <c r="T123" s="112">
        <v>536137.05000000005</v>
      </c>
      <c r="U123" s="112">
        <f t="shared" si="60"/>
        <v>11416.452499999899</v>
      </c>
      <c r="V123" s="112"/>
      <c r="W123" s="112">
        <f>15548.33</f>
        <v>15548.33</v>
      </c>
      <c r="X123" s="112">
        <v>15548.33</v>
      </c>
      <c r="Y123" s="112">
        <f t="shared" si="61"/>
        <v>0</v>
      </c>
      <c r="Z123" s="112"/>
      <c r="AA123" s="112"/>
      <c r="AB123" s="112"/>
    </row>
    <row r="124" spans="1:28" ht="20.100000000000001" customHeight="1">
      <c r="A124" s="100">
        <v>5</v>
      </c>
      <c r="B124" s="45" t="s">
        <v>336</v>
      </c>
      <c r="D124" s="111" t="s">
        <v>337</v>
      </c>
      <c r="E124" s="113" t="s">
        <v>99</v>
      </c>
      <c r="F124" s="72">
        <f>31018.84</f>
        <v>31018.84</v>
      </c>
      <c r="G124" s="112"/>
      <c r="H124" s="112">
        <f t="shared" ref="H124" si="120">F124*300%</f>
        <v>93056.52</v>
      </c>
      <c r="I124" s="112">
        <f t="shared" ref="I124" si="121">F124*7.5%</f>
        <v>2326.413</v>
      </c>
      <c r="J124" s="112">
        <v>40122.19</v>
      </c>
      <c r="K124" s="112">
        <f t="shared" ref="K124" si="122">F124*50%</f>
        <v>15509.42</v>
      </c>
      <c r="L124" s="112">
        <f t="shared" ref="L124" si="123">F124*350%</f>
        <v>108565.94</v>
      </c>
      <c r="M124" s="112">
        <f t="shared" ref="M124" si="124">F124*100%</f>
        <v>31018.84</v>
      </c>
      <c r="N124" s="43"/>
      <c r="O124" s="43">
        <f t="shared" si="9"/>
        <v>80000</v>
      </c>
      <c r="P124" s="112">
        <f t="shared" ref="P124" si="125">F124*10%</f>
        <v>3101.884</v>
      </c>
      <c r="Q124" s="112">
        <v>20000</v>
      </c>
      <c r="R124" s="112">
        <v>0</v>
      </c>
      <c r="S124" s="112">
        <f t="shared" si="119"/>
        <v>424720.04700000002</v>
      </c>
      <c r="T124" s="112">
        <v>424720.04700000002</v>
      </c>
      <c r="U124" s="112">
        <f t="shared" si="60"/>
        <v>0</v>
      </c>
      <c r="V124" s="112"/>
      <c r="W124" s="112">
        <f>(15548.33)</f>
        <v>15548.33</v>
      </c>
      <c r="X124" s="112">
        <v>15548.33</v>
      </c>
      <c r="Y124" s="112">
        <f t="shared" si="61"/>
        <v>0</v>
      </c>
      <c r="Z124" s="112"/>
      <c r="AA124" s="112"/>
      <c r="AB124" s="112"/>
    </row>
    <row r="125" spans="1:28" ht="20.100000000000001" customHeight="1">
      <c r="A125" s="100">
        <v>6</v>
      </c>
      <c r="B125" s="901" t="s">
        <v>503</v>
      </c>
      <c r="C125" s="901"/>
      <c r="D125" s="111" t="s">
        <v>1240</v>
      </c>
      <c r="E125" s="113" t="s">
        <v>375</v>
      </c>
      <c r="F125" s="112">
        <f>25523.45</f>
        <v>25523.45</v>
      </c>
      <c r="G125" s="112"/>
      <c r="H125" s="112">
        <f t="shared" si="113"/>
        <v>76570.350000000006</v>
      </c>
      <c r="I125" s="112">
        <f t="shared" si="114"/>
        <v>1914.25875</v>
      </c>
      <c r="J125" s="112">
        <v>0</v>
      </c>
      <c r="K125" s="112">
        <f t="shared" si="115"/>
        <v>12761.725</v>
      </c>
      <c r="L125" s="112">
        <f t="shared" si="116"/>
        <v>89332.074999999997</v>
      </c>
      <c r="M125" s="112">
        <f t="shared" si="117"/>
        <v>25523.45</v>
      </c>
      <c r="N125" s="43"/>
      <c r="O125" s="43">
        <f>70000</f>
        <v>70000</v>
      </c>
      <c r="P125" s="112">
        <f t="shared" si="118"/>
        <v>2552.3449999999998</v>
      </c>
      <c r="Q125" s="112">
        <v>15000</v>
      </c>
      <c r="R125" s="112">
        <v>0</v>
      </c>
      <c r="S125" s="112">
        <f t="shared" si="119"/>
        <v>319177.65375</v>
      </c>
      <c r="T125" s="112">
        <v>312001.06050000002</v>
      </c>
      <c r="U125" s="112">
        <f t="shared" si="60"/>
        <v>7176.5932499999799</v>
      </c>
      <c r="V125" s="112"/>
      <c r="W125" s="112">
        <f>7709.76</f>
        <v>7709.76</v>
      </c>
      <c r="X125" s="112">
        <v>7709.76</v>
      </c>
      <c r="Y125" s="112">
        <f t="shared" si="61"/>
        <v>0</v>
      </c>
      <c r="Z125" s="112"/>
      <c r="AA125" s="112"/>
      <c r="AB125" s="112"/>
    </row>
    <row r="126" spans="1:28" ht="20.100000000000001" customHeight="1">
      <c r="A126" s="100">
        <v>7</v>
      </c>
      <c r="B126" s="882" t="s">
        <v>505</v>
      </c>
      <c r="C126" s="882"/>
      <c r="D126" s="111" t="s">
        <v>506</v>
      </c>
      <c r="E126" s="113" t="s">
        <v>1052</v>
      </c>
      <c r="F126" s="112">
        <f>24741.26</f>
        <v>24741.26</v>
      </c>
      <c r="G126" s="112"/>
      <c r="H126" s="112">
        <f t="shared" si="113"/>
        <v>74223.78</v>
      </c>
      <c r="I126" s="112">
        <f t="shared" si="114"/>
        <v>1855.5944999999999</v>
      </c>
      <c r="J126" s="112"/>
      <c r="K126" s="112">
        <f t="shared" si="115"/>
        <v>12370.63</v>
      </c>
      <c r="L126" s="112">
        <f t="shared" si="116"/>
        <v>86594.41</v>
      </c>
      <c r="M126" s="112">
        <f t="shared" si="117"/>
        <v>24741.26</v>
      </c>
      <c r="N126" s="43"/>
      <c r="O126" s="43">
        <f t="shared" ref="O126:O128" si="126">70000</f>
        <v>70000</v>
      </c>
      <c r="P126" s="112">
        <f t="shared" si="118"/>
        <v>2474.1260000000002</v>
      </c>
      <c r="Q126" s="112">
        <v>15000</v>
      </c>
      <c r="R126" s="112">
        <f>30000</f>
        <v>30000</v>
      </c>
      <c r="S126" s="112">
        <f t="shared" si="119"/>
        <v>342001.06050000002</v>
      </c>
      <c r="T126" s="112">
        <v>334201.02600000001</v>
      </c>
      <c r="U126" s="112">
        <f t="shared" si="60"/>
        <v>7800.0344999999497</v>
      </c>
      <c r="V126" s="112"/>
      <c r="W126" s="112">
        <f>7709.76</f>
        <v>7709.76</v>
      </c>
      <c r="X126" s="112">
        <v>7709.76</v>
      </c>
      <c r="Y126" s="112">
        <f t="shared" si="61"/>
        <v>0</v>
      </c>
      <c r="Z126" s="112"/>
      <c r="AA126" s="112"/>
      <c r="AB126" s="112"/>
    </row>
    <row r="127" spans="1:28" ht="20.100000000000001" customHeight="1">
      <c r="A127" s="100">
        <v>8</v>
      </c>
      <c r="B127" s="882" t="s">
        <v>507</v>
      </c>
      <c r="C127" s="882"/>
      <c r="D127" s="111" t="s">
        <v>1071</v>
      </c>
      <c r="E127" s="113" t="s">
        <v>1052</v>
      </c>
      <c r="F127" s="112">
        <f>24741.26</f>
        <v>24741.26</v>
      </c>
      <c r="G127" s="112"/>
      <c r="H127" s="112">
        <f t="shared" si="113"/>
        <v>74223.78</v>
      </c>
      <c r="I127" s="112">
        <f t="shared" si="114"/>
        <v>1855.5944999999999</v>
      </c>
      <c r="J127" s="112"/>
      <c r="K127" s="112">
        <f t="shared" si="115"/>
        <v>12370.63</v>
      </c>
      <c r="L127" s="112">
        <f t="shared" si="116"/>
        <v>86594.41</v>
      </c>
      <c r="M127" s="112">
        <f t="shared" si="117"/>
        <v>24741.26</v>
      </c>
      <c r="N127" s="43"/>
      <c r="O127" s="43">
        <f t="shared" si="126"/>
        <v>70000</v>
      </c>
      <c r="P127" s="112">
        <f t="shared" si="118"/>
        <v>2474.1260000000002</v>
      </c>
      <c r="Q127" s="112">
        <v>15000</v>
      </c>
      <c r="R127" s="112"/>
      <c r="S127" s="112">
        <f t="shared" si="119"/>
        <v>312001.06050000002</v>
      </c>
      <c r="T127" s="112">
        <v>304201.02600000001</v>
      </c>
      <c r="U127" s="112">
        <f t="shared" si="60"/>
        <v>7800.0344999999497</v>
      </c>
      <c r="V127" s="112"/>
      <c r="W127" s="112">
        <f>7709.76</f>
        <v>7709.76</v>
      </c>
      <c r="X127" s="112">
        <v>7709.76</v>
      </c>
      <c r="Y127" s="112">
        <f t="shared" si="61"/>
        <v>0</v>
      </c>
      <c r="Z127" s="112"/>
      <c r="AA127" s="112"/>
      <c r="AB127" s="112"/>
    </row>
    <row r="128" spans="1:28" ht="20.100000000000001" customHeight="1">
      <c r="A128" s="100">
        <v>9</v>
      </c>
      <c r="B128" s="109" t="s">
        <v>1239</v>
      </c>
      <c r="C128" s="110"/>
      <c r="D128" s="111" t="s">
        <v>1240</v>
      </c>
      <c r="E128" s="113" t="s">
        <v>1053</v>
      </c>
      <c r="F128" s="112">
        <f>23891.12</f>
        <v>23891.119999999999</v>
      </c>
      <c r="G128" s="112"/>
      <c r="H128" s="112">
        <f t="shared" si="113"/>
        <v>71673.36</v>
      </c>
      <c r="I128" s="112">
        <f t="shared" si="114"/>
        <v>1791.8340000000001</v>
      </c>
      <c r="J128" s="112"/>
      <c r="K128" s="112">
        <f t="shared" si="115"/>
        <v>11945.56</v>
      </c>
      <c r="L128" s="112">
        <f t="shared" si="116"/>
        <v>83618.92</v>
      </c>
      <c r="M128" s="112">
        <f t="shared" si="117"/>
        <v>23891.119999999999</v>
      </c>
      <c r="N128" s="43"/>
      <c r="O128" s="43">
        <f t="shared" si="126"/>
        <v>70000</v>
      </c>
      <c r="P128" s="112">
        <f t="shared" si="118"/>
        <v>2389.1120000000001</v>
      </c>
      <c r="Q128" s="112">
        <v>15000</v>
      </c>
      <c r="R128" s="112"/>
      <c r="S128" s="112">
        <f t="shared" si="119"/>
        <v>304201.02600000001</v>
      </c>
      <c r="T128" s="112">
        <v>296713.03324999998</v>
      </c>
      <c r="U128" s="112">
        <f t="shared" si="60"/>
        <v>7487.9927500000304</v>
      </c>
      <c r="V128" s="112"/>
      <c r="W128" s="112">
        <f>7709.76</f>
        <v>7709.76</v>
      </c>
      <c r="X128" s="112">
        <v>7709.76</v>
      </c>
      <c r="Y128" s="112">
        <f t="shared" si="61"/>
        <v>0</v>
      </c>
      <c r="Z128" s="112"/>
      <c r="AA128" s="112"/>
      <c r="AB128" s="112"/>
    </row>
    <row r="129" spans="1:28" ht="20.100000000000001" customHeight="1">
      <c r="A129" s="100"/>
      <c r="B129" s="883" t="s">
        <v>42</v>
      </c>
      <c r="C129" s="883"/>
      <c r="D129" s="147" t="s">
        <v>124</v>
      </c>
      <c r="E129" s="113"/>
      <c r="F129" s="142">
        <f>SUM(F120:F128)</f>
        <v>321324.12</v>
      </c>
      <c r="G129" s="142"/>
      <c r="H129" s="142">
        <f t="shared" ref="H129:M129" si="127">SUM(H120:H128)</f>
        <v>963972.36</v>
      </c>
      <c r="I129" s="142">
        <f t="shared" si="127"/>
        <v>24099.309000000001</v>
      </c>
      <c r="J129" s="142">
        <f t="shared" si="127"/>
        <v>240733.14</v>
      </c>
      <c r="K129" s="142">
        <f t="shared" si="127"/>
        <v>160662.06</v>
      </c>
      <c r="L129" s="142">
        <f t="shared" si="127"/>
        <v>1124634.42</v>
      </c>
      <c r="M129" s="142">
        <f t="shared" si="127"/>
        <v>321324.12</v>
      </c>
      <c r="N129" s="136"/>
      <c r="O129" s="136">
        <f>SUM(O120:O128)</f>
        <v>710000</v>
      </c>
      <c r="P129" s="142">
        <f>SUM(P120:P128)</f>
        <v>32132.412</v>
      </c>
      <c r="Q129" s="142">
        <f>SUM(Q120:Q128)</f>
        <v>160000</v>
      </c>
      <c r="R129" s="142">
        <f>SUM(R120:R128)</f>
        <v>330000</v>
      </c>
      <c r="S129" s="142">
        <f>SUM(S120:S128)</f>
        <v>4388881.9409999996</v>
      </c>
      <c r="T129" s="142">
        <v>4347200.8334999997</v>
      </c>
      <c r="U129" s="143">
        <f t="shared" si="60"/>
        <v>41681.1075000009</v>
      </c>
      <c r="V129" s="142"/>
      <c r="W129" s="142">
        <f t="shared" ref="W129" si="128">SUM(W120:W128)</f>
        <v>151878.75</v>
      </c>
      <c r="X129" s="142">
        <v>151878.75</v>
      </c>
      <c r="Y129" s="112">
        <f t="shared" si="61"/>
        <v>0</v>
      </c>
      <c r="Z129" s="142"/>
      <c r="AA129" s="142"/>
      <c r="AB129" s="142"/>
    </row>
    <row r="130" spans="1:28" ht="20.100000000000001" customHeight="1">
      <c r="A130" s="100"/>
      <c r="B130" s="123"/>
      <c r="C130" s="123"/>
      <c r="D130" s="147"/>
      <c r="E130" s="113"/>
      <c r="F130" s="142"/>
      <c r="G130" s="142"/>
      <c r="H130" s="142"/>
      <c r="I130" s="142"/>
      <c r="J130" s="142"/>
      <c r="K130" s="142"/>
      <c r="L130" s="142"/>
      <c r="M130" s="142"/>
      <c r="N130" s="43"/>
      <c r="O130" s="43"/>
      <c r="P130" s="142"/>
      <c r="Q130" s="142"/>
      <c r="R130" s="142"/>
      <c r="S130" s="142"/>
      <c r="T130" s="142"/>
      <c r="U130" s="112">
        <f t="shared" si="60"/>
        <v>0</v>
      </c>
      <c r="V130" s="142"/>
      <c r="W130" s="142"/>
      <c r="X130" s="142"/>
      <c r="Y130" s="112">
        <f t="shared" si="61"/>
        <v>0</v>
      </c>
      <c r="Z130" s="142"/>
      <c r="AA130" s="142"/>
      <c r="AB130" s="142"/>
    </row>
    <row r="131" spans="1:28" ht="20.100000000000001" customHeight="1">
      <c r="A131" s="100"/>
      <c r="B131" s="883" t="s">
        <v>1278</v>
      </c>
      <c r="C131" s="883"/>
      <c r="D131" s="111"/>
      <c r="E131" s="113"/>
      <c r="F131" s="112"/>
      <c r="G131" s="112"/>
      <c r="H131" s="112"/>
      <c r="I131" s="112"/>
      <c r="J131" s="112"/>
      <c r="K131" s="112"/>
      <c r="L131" s="112"/>
      <c r="M131" s="112"/>
      <c r="N131" s="43"/>
      <c r="O131" s="43"/>
      <c r="P131" s="112"/>
      <c r="Q131" s="112"/>
      <c r="R131" s="112"/>
      <c r="S131" s="112"/>
      <c r="T131" s="112"/>
      <c r="U131" s="112">
        <f t="shared" si="60"/>
        <v>0</v>
      </c>
      <c r="V131" s="112"/>
      <c r="W131" s="112"/>
      <c r="X131" s="112"/>
      <c r="Y131" s="112">
        <f t="shared" si="61"/>
        <v>0</v>
      </c>
      <c r="Z131" s="112"/>
      <c r="AA131" s="112"/>
      <c r="AB131" s="112"/>
    </row>
    <row r="132" spans="1:28" ht="20.100000000000001" customHeight="1">
      <c r="A132" s="100">
        <v>1</v>
      </c>
      <c r="B132" s="882" t="s">
        <v>1279</v>
      </c>
      <c r="C132" s="882"/>
      <c r="D132" s="111" t="s">
        <v>1280</v>
      </c>
      <c r="E132" s="113" t="s">
        <v>405</v>
      </c>
      <c r="F132" s="112">
        <v>81740.02</v>
      </c>
      <c r="G132" s="112"/>
      <c r="H132" s="112">
        <f>F132*300%</f>
        <v>245220.06</v>
      </c>
      <c r="I132" s="112">
        <f>F132*7.5%</f>
        <v>6130.5015000000003</v>
      </c>
      <c r="J132" s="112">
        <v>80244.38</v>
      </c>
      <c r="K132" s="112">
        <f>F132*50%</f>
        <v>40870.01</v>
      </c>
      <c r="L132" s="112">
        <f>F132*350%</f>
        <v>286090.07</v>
      </c>
      <c r="M132" s="112">
        <f>F132*100%</f>
        <v>81740.02</v>
      </c>
      <c r="N132" s="43"/>
      <c r="O132" s="43">
        <f>100000</f>
        <v>100000</v>
      </c>
      <c r="P132" s="112">
        <f>F132*10%</f>
        <v>8174.0020000000004</v>
      </c>
      <c r="Q132" s="112">
        <v>20000</v>
      </c>
      <c r="R132" s="112">
        <v>0</v>
      </c>
      <c r="S132" s="112">
        <f>SUM(F132:R132)</f>
        <v>950209.06350000005</v>
      </c>
      <c r="T132" s="112">
        <v>950209.06350000005</v>
      </c>
      <c r="U132" s="112">
        <f t="shared" si="60"/>
        <v>0</v>
      </c>
      <c r="V132" s="112"/>
      <c r="W132" s="112">
        <v>52776.63</v>
      </c>
      <c r="X132" s="112">
        <v>52776.63</v>
      </c>
      <c r="Y132" s="112">
        <f t="shared" si="61"/>
        <v>0</v>
      </c>
      <c r="Z132" s="112"/>
      <c r="AA132" s="112"/>
      <c r="AB132" s="112"/>
    </row>
    <row r="133" spans="1:28" ht="20.100000000000001" customHeight="1">
      <c r="A133" s="100">
        <v>2</v>
      </c>
      <c r="B133" s="882" t="s">
        <v>514</v>
      </c>
      <c r="C133" s="882"/>
      <c r="D133" s="111" t="s">
        <v>515</v>
      </c>
      <c r="E133" s="113" t="s">
        <v>405</v>
      </c>
      <c r="F133" s="112">
        <f>81740.02</f>
        <v>81740.02</v>
      </c>
      <c r="G133" s="112"/>
      <c r="H133" s="112">
        <f>F133*300%</f>
        <v>245220.06</v>
      </c>
      <c r="I133" s="112">
        <f>F133*7.5%</f>
        <v>6130.5015000000003</v>
      </c>
      <c r="J133" s="112">
        <f>80244.38</f>
        <v>80244.38</v>
      </c>
      <c r="K133" s="112">
        <f>F133*50%</f>
        <v>40870.01</v>
      </c>
      <c r="L133" s="112">
        <f>F133*350%</f>
        <v>286090.07</v>
      </c>
      <c r="M133" s="112">
        <f>F133*100%</f>
        <v>81740.02</v>
      </c>
      <c r="N133" s="43"/>
      <c r="O133" s="43">
        <f>100000</f>
        <v>100000</v>
      </c>
      <c r="P133" s="112">
        <f>F133*10%</f>
        <v>8174.0020000000004</v>
      </c>
      <c r="Q133" s="112">
        <v>20000</v>
      </c>
      <c r="R133" s="112">
        <v>0</v>
      </c>
      <c r="S133" s="112">
        <f>SUM(F133:R133)</f>
        <v>950209.06350000005</v>
      </c>
      <c r="T133" s="112">
        <v>950209.06350000005</v>
      </c>
      <c r="U133" s="112">
        <f t="shared" si="60"/>
        <v>0</v>
      </c>
      <c r="V133" s="112"/>
      <c r="W133" s="112">
        <f>52776.63</f>
        <v>52776.63</v>
      </c>
      <c r="X133" s="112">
        <v>52776.63</v>
      </c>
      <c r="Y133" s="112">
        <f t="shared" si="61"/>
        <v>0</v>
      </c>
      <c r="Z133" s="112"/>
      <c r="AA133" s="112"/>
      <c r="AB133" s="112"/>
    </row>
    <row r="134" spans="1:28" ht="20.100000000000001" customHeight="1">
      <c r="A134" s="100">
        <v>3</v>
      </c>
      <c r="B134" s="901" t="s">
        <v>338</v>
      </c>
      <c r="C134" s="901"/>
      <c r="D134" s="111" t="s">
        <v>339</v>
      </c>
      <c r="E134" s="113" t="s">
        <v>340</v>
      </c>
      <c r="F134" s="112">
        <f>42653.17</f>
        <v>42653.17</v>
      </c>
      <c r="G134" s="112"/>
      <c r="H134" s="112">
        <f t="shared" ref="H134:H186" si="129">F134*300%</f>
        <v>127959.51</v>
      </c>
      <c r="I134" s="112">
        <f t="shared" ref="I134:I186" si="130">F134*7.5%</f>
        <v>3198.9877499999998</v>
      </c>
      <c r="J134" s="112">
        <v>40122.19</v>
      </c>
      <c r="K134" s="112">
        <f t="shared" ref="K134:K186" si="131">F134*50%</f>
        <v>21326.584999999999</v>
      </c>
      <c r="L134" s="112">
        <f t="shared" ref="L134:L186" si="132">F134*350%</f>
        <v>149286.095</v>
      </c>
      <c r="M134" s="112">
        <f t="shared" ref="M134:M155" si="133">F134*100%</f>
        <v>42653.17</v>
      </c>
      <c r="N134" s="43"/>
      <c r="O134" s="43">
        <f>90000</f>
        <v>90000</v>
      </c>
      <c r="P134" s="112">
        <f t="shared" ref="P134:P155" si="134">F134*10%</f>
        <v>4265.317</v>
      </c>
      <c r="Q134" s="112">
        <v>20000</v>
      </c>
      <c r="R134" s="112">
        <v>0</v>
      </c>
      <c r="S134" s="112">
        <f t="shared" ref="S134:S154" si="135">SUM(F134:R134)</f>
        <v>541465.02474999998</v>
      </c>
      <c r="T134" s="112">
        <v>541465.02474999998</v>
      </c>
      <c r="U134" s="112">
        <f t="shared" si="60"/>
        <v>0</v>
      </c>
      <c r="V134" s="112"/>
      <c r="W134" s="112">
        <f>21618.09</f>
        <v>21618.09</v>
      </c>
      <c r="X134" s="112">
        <v>21618.09</v>
      </c>
      <c r="Y134" s="112">
        <f t="shared" si="61"/>
        <v>0</v>
      </c>
      <c r="Z134" s="112"/>
      <c r="AA134" s="112"/>
      <c r="AB134" s="112"/>
    </row>
    <row r="135" spans="1:28" ht="20.100000000000001" customHeight="1">
      <c r="A135" s="100">
        <v>4</v>
      </c>
      <c r="B135" s="888" t="s">
        <v>516</v>
      </c>
      <c r="C135" s="889"/>
      <c r="D135" s="3" t="s">
        <v>1281</v>
      </c>
      <c r="E135" s="15" t="s">
        <v>358</v>
      </c>
      <c r="F135" s="112">
        <v>33507.5</v>
      </c>
      <c r="G135" s="72"/>
      <c r="H135" s="72">
        <f t="shared" si="129"/>
        <v>100522.5</v>
      </c>
      <c r="I135" s="72">
        <f t="shared" si="130"/>
        <v>2513.0625</v>
      </c>
      <c r="J135" s="72">
        <v>40122.19</v>
      </c>
      <c r="K135" s="72">
        <f t="shared" si="131"/>
        <v>16753.75</v>
      </c>
      <c r="L135" s="72">
        <f t="shared" si="132"/>
        <v>117276.25</v>
      </c>
      <c r="M135" s="72">
        <f t="shared" si="133"/>
        <v>33507.5</v>
      </c>
      <c r="N135" s="43"/>
      <c r="O135" s="43">
        <v>80000</v>
      </c>
      <c r="P135" s="72">
        <f t="shared" si="134"/>
        <v>3350.75</v>
      </c>
      <c r="Q135" s="72">
        <v>20000</v>
      </c>
      <c r="R135" s="72">
        <v>50000</v>
      </c>
      <c r="S135" s="112">
        <f t="shared" si="135"/>
        <v>497553.5025</v>
      </c>
      <c r="T135" s="112">
        <v>497553.5025</v>
      </c>
      <c r="U135" s="112">
        <f t="shared" si="60"/>
        <v>0</v>
      </c>
      <c r="V135" s="72"/>
      <c r="W135" s="72">
        <v>15548.33</v>
      </c>
      <c r="X135" s="72">
        <v>15548.33</v>
      </c>
      <c r="Y135" s="112">
        <f t="shared" si="61"/>
        <v>0</v>
      </c>
      <c r="Z135" s="112"/>
      <c r="AA135" s="112"/>
      <c r="AB135" s="112"/>
    </row>
    <row r="136" spans="1:28" ht="20.100000000000001" customHeight="1">
      <c r="A136" s="100">
        <v>5</v>
      </c>
      <c r="B136" s="888" t="s">
        <v>1282</v>
      </c>
      <c r="C136" s="889"/>
      <c r="D136" s="3" t="s">
        <v>1283</v>
      </c>
      <c r="E136" s="15" t="s">
        <v>358</v>
      </c>
      <c r="F136" s="112">
        <v>33507.5</v>
      </c>
      <c r="G136" s="72"/>
      <c r="H136" s="72">
        <f t="shared" si="129"/>
        <v>100522.5</v>
      </c>
      <c r="I136" s="72">
        <f t="shared" si="130"/>
        <v>2513.0625</v>
      </c>
      <c r="J136" s="72">
        <v>40122.19</v>
      </c>
      <c r="K136" s="72">
        <f t="shared" si="131"/>
        <v>16753.75</v>
      </c>
      <c r="L136" s="72">
        <f t="shared" si="132"/>
        <v>117276.25</v>
      </c>
      <c r="M136" s="72">
        <f t="shared" si="133"/>
        <v>33507.5</v>
      </c>
      <c r="N136" s="43"/>
      <c r="O136" s="43">
        <v>80000</v>
      </c>
      <c r="P136" s="72">
        <f t="shared" si="134"/>
        <v>3350.75</v>
      </c>
      <c r="Q136" s="72">
        <v>20000</v>
      </c>
      <c r="R136" s="72"/>
      <c r="S136" s="112">
        <f t="shared" si="135"/>
        <v>447553.5025</v>
      </c>
      <c r="T136" s="112">
        <v>447553.5025</v>
      </c>
      <c r="U136" s="112">
        <f t="shared" si="60"/>
        <v>0</v>
      </c>
      <c r="V136" s="72"/>
      <c r="W136" s="72">
        <v>15548.33</v>
      </c>
      <c r="X136" s="72">
        <v>15548.33</v>
      </c>
      <c r="Y136" s="112">
        <f t="shared" si="61"/>
        <v>0</v>
      </c>
      <c r="Z136" s="112"/>
      <c r="AA136" s="112"/>
      <c r="AB136" s="112"/>
    </row>
    <row r="137" spans="1:28" ht="20.100000000000001" customHeight="1">
      <c r="A137" s="100">
        <v>6</v>
      </c>
      <c r="B137" s="882" t="s">
        <v>518</v>
      </c>
      <c r="C137" s="882"/>
      <c r="D137" s="111" t="s">
        <v>519</v>
      </c>
      <c r="E137" s="113" t="s">
        <v>450</v>
      </c>
      <c r="F137" s="112">
        <f>26732.65</f>
        <v>26732.65</v>
      </c>
      <c r="G137" s="112"/>
      <c r="H137" s="112">
        <f t="shared" si="129"/>
        <v>80197.95</v>
      </c>
      <c r="I137" s="112">
        <f t="shared" si="130"/>
        <v>2004.94875</v>
      </c>
      <c r="J137" s="112">
        <v>0</v>
      </c>
      <c r="K137" s="112">
        <f t="shared" si="131"/>
        <v>13366.325000000001</v>
      </c>
      <c r="L137" s="112">
        <f t="shared" si="132"/>
        <v>93564.274999999994</v>
      </c>
      <c r="M137" s="112">
        <f t="shared" si="133"/>
        <v>26732.65</v>
      </c>
      <c r="N137" s="43"/>
      <c r="O137" s="43">
        <v>70000</v>
      </c>
      <c r="P137" s="112">
        <f t="shared" si="134"/>
        <v>2673.2649999999999</v>
      </c>
      <c r="Q137" s="72">
        <v>20000</v>
      </c>
      <c r="R137" s="112"/>
      <c r="S137" s="112">
        <f t="shared" si="135"/>
        <v>335272.06374999997</v>
      </c>
      <c r="T137" s="112">
        <v>327211.36749999999</v>
      </c>
      <c r="U137" s="112">
        <f t="shared" si="60"/>
        <v>8060.69624999998</v>
      </c>
      <c r="V137" s="112"/>
      <c r="W137" s="112">
        <v>7709.76</v>
      </c>
      <c r="X137" s="112">
        <v>7709.76</v>
      </c>
      <c r="Y137" s="112">
        <f t="shared" si="61"/>
        <v>0</v>
      </c>
      <c r="Z137" s="112"/>
      <c r="AA137" s="112"/>
      <c r="AB137" s="112"/>
    </row>
    <row r="138" spans="1:28" ht="20.100000000000001" customHeight="1">
      <c r="A138" s="100">
        <v>7</v>
      </c>
      <c r="B138" s="882" t="s">
        <v>520</v>
      </c>
      <c r="C138" s="882"/>
      <c r="D138" s="100" t="s">
        <v>521</v>
      </c>
      <c r="E138" s="113" t="s">
        <v>450</v>
      </c>
      <c r="F138" s="112">
        <f t="shared" ref="F138:F139" si="136">26732.65</f>
        <v>26732.65</v>
      </c>
      <c r="G138" s="112"/>
      <c r="H138" s="112">
        <f t="shared" si="129"/>
        <v>80197.95</v>
      </c>
      <c r="I138" s="112">
        <f t="shared" si="130"/>
        <v>2004.94875</v>
      </c>
      <c r="J138" s="112">
        <v>0</v>
      </c>
      <c r="K138" s="112">
        <f t="shared" si="131"/>
        <v>13366.325000000001</v>
      </c>
      <c r="L138" s="112">
        <f t="shared" si="132"/>
        <v>93564.274999999994</v>
      </c>
      <c r="M138" s="112">
        <f t="shared" si="133"/>
        <v>26732.65</v>
      </c>
      <c r="N138" s="43"/>
      <c r="O138" s="43">
        <v>70000</v>
      </c>
      <c r="P138" s="112">
        <f t="shared" si="134"/>
        <v>2673.2649999999999</v>
      </c>
      <c r="Q138" s="72">
        <v>20000</v>
      </c>
      <c r="R138" s="112">
        <v>0</v>
      </c>
      <c r="S138" s="112">
        <f t="shared" si="135"/>
        <v>335272.06374999997</v>
      </c>
      <c r="T138" s="112">
        <v>327211.36749999999</v>
      </c>
      <c r="U138" s="112">
        <f t="shared" ref="U138:U186" si="137">S138-T138</f>
        <v>8060.69624999998</v>
      </c>
      <c r="V138" s="112"/>
      <c r="W138" s="112">
        <v>7709.76</v>
      </c>
      <c r="X138" s="112">
        <v>7709.76</v>
      </c>
      <c r="Y138" s="112">
        <f t="shared" ref="Y138:Y186" si="138">X138-W138</f>
        <v>0</v>
      </c>
      <c r="Z138" s="112"/>
      <c r="AA138" s="112"/>
      <c r="AB138" s="112"/>
    </row>
    <row r="139" spans="1:28" ht="20.100000000000001" customHeight="1">
      <c r="A139" s="100">
        <v>8</v>
      </c>
      <c r="B139" s="882" t="s">
        <v>522</v>
      </c>
      <c r="C139" s="882"/>
      <c r="D139" s="100" t="s">
        <v>521</v>
      </c>
      <c r="E139" s="113" t="s">
        <v>450</v>
      </c>
      <c r="F139" s="112">
        <f t="shared" si="136"/>
        <v>26732.65</v>
      </c>
      <c r="G139" s="112"/>
      <c r="H139" s="112">
        <f t="shared" si="129"/>
        <v>80197.95</v>
      </c>
      <c r="I139" s="112">
        <f t="shared" si="130"/>
        <v>2004.94875</v>
      </c>
      <c r="J139" s="112">
        <v>0</v>
      </c>
      <c r="K139" s="112">
        <f t="shared" si="131"/>
        <v>13366.325000000001</v>
      </c>
      <c r="L139" s="112">
        <f t="shared" si="132"/>
        <v>93564.274999999994</v>
      </c>
      <c r="M139" s="112">
        <f t="shared" si="133"/>
        <v>26732.65</v>
      </c>
      <c r="N139" s="43"/>
      <c r="O139" s="43">
        <v>70000</v>
      </c>
      <c r="P139" s="112">
        <f t="shared" si="134"/>
        <v>2673.2649999999999</v>
      </c>
      <c r="Q139" s="72">
        <v>20000</v>
      </c>
      <c r="R139" s="112">
        <v>0</v>
      </c>
      <c r="S139" s="112">
        <f t="shared" si="135"/>
        <v>335272.06374999997</v>
      </c>
      <c r="T139" s="112">
        <v>327211.36749999999</v>
      </c>
      <c r="U139" s="112">
        <v>0</v>
      </c>
      <c r="V139" s="112"/>
      <c r="W139" s="112">
        <v>7709.76</v>
      </c>
      <c r="X139" s="112">
        <v>7709.76</v>
      </c>
      <c r="Y139" s="112">
        <f t="shared" si="138"/>
        <v>0</v>
      </c>
      <c r="Z139" s="112"/>
      <c r="AA139" s="112"/>
      <c r="AB139" s="112"/>
    </row>
    <row r="140" spans="1:28" ht="20.100000000000001" customHeight="1">
      <c r="A140" s="100">
        <v>9</v>
      </c>
      <c r="B140" s="882" t="s">
        <v>473</v>
      </c>
      <c r="C140" s="882"/>
      <c r="D140" s="100" t="s">
        <v>527</v>
      </c>
      <c r="E140" s="113" t="s">
        <v>1052</v>
      </c>
      <c r="F140" s="112">
        <f>24741.26</f>
        <v>24741.26</v>
      </c>
      <c r="G140" s="112"/>
      <c r="H140" s="112">
        <f t="shared" si="129"/>
        <v>74223.78</v>
      </c>
      <c r="I140" s="112">
        <f t="shared" si="130"/>
        <v>1855.5944999999999</v>
      </c>
      <c r="J140" s="112">
        <v>0</v>
      </c>
      <c r="K140" s="112">
        <f t="shared" si="131"/>
        <v>12370.63</v>
      </c>
      <c r="L140" s="112">
        <f t="shared" si="132"/>
        <v>86594.41</v>
      </c>
      <c r="M140" s="112">
        <f t="shared" si="133"/>
        <v>24741.26</v>
      </c>
      <c r="N140" s="43"/>
      <c r="O140" s="43">
        <v>70000</v>
      </c>
      <c r="P140" s="112">
        <f t="shared" si="134"/>
        <v>2474.1260000000002</v>
      </c>
      <c r="Q140" s="112">
        <v>15000</v>
      </c>
      <c r="R140" s="112">
        <v>0</v>
      </c>
      <c r="S140" s="112">
        <f t="shared" si="135"/>
        <v>312001.06050000002</v>
      </c>
      <c r="T140" s="112">
        <v>304201.02600000001</v>
      </c>
      <c r="U140" s="112">
        <f t="shared" si="137"/>
        <v>7800.0344999999497</v>
      </c>
      <c r="V140" s="112"/>
      <c r="W140" s="112">
        <f>7709.76</f>
        <v>7709.76</v>
      </c>
      <c r="X140" s="112">
        <v>7709.76</v>
      </c>
      <c r="Y140" s="112">
        <f t="shared" si="138"/>
        <v>0</v>
      </c>
      <c r="Z140" s="112"/>
      <c r="AA140" s="112"/>
      <c r="AB140" s="112"/>
    </row>
    <row r="141" spans="1:28" ht="20.100000000000001" customHeight="1">
      <c r="A141" s="100">
        <v>10</v>
      </c>
      <c r="B141" s="876" t="s">
        <v>523</v>
      </c>
      <c r="C141" s="877"/>
      <c r="D141" s="111" t="s">
        <v>524</v>
      </c>
      <c r="E141" s="113" t="s">
        <v>440</v>
      </c>
      <c r="F141" s="112">
        <f>21520.88</f>
        <v>21520.880000000001</v>
      </c>
      <c r="G141" s="112"/>
      <c r="H141" s="112">
        <f t="shared" si="129"/>
        <v>64562.64</v>
      </c>
      <c r="I141" s="112">
        <f t="shared" si="130"/>
        <v>1614.066</v>
      </c>
      <c r="J141" s="112">
        <v>0</v>
      </c>
      <c r="K141" s="112">
        <f t="shared" si="131"/>
        <v>10760.44</v>
      </c>
      <c r="L141" s="112">
        <f t="shared" si="132"/>
        <v>75323.08</v>
      </c>
      <c r="M141" s="112">
        <f t="shared" si="133"/>
        <v>21520.880000000001</v>
      </c>
      <c r="N141" s="43"/>
      <c r="O141" s="43">
        <f t="shared" ref="O141:O149" si="139">60000</f>
        <v>60000</v>
      </c>
      <c r="P141" s="112">
        <f t="shared" si="134"/>
        <v>2152.0880000000002</v>
      </c>
      <c r="Q141" s="112">
        <v>15000</v>
      </c>
      <c r="R141" s="112">
        <v>0</v>
      </c>
      <c r="S141" s="112">
        <f t="shared" si="135"/>
        <v>272454.07400000002</v>
      </c>
      <c r="T141" s="112">
        <v>265372.07500000001</v>
      </c>
      <c r="U141" s="112">
        <f t="shared" si="137"/>
        <v>7081.9990000000098</v>
      </c>
      <c r="V141" s="112"/>
      <c r="W141" s="112">
        <f>3369.51</f>
        <v>3369.51</v>
      </c>
      <c r="X141" s="112">
        <v>3369.51</v>
      </c>
      <c r="Y141" s="112">
        <f t="shared" si="138"/>
        <v>0</v>
      </c>
      <c r="Z141" s="112"/>
      <c r="AA141" s="112"/>
      <c r="AB141" s="112"/>
    </row>
    <row r="142" spans="1:28" ht="20.100000000000001" customHeight="1">
      <c r="A142" s="100">
        <v>11</v>
      </c>
      <c r="B142" s="882" t="s">
        <v>525</v>
      </c>
      <c r="C142" s="882"/>
      <c r="D142" s="111" t="s">
        <v>524</v>
      </c>
      <c r="E142" s="113" t="s">
        <v>440</v>
      </c>
      <c r="F142" s="112">
        <f t="shared" ref="F142:F143" si="140">21520.88</f>
        <v>21520.880000000001</v>
      </c>
      <c r="G142" s="112"/>
      <c r="H142" s="112">
        <f t="shared" si="129"/>
        <v>64562.64</v>
      </c>
      <c r="I142" s="112">
        <f t="shared" si="130"/>
        <v>1614.066</v>
      </c>
      <c r="J142" s="112">
        <v>0</v>
      </c>
      <c r="K142" s="112">
        <f t="shared" si="131"/>
        <v>10760.44</v>
      </c>
      <c r="L142" s="112">
        <f t="shared" si="132"/>
        <v>75323.08</v>
      </c>
      <c r="M142" s="72">
        <f t="shared" si="133"/>
        <v>21520.880000000001</v>
      </c>
      <c r="N142" s="43"/>
      <c r="O142" s="43">
        <f t="shared" si="139"/>
        <v>60000</v>
      </c>
      <c r="P142" s="112">
        <f t="shared" si="134"/>
        <v>2152.0880000000002</v>
      </c>
      <c r="Q142" s="112">
        <v>15000</v>
      </c>
      <c r="R142" s="112">
        <v>0</v>
      </c>
      <c r="S142" s="112">
        <f t="shared" si="135"/>
        <v>272454.07400000002</v>
      </c>
      <c r="T142" s="112">
        <v>265372.07500000001</v>
      </c>
      <c r="U142" s="112">
        <f t="shared" si="137"/>
        <v>7081.9990000000098</v>
      </c>
      <c r="V142" s="112"/>
      <c r="W142" s="112">
        <v>3369.51</v>
      </c>
      <c r="X142" s="112">
        <v>3369.51</v>
      </c>
      <c r="Y142" s="112">
        <f t="shared" si="138"/>
        <v>0</v>
      </c>
      <c r="Z142" s="112"/>
      <c r="AA142" s="112"/>
      <c r="AB142" s="112"/>
    </row>
    <row r="143" spans="1:28" ht="20.100000000000001" customHeight="1">
      <c r="A143" s="100">
        <v>12</v>
      </c>
      <c r="B143" s="876" t="s">
        <v>526</v>
      </c>
      <c r="C143" s="877"/>
      <c r="D143" s="100" t="s">
        <v>527</v>
      </c>
      <c r="E143" s="113" t="s">
        <v>440</v>
      </c>
      <c r="F143" s="112">
        <f t="shared" si="140"/>
        <v>21520.880000000001</v>
      </c>
      <c r="G143" s="112"/>
      <c r="H143" s="112">
        <f t="shared" si="129"/>
        <v>64562.64</v>
      </c>
      <c r="I143" s="112">
        <f t="shared" si="130"/>
        <v>1614.066</v>
      </c>
      <c r="J143" s="112"/>
      <c r="K143" s="112">
        <f t="shared" si="131"/>
        <v>10760.44</v>
      </c>
      <c r="L143" s="112">
        <f t="shared" si="132"/>
        <v>75323.08</v>
      </c>
      <c r="M143" s="112">
        <f t="shared" si="133"/>
        <v>21520.880000000001</v>
      </c>
      <c r="N143" s="43"/>
      <c r="O143" s="43">
        <f t="shared" si="139"/>
        <v>60000</v>
      </c>
      <c r="P143" s="112">
        <f t="shared" si="134"/>
        <v>2152.0880000000002</v>
      </c>
      <c r="Q143" s="112">
        <v>15000</v>
      </c>
      <c r="R143" s="112"/>
      <c r="S143" s="112">
        <f t="shared" si="135"/>
        <v>272454.07400000002</v>
      </c>
      <c r="T143" s="112">
        <v>265372.07500000001</v>
      </c>
      <c r="U143" s="112">
        <f t="shared" si="137"/>
        <v>7081.9990000000098</v>
      </c>
      <c r="V143" s="112"/>
      <c r="W143" s="112">
        <v>3369.51</v>
      </c>
      <c r="X143" s="112">
        <v>3369.51</v>
      </c>
      <c r="Y143" s="112">
        <f t="shared" si="138"/>
        <v>0</v>
      </c>
      <c r="Z143" s="112"/>
      <c r="AA143" s="112"/>
      <c r="AB143" s="112"/>
    </row>
    <row r="144" spans="1:28" ht="20.100000000000001" customHeight="1">
      <c r="A144" s="100">
        <v>13</v>
      </c>
      <c r="B144" s="876" t="s">
        <v>528</v>
      </c>
      <c r="C144" s="877"/>
      <c r="D144" s="100" t="s">
        <v>537</v>
      </c>
      <c r="E144" s="113" t="s">
        <v>539</v>
      </c>
      <c r="F144" s="72">
        <f>18779.3</f>
        <v>18779.3</v>
      </c>
      <c r="G144" s="112"/>
      <c r="H144" s="112">
        <f t="shared" si="129"/>
        <v>56337.9</v>
      </c>
      <c r="I144" s="112">
        <f t="shared" si="130"/>
        <v>1408.4475</v>
      </c>
      <c r="J144" s="112"/>
      <c r="K144" s="112">
        <f t="shared" si="131"/>
        <v>9389.65</v>
      </c>
      <c r="L144" s="112">
        <f t="shared" si="132"/>
        <v>65727.55</v>
      </c>
      <c r="M144" s="72">
        <f t="shared" si="133"/>
        <v>18779.3</v>
      </c>
      <c r="N144" s="43"/>
      <c r="O144" s="43">
        <f t="shared" si="139"/>
        <v>60000</v>
      </c>
      <c r="P144" s="112">
        <f t="shared" si="134"/>
        <v>1877.93</v>
      </c>
      <c r="Q144" s="112">
        <v>10000</v>
      </c>
      <c r="R144" s="112"/>
      <c r="S144" s="112">
        <f t="shared" si="135"/>
        <v>242300.07750000001</v>
      </c>
      <c r="T144" s="112">
        <v>237734.04699999999</v>
      </c>
      <c r="U144" s="112">
        <f t="shared" si="137"/>
        <v>4566.0304999999598</v>
      </c>
      <c r="V144" s="112"/>
      <c r="W144" s="112">
        <v>3369.51</v>
      </c>
      <c r="X144" s="112">
        <v>3369.51</v>
      </c>
      <c r="Y144" s="112">
        <f t="shared" si="138"/>
        <v>0</v>
      </c>
      <c r="Z144" s="112"/>
      <c r="AA144" s="112"/>
      <c r="AB144" s="112"/>
    </row>
    <row r="145" spans="1:28" ht="20.100000000000001" customHeight="1">
      <c r="A145" s="100">
        <v>14</v>
      </c>
      <c r="B145" s="876" t="s">
        <v>530</v>
      </c>
      <c r="C145" s="877"/>
      <c r="D145" s="111" t="s">
        <v>1072</v>
      </c>
      <c r="E145" s="113" t="s">
        <v>453</v>
      </c>
      <c r="F145" s="72">
        <f>18281.64</f>
        <v>18281.64</v>
      </c>
      <c r="G145" s="112"/>
      <c r="H145" s="112">
        <f t="shared" si="129"/>
        <v>54844.92</v>
      </c>
      <c r="I145" s="112">
        <f t="shared" si="130"/>
        <v>1371.123</v>
      </c>
      <c r="J145" s="112"/>
      <c r="K145" s="112">
        <f t="shared" si="131"/>
        <v>9140.82</v>
      </c>
      <c r="L145" s="112">
        <f t="shared" si="132"/>
        <v>63985.74</v>
      </c>
      <c r="M145" s="112">
        <f t="shared" si="133"/>
        <v>18281.64</v>
      </c>
      <c r="N145" s="43"/>
      <c r="O145" s="43">
        <f t="shared" si="139"/>
        <v>60000</v>
      </c>
      <c r="P145" s="112">
        <f t="shared" si="134"/>
        <v>1828.164</v>
      </c>
      <c r="Q145" s="112">
        <v>10000</v>
      </c>
      <c r="R145" s="112"/>
      <c r="S145" s="112">
        <f t="shared" si="135"/>
        <v>237734.04699999999</v>
      </c>
      <c r="T145" s="112">
        <v>233168.2</v>
      </c>
      <c r="U145" s="112">
        <f t="shared" si="137"/>
        <v>4565.8469999999497</v>
      </c>
      <c r="V145" s="112"/>
      <c r="W145" s="112">
        <f>3369.51</f>
        <v>3369.51</v>
      </c>
      <c r="X145" s="112">
        <v>3369.51</v>
      </c>
      <c r="Y145" s="112">
        <f t="shared" si="138"/>
        <v>0</v>
      </c>
      <c r="Z145" s="112"/>
      <c r="AA145" s="112"/>
      <c r="AB145" s="112"/>
    </row>
    <row r="146" spans="1:28" ht="20.100000000000001" customHeight="1">
      <c r="A146" s="100">
        <v>15</v>
      </c>
      <c r="B146" s="876" t="s">
        <v>532</v>
      </c>
      <c r="C146" s="877"/>
      <c r="D146" s="111" t="s">
        <v>556</v>
      </c>
      <c r="E146" s="113" t="s">
        <v>539</v>
      </c>
      <c r="F146" s="72">
        <f>18779.3</f>
        <v>18779.3</v>
      </c>
      <c r="G146" s="112"/>
      <c r="H146" s="112">
        <f t="shared" si="129"/>
        <v>56337.9</v>
      </c>
      <c r="I146" s="112">
        <f t="shared" si="130"/>
        <v>1408.4475</v>
      </c>
      <c r="J146" s="112"/>
      <c r="K146" s="112">
        <f t="shared" si="131"/>
        <v>9389.65</v>
      </c>
      <c r="L146" s="112">
        <f t="shared" si="132"/>
        <v>65727.55</v>
      </c>
      <c r="M146" s="112">
        <f t="shared" si="133"/>
        <v>18779.3</v>
      </c>
      <c r="N146" s="43"/>
      <c r="O146" s="43">
        <f t="shared" si="139"/>
        <v>60000</v>
      </c>
      <c r="P146" s="112">
        <f t="shared" si="134"/>
        <v>1877.93</v>
      </c>
      <c r="Q146" s="112">
        <v>10000</v>
      </c>
      <c r="R146" s="112"/>
      <c r="S146" s="112">
        <f t="shared" si="135"/>
        <v>242300.07750000001</v>
      </c>
      <c r="T146" s="112">
        <v>237734.04699999999</v>
      </c>
      <c r="U146" s="112">
        <f t="shared" si="137"/>
        <v>4566.0304999999598</v>
      </c>
      <c r="V146" s="112"/>
      <c r="W146" s="112">
        <v>3369.51</v>
      </c>
      <c r="X146" s="112">
        <v>3369.51</v>
      </c>
      <c r="Y146" s="112">
        <f t="shared" si="138"/>
        <v>0</v>
      </c>
      <c r="Z146" s="112"/>
      <c r="AA146" s="112"/>
      <c r="AB146" s="112"/>
    </row>
    <row r="147" spans="1:28" ht="20.100000000000001" customHeight="1">
      <c r="A147" s="100">
        <v>16</v>
      </c>
      <c r="B147" s="876" t="s">
        <v>1284</v>
      </c>
      <c r="C147" s="877"/>
      <c r="D147" s="100" t="s">
        <v>537</v>
      </c>
      <c r="E147" s="113" t="s">
        <v>409</v>
      </c>
      <c r="F147" s="122">
        <f>17784.1</f>
        <v>17784.099999999999</v>
      </c>
      <c r="G147" s="112"/>
      <c r="H147" s="112">
        <f t="shared" si="129"/>
        <v>53352.3</v>
      </c>
      <c r="I147" s="112">
        <f t="shared" si="130"/>
        <v>1333.8074999999999</v>
      </c>
      <c r="J147" s="112"/>
      <c r="K147" s="112">
        <f t="shared" si="131"/>
        <v>8892.0499999999993</v>
      </c>
      <c r="L147" s="112">
        <f t="shared" si="132"/>
        <v>62244.35</v>
      </c>
      <c r="M147" s="112">
        <f t="shared" si="133"/>
        <v>17784.099999999999</v>
      </c>
      <c r="N147" s="43"/>
      <c r="O147" s="43">
        <f t="shared" si="139"/>
        <v>60000</v>
      </c>
      <c r="P147" s="112">
        <f t="shared" si="134"/>
        <v>1778.41</v>
      </c>
      <c r="Q147" s="112">
        <v>10000</v>
      </c>
      <c r="R147" s="112"/>
      <c r="S147" s="112">
        <f t="shared" si="135"/>
        <v>233169.11749999999</v>
      </c>
      <c r="T147" s="112">
        <v>228602.07775</v>
      </c>
      <c r="U147" s="112">
        <f t="shared" si="137"/>
        <v>4567.0397499999999</v>
      </c>
      <c r="V147" s="112"/>
      <c r="W147" s="112">
        <v>1484.37</v>
      </c>
      <c r="X147" s="112">
        <v>1484.37</v>
      </c>
      <c r="Y147" s="112">
        <f t="shared" si="138"/>
        <v>0</v>
      </c>
      <c r="Z147" s="112"/>
      <c r="AA147" s="112"/>
      <c r="AB147" s="112"/>
    </row>
    <row r="148" spans="1:28" ht="20.100000000000001" customHeight="1">
      <c r="A148" s="100">
        <v>17</v>
      </c>
      <c r="B148" s="876" t="s">
        <v>1285</v>
      </c>
      <c r="C148" s="877"/>
      <c r="D148" s="100" t="s">
        <v>537</v>
      </c>
      <c r="E148" s="113" t="s">
        <v>409</v>
      </c>
      <c r="F148" s="122">
        <f t="shared" ref="F148:F149" si="141">17784.1</f>
        <v>17784.099999999999</v>
      </c>
      <c r="G148" s="112"/>
      <c r="H148" s="112">
        <f t="shared" si="129"/>
        <v>53352.3</v>
      </c>
      <c r="I148" s="112">
        <f t="shared" si="130"/>
        <v>1333.8074999999999</v>
      </c>
      <c r="J148" s="112"/>
      <c r="K148" s="112">
        <f t="shared" si="131"/>
        <v>8892.0499999999993</v>
      </c>
      <c r="L148" s="112">
        <f t="shared" si="132"/>
        <v>62244.35</v>
      </c>
      <c r="M148" s="112">
        <f t="shared" si="133"/>
        <v>17784.099999999999</v>
      </c>
      <c r="N148" s="43"/>
      <c r="O148" s="43">
        <f t="shared" si="139"/>
        <v>60000</v>
      </c>
      <c r="P148" s="112">
        <f t="shared" si="134"/>
        <v>1778.41</v>
      </c>
      <c r="Q148" s="112">
        <v>10000</v>
      </c>
      <c r="R148" s="112"/>
      <c r="S148" s="112">
        <f t="shared" si="135"/>
        <v>233169.11749999999</v>
      </c>
      <c r="T148" s="112">
        <v>228602.07775</v>
      </c>
      <c r="U148" s="112">
        <f t="shared" si="137"/>
        <v>4567.0397499999999</v>
      </c>
      <c r="V148" s="112"/>
      <c r="W148" s="112">
        <v>1484.37</v>
      </c>
      <c r="X148" s="112">
        <v>1484.37</v>
      </c>
      <c r="Y148" s="112">
        <f t="shared" si="138"/>
        <v>0</v>
      </c>
      <c r="Z148" s="112"/>
      <c r="AA148" s="112"/>
      <c r="AB148" s="112"/>
    </row>
    <row r="149" spans="1:28" ht="20.100000000000001" customHeight="1">
      <c r="A149" s="100">
        <v>18</v>
      </c>
      <c r="B149" s="876" t="s">
        <v>540</v>
      </c>
      <c r="C149" s="877"/>
      <c r="D149" s="100" t="s">
        <v>537</v>
      </c>
      <c r="E149" s="113" t="s">
        <v>409</v>
      </c>
      <c r="F149" s="122">
        <f t="shared" si="141"/>
        <v>17784.099999999999</v>
      </c>
      <c r="G149" s="112"/>
      <c r="H149" s="112">
        <f t="shared" si="129"/>
        <v>53352.3</v>
      </c>
      <c r="I149" s="112">
        <f t="shared" si="130"/>
        <v>1333.8074999999999</v>
      </c>
      <c r="J149" s="112"/>
      <c r="K149" s="112">
        <f t="shared" si="131"/>
        <v>8892.0499999999993</v>
      </c>
      <c r="L149" s="112">
        <f t="shared" si="132"/>
        <v>62244.35</v>
      </c>
      <c r="M149" s="112">
        <f t="shared" si="133"/>
        <v>17784.099999999999</v>
      </c>
      <c r="N149" s="43"/>
      <c r="O149" s="43">
        <f t="shared" si="139"/>
        <v>60000</v>
      </c>
      <c r="P149" s="112">
        <f t="shared" si="134"/>
        <v>1778.41</v>
      </c>
      <c r="Q149" s="112">
        <v>10000</v>
      </c>
      <c r="R149" s="112"/>
      <c r="S149" s="112">
        <f t="shared" si="135"/>
        <v>233169.11749999999</v>
      </c>
      <c r="T149" s="112">
        <v>228602.07775</v>
      </c>
      <c r="U149" s="112">
        <f t="shared" si="137"/>
        <v>4567.0397499999999</v>
      </c>
      <c r="V149" s="112"/>
      <c r="W149" s="112">
        <v>1484.37</v>
      </c>
      <c r="X149" s="112">
        <v>1484.37</v>
      </c>
      <c r="Y149" s="112">
        <f t="shared" si="138"/>
        <v>0</v>
      </c>
      <c r="Z149" s="112"/>
      <c r="AA149" s="112"/>
      <c r="AB149" s="112"/>
    </row>
    <row r="150" spans="1:28" ht="20.100000000000001" customHeight="1">
      <c r="A150" s="100">
        <v>19</v>
      </c>
      <c r="B150" s="876" t="s">
        <v>545</v>
      </c>
      <c r="C150" s="877"/>
      <c r="D150" s="111" t="s">
        <v>556</v>
      </c>
      <c r="E150" s="113" t="s">
        <v>1048</v>
      </c>
      <c r="F150" s="122">
        <f>13492.21</f>
        <v>13492.21</v>
      </c>
      <c r="G150" s="112"/>
      <c r="H150" s="112">
        <f t="shared" si="129"/>
        <v>40476.629999999997</v>
      </c>
      <c r="I150" s="112">
        <f t="shared" si="130"/>
        <v>1011.91575</v>
      </c>
      <c r="J150" s="112"/>
      <c r="K150" s="112">
        <f t="shared" si="131"/>
        <v>6746.1049999999996</v>
      </c>
      <c r="L150" s="112">
        <f t="shared" si="132"/>
        <v>47222.735000000001</v>
      </c>
      <c r="M150" s="112">
        <f t="shared" si="133"/>
        <v>13492.21</v>
      </c>
      <c r="N150" s="43"/>
      <c r="O150" s="43">
        <f t="shared" ref="O150:O157" si="142">50000</f>
        <v>50000</v>
      </c>
      <c r="P150" s="112">
        <f t="shared" si="134"/>
        <v>1349.221</v>
      </c>
      <c r="Q150" s="112">
        <v>10000</v>
      </c>
      <c r="R150" s="112"/>
      <c r="S150" s="112">
        <f t="shared" si="135"/>
        <v>183791.02674999999</v>
      </c>
      <c r="T150" s="112">
        <v>180304.068</v>
      </c>
      <c r="U150" s="112">
        <f t="shared" si="137"/>
        <v>3486.9587499999898</v>
      </c>
      <c r="V150" s="112"/>
      <c r="W150" s="112">
        <v>1484.37</v>
      </c>
      <c r="X150" s="112">
        <v>1484.37</v>
      </c>
      <c r="Y150" s="112">
        <f t="shared" si="138"/>
        <v>0</v>
      </c>
      <c r="Z150" s="112"/>
      <c r="AA150" s="112"/>
      <c r="AB150" s="112"/>
    </row>
    <row r="151" spans="1:28" ht="20.100000000000001" customHeight="1">
      <c r="A151" s="100">
        <v>20</v>
      </c>
      <c r="B151" s="876" t="s">
        <v>547</v>
      </c>
      <c r="C151" s="877"/>
      <c r="D151" s="111" t="s">
        <v>1286</v>
      </c>
      <c r="E151" s="113" t="s">
        <v>1048</v>
      </c>
      <c r="F151" s="122">
        <f t="shared" ref="F151:F153" si="143">13492.21</f>
        <v>13492.21</v>
      </c>
      <c r="G151" s="112"/>
      <c r="H151" s="112">
        <f t="shared" si="129"/>
        <v>40476.629999999997</v>
      </c>
      <c r="I151" s="112">
        <f t="shared" si="130"/>
        <v>1011.91575</v>
      </c>
      <c r="J151" s="112"/>
      <c r="K151" s="112">
        <f t="shared" si="131"/>
        <v>6746.1049999999996</v>
      </c>
      <c r="L151" s="112">
        <f t="shared" si="132"/>
        <v>47222.735000000001</v>
      </c>
      <c r="M151" s="112">
        <f t="shared" si="133"/>
        <v>13492.21</v>
      </c>
      <c r="N151" s="43"/>
      <c r="O151" s="43">
        <f t="shared" si="142"/>
        <v>50000</v>
      </c>
      <c r="P151" s="112">
        <f t="shared" si="134"/>
        <v>1349.221</v>
      </c>
      <c r="Q151" s="112">
        <v>10000</v>
      </c>
      <c r="R151" s="112"/>
      <c r="S151" s="112">
        <f t="shared" si="135"/>
        <v>183791.02674999999</v>
      </c>
      <c r="T151" s="112">
        <v>180304.068</v>
      </c>
      <c r="U151" s="112">
        <f t="shared" si="137"/>
        <v>3486.9587499999898</v>
      </c>
      <c r="V151" s="112"/>
      <c r="W151" s="112">
        <v>1484.37</v>
      </c>
      <c r="X151" s="112">
        <v>1484.37</v>
      </c>
      <c r="Y151" s="112">
        <f t="shared" si="138"/>
        <v>0</v>
      </c>
      <c r="Z151" s="112"/>
      <c r="AA151" s="112"/>
      <c r="AB151" s="112"/>
    </row>
    <row r="152" spans="1:28" ht="20.100000000000001" customHeight="1">
      <c r="A152" s="100">
        <v>21</v>
      </c>
      <c r="B152" s="876" t="s">
        <v>549</v>
      </c>
      <c r="C152" s="877"/>
      <c r="D152" s="111" t="s">
        <v>556</v>
      </c>
      <c r="E152" s="113" t="s">
        <v>1048</v>
      </c>
      <c r="F152" s="122">
        <f t="shared" si="143"/>
        <v>13492.21</v>
      </c>
      <c r="G152" s="112"/>
      <c r="H152" s="112">
        <f t="shared" si="129"/>
        <v>40476.629999999997</v>
      </c>
      <c r="I152" s="112">
        <f t="shared" si="130"/>
        <v>1011.91575</v>
      </c>
      <c r="J152" s="112"/>
      <c r="K152" s="112">
        <f t="shared" si="131"/>
        <v>6746.1049999999996</v>
      </c>
      <c r="L152" s="112">
        <f t="shared" si="132"/>
        <v>47222.735000000001</v>
      </c>
      <c r="M152" s="112">
        <f t="shared" si="133"/>
        <v>13492.21</v>
      </c>
      <c r="N152" s="43"/>
      <c r="O152" s="43">
        <f t="shared" si="142"/>
        <v>50000</v>
      </c>
      <c r="P152" s="112">
        <f t="shared" si="134"/>
        <v>1349.221</v>
      </c>
      <c r="Q152" s="112">
        <v>10000</v>
      </c>
      <c r="R152" s="112"/>
      <c r="S152" s="112">
        <f t="shared" si="135"/>
        <v>183791.02674999999</v>
      </c>
      <c r="T152" s="112">
        <v>180304.068</v>
      </c>
      <c r="U152" s="112">
        <f t="shared" si="137"/>
        <v>3486.9587499999898</v>
      </c>
      <c r="V152" s="112"/>
      <c r="W152" s="112">
        <v>1484.37</v>
      </c>
      <c r="X152" s="112">
        <v>1484.37</v>
      </c>
      <c r="Y152" s="112">
        <f t="shared" si="138"/>
        <v>0</v>
      </c>
      <c r="Z152" s="112"/>
      <c r="AA152" s="112"/>
      <c r="AB152" s="112"/>
    </row>
    <row r="153" spans="1:28" ht="20.100000000000001" customHeight="1">
      <c r="A153" s="100">
        <v>22</v>
      </c>
      <c r="B153" s="876" t="s">
        <v>551</v>
      </c>
      <c r="C153" s="877"/>
      <c r="D153" s="111" t="s">
        <v>552</v>
      </c>
      <c r="E153" s="113" t="s">
        <v>1048</v>
      </c>
      <c r="F153" s="122">
        <f t="shared" si="143"/>
        <v>13492.21</v>
      </c>
      <c r="G153" s="112"/>
      <c r="H153" s="112">
        <f t="shared" si="129"/>
        <v>40476.629999999997</v>
      </c>
      <c r="I153" s="112">
        <f t="shared" si="130"/>
        <v>1011.91575</v>
      </c>
      <c r="J153" s="112"/>
      <c r="K153" s="112">
        <f t="shared" si="131"/>
        <v>6746.1049999999996</v>
      </c>
      <c r="L153" s="112">
        <f t="shared" si="132"/>
        <v>47222.735000000001</v>
      </c>
      <c r="M153" s="112">
        <f t="shared" si="133"/>
        <v>13492.21</v>
      </c>
      <c r="N153" s="43"/>
      <c r="O153" s="43">
        <f t="shared" si="142"/>
        <v>50000</v>
      </c>
      <c r="P153" s="112">
        <f t="shared" si="134"/>
        <v>1349.221</v>
      </c>
      <c r="Q153" s="112">
        <v>10000</v>
      </c>
      <c r="R153" s="112"/>
      <c r="S153" s="112">
        <f t="shared" si="135"/>
        <v>183791.02674999999</v>
      </c>
      <c r="T153" s="112">
        <v>180304.068</v>
      </c>
      <c r="U153" s="112">
        <f t="shared" si="137"/>
        <v>3486.9587499999898</v>
      </c>
      <c r="V153" s="112"/>
      <c r="W153" s="112">
        <v>1484.37</v>
      </c>
      <c r="X153" s="112">
        <v>1484.37</v>
      </c>
      <c r="Y153" s="112">
        <f t="shared" si="138"/>
        <v>0</v>
      </c>
      <c r="Z153" s="112"/>
      <c r="AA153" s="112"/>
      <c r="AB153" s="112"/>
    </row>
    <row r="154" spans="1:28" ht="20.100000000000001" customHeight="1">
      <c r="A154" s="100">
        <v>23</v>
      </c>
      <c r="B154" s="109" t="s">
        <v>553</v>
      </c>
      <c r="C154" s="110"/>
      <c r="D154" s="111" t="s">
        <v>558</v>
      </c>
      <c r="E154" s="113" t="s">
        <v>1264</v>
      </c>
      <c r="F154" s="122">
        <f>13112.16</f>
        <v>13112.16</v>
      </c>
      <c r="G154" s="112"/>
      <c r="H154" s="112">
        <f t="shared" si="129"/>
        <v>39336.480000000003</v>
      </c>
      <c r="I154" s="112">
        <f t="shared" si="130"/>
        <v>983.41200000000003</v>
      </c>
      <c r="J154" s="112"/>
      <c r="K154" s="112">
        <f t="shared" si="131"/>
        <v>6556.08</v>
      </c>
      <c r="L154" s="112">
        <f t="shared" si="132"/>
        <v>45892.56</v>
      </c>
      <c r="M154" s="112">
        <f t="shared" si="133"/>
        <v>13112.16</v>
      </c>
      <c r="N154" s="43"/>
      <c r="O154" s="43">
        <f t="shared" si="142"/>
        <v>50000</v>
      </c>
      <c r="P154" s="112">
        <f t="shared" si="134"/>
        <v>1311.2159999999999</v>
      </c>
      <c r="Q154" s="112">
        <v>10000</v>
      </c>
      <c r="S154" s="112">
        <f t="shared" si="135"/>
        <v>180304.068</v>
      </c>
      <c r="T154" s="112">
        <v>223168.2</v>
      </c>
      <c r="U154" s="112">
        <f t="shared" si="137"/>
        <v>-42864.131999999998</v>
      </c>
      <c r="V154" s="112"/>
      <c r="W154" s="112">
        <f>3369.51</f>
        <v>3369.51</v>
      </c>
      <c r="X154" s="112">
        <v>3369.51</v>
      </c>
      <c r="Y154" s="112">
        <f t="shared" si="138"/>
        <v>0</v>
      </c>
      <c r="Z154" s="112"/>
      <c r="AA154" s="112"/>
      <c r="AB154" s="112"/>
    </row>
    <row r="155" spans="1:28" ht="20.100000000000001" customHeight="1">
      <c r="A155" s="100">
        <v>24</v>
      </c>
      <c r="B155" s="109" t="s">
        <v>1242</v>
      </c>
      <c r="C155" s="110"/>
      <c r="D155" s="111" t="s">
        <v>556</v>
      </c>
      <c r="E155" s="113" t="s">
        <v>72</v>
      </c>
      <c r="F155" s="72">
        <f>12351.94</f>
        <v>12351.94</v>
      </c>
      <c r="G155" s="72"/>
      <c r="H155" s="72">
        <f t="shared" si="129"/>
        <v>37055.82</v>
      </c>
      <c r="I155" s="72">
        <f t="shared" si="130"/>
        <v>926.39549999999997</v>
      </c>
      <c r="J155" s="72"/>
      <c r="K155" s="72">
        <f t="shared" si="131"/>
        <v>6175.97</v>
      </c>
      <c r="L155" s="72">
        <f t="shared" si="132"/>
        <v>43231.79</v>
      </c>
      <c r="M155" s="72">
        <f t="shared" si="133"/>
        <v>12351.94</v>
      </c>
      <c r="N155" s="43"/>
      <c r="O155" s="43">
        <f t="shared" si="142"/>
        <v>50000</v>
      </c>
      <c r="P155" s="72">
        <f t="shared" si="134"/>
        <v>1235.194</v>
      </c>
      <c r="Q155" s="72">
        <v>10000</v>
      </c>
      <c r="R155" s="72"/>
      <c r="S155" s="112">
        <f t="shared" ref="S155:S157" si="144">R155+Q155+P155+O155+N155+M155+L155+K155+J155+I155+H155+G155+F155</f>
        <v>173329.04949999999</v>
      </c>
      <c r="T155" s="112">
        <v>173329.04949999999</v>
      </c>
      <c r="U155" s="112">
        <f t="shared" si="137"/>
        <v>0</v>
      </c>
      <c r="V155" s="112"/>
      <c r="W155" s="112">
        <v>1484.37</v>
      </c>
      <c r="X155" s="112">
        <v>1484.37</v>
      </c>
      <c r="Y155" s="112">
        <f t="shared" si="138"/>
        <v>0</v>
      </c>
      <c r="Z155" s="112"/>
      <c r="AA155" s="112"/>
      <c r="AB155" s="112"/>
    </row>
    <row r="156" spans="1:28" ht="20.100000000000001" customHeight="1">
      <c r="A156" s="100">
        <v>25</v>
      </c>
      <c r="B156" s="109" t="s">
        <v>468</v>
      </c>
      <c r="C156" s="110"/>
      <c r="D156" s="111" t="s">
        <v>558</v>
      </c>
      <c r="E156" s="113" t="s">
        <v>72</v>
      </c>
      <c r="F156" s="72">
        <f t="shared" ref="F156:F157" si="145">12351.94</f>
        <v>12351.94</v>
      </c>
      <c r="G156" s="72"/>
      <c r="H156" s="72">
        <f t="shared" ref="H156:H157" si="146">F156*300%</f>
        <v>37055.82</v>
      </c>
      <c r="I156" s="72">
        <f t="shared" ref="I156:I157" si="147">F156*7.5%</f>
        <v>926.39549999999997</v>
      </c>
      <c r="J156" s="72"/>
      <c r="K156" s="72">
        <f t="shared" ref="K156:K157" si="148">F156*50%</f>
        <v>6175.97</v>
      </c>
      <c r="L156" s="72">
        <f t="shared" ref="L156:L157" si="149">F156*350%</f>
        <v>43231.79</v>
      </c>
      <c r="M156" s="72">
        <f t="shared" ref="M156:M167" si="150">F156*100%</f>
        <v>12351.94</v>
      </c>
      <c r="N156" s="43"/>
      <c r="O156" s="43">
        <f t="shared" si="142"/>
        <v>50000</v>
      </c>
      <c r="P156" s="72">
        <f t="shared" ref="P156:P186" si="151">F156*10%</f>
        <v>1235.194</v>
      </c>
      <c r="Q156" s="72">
        <v>10000</v>
      </c>
      <c r="R156" s="72"/>
      <c r="S156" s="112">
        <f t="shared" si="144"/>
        <v>173329.04949999999</v>
      </c>
      <c r="T156" s="112">
        <v>173329.04949999999</v>
      </c>
      <c r="U156" s="112">
        <f t="shared" si="137"/>
        <v>0</v>
      </c>
      <c r="V156" s="112"/>
      <c r="W156" s="112">
        <v>1484.37</v>
      </c>
      <c r="X156" s="112">
        <v>1484.37</v>
      </c>
      <c r="Y156" s="112">
        <f t="shared" si="138"/>
        <v>0</v>
      </c>
      <c r="Z156" s="112"/>
      <c r="AA156" s="112"/>
      <c r="AB156" s="112"/>
    </row>
    <row r="157" spans="1:28" ht="20.100000000000001" customHeight="1">
      <c r="A157" s="100">
        <v>26</v>
      </c>
      <c r="B157" s="109" t="s">
        <v>555</v>
      </c>
      <c r="C157" s="110"/>
      <c r="D157" s="111" t="s">
        <v>556</v>
      </c>
      <c r="E157" s="113" t="s">
        <v>72</v>
      </c>
      <c r="F157" s="72">
        <f t="shared" si="145"/>
        <v>12351.94</v>
      </c>
      <c r="G157" s="72"/>
      <c r="H157" s="72">
        <f t="shared" si="146"/>
        <v>37055.82</v>
      </c>
      <c r="I157" s="72">
        <f t="shared" si="147"/>
        <v>926.39549999999997</v>
      </c>
      <c r="J157" s="72"/>
      <c r="K157" s="72">
        <f t="shared" si="148"/>
        <v>6175.97</v>
      </c>
      <c r="L157" s="72">
        <f t="shared" si="149"/>
        <v>43231.79</v>
      </c>
      <c r="M157" s="72">
        <f t="shared" si="150"/>
        <v>12351.94</v>
      </c>
      <c r="N157" s="43"/>
      <c r="O157" s="43">
        <f t="shared" si="142"/>
        <v>50000</v>
      </c>
      <c r="P157" s="72">
        <f t="shared" si="151"/>
        <v>1235.194</v>
      </c>
      <c r="Q157" s="72">
        <v>10000</v>
      </c>
      <c r="R157" s="72"/>
      <c r="S157" s="112">
        <f t="shared" si="144"/>
        <v>173329.04949999999</v>
      </c>
      <c r="T157" s="112">
        <v>173329.04949999999</v>
      </c>
      <c r="U157" s="112">
        <f t="shared" si="137"/>
        <v>0</v>
      </c>
      <c r="V157" s="112"/>
      <c r="W157" s="112">
        <v>1484.37</v>
      </c>
      <c r="X157" s="112">
        <v>1484.37</v>
      </c>
      <c r="Y157" s="112">
        <f t="shared" si="138"/>
        <v>0</v>
      </c>
      <c r="Z157" s="112"/>
      <c r="AA157" s="112"/>
      <c r="AB157" s="112"/>
    </row>
    <row r="158" spans="1:28" ht="20.100000000000001" customHeight="1">
      <c r="A158" s="100">
        <v>27</v>
      </c>
      <c r="B158" s="882" t="s">
        <v>564</v>
      </c>
      <c r="C158" s="882"/>
      <c r="D158" s="111" t="s">
        <v>565</v>
      </c>
      <c r="E158" s="113" t="s">
        <v>583</v>
      </c>
      <c r="F158" s="122">
        <f>9050.14</f>
        <v>9050.14</v>
      </c>
      <c r="G158" s="43"/>
      <c r="H158" s="112">
        <f t="shared" si="129"/>
        <v>27150.42</v>
      </c>
      <c r="I158" s="112">
        <f t="shared" si="130"/>
        <v>678.76049999999998</v>
      </c>
      <c r="J158" s="122">
        <v>0</v>
      </c>
      <c r="K158" s="112">
        <f t="shared" si="131"/>
        <v>4525.07</v>
      </c>
      <c r="L158" s="112">
        <f t="shared" si="132"/>
        <v>31675.49</v>
      </c>
      <c r="M158" s="112">
        <f t="shared" si="150"/>
        <v>9050.14</v>
      </c>
      <c r="N158" s="43"/>
      <c r="O158" s="43">
        <f t="shared" ref="O158:O164" si="152">30000</f>
        <v>30000</v>
      </c>
      <c r="P158" s="112">
        <f t="shared" si="151"/>
        <v>905.01400000000001</v>
      </c>
      <c r="Q158" s="122">
        <v>5000</v>
      </c>
      <c r="R158" s="112">
        <f>4000</f>
        <v>4000</v>
      </c>
      <c r="S158" s="112">
        <f t="shared" ref="S158:S182" si="153">SUM(F158:R158)</f>
        <v>122035.03449999999</v>
      </c>
      <c r="T158" s="112">
        <v>119104.99825</v>
      </c>
      <c r="U158" s="112">
        <f t="shared" si="137"/>
        <v>2930.0362499999901</v>
      </c>
      <c r="V158" s="112"/>
      <c r="W158" s="112">
        <v>236.04</v>
      </c>
      <c r="X158" s="112">
        <v>236.04</v>
      </c>
      <c r="Y158" s="112">
        <f t="shared" si="138"/>
        <v>0</v>
      </c>
      <c r="Z158" s="112"/>
      <c r="AA158" s="112"/>
      <c r="AB158" s="112"/>
    </row>
    <row r="159" spans="1:28" ht="20.100000000000001" customHeight="1">
      <c r="A159" s="100">
        <v>28</v>
      </c>
      <c r="B159" s="882" t="s">
        <v>567</v>
      </c>
      <c r="C159" s="882"/>
      <c r="D159" s="111" t="s">
        <v>565</v>
      </c>
      <c r="E159" s="113" t="s">
        <v>583</v>
      </c>
      <c r="F159" s="122">
        <f t="shared" ref="F159:F164" si="154">9050.14</f>
        <v>9050.14</v>
      </c>
      <c r="G159" s="43"/>
      <c r="H159" s="112">
        <f t="shared" si="129"/>
        <v>27150.42</v>
      </c>
      <c r="I159" s="112">
        <f t="shared" si="130"/>
        <v>678.76049999999998</v>
      </c>
      <c r="J159" s="122">
        <v>0</v>
      </c>
      <c r="K159" s="112">
        <f t="shared" si="131"/>
        <v>4525.07</v>
      </c>
      <c r="L159" s="112">
        <f t="shared" si="132"/>
        <v>31675.49</v>
      </c>
      <c r="M159" s="112">
        <f t="shared" si="150"/>
        <v>9050.14</v>
      </c>
      <c r="N159" s="43"/>
      <c r="O159" s="43">
        <f t="shared" si="152"/>
        <v>30000</v>
      </c>
      <c r="P159" s="112">
        <f t="shared" si="151"/>
        <v>905.01400000000001</v>
      </c>
      <c r="Q159" s="122">
        <v>5000</v>
      </c>
      <c r="R159" s="112">
        <f>7000</f>
        <v>7000</v>
      </c>
      <c r="S159" s="112">
        <f t="shared" si="153"/>
        <v>125035.03449999999</v>
      </c>
      <c r="T159" s="112">
        <v>122104.99825</v>
      </c>
      <c r="U159" s="112">
        <f t="shared" si="137"/>
        <v>2930.0362499999901</v>
      </c>
      <c r="V159" s="112"/>
      <c r="W159" s="112">
        <v>236.04</v>
      </c>
      <c r="X159" s="112">
        <v>236.04</v>
      </c>
      <c r="Y159" s="112">
        <f t="shared" si="138"/>
        <v>0</v>
      </c>
      <c r="Z159" s="112"/>
      <c r="AA159" s="112"/>
      <c r="AB159" s="112"/>
    </row>
    <row r="160" spans="1:28" ht="20.100000000000001" customHeight="1">
      <c r="A160" s="100">
        <v>29</v>
      </c>
      <c r="B160" s="882" t="s">
        <v>568</v>
      </c>
      <c r="C160" s="882"/>
      <c r="D160" s="111" t="s">
        <v>565</v>
      </c>
      <c r="E160" s="113" t="s">
        <v>583</v>
      </c>
      <c r="F160" s="122">
        <f t="shared" si="154"/>
        <v>9050.14</v>
      </c>
      <c r="G160" s="43"/>
      <c r="H160" s="112">
        <f t="shared" si="129"/>
        <v>27150.42</v>
      </c>
      <c r="I160" s="112">
        <f t="shared" si="130"/>
        <v>678.76049999999998</v>
      </c>
      <c r="J160" s="112">
        <v>0</v>
      </c>
      <c r="K160" s="112">
        <f t="shared" si="131"/>
        <v>4525.07</v>
      </c>
      <c r="L160" s="112">
        <f t="shared" si="132"/>
        <v>31675.49</v>
      </c>
      <c r="M160" s="112">
        <f t="shared" si="150"/>
        <v>9050.14</v>
      </c>
      <c r="N160" s="43"/>
      <c r="O160" s="43">
        <f t="shared" si="152"/>
        <v>30000</v>
      </c>
      <c r="P160" s="112">
        <f t="shared" si="151"/>
        <v>905.01400000000001</v>
      </c>
      <c r="Q160" s="112">
        <v>5000</v>
      </c>
      <c r="R160" s="112">
        <f>4000</f>
        <v>4000</v>
      </c>
      <c r="S160" s="112">
        <f t="shared" si="153"/>
        <v>122035.03449999999</v>
      </c>
      <c r="T160" s="112">
        <v>119104.99825</v>
      </c>
      <c r="U160" s="112">
        <f t="shared" si="137"/>
        <v>2930.0362499999901</v>
      </c>
      <c r="V160" s="112"/>
      <c r="W160" s="112">
        <v>236.04</v>
      </c>
      <c r="X160" s="112">
        <v>236.04</v>
      </c>
      <c r="Y160" s="112">
        <f t="shared" si="138"/>
        <v>0</v>
      </c>
      <c r="Z160" s="112"/>
      <c r="AA160" s="112"/>
      <c r="AB160" s="112"/>
    </row>
    <row r="161" spans="1:28" ht="20.100000000000001" customHeight="1">
      <c r="A161" s="100">
        <v>30</v>
      </c>
      <c r="B161" s="882" t="s">
        <v>769</v>
      </c>
      <c r="C161" s="882"/>
      <c r="D161" s="111" t="s">
        <v>565</v>
      </c>
      <c r="E161" s="113" t="s">
        <v>583</v>
      </c>
      <c r="F161" s="122">
        <f t="shared" si="154"/>
        <v>9050.14</v>
      </c>
      <c r="G161" s="43"/>
      <c r="H161" s="112">
        <f t="shared" si="129"/>
        <v>27150.42</v>
      </c>
      <c r="I161" s="112">
        <f t="shared" si="130"/>
        <v>678.76049999999998</v>
      </c>
      <c r="J161" s="112">
        <v>0</v>
      </c>
      <c r="K161" s="112">
        <f t="shared" si="131"/>
        <v>4525.07</v>
      </c>
      <c r="L161" s="112">
        <f t="shared" si="132"/>
        <v>31675.49</v>
      </c>
      <c r="M161" s="112">
        <f t="shared" si="150"/>
        <v>9050.14</v>
      </c>
      <c r="N161" s="43"/>
      <c r="O161" s="43">
        <f t="shared" si="152"/>
        <v>30000</v>
      </c>
      <c r="P161" s="112">
        <f t="shared" si="151"/>
        <v>905.01400000000001</v>
      </c>
      <c r="Q161" s="112">
        <v>5000</v>
      </c>
      <c r="R161" s="112">
        <f>4000</f>
        <v>4000</v>
      </c>
      <c r="S161" s="112">
        <f t="shared" si="153"/>
        <v>122035.03449999999</v>
      </c>
      <c r="T161" s="112">
        <v>119104.99825</v>
      </c>
      <c r="U161" s="112">
        <f t="shared" si="137"/>
        <v>2930.0362499999901</v>
      </c>
      <c r="V161" s="112"/>
      <c r="W161" s="112">
        <v>236.04</v>
      </c>
      <c r="X161" s="112">
        <v>236.04</v>
      </c>
      <c r="Y161" s="112">
        <f t="shared" si="138"/>
        <v>0</v>
      </c>
      <c r="Z161" s="112"/>
      <c r="AA161" s="112"/>
      <c r="AB161" s="112"/>
    </row>
    <row r="162" spans="1:28" ht="20.100000000000001" customHeight="1">
      <c r="A162" s="100">
        <v>31</v>
      </c>
      <c r="B162" s="882" t="s">
        <v>767</v>
      </c>
      <c r="C162" s="882"/>
      <c r="D162" s="111" t="s">
        <v>565</v>
      </c>
      <c r="E162" s="113" t="s">
        <v>583</v>
      </c>
      <c r="F162" s="122">
        <f t="shared" si="154"/>
        <v>9050.14</v>
      </c>
      <c r="G162" s="43"/>
      <c r="H162" s="112">
        <f t="shared" si="129"/>
        <v>27150.42</v>
      </c>
      <c r="I162" s="112">
        <f t="shared" si="130"/>
        <v>678.76049999999998</v>
      </c>
      <c r="J162" s="112">
        <v>0</v>
      </c>
      <c r="K162" s="112">
        <f t="shared" si="131"/>
        <v>4525.07</v>
      </c>
      <c r="L162" s="112">
        <f t="shared" si="132"/>
        <v>31675.49</v>
      </c>
      <c r="M162" s="112">
        <f t="shared" si="150"/>
        <v>9050.14</v>
      </c>
      <c r="N162" s="43"/>
      <c r="O162" s="43">
        <f t="shared" si="152"/>
        <v>30000</v>
      </c>
      <c r="P162" s="112">
        <f t="shared" si="151"/>
        <v>905.01400000000001</v>
      </c>
      <c r="Q162" s="112">
        <v>5000</v>
      </c>
      <c r="R162" s="112">
        <f>4000</f>
        <v>4000</v>
      </c>
      <c r="S162" s="112">
        <f t="shared" si="153"/>
        <v>122035.03449999999</v>
      </c>
      <c r="T162" s="112">
        <v>119104.99825</v>
      </c>
      <c r="U162" s="112">
        <f t="shared" si="137"/>
        <v>2930.0362499999901</v>
      </c>
      <c r="V162" s="112"/>
      <c r="W162" s="112">
        <v>236.04</v>
      </c>
      <c r="X162" s="112">
        <v>236.04</v>
      </c>
      <c r="Y162" s="112">
        <f t="shared" si="138"/>
        <v>0</v>
      </c>
      <c r="Z162" s="112"/>
      <c r="AA162" s="112"/>
      <c r="AB162" s="112"/>
    </row>
    <row r="163" spans="1:28" ht="20.100000000000001" customHeight="1">
      <c r="A163" s="100">
        <v>32</v>
      </c>
      <c r="B163" s="882" t="s">
        <v>569</v>
      </c>
      <c r="C163" s="882"/>
      <c r="D163" s="111" t="s">
        <v>565</v>
      </c>
      <c r="E163" s="113" t="s">
        <v>583</v>
      </c>
      <c r="F163" s="122">
        <f t="shared" si="154"/>
        <v>9050.14</v>
      </c>
      <c r="G163" s="43"/>
      <c r="H163" s="112">
        <f t="shared" si="129"/>
        <v>27150.42</v>
      </c>
      <c r="I163" s="112">
        <f t="shared" si="130"/>
        <v>678.76049999999998</v>
      </c>
      <c r="J163" s="112">
        <v>0</v>
      </c>
      <c r="K163" s="112">
        <f t="shared" si="131"/>
        <v>4525.07</v>
      </c>
      <c r="L163" s="112">
        <f t="shared" si="132"/>
        <v>31675.49</v>
      </c>
      <c r="M163" s="112">
        <f t="shared" si="150"/>
        <v>9050.14</v>
      </c>
      <c r="N163" s="43"/>
      <c r="O163" s="43">
        <f t="shared" si="152"/>
        <v>30000</v>
      </c>
      <c r="P163" s="112">
        <f t="shared" si="151"/>
        <v>905.01400000000001</v>
      </c>
      <c r="Q163" s="112">
        <v>5000</v>
      </c>
      <c r="R163" s="112">
        <f>4000</f>
        <v>4000</v>
      </c>
      <c r="S163" s="112">
        <f t="shared" si="153"/>
        <v>122035.03449999999</v>
      </c>
      <c r="T163" s="112">
        <v>119104.99825</v>
      </c>
      <c r="U163" s="112">
        <f t="shared" si="137"/>
        <v>2930.0362499999901</v>
      </c>
      <c r="V163" s="112"/>
      <c r="W163" s="112">
        <v>236.04</v>
      </c>
      <c r="X163" s="112">
        <v>236.04</v>
      </c>
      <c r="Y163" s="112">
        <f t="shared" si="138"/>
        <v>0</v>
      </c>
      <c r="Z163" s="112"/>
      <c r="AA163" s="112"/>
      <c r="AB163" s="112"/>
    </row>
    <row r="164" spans="1:28" ht="20.100000000000001" customHeight="1">
      <c r="A164" s="100">
        <v>33</v>
      </c>
      <c r="B164" s="882" t="s">
        <v>570</v>
      </c>
      <c r="C164" s="882"/>
      <c r="D164" s="111" t="s">
        <v>565</v>
      </c>
      <c r="E164" s="113" t="s">
        <v>583</v>
      </c>
      <c r="F164" s="122">
        <f t="shared" si="154"/>
        <v>9050.14</v>
      </c>
      <c r="G164" s="43"/>
      <c r="H164" s="112">
        <f t="shared" si="129"/>
        <v>27150.42</v>
      </c>
      <c r="I164" s="112">
        <f t="shared" si="130"/>
        <v>678.76049999999998</v>
      </c>
      <c r="J164" s="112">
        <v>0</v>
      </c>
      <c r="K164" s="112">
        <f t="shared" si="131"/>
        <v>4525.07</v>
      </c>
      <c r="L164" s="112">
        <f t="shared" si="132"/>
        <v>31675.49</v>
      </c>
      <c r="M164" s="112">
        <f t="shared" si="150"/>
        <v>9050.14</v>
      </c>
      <c r="N164" s="43"/>
      <c r="O164" s="43">
        <f t="shared" si="152"/>
        <v>30000</v>
      </c>
      <c r="P164" s="112">
        <f t="shared" si="151"/>
        <v>905.01400000000001</v>
      </c>
      <c r="Q164" s="112">
        <v>5000</v>
      </c>
      <c r="R164" s="112">
        <f>4000</f>
        <v>4000</v>
      </c>
      <c r="S164" s="112">
        <f t="shared" si="153"/>
        <v>122035.03449999999</v>
      </c>
      <c r="T164" s="112">
        <v>119104.99825</v>
      </c>
      <c r="U164" s="112">
        <f t="shared" si="137"/>
        <v>2930.0362499999901</v>
      </c>
      <c r="V164" s="112"/>
      <c r="W164" s="112">
        <v>236.04</v>
      </c>
      <c r="X164" s="112">
        <v>236.04</v>
      </c>
      <c r="Y164" s="112">
        <f t="shared" si="138"/>
        <v>0</v>
      </c>
      <c r="Z164" s="112"/>
      <c r="AA164" s="112"/>
      <c r="AB164" s="112"/>
    </row>
    <row r="165" spans="1:28" ht="20.100000000000001" customHeight="1">
      <c r="A165" s="100">
        <v>34</v>
      </c>
      <c r="B165" s="882" t="s">
        <v>571</v>
      </c>
      <c r="C165" s="882"/>
      <c r="D165" s="111" t="s">
        <v>585</v>
      </c>
      <c r="E165" s="113" t="s">
        <v>1287</v>
      </c>
      <c r="F165" s="112">
        <f>5769.6</f>
        <v>5769.6</v>
      </c>
      <c r="G165" s="43"/>
      <c r="H165" s="112">
        <f t="shared" si="129"/>
        <v>17308.8</v>
      </c>
      <c r="I165" s="112">
        <f t="shared" si="130"/>
        <v>432.72</v>
      </c>
      <c r="J165" s="112">
        <v>0</v>
      </c>
      <c r="K165" s="112">
        <f t="shared" si="131"/>
        <v>2884.8</v>
      </c>
      <c r="L165" s="112">
        <f t="shared" si="132"/>
        <v>20193.599999999999</v>
      </c>
      <c r="M165" s="112">
        <f t="shared" si="150"/>
        <v>5769.6</v>
      </c>
      <c r="N165" s="43"/>
      <c r="O165" s="43">
        <f t="shared" ref="O165:O180" si="155">20000</f>
        <v>20000</v>
      </c>
      <c r="P165" s="112">
        <f t="shared" si="151"/>
        <v>576.96</v>
      </c>
      <c r="Q165" s="112">
        <v>5000</v>
      </c>
      <c r="R165" s="112">
        <f>7000</f>
        <v>7000</v>
      </c>
      <c r="S165" s="112">
        <f t="shared" si="153"/>
        <v>84936.08</v>
      </c>
      <c r="T165" s="112">
        <v>83370.091</v>
      </c>
      <c r="U165" s="112">
        <f t="shared" si="137"/>
        <v>1565.989</v>
      </c>
      <c r="V165" s="112"/>
      <c r="W165" s="112">
        <v>236.04</v>
      </c>
      <c r="X165" s="112">
        <v>236.04</v>
      </c>
      <c r="Y165" s="112">
        <f t="shared" si="138"/>
        <v>0</v>
      </c>
      <c r="Z165" s="112"/>
      <c r="AA165" s="112"/>
      <c r="AB165" s="112"/>
    </row>
    <row r="166" spans="1:28" ht="20.100000000000001" customHeight="1">
      <c r="A166" s="100">
        <v>35</v>
      </c>
      <c r="B166" s="882" t="s">
        <v>573</v>
      </c>
      <c r="C166" s="882"/>
      <c r="D166" s="111" t="s">
        <v>585</v>
      </c>
      <c r="E166" s="113" t="s">
        <v>1287</v>
      </c>
      <c r="F166" s="112">
        <f t="shared" ref="F166:F171" si="156">5769.6</f>
        <v>5769.6</v>
      </c>
      <c r="G166" s="43"/>
      <c r="H166" s="112">
        <f t="shared" si="129"/>
        <v>17308.8</v>
      </c>
      <c r="I166" s="112">
        <f t="shared" si="130"/>
        <v>432.72</v>
      </c>
      <c r="J166" s="112">
        <v>0</v>
      </c>
      <c r="K166" s="112">
        <f t="shared" si="131"/>
        <v>2884.8</v>
      </c>
      <c r="L166" s="112">
        <f t="shared" si="132"/>
        <v>20193.599999999999</v>
      </c>
      <c r="M166" s="112">
        <f t="shared" si="150"/>
        <v>5769.6</v>
      </c>
      <c r="N166" s="43"/>
      <c r="O166" s="43">
        <f t="shared" si="155"/>
        <v>20000</v>
      </c>
      <c r="P166" s="112">
        <f t="shared" si="151"/>
        <v>576.96</v>
      </c>
      <c r="Q166" s="112">
        <v>5000</v>
      </c>
      <c r="R166" s="112">
        <f>4000</f>
        <v>4000</v>
      </c>
      <c r="S166" s="112">
        <f t="shared" si="153"/>
        <v>81936.08</v>
      </c>
      <c r="T166" s="112">
        <v>80370.091</v>
      </c>
      <c r="U166" s="112">
        <f t="shared" si="137"/>
        <v>1565.989</v>
      </c>
      <c r="V166" s="112"/>
      <c r="W166" s="112">
        <v>236.04</v>
      </c>
      <c r="X166" s="112">
        <v>236.04</v>
      </c>
      <c r="Y166" s="112">
        <f t="shared" si="138"/>
        <v>0</v>
      </c>
      <c r="Z166" s="112"/>
      <c r="AA166" s="112"/>
      <c r="AB166" s="112"/>
    </row>
    <row r="167" spans="1:28" ht="20.100000000000001" customHeight="1">
      <c r="A167" s="100">
        <v>36</v>
      </c>
      <c r="B167" s="882" t="s">
        <v>1220</v>
      </c>
      <c r="C167" s="882"/>
      <c r="D167" s="111" t="s">
        <v>585</v>
      </c>
      <c r="E167" s="113" t="s">
        <v>1287</v>
      </c>
      <c r="F167" s="112">
        <f t="shared" si="156"/>
        <v>5769.6</v>
      </c>
      <c r="G167" s="43"/>
      <c r="H167" s="112">
        <f t="shared" si="129"/>
        <v>17308.8</v>
      </c>
      <c r="I167" s="112">
        <f t="shared" si="130"/>
        <v>432.72</v>
      </c>
      <c r="J167" s="112">
        <v>0</v>
      </c>
      <c r="K167" s="112">
        <f t="shared" si="131"/>
        <v>2884.8</v>
      </c>
      <c r="L167" s="112">
        <f t="shared" si="132"/>
        <v>20193.599999999999</v>
      </c>
      <c r="M167" s="112">
        <f t="shared" si="150"/>
        <v>5769.6</v>
      </c>
      <c r="N167" s="43"/>
      <c r="O167" s="43">
        <f t="shared" si="155"/>
        <v>20000</v>
      </c>
      <c r="P167" s="112">
        <f t="shared" si="151"/>
        <v>576.96</v>
      </c>
      <c r="Q167" s="112">
        <v>5000</v>
      </c>
      <c r="R167" s="112">
        <f>4000</f>
        <v>4000</v>
      </c>
      <c r="S167" s="112">
        <f t="shared" si="153"/>
        <v>81936.08</v>
      </c>
      <c r="T167" s="112">
        <v>80370.091</v>
      </c>
      <c r="U167" s="112">
        <f t="shared" si="137"/>
        <v>1565.989</v>
      </c>
      <c r="V167" s="112"/>
      <c r="W167" s="112">
        <v>236.04</v>
      </c>
      <c r="X167" s="112">
        <v>236.04</v>
      </c>
      <c r="Y167" s="112">
        <f t="shared" si="138"/>
        <v>0</v>
      </c>
      <c r="Z167" s="112"/>
      <c r="AA167" s="112"/>
      <c r="AB167" s="112"/>
    </row>
    <row r="168" spans="1:28" ht="20.100000000000001" customHeight="1">
      <c r="A168" s="100">
        <v>37</v>
      </c>
      <c r="B168" s="125" t="s">
        <v>574</v>
      </c>
      <c r="C168" s="125"/>
      <c r="D168" s="111" t="s">
        <v>585</v>
      </c>
      <c r="E168" s="113" t="s">
        <v>1287</v>
      </c>
      <c r="F168" s="112">
        <f t="shared" si="156"/>
        <v>5769.6</v>
      </c>
      <c r="G168" s="43"/>
      <c r="H168" s="112">
        <f t="shared" si="129"/>
        <v>17308.8</v>
      </c>
      <c r="I168" s="112">
        <f t="shared" si="130"/>
        <v>432.72</v>
      </c>
      <c r="J168" s="112">
        <v>0</v>
      </c>
      <c r="K168" s="112">
        <f t="shared" si="131"/>
        <v>2884.8</v>
      </c>
      <c r="L168" s="112">
        <f t="shared" si="132"/>
        <v>20193.599999999999</v>
      </c>
      <c r="M168" s="112">
        <f>F167*100%</f>
        <v>5769.6</v>
      </c>
      <c r="N168" s="43"/>
      <c r="O168" s="43">
        <f t="shared" si="155"/>
        <v>20000</v>
      </c>
      <c r="P168" s="112">
        <f t="shared" si="151"/>
        <v>576.96</v>
      </c>
      <c r="Q168" s="112">
        <v>5000</v>
      </c>
      <c r="R168" s="112">
        <f>7000</f>
        <v>7000</v>
      </c>
      <c r="S168" s="112">
        <f t="shared" si="153"/>
        <v>84936.08</v>
      </c>
      <c r="T168" s="112">
        <v>83370.091</v>
      </c>
      <c r="U168" s="112">
        <f t="shared" si="137"/>
        <v>1565.989</v>
      </c>
      <c r="V168" s="112"/>
      <c r="W168" s="112">
        <v>236.04</v>
      </c>
      <c r="X168" s="112">
        <v>236.04</v>
      </c>
      <c r="Y168" s="112">
        <f t="shared" si="138"/>
        <v>0</v>
      </c>
      <c r="Z168" s="112"/>
      <c r="AA168" s="112"/>
      <c r="AB168" s="112"/>
    </row>
    <row r="169" spans="1:28" ht="20.100000000000001" customHeight="1">
      <c r="A169" s="100">
        <v>38</v>
      </c>
      <c r="B169" s="876" t="s">
        <v>575</v>
      </c>
      <c r="C169" s="877"/>
      <c r="D169" s="111" t="s">
        <v>585</v>
      </c>
      <c r="E169" s="113" t="s">
        <v>1287</v>
      </c>
      <c r="F169" s="112">
        <f t="shared" si="156"/>
        <v>5769.6</v>
      </c>
      <c r="G169" s="43"/>
      <c r="H169" s="112">
        <f t="shared" si="129"/>
        <v>17308.8</v>
      </c>
      <c r="I169" s="112">
        <f t="shared" si="130"/>
        <v>432.72</v>
      </c>
      <c r="J169" s="112"/>
      <c r="K169" s="112">
        <f t="shared" si="131"/>
        <v>2884.8</v>
      </c>
      <c r="L169" s="112">
        <f t="shared" si="132"/>
        <v>20193.599999999999</v>
      </c>
      <c r="M169" s="112">
        <f t="shared" ref="M169:M186" si="157">F169*100%</f>
        <v>5769.6</v>
      </c>
      <c r="N169" s="43"/>
      <c r="O169" s="43">
        <f t="shared" si="155"/>
        <v>20000</v>
      </c>
      <c r="P169" s="112">
        <f t="shared" si="151"/>
        <v>576.96</v>
      </c>
      <c r="Q169" s="112">
        <v>5000</v>
      </c>
      <c r="R169" s="112">
        <f>4000</f>
        <v>4000</v>
      </c>
      <c r="S169" s="112">
        <f t="shared" si="153"/>
        <v>81936.08</v>
      </c>
      <c r="T169" s="112">
        <v>80370.091</v>
      </c>
      <c r="U169" s="112">
        <f t="shared" si="137"/>
        <v>1565.989</v>
      </c>
      <c r="V169" s="112"/>
      <c r="W169" s="112">
        <v>236.04</v>
      </c>
      <c r="X169" s="112">
        <v>236.04</v>
      </c>
      <c r="Y169" s="112">
        <f t="shared" si="138"/>
        <v>0</v>
      </c>
      <c r="Z169" s="112"/>
      <c r="AA169" s="112"/>
      <c r="AB169" s="112"/>
    </row>
    <row r="170" spans="1:28" ht="20.100000000000001" customHeight="1">
      <c r="A170" s="100">
        <v>39</v>
      </c>
      <c r="B170" s="111" t="s">
        <v>576</v>
      </c>
      <c r="C170" s="42"/>
      <c r="D170" s="111" t="s">
        <v>585</v>
      </c>
      <c r="E170" s="113" t="s">
        <v>1287</v>
      </c>
      <c r="F170" s="112">
        <f t="shared" si="156"/>
        <v>5769.6</v>
      </c>
      <c r="G170" s="43"/>
      <c r="H170" s="112">
        <f t="shared" si="129"/>
        <v>17308.8</v>
      </c>
      <c r="I170" s="112">
        <f t="shared" si="130"/>
        <v>432.72</v>
      </c>
      <c r="J170" s="112"/>
      <c r="K170" s="112">
        <f t="shared" si="131"/>
        <v>2884.8</v>
      </c>
      <c r="L170" s="112">
        <f t="shared" si="132"/>
        <v>20193.599999999999</v>
      </c>
      <c r="M170" s="112">
        <f t="shared" si="157"/>
        <v>5769.6</v>
      </c>
      <c r="N170" s="43"/>
      <c r="O170" s="43">
        <f t="shared" si="155"/>
        <v>20000</v>
      </c>
      <c r="P170" s="112">
        <f t="shared" si="151"/>
        <v>576.96</v>
      </c>
      <c r="Q170" s="112">
        <v>5000</v>
      </c>
      <c r="R170" s="112">
        <f>4000</f>
        <v>4000</v>
      </c>
      <c r="S170" s="112">
        <f t="shared" si="153"/>
        <v>81936.08</v>
      </c>
      <c r="T170" s="112">
        <v>80370.091</v>
      </c>
      <c r="U170" s="112">
        <f t="shared" si="137"/>
        <v>1565.989</v>
      </c>
      <c r="V170" s="112"/>
      <c r="W170" s="112">
        <v>236.04</v>
      </c>
      <c r="X170" s="112">
        <v>236.04</v>
      </c>
      <c r="Y170" s="112">
        <f t="shared" si="138"/>
        <v>0</v>
      </c>
      <c r="Z170" s="112"/>
      <c r="AA170" s="112"/>
      <c r="AB170" s="112"/>
    </row>
    <row r="171" spans="1:28" ht="20.100000000000001" customHeight="1">
      <c r="A171" s="100">
        <v>40</v>
      </c>
      <c r="B171" s="111" t="s">
        <v>577</v>
      </c>
      <c r="C171" s="42"/>
      <c r="D171" s="111" t="s">
        <v>585</v>
      </c>
      <c r="E171" s="113" t="s">
        <v>1287</v>
      </c>
      <c r="F171" s="112">
        <f t="shared" si="156"/>
        <v>5769.6</v>
      </c>
      <c r="G171" s="43"/>
      <c r="H171" s="112">
        <f t="shared" si="129"/>
        <v>17308.8</v>
      </c>
      <c r="I171" s="112">
        <f t="shared" si="130"/>
        <v>432.72</v>
      </c>
      <c r="J171" s="112"/>
      <c r="K171" s="112">
        <f t="shared" si="131"/>
        <v>2884.8</v>
      </c>
      <c r="L171" s="112">
        <f t="shared" si="132"/>
        <v>20193.599999999999</v>
      </c>
      <c r="M171" s="112">
        <f t="shared" si="157"/>
        <v>5769.6</v>
      </c>
      <c r="N171" s="43"/>
      <c r="O171" s="43">
        <f t="shared" si="155"/>
        <v>20000</v>
      </c>
      <c r="P171" s="112">
        <f t="shared" si="151"/>
        <v>576.96</v>
      </c>
      <c r="Q171" s="112">
        <v>5000</v>
      </c>
      <c r="R171" s="112">
        <f t="shared" ref="R171:R176" si="158">7000</f>
        <v>7000</v>
      </c>
      <c r="S171" s="112">
        <f t="shared" si="153"/>
        <v>84936.08</v>
      </c>
      <c r="T171" s="112">
        <v>83370.091</v>
      </c>
      <c r="U171" s="112">
        <f t="shared" si="137"/>
        <v>1565.989</v>
      </c>
      <c r="V171" s="112"/>
      <c r="W171" s="112">
        <v>236.04</v>
      </c>
      <c r="X171" s="112">
        <v>236.04</v>
      </c>
      <c r="Y171" s="112">
        <f t="shared" si="138"/>
        <v>0</v>
      </c>
      <c r="Z171" s="112"/>
      <c r="AA171" s="112"/>
      <c r="AB171" s="112"/>
    </row>
    <row r="172" spans="1:28" ht="20.100000000000001" customHeight="1">
      <c r="A172" s="100">
        <v>41</v>
      </c>
      <c r="B172" s="876" t="s">
        <v>578</v>
      </c>
      <c r="C172" s="877"/>
      <c r="D172" s="111" t="s">
        <v>585</v>
      </c>
      <c r="E172" s="113" t="s">
        <v>1056</v>
      </c>
      <c r="F172" s="112">
        <f t="shared" ref="F172:F173" si="159">5257.44</f>
        <v>5257.44</v>
      </c>
      <c r="G172" s="43"/>
      <c r="H172" s="112">
        <f t="shared" si="129"/>
        <v>15772.32</v>
      </c>
      <c r="I172" s="112">
        <f t="shared" si="130"/>
        <v>394.30799999999999</v>
      </c>
      <c r="J172" s="112"/>
      <c r="K172" s="112">
        <f t="shared" si="131"/>
        <v>2628.72</v>
      </c>
      <c r="L172" s="112">
        <f t="shared" si="132"/>
        <v>18401.04</v>
      </c>
      <c r="M172" s="112">
        <f t="shared" si="157"/>
        <v>5257.44</v>
      </c>
      <c r="N172" s="43"/>
      <c r="O172" s="43">
        <f t="shared" si="155"/>
        <v>20000</v>
      </c>
      <c r="P172" s="112">
        <f t="shared" si="151"/>
        <v>525.74400000000003</v>
      </c>
      <c r="Q172" s="112">
        <v>5000</v>
      </c>
      <c r="R172" s="112">
        <f t="shared" si="158"/>
        <v>7000</v>
      </c>
      <c r="S172" s="112">
        <f t="shared" si="153"/>
        <v>80237.012000000002</v>
      </c>
      <c r="T172" s="112">
        <v>78671.023000000001</v>
      </c>
      <c r="U172" s="112">
        <f t="shared" si="137"/>
        <v>1565.989</v>
      </c>
      <c r="V172" s="112"/>
      <c r="W172" s="112">
        <v>236.04</v>
      </c>
      <c r="X172" s="112">
        <v>236.04</v>
      </c>
      <c r="Y172" s="112">
        <f t="shared" si="138"/>
        <v>0</v>
      </c>
      <c r="Z172" s="112"/>
      <c r="AA172" s="112"/>
      <c r="AB172" s="112"/>
    </row>
    <row r="173" spans="1:28" ht="20.100000000000001" customHeight="1">
      <c r="A173" s="100">
        <v>42</v>
      </c>
      <c r="B173" s="876" t="s">
        <v>581</v>
      </c>
      <c r="C173" s="877"/>
      <c r="D173" s="111" t="s">
        <v>585</v>
      </c>
      <c r="E173" s="113" t="s">
        <v>1056</v>
      </c>
      <c r="F173" s="112">
        <f t="shared" si="159"/>
        <v>5257.44</v>
      </c>
      <c r="G173" s="43"/>
      <c r="H173" s="112">
        <f t="shared" si="129"/>
        <v>15772.32</v>
      </c>
      <c r="I173" s="112">
        <f t="shared" si="130"/>
        <v>394.30799999999999</v>
      </c>
      <c r="J173" s="112"/>
      <c r="K173" s="112">
        <f t="shared" si="131"/>
        <v>2628.72</v>
      </c>
      <c r="L173" s="112">
        <f t="shared" si="132"/>
        <v>18401.04</v>
      </c>
      <c r="M173" s="112">
        <f t="shared" si="157"/>
        <v>5257.44</v>
      </c>
      <c r="N173" s="43"/>
      <c r="O173" s="43">
        <f t="shared" si="155"/>
        <v>20000</v>
      </c>
      <c r="P173" s="112">
        <f t="shared" si="151"/>
        <v>525.74400000000003</v>
      </c>
      <c r="Q173" s="112">
        <v>5000</v>
      </c>
      <c r="R173" s="112">
        <f t="shared" si="158"/>
        <v>7000</v>
      </c>
      <c r="S173" s="112">
        <f t="shared" si="153"/>
        <v>80237.012000000002</v>
      </c>
      <c r="T173" s="112">
        <v>78671.023000000001</v>
      </c>
      <c r="U173" s="112">
        <f t="shared" si="137"/>
        <v>1565.989</v>
      </c>
      <c r="V173" s="112"/>
      <c r="W173" s="112">
        <v>236.04</v>
      </c>
      <c r="X173" s="112">
        <v>236.04</v>
      </c>
      <c r="Y173" s="112">
        <f t="shared" si="138"/>
        <v>0</v>
      </c>
      <c r="Z173" s="112"/>
      <c r="AA173" s="112"/>
      <c r="AB173" s="112"/>
    </row>
    <row r="174" spans="1:28" ht="20.100000000000001" customHeight="1">
      <c r="A174" s="100">
        <v>43</v>
      </c>
      <c r="B174" s="111" t="s">
        <v>582</v>
      </c>
      <c r="C174" s="42"/>
      <c r="D174" s="111" t="s">
        <v>585</v>
      </c>
      <c r="E174" s="113" t="s">
        <v>586</v>
      </c>
      <c r="F174" s="112">
        <f>5428.12</f>
        <v>5428.12</v>
      </c>
      <c r="G174" s="43"/>
      <c r="H174" s="112">
        <f t="shared" si="129"/>
        <v>16284.36</v>
      </c>
      <c r="I174" s="112">
        <f t="shared" si="130"/>
        <v>407.10899999999998</v>
      </c>
      <c r="J174" s="112"/>
      <c r="K174" s="112">
        <f t="shared" si="131"/>
        <v>2714.06</v>
      </c>
      <c r="L174" s="112">
        <f t="shared" si="132"/>
        <v>18998.419999999998</v>
      </c>
      <c r="M174" s="112">
        <f t="shared" si="157"/>
        <v>5428.12</v>
      </c>
      <c r="N174" s="43"/>
      <c r="O174" s="43">
        <f t="shared" si="155"/>
        <v>20000</v>
      </c>
      <c r="P174" s="112">
        <f t="shared" si="151"/>
        <v>542.81200000000001</v>
      </c>
      <c r="Q174" s="112">
        <v>5000</v>
      </c>
      <c r="R174" s="112">
        <f t="shared" si="158"/>
        <v>7000</v>
      </c>
      <c r="S174" s="112">
        <f t="shared" si="153"/>
        <v>81803.001000000004</v>
      </c>
      <c r="T174" s="112">
        <v>80237.012000000002</v>
      </c>
      <c r="U174" s="112">
        <f t="shared" si="137"/>
        <v>1565.98900000002</v>
      </c>
      <c r="V174" s="112"/>
      <c r="W174" s="112">
        <f>236.04</f>
        <v>236.04</v>
      </c>
      <c r="X174" s="112">
        <v>236.04</v>
      </c>
      <c r="Y174" s="112">
        <f t="shared" si="138"/>
        <v>0</v>
      </c>
      <c r="Z174" s="112"/>
      <c r="AA174" s="112"/>
      <c r="AB174" s="112"/>
    </row>
    <row r="175" spans="1:28" ht="20.100000000000001" customHeight="1">
      <c r="A175" s="100">
        <v>44</v>
      </c>
      <c r="B175" s="876" t="s">
        <v>584</v>
      </c>
      <c r="C175" s="877"/>
      <c r="D175" s="111" t="s">
        <v>585</v>
      </c>
      <c r="E175" s="113" t="s">
        <v>599</v>
      </c>
      <c r="F175" s="112">
        <f>5086.76</f>
        <v>5086.76</v>
      </c>
      <c r="G175" s="43"/>
      <c r="H175" s="112">
        <f t="shared" si="129"/>
        <v>15260.28</v>
      </c>
      <c r="I175" s="112">
        <f t="shared" si="130"/>
        <v>381.50700000000001</v>
      </c>
      <c r="J175" s="112"/>
      <c r="K175" s="112">
        <f t="shared" si="131"/>
        <v>2543.38</v>
      </c>
      <c r="L175" s="112">
        <f t="shared" si="132"/>
        <v>17803.66</v>
      </c>
      <c r="M175" s="112">
        <f t="shared" si="157"/>
        <v>5086.76</v>
      </c>
      <c r="N175" s="43"/>
      <c r="O175" s="43">
        <f t="shared" si="155"/>
        <v>20000</v>
      </c>
      <c r="P175" s="112">
        <f t="shared" si="151"/>
        <v>508.67599999999999</v>
      </c>
      <c r="Q175" s="112">
        <v>5000</v>
      </c>
      <c r="R175" s="112">
        <f t="shared" si="158"/>
        <v>7000</v>
      </c>
      <c r="S175" s="112">
        <f t="shared" si="153"/>
        <v>78671.023000000001</v>
      </c>
      <c r="T175" s="112">
        <v>77104.024749999997</v>
      </c>
      <c r="U175" s="112">
        <f t="shared" si="137"/>
        <v>1566.9982500000201</v>
      </c>
      <c r="V175" s="112"/>
      <c r="W175" s="112">
        <v>236.04</v>
      </c>
      <c r="X175" s="112">
        <v>236.04</v>
      </c>
      <c r="Y175" s="112">
        <f t="shared" si="138"/>
        <v>0</v>
      </c>
      <c r="Z175" s="112"/>
      <c r="AA175" s="112"/>
      <c r="AB175" s="112"/>
    </row>
    <row r="176" spans="1:28" ht="20.100000000000001" customHeight="1">
      <c r="A176" s="100">
        <v>45</v>
      </c>
      <c r="B176" s="876" t="s">
        <v>587</v>
      </c>
      <c r="C176" s="877"/>
      <c r="D176" s="111" t="s">
        <v>588</v>
      </c>
      <c r="E176" s="113" t="s">
        <v>1288</v>
      </c>
      <c r="F176" s="112">
        <f>4915.94</f>
        <v>4915.9399999999996</v>
      </c>
      <c r="G176" s="43"/>
      <c r="H176" s="112">
        <f t="shared" si="129"/>
        <v>14747.82</v>
      </c>
      <c r="I176" s="112">
        <f t="shared" si="130"/>
        <v>368.69549999999998</v>
      </c>
      <c r="J176" s="112"/>
      <c r="K176" s="112">
        <f t="shared" si="131"/>
        <v>2457.9699999999998</v>
      </c>
      <c r="L176" s="112">
        <f t="shared" si="132"/>
        <v>17205.79</v>
      </c>
      <c r="M176" s="112">
        <f t="shared" si="157"/>
        <v>4915.9399999999996</v>
      </c>
      <c r="N176" s="43"/>
      <c r="O176" s="43">
        <f t="shared" si="155"/>
        <v>20000</v>
      </c>
      <c r="P176" s="112">
        <f t="shared" si="151"/>
        <v>491.59399999999999</v>
      </c>
      <c r="Q176" s="112">
        <v>5000</v>
      </c>
      <c r="R176" s="112">
        <f t="shared" si="158"/>
        <v>7000</v>
      </c>
      <c r="S176" s="112">
        <f t="shared" si="153"/>
        <v>77103.749500000005</v>
      </c>
      <c r="T176" s="112">
        <v>75538.035749999995</v>
      </c>
      <c r="U176" s="112">
        <f t="shared" si="137"/>
        <v>1565.7137500000099</v>
      </c>
      <c r="V176" s="112"/>
      <c r="W176" s="112">
        <v>236.04</v>
      </c>
      <c r="X176" s="112">
        <v>236.04</v>
      </c>
      <c r="Y176" s="112">
        <f t="shared" si="138"/>
        <v>0</v>
      </c>
      <c r="Z176" s="112"/>
      <c r="AA176" s="112"/>
      <c r="AB176" s="112"/>
    </row>
    <row r="177" spans="1:28" ht="20.100000000000001" customHeight="1">
      <c r="A177" s="100">
        <v>46</v>
      </c>
      <c r="B177" s="876" t="s">
        <v>590</v>
      </c>
      <c r="C177" s="877"/>
      <c r="D177" s="111" t="s">
        <v>588</v>
      </c>
      <c r="E177" s="113" t="s">
        <v>1288</v>
      </c>
      <c r="F177" s="112">
        <f t="shared" ref="F177:F180" si="160">4915.94</f>
        <v>4915.9399999999996</v>
      </c>
      <c r="G177" s="43"/>
      <c r="H177" s="112">
        <f t="shared" si="129"/>
        <v>14747.82</v>
      </c>
      <c r="I177" s="112">
        <f t="shared" si="130"/>
        <v>368.69549999999998</v>
      </c>
      <c r="J177" s="112"/>
      <c r="K177" s="112">
        <f t="shared" si="131"/>
        <v>2457.9699999999998</v>
      </c>
      <c r="L177" s="112">
        <f t="shared" si="132"/>
        <v>17205.79</v>
      </c>
      <c r="M177" s="112">
        <f t="shared" si="157"/>
        <v>4915.9399999999996</v>
      </c>
      <c r="N177" s="43"/>
      <c r="O177" s="43">
        <f t="shared" si="155"/>
        <v>20000</v>
      </c>
      <c r="P177" s="112">
        <f t="shared" si="151"/>
        <v>491.59399999999999</v>
      </c>
      <c r="Q177" s="112">
        <v>5000</v>
      </c>
      <c r="R177" s="112">
        <f>4000</f>
        <v>4000</v>
      </c>
      <c r="S177" s="112">
        <f t="shared" si="153"/>
        <v>74103.749500000005</v>
      </c>
      <c r="T177" s="112">
        <v>72538.035749999995</v>
      </c>
      <c r="U177" s="112">
        <f t="shared" si="137"/>
        <v>1565.7137500000099</v>
      </c>
      <c r="V177" s="112"/>
      <c r="W177" s="112">
        <v>236.04</v>
      </c>
      <c r="X177" s="112">
        <v>236.04</v>
      </c>
      <c r="Y177" s="112">
        <f t="shared" si="138"/>
        <v>0</v>
      </c>
      <c r="Z177" s="112"/>
      <c r="AA177" s="112"/>
      <c r="AB177" s="112"/>
    </row>
    <row r="178" spans="1:28" ht="20.100000000000001" customHeight="1">
      <c r="A178" s="100">
        <v>47</v>
      </c>
      <c r="B178" s="876" t="s">
        <v>591</v>
      </c>
      <c r="C178" s="877"/>
      <c r="D178" s="111" t="s">
        <v>588</v>
      </c>
      <c r="E178" s="113" t="s">
        <v>1288</v>
      </c>
      <c r="F178" s="112">
        <f t="shared" si="160"/>
        <v>4915.9399999999996</v>
      </c>
      <c r="G178" s="43"/>
      <c r="H178" s="112">
        <f t="shared" si="129"/>
        <v>14747.82</v>
      </c>
      <c r="I178" s="112">
        <f t="shared" si="130"/>
        <v>368.69549999999998</v>
      </c>
      <c r="J178" s="112"/>
      <c r="K178" s="112">
        <f t="shared" si="131"/>
        <v>2457.9699999999998</v>
      </c>
      <c r="L178" s="112">
        <f t="shared" si="132"/>
        <v>17205.79</v>
      </c>
      <c r="M178" s="112">
        <f t="shared" si="157"/>
        <v>4915.9399999999996</v>
      </c>
      <c r="N178" s="43"/>
      <c r="O178" s="43">
        <f t="shared" si="155"/>
        <v>20000</v>
      </c>
      <c r="P178" s="112">
        <f t="shared" si="151"/>
        <v>491.59399999999999</v>
      </c>
      <c r="Q178" s="112">
        <v>5000</v>
      </c>
      <c r="R178" s="112">
        <f>7000</f>
        <v>7000</v>
      </c>
      <c r="S178" s="112">
        <f t="shared" si="153"/>
        <v>77103.749500000005</v>
      </c>
      <c r="T178" s="112">
        <v>75538.035749999995</v>
      </c>
      <c r="U178" s="112">
        <f t="shared" si="137"/>
        <v>1565.7137500000099</v>
      </c>
      <c r="V178" s="112"/>
      <c r="W178" s="112">
        <v>236.04</v>
      </c>
      <c r="X178" s="112">
        <v>236.04</v>
      </c>
      <c r="Y178" s="112">
        <f t="shared" si="138"/>
        <v>0</v>
      </c>
      <c r="Z178" s="112"/>
      <c r="AA178" s="112"/>
      <c r="AB178" s="112"/>
    </row>
    <row r="179" spans="1:28" ht="20.100000000000001" customHeight="1">
      <c r="A179" s="100">
        <v>48</v>
      </c>
      <c r="B179" s="876" t="s">
        <v>592</v>
      </c>
      <c r="C179" s="877"/>
      <c r="D179" s="111" t="s">
        <v>588</v>
      </c>
      <c r="E179" s="113" t="s">
        <v>1288</v>
      </c>
      <c r="F179" s="112">
        <f t="shared" si="160"/>
        <v>4915.9399999999996</v>
      </c>
      <c r="G179" s="43"/>
      <c r="H179" s="112">
        <f t="shared" si="129"/>
        <v>14747.82</v>
      </c>
      <c r="I179" s="112">
        <f t="shared" si="130"/>
        <v>368.69549999999998</v>
      </c>
      <c r="J179" s="112"/>
      <c r="K179" s="112">
        <f t="shared" si="131"/>
        <v>2457.9699999999998</v>
      </c>
      <c r="L179" s="112">
        <f t="shared" si="132"/>
        <v>17205.79</v>
      </c>
      <c r="M179" s="112">
        <f t="shared" si="157"/>
        <v>4915.9399999999996</v>
      </c>
      <c r="N179" s="43"/>
      <c r="O179" s="43">
        <f t="shared" si="155"/>
        <v>20000</v>
      </c>
      <c r="P179" s="112">
        <f t="shared" si="151"/>
        <v>491.59399999999999</v>
      </c>
      <c r="Q179" s="112">
        <v>5000</v>
      </c>
      <c r="R179" s="112">
        <f>4000</f>
        <v>4000</v>
      </c>
      <c r="S179" s="112">
        <f t="shared" si="153"/>
        <v>74103.749500000005</v>
      </c>
      <c r="T179" s="112">
        <v>72538.035749999995</v>
      </c>
      <c r="U179" s="112">
        <f t="shared" si="137"/>
        <v>1565.7137500000099</v>
      </c>
      <c r="V179" s="112"/>
      <c r="W179" s="112">
        <v>236.04</v>
      </c>
      <c r="X179" s="112">
        <v>236.04</v>
      </c>
      <c r="Y179" s="112">
        <f t="shared" si="138"/>
        <v>0</v>
      </c>
      <c r="Z179" s="112"/>
      <c r="AA179" s="112"/>
      <c r="AB179" s="112"/>
    </row>
    <row r="180" spans="1:28" ht="20.100000000000001" customHeight="1">
      <c r="A180" s="100">
        <v>49</v>
      </c>
      <c r="B180" s="876" t="s">
        <v>593</v>
      </c>
      <c r="C180" s="877"/>
      <c r="D180" s="111" t="s">
        <v>588</v>
      </c>
      <c r="E180" s="113" t="s">
        <v>1288</v>
      </c>
      <c r="F180" s="112">
        <f t="shared" si="160"/>
        <v>4915.9399999999996</v>
      </c>
      <c r="G180" s="43"/>
      <c r="H180" s="112">
        <f t="shared" si="129"/>
        <v>14747.82</v>
      </c>
      <c r="I180" s="112">
        <f t="shared" si="130"/>
        <v>368.69549999999998</v>
      </c>
      <c r="J180" s="112"/>
      <c r="K180" s="112">
        <f t="shared" si="131"/>
        <v>2457.9699999999998</v>
      </c>
      <c r="L180" s="112">
        <f t="shared" si="132"/>
        <v>17205.79</v>
      </c>
      <c r="M180" s="112">
        <f t="shared" si="157"/>
        <v>4915.9399999999996</v>
      </c>
      <c r="N180" s="43"/>
      <c r="O180" s="43">
        <f t="shared" si="155"/>
        <v>20000</v>
      </c>
      <c r="P180" s="112">
        <f t="shared" si="151"/>
        <v>491.59399999999999</v>
      </c>
      <c r="Q180" s="112">
        <v>5000</v>
      </c>
      <c r="R180" s="112">
        <f>7000</f>
        <v>7000</v>
      </c>
      <c r="S180" s="112">
        <f t="shared" si="153"/>
        <v>77103.749500000005</v>
      </c>
      <c r="T180" s="112">
        <v>75538.035749999995</v>
      </c>
      <c r="U180" s="112">
        <f t="shared" si="137"/>
        <v>1565.7137500000099</v>
      </c>
      <c r="V180" s="112"/>
      <c r="W180" s="112">
        <v>236.04</v>
      </c>
      <c r="X180" s="112">
        <v>236.04</v>
      </c>
      <c r="Y180" s="112">
        <f t="shared" si="138"/>
        <v>0</v>
      </c>
      <c r="Z180" s="112"/>
      <c r="AA180" s="112"/>
      <c r="AB180" s="112"/>
    </row>
    <row r="181" spans="1:28" ht="20.100000000000001" customHeight="1">
      <c r="A181" s="100">
        <v>50</v>
      </c>
      <c r="B181" s="902" t="s">
        <v>596</v>
      </c>
      <c r="C181" s="903"/>
      <c r="D181" s="111" t="s">
        <v>588</v>
      </c>
      <c r="E181" s="113" t="s">
        <v>601</v>
      </c>
      <c r="F181" s="112">
        <f>4836.5</f>
        <v>4836.5</v>
      </c>
      <c r="G181" s="43"/>
      <c r="H181" s="112">
        <f t="shared" si="129"/>
        <v>14509.5</v>
      </c>
      <c r="I181" s="112">
        <f t="shared" si="130"/>
        <v>362.73750000000001</v>
      </c>
      <c r="J181" s="112"/>
      <c r="K181" s="112">
        <f t="shared" si="131"/>
        <v>2418.25</v>
      </c>
      <c r="L181" s="112">
        <f t="shared" si="132"/>
        <v>16927.75</v>
      </c>
      <c r="M181" s="112">
        <f t="shared" si="157"/>
        <v>4836.5</v>
      </c>
      <c r="N181" s="43"/>
      <c r="O181" s="43">
        <f>15000</f>
        <v>15000</v>
      </c>
      <c r="P181" s="112">
        <f t="shared" si="151"/>
        <v>483.65</v>
      </c>
      <c r="Q181" s="112">
        <v>5000</v>
      </c>
      <c r="R181" s="112">
        <f>7000</f>
        <v>7000</v>
      </c>
      <c r="S181" s="112">
        <f t="shared" si="153"/>
        <v>71374.887499999997</v>
      </c>
      <c r="T181" s="112">
        <v>67328.070250000004</v>
      </c>
      <c r="U181" s="112">
        <f t="shared" si="137"/>
        <v>4046.8172500000101</v>
      </c>
      <c r="V181" s="112"/>
      <c r="W181" s="112">
        <v>236.04</v>
      </c>
      <c r="X181" s="112">
        <v>236.04</v>
      </c>
      <c r="Y181" s="112">
        <f t="shared" si="138"/>
        <v>0</v>
      </c>
      <c r="Z181" s="112"/>
      <c r="AA181" s="112"/>
      <c r="AB181" s="112"/>
    </row>
    <row r="182" spans="1:28" ht="20.100000000000001" customHeight="1">
      <c r="A182" s="100">
        <v>51</v>
      </c>
      <c r="B182" s="904" t="s">
        <v>597</v>
      </c>
      <c r="C182" s="905"/>
      <c r="D182" s="111" t="s">
        <v>588</v>
      </c>
      <c r="E182" s="113" t="s">
        <v>601</v>
      </c>
      <c r="F182" s="112">
        <f t="shared" ref="F182:F183" si="161">4836.5</f>
        <v>4836.5</v>
      </c>
      <c r="G182" s="43"/>
      <c r="H182" s="112">
        <f t="shared" si="129"/>
        <v>14509.5</v>
      </c>
      <c r="I182" s="112">
        <f t="shared" si="130"/>
        <v>362.73750000000001</v>
      </c>
      <c r="J182" s="112"/>
      <c r="K182" s="112">
        <f t="shared" si="131"/>
        <v>2418.25</v>
      </c>
      <c r="L182" s="112">
        <f t="shared" si="132"/>
        <v>16927.75</v>
      </c>
      <c r="M182" s="112">
        <f t="shared" si="157"/>
        <v>4836.5</v>
      </c>
      <c r="N182" s="43"/>
      <c r="O182" s="43">
        <f>15000</f>
        <v>15000</v>
      </c>
      <c r="P182" s="112">
        <f t="shared" si="151"/>
        <v>483.65</v>
      </c>
      <c r="Q182" s="112">
        <v>5000</v>
      </c>
      <c r="R182" s="112">
        <f>7000</f>
        <v>7000</v>
      </c>
      <c r="S182" s="112">
        <f t="shared" si="153"/>
        <v>71374.887499999997</v>
      </c>
      <c r="T182" s="112">
        <v>67328.070250000004</v>
      </c>
      <c r="U182" s="112">
        <f t="shared" si="137"/>
        <v>4046.8172500000101</v>
      </c>
      <c r="V182" s="112"/>
      <c r="W182" s="112">
        <v>236.04</v>
      </c>
      <c r="X182" s="112">
        <v>236.04</v>
      </c>
      <c r="Y182" s="112">
        <f t="shared" si="138"/>
        <v>0</v>
      </c>
      <c r="Z182" s="112"/>
      <c r="AA182" s="112"/>
      <c r="AB182" s="112"/>
    </row>
    <row r="183" spans="1:28" ht="20.100000000000001" customHeight="1">
      <c r="A183" s="100">
        <v>52</v>
      </c>
      <c r="B183" s="150" t="s">
        <v>598</v>
      </c>
      <c r="C183" s="151"/>
      <c r="D183" s="111" t="s">
        <v>588</v>
      </c>
      <c r="E183" s="113" t="s">
        <v>601</v>
      </c>
      <c r="F183" s="112">
        <f t="shared" si="161"/>
        <v>4836.5</v>
      </c>
      <c r="G183" s="43"/>
      <c r="H183" s="112">
        <f t="shared" si="129"/>
        <v>14509.5</v>
      </c>
      <c r="I183" s="112">
        <f t="shared" si="130"/>
        <v>362.73750000000001</v>
      </c>
      <c r="J183" s="112"/>
      <c r="K183" s="112">
        <f t="shared" si="131"/>
        <v>2418.25</v>
      </c>
      <c r="L183" s="112">
        <f t="shared" si="132"/>
        <v>16927.75</v>
      </c>
      <c r="M183" s="112">
        <f t="shared" si="157"/>
        <v>4836.5</v>
      </c>
      <c r="N183" s="43"/>
      <c r="O183" s="43">
        <f>15000</f>
        <v>15000</v>
      </c>
      <c r="P183" s="112">
        <f t="shared" si="151"/>
        <v>483.65</v>
      </c>
      <c r="Q183" s="112">
        <v>5000</v>
      </c>
      <c r="R183" s="112">
        <f>4000</f>
        <v>4000</v>
      </c>
      <c r="S183" s="112">
        <f t="shared" ref="S183:S185" si="162">SUM(F183:R183)</f>
        <v>68374.887499999997</v>
      </c>
      <c r="T183" s="112">
        <v>64328.070249999997</v>
      </c>
      <c r="U183" s="112">
        <f t="shared" si="137"/>
        <v>4046.8172500000101</v>
      </c>
      <c r="V183" s="112"/>
      <c r="W183" s="112">
        <v>236.04</v>
      </c>
      <c r="X183" s="112">
        <v>236.04</v>
      </c>
      <c r="Y183" s="112">
        <f t="shared" si="138"/>
        <v>0</v>
      </c>
      <c r="Z183" s="112"/>
      <c r="AA183" s="112"/>
      <c r="AB183" s="112"/>
    </row>
    <row r="184" spans="1:28" ht="20.100000000000001" customHeight="1">
      <c r="A184" s="100">
        <v>53</v>
      </c>
      <c r="B184" s="150" t="s">
        <v>594</v>
      </c>
      <c r="C184" s="151"/>
      <c r="D184" s="111" t="s">
        <v>588</v>
      </c>
      <c r="E184" s="113" t="s">
        <v>609</v>
      </c>
      <c r="F184" s="112">
        <f>4915.94</f>
        <v>4915.9399999999996</v>
      </c>
      <c r="G184" s="43"/>
      <c r="H184" s="112">
        <f t="shared" si="129"/>
        <v>14747.82</v>
      </c>
      <c r="I184" s="112">
        <f t="shared" si="130"/>
        <v>368.69549999999998</v>
      </c>
      <c r="J184" s="112"/>
      <c r="K184" s="112">
        <f t="shared" si="131"/>
        <v>2457.9699999999998</v>
      </c>
      <c r="L184" s="112">
        <f t="shared" si="132"/>
        <v>17205.79</v>
      </c>
      <c r="M184" s="112">
        <f t="shared" si="157"/>
        <v>4915.9399999999996</v>
      </c>
      <c r="N184" s="43"/>
      <c r="O184" s="43">
        <f>20000</f>
        <v>20000</v>
      </c>
      <c r="P184" s="112">
        <f t="shared" si="151"/>
        <v>491.59399999999999</v>
      </c>
      <c r="Q184" s="112">
        <v>5000</v>
      </c>
      <c r="R184" s="112">
        <f>4000</f>
        <v>4000</v>
      </c>
      <c r="S184" s="112">
        <f t="shared" si="162"/>
        <v>74103.749500000005</v>
      </c>
      <c r="T184" s="112">
        <v>72538.035749999995</v>
      </c>
      <c r="U184" s="112">
        <f t="shared" si="137"/>
        <v>1565.7137500000099</v>
      </c>
      <c r="V184" s="112"/>
      <c r="W184" s="112">
        <v>236.04</v>
      </c>
      <c r="X184" s="112">
        <v>236.04</v>
      </c>
      <c r="Y184" s="112">
        <f t="shared" si="138"/>
        <v>0</v>
      </c>
      <c r="Z184" s="112"/>
      <c r="AA184" s="112"/>
      <c r="AB184" s="112"/>
    </row>
    <row r="185" spans="1:28" ht="20.100000000000001" customHeight="1">
      <c r="A185" s="100">
        <v>54</v>
      </c>
      <c r="B185" s="150" t="s">
        <v>600</v>
      </c>
      <c r="C185" s="151"/>
      <c r="D185" s="111" t="s">
        <v>588</v>
      </c>
      <c r="E185" s="113" t="s">
        <v>604</v>
      </c>
      <c r="F185" s="38">
        <f>4248.5</f>
        <v>4248.5</v>
      </c>
      <c r="G185" s="43"/>
      <c r="H185" s="112">
        <f t="shared" si="129"/>
        <v>12745.5</v>
      </c>
      <c r="I185" s="112">
        <f t="shared" si="130"/>
        <v>318.63749999999999</v>
      </c>
      <c r="J185" s="112"/>
      <c r="K185" s="112">
        <f t="shared" si="131"/>
        <v>2124.25</v>
      </c>
      <c r="L185" s="112">
        <f t="shared" si="132"/>
        <v>14869.75</v>
      </c>
      <c r="M185" s="112">
        <f t="shared" si="157"/>
        <v>4248.5</v>
      </c>
      <c r="N185" s="43"/>
      <c r="O185" s="43">
        <f>15000</f>
        <v>15000</v>
      </c>
      <c r="P185" s="112">
        <f t="shared" si="151"/>
        <v>424.85</v>
      </c>
      <c r="Q185" s="112">
        <v>5000</v>
      </c>
      <c r="R185" s="112">
        <f>7000</f>
        <v>7000</v>
      </c>
      <c r="S185" s="112">
        <f t="shared" si="162"/>
        <v>65979.987500000003</v>
      </c>
      <c r="T185" s="112">
        <v>64631.996500000001</v>
      </c>
      <c r="U185" s="112">
        <f t="shared" si="137"/>
        <v>1347.99099999999</v>
      </c>
      <c r="V185" s="112"/>
      <c r="W185" s="112">
        <v>236.04</v>
      </c>
      <c r="X185" s="112">
        <v>236.04</v>
      </c>
      <c r="Y185" s="112">
        <f t="shared" si="138"/>
        <v>0</v>
      </c>
      <c r="Z185" s="112"/>
      <c r="AA185" s="112"/>
      <c r="AB185" s="112"/>
    </row>
    <row r="186" spans="1:28" ht="20.100000000000001" customHeight="1">
      <c r="A186" s="100">
        <v>55</v>
      </c>
      <c r="B186" s="150" t="s">
        <v>595</v>
      </c>
      <c r="C186" s="151"/>
      <c r="D186" s="111" t="s">
        <v>588</v>
      </c>
      <c r="E186" s="113" t="s">
        <v>609</v>
      </c>
      <c r="F186" s="112">
        <f>4915.94</f>
        <v>4915.9399999999996</v>
      </c>
      <c r="G186" s="43"/>
      <c r="H186" s="112">
        <f t="shared" si="129"/>
        <v>14747.82</v>
      </c>
      <c r="I186" s="112">
        <f t="shared" si="130"/>
        <v>368.69549999999998</v>
      </c>
      <c r="J186" s="112"/>
      <c r="K186" s="112">
        <f t="shared" si="131"/>
        <v>2457.9699999999998</v>
      </c>
      <c r="L186" s="112">
        <f t="shared" si="132"/>
        <v>17205.79</v>
      </c>
      <c r="M186" s="112">
        <f t="shared" si="157"/>
        <v>4915.9399999999996</v>
      </c>
      <c r="N186" s="43"/>
      <c r="O186" s="43">
        <f>20000</f>
        <v>20000</v>
      </c>
      <c r="P186" s="112">
        <f t="shared" si="151"/>
        <v>491.59399999999999</v>
      </c>
      <c r="Q186" s="112">
        <v>5000</v>
      </c>
      <c r="R186" s="112">
        <f>7000</f>
        <v>7000</v>
      </c>
      <c r="S186" s="112">
        <f t="shared" ref="S186" si="163">SUM(F186:R186)</f>
        <v>77103.749500000005</v>
      </c>
      <c r="T186" s="112">
        <v>75538.035749999995</v>
      </c>
      <c r="U186" s="112">
        <f t="shared" si="137"/>
        <v>1565.7137500000099</v>
      </c>
      <c r="V186" s="112"/>
      <c r="W186" s="112">
        <v>236.04</v>
      </c>
      <c r="X186" s="112">
        <v>236.04</v>
      </c>
      <c r="Y186" s="112">
        <f t="shared" si="138"/>
        <v>0</v>
      </c>
      <c r="Z186" s="112"/>
      <c r="AA186" s="112"/>
      <c r="AB186" s="112"/>
    </row>
    <row r="187" spans="1:28" ht="20.100000000000001" customHeight="1">
      <c r="A187" s="100"/>
      <c r="B187" s="106" t="s">
        <v>42</v>
      </c>
      <c r="D187" s="152" t="s">
        <v>1221</v>
      </c>
      <c r="E187" s="153"/>
      <c r="F187" s="143">
        <f t="shared" ref="F187:M187" si="164">SUM(F132:F186)</f>
        <v>833916.93999999901</v>
      </c>
      <c r="G187" s="143">
        <f t="shared" si="164"/>
        <v>0</v>
      </c>
      <c r="H187" s="143">
        <f t="shared" si="164"/>
        <v>2501750.8199999998</v>
      </c>
      <c r="I187" s="143">
        <f t="shared" si="164"/>
        <v>62543.770499999999</v>
      </c>
      <c r="J187" s="143">
        <f t="shared" si="164"/>
        <v>280855.33</v>
      </c>
      <c r="K187" s="143">
        <f t="shared" si="164"/>
        <v>416958.47</v>
      </c>
      <c r="L187" s="143">
        <f t="shared" si="164"/>
        <v>2918709.29</v>
      </c>
      <c r="M187" s="143">
        <f t="shared" si="164"/>
        <v>833916.93999999901</v>
      </c>
      <c r="N187" s="136"/>
      <c r="O187" s="136">
        <f>SUM(O132:O186)</f>
        <v>2300000</v>
      </c>
      <c r="P187" s="143">
        <f>SUM(P132:P186)</f>
        <v>83391.694000000003</v>
      </c>
      <c r="Q187" s="143">
        <f>SUM(Q132:Q186)</f>
        <v>505000</v>
      </c>
      <c r="R187" s="143">
        <f>SUM(R132:R186)</f>
        <v>211000</v>
      </c>
      <c r="S187" s="143">
        <f>SUM(S132:S186)</f>
        <v>10948043.2545</v>
      </c>
      <c r="T187" s="143">
        <v>10834146.823000001</v>
      </c>
      <c r="U187" s="143">
        <f>SUM(U132:U186)</f>
        <v>105835.73525</v>
      </c>
      <c r="V187" s="143"/>
      <c r="W187" s="143">
        <f t="shared" ref="W187" si="165">SUM(W132:W186)</f>
        <v>234382.48</v>
      </c>
      <c r="X187" s="143">
        <v>234382.48</v>
      </c>
      <c r="Y187" s="143">
        <f t="shared" ref="Y187" si="166">SUM(Y132:Y186)</f>
        <v>0</v>
      </c>
      <c r="Z187" s="143"/>
      <c r="AA187" s="143"/>
      <c r="AB187" s="143"/>
    </row>
    <row r="188" spans="1:28" ht="20.100000000000001" customHeight="1">
      <c r="A188" s="42"/>
      <c r="B188" s="906" t="s">
        <v>125</v>
      </c>
      <c r="C188" s="906"/>
      <c r="D188" s="155">
        <f>D39+D43+D56+D61+D76+D86+D99+D106+D117+D129+D187</f>
        <v>148</v>
      </c>
      <c r="E188" s="156"/>
      <c r="F188" s="157">
        <f t="shared" ref="F188:U188" si="167">F39+F43+F56+F61+F76+F86+F99+F106+F117+F129+F187</f>
        <v>3775265.35</v>
      </c>
      <c r="G188" s="157">
        <f t="shared" si="167"/>
        <v>0</v>
      </c>
      <c r="H188" s="157">
        <f t="shared" si="167"/>
        <v>11165307.300000001</v>
      </c>
      <c r="I188" s="157">
        <f t="shared" si="167"/>
        <v>319254.875</v>
      </c>
      <c r="J188" s="157">
        <f t="shared" si="167"/>
        <v>2311503.69</v>
      </c>
      <c r="K188" s="157">
        <f t="shared" si="167"/>
        <v>1879608.24</v>
      </c>
      <c r="L188" s="157">
        <f t="shared" si="167"/>
        <v>12651718.1</v>
      </c>
      <c r="M188" s="157">
        <f t="shared" si="167"/>
        <v>3735143.17</v>
      </c>
      <c r="N188" s="157">
        <f t="shared" si="167"/>
        <v>7680000</v>
      </c>
      <c r="O188" s="157">
        <f t="shared" si="167"/>
        <v>5010000</v>
      </c>
      <c r="P188" s="157">
        <f t="shared" si="167"/>
        <v>377526.54</v>
      </c>
      <c r="Q188" s="157">
        <f t="shared" si="167"/>
        <v>2020000</v>
      </c>
      <c r="R188" s="157" t="e">
        <f t="shared" si="167"/>
        <v>#REF!</v>
      </c>
      <c r="S188" s="157" t="e">
        <f t="shared" si="167"/>
        <v>#REF!</v>
      </c>
      <c r="T188" s="157">
        <f t="shared" si="167"/>
        <v>51639317.288800001</v>
      </c>
      <c r="U188" s="157" t="e">
        <f t="shared" si="167"/>
        <v>#REF!</v>
      </c>
      <c r="V188" s="157"/>
      <c r="W188" s="157">
        <f>W39+W43+W56+W61+W76+W86+W99+W106+W117+W129+W187</f>
        <v>1514721.3</v>
      </c>
      <c r="X188" s="157">
        <v>1514721.3</v>
      </c>
      <c r="Y188" s="157">
        <f>Y39+Y43+Y56+Y61+Y76+Y86+Y99+Y106+Y117+Y129+Y187</f>
        <v>0</v>
      </c>
      <c r="Z188" s="157"/>
      <c r="AA188" s="157"/>
      <c r="AB188" s="157"/>
    </row>
    <row r="189" spans="1:28" ht="20.100000000000001" customHeight="1">
      <c r="A189" s="42"/>
      <c r="B189" s="907"/>
      <c r="C189" s="907"/>
      <c r="D189" s="154"/>
      <c r="E189" s="158"/>
      <c r="F189" s="159"/>
      <c r="G189" s="159"/>
      <c r="H189" s="159"/>
      <c r="I189" s="159"/>
      <c r="J189" s="159"/>
      <c r="K189" s="159"/>
      <c r="L189" s="159"/>
      <c r="M189" s="159"/>
      <c r="N189" s="159"/>
      <c r="O189" s="159"/>
      <c r="P189" s="159"/>
      <c r="Q189" s="159"/>
      <c r="R189" s="159"/>
      <c r="S189" s="159"/>
      <c r="T189" s="159"/>
      <c r="U189" s="159"/>
      <c r="V189" s="159"/>
      <c r="W189" s="159"/>
      <c r="X189" s="159"/>
      <c r="Y189" s="159"/>
      <c r="Z189" s="159"/>
      <c r="AA189" s="159"/>
      <c r="AB189" s="159"/>
    </row>
    <row r="190" spans="1:28" ht="20.100000000000001" customHeight="1">
      <c r="A190" s="42"/>
      <c r="B190" s="907"/>
      <c r="C190" s="907"/>
      <c r="D190" s="872" t="s">
        <v>1290</v>
      </c>
      <c r="E190" s="872"/>
      <c r="F190" s="872"/>
      <c r="G190" s="872"/>
      <c r="H190" s="872"/>
      <c r="I190" s="872"/>
      <c r="J190" s="872"/>
      <c r="K190" s="908" t="s">
        <v>1314</v>
      </c>
      <c r="L190" s="908"/>
      <c r="M190" s="908"/>
      <c r="N190" s="156"/>
      <c r="O190" s="156"/>
      <c r="P190" s="908" t="s">
        <v>1315</v>
      </c>
      <c r="Q190" s="908"/>
      <c r="R190" s="908"/>
      <c r="S190" s="908"/>
      <c r="T190" s="156"/>
      <c r="U190" s="156"/>
      <c r="V190" s="156"/>
      <c r="W190" s="156"/>
      <c r="X190" s="156"/>
      <c r="Y190" s="159"/>
      <c r="Z190" s="159"/>
      <c r="AA190" s="159"/>
      <c r="AB190" s="159"/>
    </row>
    <row r="191" spans="1:28" ht="20.100000000000001" customHeight="1">
      <c r="A191" s="42"/>
      <c r="B191" s="907"/>
      <c r="C191" s="907"/>
      <c r="D191" s="872"/>
      <c r="E191" s="872"/>
      <c r="F191" s="872"/>
      <c r="G191" s="872"/>
      <c r="H191" s="872"/>
      <c r="I191" s="872"/>
      <c r="J191" s="872"/>
      <c r="K191" s="908"/>
      <c r="L191" s="908"/>
      <c r="M191" s="908"/>
      <c r="N191" s="156"/>
      <c r="O191" s="156"/>
      <c r="P191" s="908"/>
      <c r="Q191" s="908"/>
      <c r="R191" s="908"/>
      <c r="S191" s="908"/>
      <c r="T191" s="156"/>
      <c r="U191" s="156"/>
      <c r="V191" s="156"/>
      <c r="W191" s="156"/>
      <c r="X191" s="156"/>
      <c r="Y191" s="159"/>
      <c r="Z191" s="159"/>
      <c r="AA191" s="159"/>
      <c r="AB191" s="159"/>
    </row>
    <row r="192" spans="1:28" ht="20.100000000000001" customHeight="1">
      <c r="B192" s="161"/>
      <c r="C192" s="161"/>
      <c r="D192" s="161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  <c r="X192" s="161"/>
      <c r="Y192" s="161"/>
      <c r="Z192" s="161"/>
      <c r="AA192" s="161"/>
      <c r="AB192" s="161"/>
    </row>
    <row r="193" spans="2:28" ht="20.100000000000001" customHeight="1">
      <c r="B193" s="161"/>
      <c r="C193" s="161"/>
      <c r="D193" s="161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  <c r="X193" s="161"/>
      <c r="Y193" s="161"/>
      <c r="Z193" s="161"/>
      <c r="AA193" s="161"/>
      <c r="AB193" s="161"/>
    </row>
    <row r="194" spans="2:28" ht="20.100000000000001" customHeight="1">
      <c r="C194" s="161"/>
      <c r="D194" s="161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  <c r="X194" s="161"/>
      <c r="Y194" s="161"/>
      <c r="Z194" s="161"/>
      <c r="AA194" s="161"/>
      <c r="AB194" s="161"/>
    </row>
  </sheetData>
  <mergeCells count="151">
    <mergeCell ref="B191:C191"/>
    <mergeCell ref="D190:D191"/>
    <mergeCell ref="K190:K191"/>
    <mergeCell ref="P190:P191"/>
    <mergeCell ref="E190:J191"/>
    <mergeCell ref="L190:M191"/>
    <mergeCell ref="Q190:S191"/>
    <mergeCell ref="B177:C177"/>
    <mergeCell ref="B178:C178"/>
    <mergeCell ref="B179:C179"/>
    <mergeCell ref="B180:C180"/>
    <mergeCell ref="B181:C181"/>
    <mergeCell ref="B182:C182"/>
    <mergeCell ref="B188:C188"/>
    <mergeCell ref="B189:C189"/>
    <mergeCell ref="B190:C190"/>
    <mergeCell ref="B164:C164"/>
    <mergeCell ref="B165:C165"/>
    <mergeCell ref="B166:C166"/>
    <mergeCell ref="B167:C167"/>
    <mergeCell ref="B169:C169"/>
    <mergeCell ref="B172:C172"/>
    <mergeCell ref="B173:C173"/>
    <mergeCell ref="B175:C175"/>
    <mergeCell ref="B176:C176"/>
    <mergeCell ref="B151:C151"/>
    <mergeCell ref="B152:C152"/>
    <mergeCell ref="B153:C153"/>
    <mergeCell ref="B158:C158"/>
    <mergeCell ref="B159:C159"/>
    <mergeCell ref="B160:C160"/>
    <mergeCell ref="B161:C161"/>
    <mergeCell ref="B162:C162"/>
    <mergeCell ref="B163:C163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21:C121"/>
    <mergeCell ref="B122:C122"/>
    <mergeCell ref="B123:C123"/>
    <mergeCell ref="B125:C125"/>
    <mergeCell ref="B126:C126"/>
    <mergeCell ref="B127:C127"/>
    <mergeCell ref="B129:C129"/>
    <mergeCell ref="B131:C131"/>
    <mergeCell ref="B132:C132"/>
    <mergeCell ref="B108:C108"/>
    <mergeCell ref="B109:C109"/>
    <mergeCell ref="B110:C110"/>
    <mergeCell ref="B111:C111"/>
    <mergeCell ref="B112:C112"/>
    <mergeCell ref="B113:C113"/>
    <mergeCell ref="B117:C117"/>
    <mergeCell ref="B119:C119"/>
    <mergeCell ref="B120:C120"/>
    <mergeCell ref="B95:C95"/>
    <mergeCell ref="B96:C96"/>
    <mergeCell ref="B97:C97"/>
    <mergeCell ref="B98:C98"/>
    <mergeCell ref="B99:C99"/>
    <mergeCell ref="B101:C101"/>
    <mergeCell ref="B103:C103"/>
    <mergeCell ref="B105:C105"/>
    <mergeCell ref="B106:C106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72:C72"/>
    <mergeCell ref="B73:C73"/>
    <mergeCell ref="B74:C74"/>
    <mergeCell ref="B75:C75"/>
    <mergeCell ref="B76:C76"/>
    <mergeCell ref="B78:C78"/>
    <mergeCell ref="B79:C79"/>
    <mergeCell ref="B82:C82"/>
    <mergeCell ref="B83:C83"/>
    <mergeCell ref="B61:C61"/>
    <mergeCell ref="B62:C62"/>
    <mergeCell ref="B63:C63"/>
    <mergeCell ref="B64:C64"/>
    <mergeCell ref="B66:C66"/>
    <mergeCell ref="B67:C67"/>
    <mergeCell ref="B69:C69"/>
    <mergeCell ref="B70:C70"/>
    <mergeCell ref="B71:C71"/>
    <mergeCell ref="B50:C50"/>
    <mergeCell ref="B51:C51"/>
    <mergeCell ref="B52:C52"/>
    <mergeCell ref="B53:C53"/>
    <mergeCell ref="B54:C54"/>
    <mergeCell ref="B55:C55"/>
    <mergeCell ref="B56:C56"/>
    <mergeCell ref="B58:C58"/>
    <mergeCell ref="B59:C59"/>
    <mergeCell ref="B37:C37"/>
    <mergeCell ref="B39:C39"/>
    <mergeCell ref="B41:C41"/>
    <mergeCell ref="B44:C44"/>
    <mergeCell ref="B45:C45"/>
    <mergeCell ref="B46:C46"/>
    <mergeCell ref="B47:C47"/>
    <mergeCell ref="B48:C48"/>
    <mergeCell ref="B49:C49"/>
    <mergeCell ref="B22:C22"/>
    <mergeCell ref="B23:C23"/>
    <mergeCell ref="B24:C24"/>
    <mergeCell ref="B25:C25"/>
    <mergeCell ref="B26:C26"/>
    <mergeCell ref="B27:C27"/>
    <mergeCell ref="B32:C32"/>
    <mergeCell ref="B33:C33"/>
    <mergeCell ref="B35:C35"/>
    <mergeCell ref="B12:C12"/>
    <mergeCell ref="B13:C13"/>
    <mergeCell ref="B14:C14"/>
    <mergeCell ref="B15:C15"/>
    <mergeCell ref="B16:C16"/>
    <mergeCell ref="B17:C17"/>
    <mergeCell ref="B18:C18"/>
    <mergeCell ref="B20:C20"/>
    <mergeCell ref="B21:C21"/>
    <mergeCell ref="B3:E3"/>
    <mergeCell ref="B5:C5"/>
    <mergeCell ref="U5:Z5"/>
    <mergeCell ref="B6:C6"/>
    <mergeCell ref="B7:C7"/>
    <mergeCell ref="B8:C8"/>
    <mergeCell ref="B9:C9"/>
    <mergeCell ref="B10:C10"/>
    <mergeCell ref="B11:C11"/>
  </mergeCells>
  <pageMargins left="0.98425196850393704" right="0.98425196850393704" top="0.98425196850393704" bottom="0.98425196850393704" header="0.511811023622047" footer="0.511811023622047"/>
  <pageSetup paperSize="9" scale="70" orientation="portrait" horizontalDpi="1200" verticalDpi="1200" r:id="rId1"/>
  <headerFooter alignWithMargins="0"/>
  <rowBreaks count="3" manualBreakCount="3">
    <brk id="44" max="26" man="1"/>
    <brk id="86" max="26" man="1"/>
    <brk id="129" max="26" man="1"/>
  </row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3"/>
  <sheetViews>
    <sheetView workbookViewId="0">
      <pane xSplit="2" ySplit="6" topLeftCell="C187" activePane="bottomRight" state="frozen"/>
      <selection pane="topRight"/>
      <selection pane="bottomLeft"/>
      <selection pane="bottomRight" activeCell="J189" sqref="J189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32.42578125" style="1" customWidth="1"/>
    <col min="4" max="4" width="9.140625" style="1" customWidth="1"/>
    <col min="5" max="5" width="13.85546875" style="1" customWidth="1"/>
    <col min="6" max="6" width="14.7109375" style="1" customWidth="1"/>
    <col min="7" max="7" width="14" style="1" customWidth="1"/>
    <col min="8" max="16384" width="9.140625" style="1"/>
  </cols>
  <sheetData>
    <row r="1" spans="1:7" ht="27" customHeight="1">
      <c r="A1" s="856" t="s">
        <v>0</v>
      </c>
      <c r="B1" s="856"/>
      <c r="C1" s="856"/>
      <c r="D1" s="856"/>
      <c r="E1" s="856"/>
    </row>
    <row r="2" spans="1:7" ht="33.75" customHeight="1">
      <c r="A2" s="63" t="s">
        <v>1316</v>
      </c>
      <c r="B2" s="64"/>
      <c r="C2" s="64"/>
      <c r="D2" s="63"/>
      <c r="E2" s="65"/>
    </row>
    <row r="3" spans="1:7" ht="9.75" customHeight="1">
      <c r="A3" s="2"/>
      <c r="B3" s="2"/>
      <c r="C3" s="2"/>
      <c r="D3" s="2"/>
    </row>
    <row r="4" spans="1:7" ht="61.5" customHeight="1">
      <c r="A4" s="3"/>
      <c r="B4" s="4" t="s">
        <v>2</v>
      </c>
      <c r="C4" s="5" t="s">
        <v>3</v>
      </c>
      <c r="D4" s="66" t="s">
        <v>4</v>
      </c>
      <c r="E4" s="67" t="s">
        <v>201</v>
      </c>
      <c r="F4" s="67" t="s">
        <v>202</v>
      </c>
      <c r="G4" s="67" t="s">
        <v>203</v>
      </c>
    </row>
    <row r="5" spans="1:7" ht="20.100000000000001" customHeight="1">
      <c r="A5" s="8" t="s">
        <v>21</v>
      </c>
      <c r="B5" s="7" t="s">
        <v>22</v>
      </c>
      <c r="C5" s="68"/>
      <c r="D5" s="7"/>
      <c r="E5" s="69" t="s">
        <v>20</v>
      </c>
      <c r="F5" s="69" t="s">
        <v>20</v>
      </c>
      <c r="G5" s="69" t="s">
        <v>20</v>
      </c>
    </row>
    <row r="6" spans="1:7" ht="20.100000000000001" customHeight="1">
      <c r="A6" s="9">
        <v>1</v>
      </c>
      <c r="B6" s="10" t="s">
        <v>345</v>
      </c>
      <c r="C6" s="70" t="s">
        <v>346</v>
      </c>
      <c r="D6" s="11" t="s">
        <v>347</v>
      </c>
      <c r="E6" s="71">
        <v>2000000</v>
      </c>
      <c r="F6" s="72">
        <v>0</v>
      </c>
      <c r="G6" s="71">
        <v>2000000</v>
      </c>
    </row>
    <row r="7" spans="1:7" ht="20.100000000000001" customHeight="1">
      <c r="A7" s="9">
        <v>2</v>
      </c>
      <c r="B7" s="10" t="s">
        <v>1116</v>
      </c>
      <c r="C7" s="73" t="s">
        <v>1206</v>
      </c>
      <c r="D7" s="9" t="s">
        <v>340</v>
      </c>
      <c r="E7" s="71">
        <v>700000</v>
      </c>
      <c r="F7" s="72">
        <v>0</v>
      </c>
      <c r="G7" s="71">
        <v>700000</v>
      </c>
    </row>
    <row r="8" spans="1:7" ht="20.100000000000001" customHeight="1">
      <c r="A8" s="9">
        <v>3</v>
      </c>
      <c r="B8" s="13" t="s">
        <v>1207</v>
      </c>
      <c r="C8" s="73" t="s">
        <v>1208</v>
      </c>
      <c r="D8" s="9" t="s">
        <v>416</v>
      </c>
      <c r="E8" s="71">
        <f>700000/2</f>
        <v>350000</v>
      </c>
      <c r="F8" s="72">
        <v>0</v>
      </c>
      <c r="G8" s="71">
        <f t="shared" ref="G8:G9" si="0">700000/2</f>
        <v>350000</v>
      </c>
    </row>
    <row r="9" spans="1:7" ht="20.100000000000001" customHeight="1">
      <c r="A9" s="9">
        <v>4</v>
      </c>
      <c r="B9" s="10" t="s">
        <v>348</v>
      </c>
      <c r="C9" s="70" t="s">
        <v>349</v>
      </c>
      <c r="D9" s="9" t="s">
        <v>1255</v>
      </c>
      <c r="E9" s="71">
        <f>700000/2</f>
        <v>350000</v>
      </c>
      <c r="F9" s="72">
        <v>0</v>
      </c>
      <c r="G9" s="71">
        <f t="shared" si="0"/>
        <v>350000</v>
      </c>
    </row>
    <row r="10" spans="1:7" ht="20.100000000000001" customHeight="1">
      <c r="A10" s="9">
        <v>5</v>
      </c>
      <c r="B10" s="13" t="s">
        <v>350</v>
      </c>
      <c r="C10" s="73" t="s">
        <v>351</v>
      </c>
      <c r="D10" s="14" t="s">
        <v>106</v>
      </c>
      <c r="E10" s="71">
        <v>700000</v>
      </c>
      <c r="F10" s="72">
        <v>0</v>
      </c>
      <c r="G10" s="71">
        <v>700000</v>
      </c>
    </row>
    <row r="11" spans="1:7" ht="20.100000000000001" customHeight="1">
      <c r="A11" s="9">
        <v>6</v>
      </c>
      <c r="B11" s="13" t="s">
        <v>470</v>
      </c>
      <c r="C11" s="73" t="s">
        <v>1118</v>
      </c>
      <c r="D11" s="15" t="s">
        <v>106</v>
      </c>
      <c r="E11" s="71">
        <v>700000</v>
      </c>
      <c r="F11" s="72">
        <v>0</v>
      </c>
      <c r="G11" s="71">
        <v>700000</v>
      </c>
    </row>
    <row r="12" spans="1:7" ht="20.100000000000001" customHeight="1">
      <c r="A12" s="9">
        <v>7</v>
      </c>
      <c r="B12" s="10" t="s">
        <v>352</v>
      </c>
      <c r="C12" s="74" t="s">
        <v>353</v>
      </c>
      <c r="D12" s="15" t="s">
        <v>106</v>
      </c>
      <c r="E12" s="71">
        <v>700000</v>
      </c>
      <c r="F12" s="72">
        <v>0</v>
      </c>
      <c r="G12" s="71">
        <v>700000</v>
      </c>
    </row>
    <row r="13" spans="1:7" ht="20.100000000000001" customHeight="1">
      <c r="A13" s="9">
        <v>8</v>
      </c>
      <c r="B13" s="13" t="s">
        <v>354</v>
      </c>
      <c r="C13" s="73" t="s">
        <v>355</v>
      </c>
      <c r="D13" s="15" t="s">
        <v>106</v>
      </c>
      <c r="E13" s="71">
        <v>700000</v>
      </c>
      <c r="F13" s="72">
        <v>0</v>
      </c>
      <c r="G13" s="71">
        <v>700000</v>
      </c>
    </row>
    <row r="14" spans="1:7" ht="20.100000000000001" customHeight="1">
      <c r="A14" s="9">
        <v>9</v>
      </c>
      <c r="B14" s="10" t="s">
        <v>356</v>
      </c>
      <c r="C14" s="70" t="s">
        <v>357</v>
      </c>
      <c r="D14" s="14" t="s">
        <v>358</v>
      </c>
      <c r="E14" s="71">
        <v>700000</v>
      </c>
      <c r="F14" s="72">
        <v>0</v>
      </c>
      <c r="G14" s="71">
        <v>700000</v>
      </c>
    </row>
    <row r="15" spans="1:7" ht="20.100000000000001" customHeight="1">
      <c r="A15" s="9">
        <v>10</v>
      </c>
      <c r="B15" s="17" t="s">
        <v>333</v>
      </c>
      <c r="C15" s="70" t="s">
        <v>334</v>
      </c>
      <c r="D15" s="9" t="s">
        <v>1054</v>
      </c>
      <c r="E15" s="71">
        <v>700000</v>
      </c>
      <c r="F15" s="72">
        <v>0</v>
      </c>
      <c r="G15" s="71">
        <v>700000</v>
      </c>
    </row>
    <row r="16" spans="1:7" ht="20.100000000000001" customHeight="1">
      <c r="A16" s="9">
        <v>11</v>
      </c>
      <c r="B16" s="18" t="s">
        <v>1209</v>
      </c>
      <c r="C16" s="73" t="s">
        <v>1210</v>
      </c>
      <c r="D16" s="15" t="s">
        <v>450</v>
      </c>
      <c r="E16" s="71">
        <v>500000</v>
      </c>
      <c r="F16" s="72">
        <v>0</v>
      </c>
      <c r="G16" s="71">
        <v>500000</v>
      </c>
    </row>
    <row r="17" spans="1:7" ht="19.5" customHeight="1">
      <c r="A17" s="9">
        <v>12</v>
      </c>
      <c r="B17" s="13" t="s">
        <v>1119</v>
      </c>
      <c r="C17" s="73" t="s">
        <v>362</v>
      </c>
      <c r="D17" s="9" t="s">
        <v>450</v>
      </c>
      <c r="E17" s="71">
        <v>500000</v>
      </c>
      <c r="F17" s="72">
        <v>0</v>
      </c>
      <c r="G17" s="71">
        <v>500000</v>
      </c>
    </row>
    <row r="18" spans="1:7" ht="19.5" customHeight="1">
      <c r="A18" s="9">
        <v>13</v>
      </c>
      <c r="B18" s="13" t="s">
        <v>1211</v>
      </c>
      <c r="C18" s="73" t="s">
        <v>1212</v>
      </c>
      <c r="D18" s="9" t="s">
        <v>450</v>
      </c>
      <c r="E18" s="71">
        <v>500000</v>
      </c>
      <c r="F18" s="72">
        <v>0</v>
      </c>
      <c r="G18" s="71">
        <v>500000</v>
      </c>
    </row>
    <row r="19" spans="1:7" ht="20.100000000000001" customHeight="1">
      <c r="A19" s="9">
        <v>14</v>
      </c>
      <c r="B19" s="10" t="s">
        <v>361</v>
      </c>
      <c r="C19" s="73" t="s">
        <v>362</v>
      </c>
      <c r="D19" s="14" t="s">
        <v>450</v>
      </c>
      <c r="E19" s="71">
        <v>500000</v>
      </c>
      <c r="F19" s="72">
        <v>0</v>
      </c>
      <c r="G19" s="71">
        <v>500000</v>
      </c>
    </row>
    <row r="20" spans="1:7" ht="20.100000000000001" customHeight="1">
      <c r="A20" s="9">
        <v>15</v>
      </c>
      <c r="B20" s="10" t="s">
        <v>373</v>
      </c>
      <c r="C20" s="70" t="s">
        <v>374</v>
      </c>
      <c r="D20" s="14" t="s">
        <v>1260</v>
      </c>
      <c r="E20" s="71">
        <v>500000</v>
      </c>
      <c r="F20" s="71">
        <v>500000</v>
      </c>
      <c r="G20" s="72">
        <v>0</v>
      </c>
    </row>
    <row r="21" spans="1:7" ht="20.100000000000001" customHeight="1">
      <c r="A21" s="9">
        <v>16</v>
      </c>
      <c r="B21" s="17" t="s">
        <v>376</v>
      </c>
      <c r="C21" s="73" t="s">
        <v>377</v>
      </c>
      <c r="D21" s="14" t="s">
        <v>1261</v>
      </c>
      <c r="E21" s="71">
        <v>500000</v>
      </c>
      <c r="F21" s="71">
        <v>500000</v>
      </c>
      <c r="G21" s="72">
        <v>0</v>
      </c>
    </row>
    <row r="22" spans="1:7" ht="20.100000000000001" customHeight="1">
      <c r="A22" s="9">
        <v>17</v>
      </c>
      <c r="B22" s="10" t="s">
        <v>496</v>
      </c>
      <c r="C22" s="70" t="s">
        <v>497</v>
      </c>
      <c r="D22" s="14" t="s">
        <v>440</v>
      </c>
      <c r="E22" s="71">
        <v>400000</v>
      </c>
      <c r="F22" s="71">
        <v>400000</v>
      </c>
      <c r="G22" s="72">
        <v>0</v>
      </c>
    </row>
    <row r="23" spans="1:7" ht="18.75" customHeight="1">
      <c r="A23" s="9">
        <v>18</v>
      </c>
      <c r="B23" s="10" t="s">
        <v>379</v>
      </c>
      <c r="C23" s="70" t="s">
        <v>233</v>
      </c>
      <c r="D23" s="14" t="s">
        <v>32</v>
      </c>
      <c r="E23" s="71">
        <v>400000</v>
      </c>
      <c r="F23" s="71">
        <v>400000</v>
      </c>
      <c r="G23" s="72">
        <v>0</v>
      </c>
    </row>
    <row r="24" spans="1:7" ht="18.75" customHeight="1">
      <c r="A24" s="9">
        <v>19</v>
      </c>
      <c r="B24" s="10" t="s">
        <v>494</v>
      </c>
      <c r="C24" s="73" t="s">
        <v>495</v>
      </c>
      <c r="D24" s="14" t="s">
        <v>32</v>
      </c>
      <c r="E24" s="71">
        <v>400000</v>
      </c>
      <c r="F24" s="71">
        <v>400000</v>
      </c>
      <c r="G24" s="72">
        <v>0</v>
      </c>
    </row>
    <row r="25" spans="1:7" ht="18.75" customHeight="1">
      <c r="A25" s="9">
        <v>20</v>
      </c>
      <c r="B25" s="17" t="s">
        <v>534</v>
      </c>
      <c r="C25" s="73" t="s">
        <v>1227</v>
      </c>
      <c r="D25" s="14" t="s">
        <v>453</v>
      </c>
      <c r="E25" s="71">
        <v>300000</v>
      </c>
      <c r="F25" s="71">
        <v>300000</v>
      </c>
      <c r="G25" s="72">
        <v>0</v>
      </c>
    </row>
    <row r="26" spans="1:7" ht="18.75" customHeight="1">
      <c r="A26" s="9">
        <v>21</v>
      </c>
      <c r="B26" s="17" t="s">
        <v>1213</v>
      </c>
      <c r="C26" s="70" t="s">
        <v>401</v>
      </c>
      <c r="D26" s="14" t="s">
        <v>409</v>
      </c>
      <c r="E26" s="71">
        <v>300000</v>
      </c>
      <c r="F26" s="71">
        <v>300000</v>
      </c>
      <c r="G26" s="72">
        <v>0</v>
      </c>
    </row>
    <row r="27" spans="1:7" ht="18.75" customHeight="1">
      <c r="A27" s="9">
        <v>22</v>
      </c>
      <c r="B27" s="3" t="s">
        <v>386</v>
      </c>
      <c r="C27" s="73" t="s">
        <v>289</v>
      </c>
      <c r="D27" s="9" t="s">
        <v>55</v>
      </c>
      <c r="E27" s="71">
        <v>300000</v>
      </c>
      <c r="F27" s="71">
        <v>300000</v>
      </c>
      <c r="G27" s="72">
        <v>0</v>
      </c>
    </row>
    <row r="28" spans="1:7" ht="18.75" customHeight="1">
      <c r="A28" s="9">
        <v>23</v>
      </c>
      <c r="B28" s="17" t="s">
        <v>388</v>
      </c>
      <c r="C28" s="70" t="s">
        <v>289</v>
      </c>
      <c r="D28" s="14" t="s">
        <v>55</v>
      </c>
      <c r="E28" s="71">
        <v>300000</v>
      </c>
      <c r="F28" s="71">
        <v>300000</v>
      </c>
      <c r="G28" s="72">
        <v>0</v>
      </c>
    </row>
    <row r="29" spans="1:7" ht="18.75" customHeight="1">
      <c r="A29" s="9">
        <v>24</v>
      </c>
      <c r="B29" s="10" t="s">
        <v>1120</v>
      </c>
      <c r="C29" s="70" t="s">
        <v>1121</v>
      </c>
      <c r="D29" s="14" t="s">
        <v>55</v>
      </c>
      <c r="E29" s="71">
        <v>300000</v>
      </c>
      <c r="F29" s="71">
        <v>300000</v>
      </c>
      <c r="G29" s="72">
        <v>0</v>
      </c>
    </row>
    <row r="30" spans="1:7" ht="18.75" customHeight="1">
      <c r="A30" s="9">
        <v>25</v>
      </c>
      <c r="B30" s="17" t="s">
        <v>390</v>
      </c>
      <c r="C30" s="70" t="s">
        <v>1068</v>
      </c>
      <c r="D30" s="14" t="s">
        <v>1264</v>
      </c>
      <c r="E30" s="71">
        <v>300000</v>
      </c>
      <c r="F30" s="71">
        <v>300000</v>
      </c>
      <c r="G30" s="72">
        <v>0</v>
      </c>
    </row>
    <row r="31" spans="1:7" ht="18.75" customHeight="1">
      <c r="A31" s="9">
        <v>26</v>
      </c>
      <c r="B31" s="10" t="s">
        <v>477</v>
      </c>
      <c r="C31" s="74" t="s">
        <v>1229</v>
      </c>
      <c r="D31" s="14" t="s">
        <v>399</v>
      </c>
      <c r="E31" s="71">
        <v>300000</v>
      </c>
      <c r="F31" s="71">
        <v>300000</v>
      </c>
      <c r="G31" s="72">
        <v>0</v>
      </c>
    </row>
    <row r="32" spans="1:7" ht="18.75" customHeight="1">
      <c r="A32" s="9">
        <v>27</v>
      </c>
      <c r="B32" s="17" t="s">
        <v>392</v>
      </c>
      <c r="C32" s="73" t="s">
        <v>1122</v>
      </c>
      <c r="D32" s="9" t="s">
        <v>399</v>
      </c>
      <c r="E32" s="71">
        <v>300000</v>
      </c>
      <c r="F32" s="71">
        <v>300000</v>
      </c>
      <c r="G32" s="72">
        <v>0</v>
      </c>
    </row>
    <row r="33" spans="1:7" ht="18.75" customHeight="1">
      <c r="A33" s="9">
        <v>28</v>
      </c>
      <c r="B33" s="17" t="s">
        <v>395</v>
      </c>
      <c r="C33" s="74" t="s">
        <v>396</v>
      </c>
      <c r="D33" s="14" t="s">
        <v>55</v>
      </c>
      <c r="E33" s="71">
        <v>300000</v>
      </c>
      <c r="F33" s="71">
        <v>300000</v>
      </c>
      <c r="G33" s="72">
        <v>0</v>
      </c>
    </row>
    <row r="34" spans="1:7" ht="18.75" customHeight="1">
      <c r="A34" s="9">
        <v>29</v>
      </c>
      <c r="B34" s="17" t="s">
        <v>1317</v>
      </c>
      <c r="C34" s="74" t="s">
        <v>396</v>
      </c>
      <c r="D34" s="14" t="s">
        <v>72</v>
      </c>
      <c r="E34" s="71">
        <v>300000</v>
      </c>
      <c r="F34" s="71">
        <v>300000</v>
      </c>
      <c r="G34" s="72">
        <v>0</v>
      </c>
    </row>
    <row r="35" spans="1:7" ht="18.75" customHeight="1">
      <c r="A35" s="9">
        <v>30</v>
      </c>
      <c r="B35" s="17" t="s">
        <v>397</v>
      </c>
      <c r="C35" s="73" t="s">
        <v>1230</v>
      </c>
      <c r="D35" s="9" t="s">
        <v>72</v>
      </c>
      <c r="E35" s="71">
        <v>300000</v>
      </c>
      <c r="F35" s="71">
        <v>300000</v>
      </c>
      <c r="G35" s="72">
        <v>0</v>
      </c>
    </row>
    <row r="36" spans="1:7" ht="18.75" customHeight="1">
      <c r="A36" s="9">
        <v>31</v>
      </c>
      <c r="B36" s="17" t="s">
        <v>1036</v>
      </c>
      <c r="C36" s="70" t="s">
        <v>401</v>
      </c>
      <c r="D36" s="14" t="s">
        <v>72</v>
      </c>
      <c r="E36" s="71">
        <v>300000</v>
      </c>
      <c r="F36" s="71">
        <v>300000</v>
      </c>
      <c r="G36" s="72">
        <v>0</v>
      </c>
    </row>
    <row r="37" spans="1:7" ht="18.75" customHeight="1">
      <c r="A37" s="9">
        <v>32</v>
      </c>
      <c r="B37" s="17" t="s">
        <v>1214</v>
      </c>
      <c r="C37" s="70" t="s">
        <v>401</v>
      </c>
      <c r="D37" s="14" t="s">
        <v>72</v>
      </c>
      <c r="E37" s="71">
        <v>300000</v>
      </c>
      <c r="F37" s="71">
        <v>300000</v>
      </c>
      <c r="G37" s="72">
        <v>0</v>
      </c>
    </row>
    <row r="38" spans="1:7" ht="26.25" customHeight="1">
      <c r="A38" s="9"/>
      <c r="B38" s="19" t="s">
        <v>42</v>
      </c>
      <c r="C38" s="75">
        <v>29</v>
      </c>
      <c r="D38" s="14"/>
      <c r="E38" s="76">
        <f>SUM(E6:E37)</f>
        <v>15700000</v>
      </c>
      <c r="F38" s="76">
        <f>SUM(F6:F37)</f>
        <v>6100000</v>
      </c>
      <c r="G38" s="76">
        <f t="shared" ref="G38" si="1">SUM(G6:G37)</f>
        <v>9600000</v>
      </c>
    </row>
    <row r="39" spans="1:7" ht="18.75" customHeight="1">
      <c r="A39" s="9"/>
      <c r="B39" s="21"/>
      <c r="C39" s="73"/>
      <c r="D39" s="14"/>
      <c r="E39" s="76"/>
      <c r="F39" s="71"/>
      <c r="G39" s="76"/>
    </row>
    <row r="40" spans="1:7" ht="18.75" customHeight="1">
      <c r="A40" s="9"/>
      <c r="B40" s="19" t="s">
        <v>225</v>
      </c>
      <c r="C40" s="73"/>
      <c r="D40" s="14"/>
      <c r="E40" s="71"/>
      <c r="F40" s="71"/>
      <c r="G40" s="71"/>
    </row>
    <row r="41" spans="1:7" ht="18.75" customHeight="1">
      <c r="A41" s="9">
        <v>1</v>
      </c>
      <c r="B41" s="17" t="s">
        <v>403</v>
      </c>
      <c r="C41" s="73" t="s">
        <v>404</v>
      </c>
      <c r="D41" s="9" t="s">
        <v>1266</v>
      </c>
      <c r="E41" s="71">
        <v>1000000</v>
      </c>
      <c r="F41" s="72">
        <v>0</v>
      </c>
      <c r="G41" s="71">
        <v>1000000</v>
      </c>
    </row>
    <row r="42" spans="1:7" ht="18.75" customHeight="1">
      <c r="A42" s="9">
        <v>2</v>
      </c>
      <c r="B42" s="17" t="s">
        <v>406</v>
      </c>
      <c r="C42" s="73" t="s">
        <v>642</v>
      </c>
      <c r="D42" s="9" t="s">
        <v>72</v>
      </c>
      <c r="E42" s="71">
        <v>300000</v>
      </c>
      <c r="F42" s="71">
        <v>300000</v>
      </c>
      <c r="G42" s="72">
        <v>0</v>
      </c>
    </row>
    <row r="43" spans="1:7" ht="19.5" customHeight="1">
      <c r="A43" s="9"/>
      <c r="B43" s="13"/>
      <c r="C43" s="75">
        <v>2</v>
      </c>
      <c r="D43" s="9"/>
      <c r="E43" s="76">
        <f>SUM(E41:E42)</f>
        <v>1300000</v>
      </c>
      <c r="F43" s="76">
        <f t="shared" ref="F43:G43" si="2">SUM(F41:F42)</f>
        <v>300000</v>
      </c>
      <c r="G43" s="76">
        <f t="shared" si="2"/>
        <v>1000000</v>
      </c>
    </row>
    <row r="44" spans="1:7" ht="20.100000000000001" customHeight="1">
      <c r="A44" s="9"/>
      <c r="B44" s="13"/>
      <c r="C44" s="73"/>
      <c r="D44" s="9"/>
      <c r="E44" s="71"/>
      <c r="F44" s="71"/>
      <c r="G44" s="71"/>
    </row>
    <row r="45" spans="1:7" ht="20.100000000000001" customHeight="1">
      <c r="A45" s="9"/>
      <c r="B45" s="22" t="s">
        <v>43</v>
      </c>
      <c r="C45" s="77"/>
      <c r="D45" s="23"/>
      <c r="E45" s="71"/>
      <c r="F45" s="71"/>
      <c r="G45" s="71"/>
    </row>
    <row r="46" spans="1:7" ht="20.100000000000001" customHeight="1">
      <c r="A46" s="9">
        <v>1</v>
      </c>
      <c r="B46" s="10" t="s">
        <v>410</v>
      </c>
      <c r="C46" s="73" t="s">
        <v>411</v>
      </c>
      <c r="D46" s="9" t="s">
        <v>405</v>
      </c>
      <c r="E46" s="71">
        <v>1000000</v>
      </c>
      <c r="F46" s="72">
        <v>0</v>
      </c>
      <c r="G46" s="71">
        <v>1000000</v>
      </c>
    </row>
    <row r="47" spans="1:7" ht="20.100000000000001" customHeight="1">
      <c r="A47" s="9">
        <v>2</v>
      </c>
      <c r="B47" s="10" t="s">
        <v>412</v>
      </c>
      <c r="C47" s="73" t="s">
        <v>413</v>
      </c>
      <c r="D47" s="9" t="s">
        <v>358</v>
      </c>
      <c r="E47" s="71">
        <v>700000</v>
      </c>
      <c r="F47" s="72">
        <v>0</v>
      </c>
      <c r="G47" s="71">
        <v>700000</v>
      </c>
    </row>
    <row r="48" spans="1:7" ht="20.100000000000001" customHeight="1">
      <c r="A48" s="9">
        <v>3</v>
      </c>
      <c r="B48" s="10" t="s">
        <v>414</v>
      </c>
      <c r="C48" s="73" t="s">
        <v>418</v>
      </c>
      <c r="D48" s="9" t="s">
        <v>358</v>
      </c>
      <c r="E48" s="71">
        <v>700000</v>
      </c>
      <c r="F48" s="72">
        <v>0</v>
      </c>
      <c r="G48" s="71">
        <v>700000</v>
      </c>
    </row>
    <row r="49" spans="1:7" ht="20.100000000000001" customHeight="1">
      <c r="A49" s="9">
        <v>4</v>
      </c>
      <c r="B49" s="10" t="s">
        <v>417</v>
      </c>
      <c r="C49" s="73" t="s">
        <v>418</v>
      </c>
      <c r="D49" s="9" t="s">
        <v>435</v>
      </c>
      <c r="E49" s="71">
        <v>700000</v>
      </c>
      <c r="F49" s="72">
        <v>0</v>
      </c>
      <c r="G49" s="71">
        <v>700000</v>
      </c>
    </row>
    <row r="50" spans="1:7" ht="20.100000000000001" customHeight="1">
      <c r="A50" s="9">
        <v>5</v>
      </c>
      <c r="B50" s="10" t="s">
        <v>419</v>
      </c>
      <c r="C50" s="73" t="s">
        <v>418</v>
      </c>
      <c r="D50" s="9" t="s">
        <v>99</v>
      </c>
      <c r="E50" s="71">
        <v>700000</v>
      </c>
      <c r="F50" s="72">
        <v>0</v>
      </c>
      <c r="G50" s="71">
        <v>700000</v>
      </c>
    </row>
    <row r="51" spans="1:7" ht="20.100000000000001" customHeight="1">
      <c r="A51" s="9">
        <v>6</v>
      </c>
      <c r="B51" s="10" t="s">
        <v>420</v>
      </c>
      <c r="C51" s="73" t="s">
        <v>368</v>
      </c>
      <c r="D51" s="9" t="s">
        <v>450</v>
      </c>
      <c r="E51" s="71">
        <v>500000</v>
      </c>
      <c r="F51" s="72">
        <v>0</v>
      </c>
      <c r="G51" s="71">
        <v>500000</v>
      </c>
    </row>
    <row r="52" spans="1:7" ht="20.100000000000001" customHeight="1">
      <c r="A52" s="9">
        <v>7</v>
      </c>
      <c r="B52" s="13" t="s">
        <v>421</v>
      </c>
      <c r="C52" s="73" t="s">
        <v>365</v>
      </c>
      <c r="D52" s="15" t="s">
        <v>450</v>
      </c>
      <c r="E52" s="71">
        <v>500000</v>
      </c>
      <c r="F52" s="72">
        <v>0</v>
      </c>
      <c r="G52" s="71">
        <v>500000</v>
      </c>
    </row>
    <row r="53" spans="1:7" ht="20.100000000000001" customHeight="1">
      <c r="A53" s="9">
        <v>8</v>
      </c>
      <c r="B53" s="10" t="s">
        <v>1125</v>
      </c>
      <c r="C53" s="73" t="s">
        <v>365</v>
      </c>
      <c r="D53" s="9" t="s">
        <v>369</v>
      </c>
      <c r="E53" s="71">
        <v>500000</v>
      </c>
      <c r="F53" s="72">
        <v>0</v>
      </c>
      <c r="G53" s="71">
        <v>500000</v>
      </c>
    </row>
    <row r="54" spans="1:7" ht="20.100000000000001" customHeight="1">
      <c r="A54" s="9">
        <v>9</v>
      </c>
      <c r="B54" s="10" t="s">
        <v>367</v>
      </c>
      <c r="C54" s="73" t="s">
        <v>461</v>
      </c>
      <c r="D54" s="9" t="s">
        <v>1052</v>
      </c>
      <c r="E54" s="71">
        <v>500000</v>
      </c>
      <c r="F54" s="71">
        <v>500000</v>
      </c>
      <c r="G54" s="72">
        <v>0</v>
      </c>
    </row>
    <row r="55" spans="1:7" ht="20.100000000000001" customHeight="1">
      <c r="A55" s="9">
        <v>10</v>
      </c>
      <c r="B55" s="10" t="s">
        <v>423</v>
      </c>
      <c r="C55" s="73" t="s">
        <v>64</v>
      </c>
      <c r="D55" s="9" t="s">
        <v>55</v>
      </c>
      <c r="E55" s="71">
        <v>300000</v>
      </c>
      <c r="F55" s="71">
        <v>300000</v>
      </c>
      <c r="G55" s="72">
        <v>0</v>
      </c>
    </row>
    <row r="56" spans="1:7" ht="20.100000000000001" customHeight="1">
      <c r="A56" s="9">
        <v>11</v>
      </c>
      <c r="B56" s="10" t="s">
        <v>424</v>
      </c>
      <c r="C56" s="73" t="s">
        <v>64</v>
      </c>
      <c r="D56" s="9" t="s">
        <v>55</v>
      </c>
      <c r="E56" s="71">
        <v>300000</v>
      </c>
      <c r="F56" s="71">
        <v>300000</v>
      </c>
      <c r="G56" s="72">
        <v>0</v>
      </c>
    </row>
    <row r="57" spans="1:7" ht="20.100000000000001" customHeight="1">
      <c r="A57" s="9">
        <v>12</v>
      </c>
      <c r="B57" s="10" t="s">
        <v>425</v>
      </c>
      <c r="C57" s="73" t="s">
        <v>64</v>
      </c>
      <c r="D57" s="9" t="s">
        <v>55</v>
      </c>
      <c r="E57" s="71">
        <v>300000</v>
      </c>
      <c r="F57" s="71">
        <v>300000</v>
      </c>
      <c r="G57" s="72">
        <v>0</v>
      </c>
    </row>
    <row r="58" spans="1:7" ht="25.5" customHeight="1">
      <c r="A58" s="9"/>
      <c r="B58" s="19" t="s">
        <v>42</v>
      </c>
      <c r="C58" s="75">
        <v>11</v>
      </c>
      <c r="D58" s="20"/>
      <c r="E58" s="78">
        <f>SUM(E46:E57)</f>
        <v>6700000</v>
      </c>
      <c r="F58" s="78">
        <f t="shared" ref="F58:G58" si="3">SUM(F46:F57)</f>
        <v>1400000</v>
      </c>
      <c r="G58" s="78">
        <f t="shared" si="3"/>
        <v>5300000</v>
      </c>
    </row>
    <row r="59" spans="1:7" ht="20.100000000000001" customHeight="1">
      <c r="A59" s="9"/>
      <c r="B59" s="21"/>
      <c r="C59" s="75"/>
      <c r="D59" s="20"/>
      <c r="E59" s="79"/>
      <c r="F59" s="79"/>
      <c r="G59" s="79"/>
    </row>
    <row r="60" spans="1:7" ht="20.100000000000001" customHeight="1">
      <c r="A60" s="9"/>
      <c r="B60" s="19" t="s">
        <v>426</v>
      </c>
      <c r="C60" s="75"/>
      <c r="D60" s="20"/>
      <c r="E60" s="79"/>
      <c r="F60" s="79"/>
      <c r="G60" s="79"/>
    </row>
    <row r="61" spans="1:7" ht="20.100000000000001" customHeight="1">
      <c r="A61" s="9">
        <v>1</v>
      </c>
      <c r="B61" s="10" t="s">
        <v>427</v>
      </c>
      <c r="C61" s="70" t="s">
        <v>428</v>
      </c>
      <c r="D61" s="14" t="s">
        <v>405</v>
      </c>
      <c r="E61" s="71">
        <f>1000000/2</f>
        <v>500000</v>
      </c>
      <c r="F61" s="72">
        <v>0</v>
      </c>
      <c r="G61" s="71">
        <f t="shared" ref="G61" si="4">1000000/2</f>
        <v>500000</v>
      </c>
    </row>
    <row r="62" spans="1:7" ht="20.100000000000001" customHeight="1">
      <c r="A62" s="9"/>
      <c r="B62" s="19" t="s">
        <v>42</v>
      </c>
      <c r="C62" s="75">
        <v>2</v>
      </c>
      <c r="D62" s="20"/>
      <c r="E62" s="78">
        <f>SUM(E61)</f>
        <v>500000</v>
      </c>
      <c r="F62" s="80">
        <f t="shared" ref="F62:G62" si="5">SUM(F61)</f>
        <v>0</v>
      </c>
      <c r="G62" s="78">
        <f t="shared" si="5"/>
        <v>500000</v>
      </c>
    </row>
    <row r="63" spans="1:7" ht="20.100000000000001" customHeight="1">
      <c r="A63" s="9"/>
      <c r="B63" s="19"/>
      <c r="C63" s="75"/>
      <c r="D63" s="20"/>
      <c r="E63" s="79"/>
      <c r="F63" s="79"/>
      <c r="G63" s="79"/>
    </row>
    <row r="64" spans="1:7" ht="20.100000000000001" customHeight="1">
      <c r="A64" s="9"/>
      <c r="B64" s="19" t="s">
        <v>60</v>
      </c>
      <c r="C64" s="75"/>
      <c r="D64" s="20"/>
      <c r="E64" s="79"/>
      <c r="F64" s="79"/>
      <c r="G64" s="79"/>
    </row>
    <row r="65" spans="1:7" ht="20.100000000000001" customHeight="1">
      <c r="A65" s="9">
        <v>1</v>
      </c>
      <c r="B65" s="10" t="s">
        <v>431</v>
      </c>
      <c r="C65" s="74" t="s">
        <v>432</v>
      </c>
      <c r="D65" s="9" t="s">
        <v>405</v>
      </c>
      <c r="E65" s="71">
        <f>1000000/2</f>
        <v>500000</v>
      </c>
      <c r="F65" s="72">
        <v>0</v>
      </c>
      <c r="G65" s="71">
        <f t="shared" ref="G65" si="6">1000000/2</f>
        <v>500000</v>
      </c>
    </row>
    <row r="66" spans="1:7" ht="20.100000000000001" customHeight="1">
      <c r="A66" s="9">
        <v>2</v>
      </c>
      <c r="B66" s="17" t="s">
        <v>433</v>
      </c>
      <c r="C66" s="74" t="s">
        <v>434</v>
      </c>
      <c r="D66" s="14" t="s">
        <v>1054</v>
      </c>
      <c r="E66" s="71">
        <f>700000/2</f>
        <v>350000</v>
      </c>
      <c r="F66" s="72">
        <v>0</v>
      </c>
      <c r="G66" s="71">
        <f t="shared" ref="G66" si="7">700000/2</f>
        <v>350000</v>
      </c>
    </row>
    <row r="67" spans="1:7" ht="20.100000000000001" customHeight="1">
      <c r="A67" s="9">
        <v>3</v>
      </c>
      <c r="B67" s="10" t="s">
        <v>436</v>
      </c>
      <c r="C67" s="73" t="s">
        <v>231</v>
      </c>
      <c r="D67" s="9" t="s">
        <v>1052</v>
      </c>
      <c r="E67" s="71">
        <v>500000</v>
      </c>
      <c r="F67" s="71">
        <v>500000</v>
      </c>
      <c r="G67" s="72">
        <v>0</v>
      </c>
    </row>
    <row r="68" spans="1:7" ht="20.100000000000001" customHeight="1">
      <c r="A68" s="9">
        <v>4</v>
      </c>
      <c r="B68" s="17" t="s">
        <v>437</v>
      </c>
      <c r="C68" s="74" t="s">
        <v>231</v>
      </c>
      <c r="D68" s="14" t="s">
        <v>1260</v>
      </c>
      <c r="E68" s="71">
        <v>500000</v>
      </c>
      <c r="F68" s="71">
        <v>500000</v>
      </c>
      <c r="G68" s="72">
        <v>0</v>
      </c>
    </row>
    <row r="69" spans="1:7" ht="20.100000000000001" customHeight="1">
      <c r="A69" s="9">
        <v>5</v>
      </c>
      <c r="B69" s="13" t="s">
        <v>438</v>
      </c>
      <c r="C69" s="74" t="s">
        <v>365</v>
      </c>
      <c r="D69" s="14" t="s">
        <v>450</v>
      </c>
      <c r="E69" s="71">
        <v>500000</v>
      </c>
      <c r="F69" s="72">
        <v>0</v>
      </c>
      <c r="G69" s="71">
        <v>500000</v>
      </c>
    </row>
    <row r="70" spans="1:7" ht="20.100000000000001" customHeight="1">
      <c r="A70" s="9">
        <v>6</v>
      </c>
      <c r="B70" s="10" t="s">
        <v>439</v>
      </c>
      <c r="C70" s="73" t="s">
        <v>64</v>
      </c>
      <c r="D70" s="9" t="s">
        <v>1268</v>
      </c>
      <c r="E70" s="71">
        <v>300000</v>
      </c>
      <c r="F70" s="71">
        <v>300000</v>
      </c>
      <c r="G70" s="72">
        <v>0</v>
      </c>
    </row>
    <row r="71" spans="1:7" ht="20.100000000000001" customHeight="1">
      <c r="A71" s="9">
        <v>7</v>
      </c>
      <c r="B71" s="10" t="s">
        <v>1133</v>
      </c>
      <c r="C71" s="74" t="s">
        <v>34</v>
      </c>
      <c r="D71" s="14" t="s">
        <v>440</v>
      </c>
      <c r="E71" s="71">
        <v>400000</v>
      </c>
      <c r="F71" s="71">
        <v>400000</v>
      </c>
      <c r="G71" s="72">
        <v>0</v>
      </c>
    </row>
    <row r="72" spans="1:7" ht="20.100000000000001" customHeight="1">
      <c r="A72" s="9">
        <v>8</v>
      </c>
      <c r="B72" s="10" t="s">
        <v>441</v>
      </c>
      <c r="C72" s="74" t="s">
        <v>34</v>
      </c>
      <c r="D72" s="14" t="s">
        <v>32</v>
      </c>
      <c r="E72" s="71">
        <v>400000</v>
      </c>
      <c r="F72" s="71">
        <v>400000</v>
      </c>
      <c r="G72" s="72">
        <v>0</v>
      </c>
    </row>
    <row r="73" spans="1:7" ht="20.100000000000001" customHeight="1">
      <c r="A73" s="9">
        <v>9</v>
      </c>
      <c r="B73" s="10" t="s">
        <v>442</v>
      </c>
      <c r="C73" s="74" t="s">
        <v>34</v>
      </c>
      <c r="D73" s="14" t="s">
        <v>32</v>
      </c>
      <c r="E73" s="71">
        <v>400000</v>
      </c>
      <c r="F73" s="71">
        <v>400000</v>
      </c>
      <c r="G73" s="72">
        <v>0</v>
      </c>
    </row>
    <row r="74" spans="1:7" ht="20.100000000000001" customHeight="1">
      <c r="A74" s="9">
        <v>10</v>
      </c>
      <c r="B74" s="10" t="s">
        <v>443</v>
      </c>
      <c r="C74" s="73" t="s">
        <v>444</v>
      </c>
      <c r="D74" s="9" t="s">
        <v>32</v>
      </c>
      <c r="E74" s="71">
        <v>400000</v>
      </c>
      <c r="F74" s="71">
        <v>400000</v>
      </c>
      <c r="G74" s="72">
        <v>0</v>
      </c>
    </row>
    <row r="75" spans="1:7" ht="20.100000000000001" customHeight="1">
      <c r="A75" s="9">
        <v>11</v>
      </c>
      <c r="B75" s="10" t="s">
        <v>1215</v>
      </c>
      <c r="C75" s="74" t="s">
        <v>64</v>
      </c>
      <c r="D75" s="9" t="s">
        <v>37</v>
      </c>
      <c r="E75" s="71">
        <v>300000</v>
      </c>
      <c r="F75" s="71">
        <v>300000</v>
      </c>
      <c r="G75" s="72">
        <v>0</v>
      </c>
    </row>
    <row r="76" spans="1:7" ht="20.100000000000001" customHeight="1">
      <c r="A76" s="9">
        <v>12</v>
      </c>
      <c r="B76" s="10" t="s">
        <v>389</v>
      </c>
      <c r="C76" s="74" t="s">
        <v>382</v>
      </c>
      <c r="D76" s="9" t="s">
        <v>55</v>
      </c>
      <c r="E76" s="71">
        <v>300000</v>
      </c>
      <c r="F76" s="71">
        <v>300000</v>
      </c>
      <c r="G76" s="72">
        <v>0</v>
      </c>
    </row>
    <row r="77" spans="1:7" ht="20.100000000000001" customHeight="1">
      <c r="A77" s="9">
        <v>13</v>
      </c>
      <c r="B77" s="13" t="s">
        <v>381</v>
      </c>
      <c r="C77" s="74" t="s">
        <v>382</v>
      </c>
      <c r="D77" s="9" t="s">
        <v>72</v>
      </c>
      <c r="E77" s="71">
        <v>300000</v>
      </c>
      <c r="F77" s="71">
        <v>300000</v>
      </c>
      <c r="G77" s="72">
        <v>0</v>
      </c>
    </row>
    <row r="78" spans="1:7" ht="20.100000000000001" customHeight="1">
      <c r="A78" s="9"/>
      <c r="B78" s="19" t="s">
        <v>42</v>
      </c>
      <c r="C78" s="75">
        <v>13</v>
      </c>
      <c r="D78" s="20"/>
      <c r="E78" s="78">
        <f>SUM(E65:E77)</f>
        <v>5150000</v>
      </c>
      <c r="F78" s="78">
        <f t="shared" ref="F78:G78" si="8">SUM(F65:F77)</f>
        <v>3800000</v>
      </c>
      <c r="G78" s="78">
        <f t="shared" si="8"/>
        <v>1350000</v>
      </c>
    </row>
    <row r="79" spans="1:7" ht="20.100000000000001" customHeight="1">
      <c r="A79" s="9"/>
      <c r="B79" s="21"/>
      <c r="C79" s="75"/>
      <c r="D79" s="20"/>
      <c r="E79" s="79"/>
      <c r="F79" s="79"/>
      <c r="G79" s="79"/>
    </row>
    <row r="80" spans="1:7" ht="20.100000000000001" customHeight="1">
      <c r="A80" s="9"/>
      <c r="B80" s="19" t="s">
        <v>65</v>
      </c>
      <c r="C80" s="75"/>
      <c r="D80" s="20"/>
      <c r="E80" s="79"/>
      <c r="F80" s="79"/>
      <c r="G80" s="79"/>
    </row>
    <row r="81" spans="1:7" ht="20.100000000000001" customHeight="1">
      <c r="A81" s="9">
        <v>1</v>
      </c>
      <c r="B81" s="10" t="s">
        <v>446</v>
      </c>
      <c r="C81" s="73" t="s">
        <v>447</v>
      </c>
      <c r="D81" s="9" t="s">
        <v>405</v>
      </c>
      <c r="E81" s="71">
        <v>1000000</v>
      </c>
      <c r="F81" s="72">
        <v>0</v>
      </c>
      <c r="G81" s="71">
        <v>1000000</v>
      </c>
    </row>
    <row r="82" spans="1:7" ht="20.100000000000001" customHeight="1">
      <c r="A82" s="9">
        <v>2</v>
      </c>
      <c r="B82" s="13" t="s">
        <v>331</v>
      </c>
      <c r="C82" s="73" t="s">
        <v>76</v>
      </c>
      <c r="D82" s="14" t="s">
        <v>1054</v>
      </c>
      <c r="E82" s="71">
        <v>700000</v>
      </c>
      <c r="F82" s="72">
        <v>0</v>
      </c>
      <c r="G82" s="71">
        <v>700000</v>
      </c>
    </row>
    <row r="83" spans="1:7" ht="20.100000000000001" customHeight="1">
      <c r="A83" s="9">
        <v>3</v>
      </c>
      <c r="B83" s="13" t="s">
        <v>1216</v>
      </c>
      <c r="C83" s="73" t="s">
        <v>1217</v>
      </c>
      <c r="D83" s="14" t="s">
        <v>1054</v>
      </c>
      <c r="E83" s="71">
        <f>700000/2</f>
        <v>350000</v>
      </c>
      <c r="F83" s="72">
        <v>0</v>
      </c>
      <c r="G83" s="71">
        <f t="shared" ref="G83" si="9">700000/2</f>
        <v>350000</v>
      </c>
    </row>
    <row r="84" spans="1:7" ht="20.100000000000001" customHeight="1">
      <c r="A84" s="9">
        <v>4</v>
      </c>
      <c r="B84" s="10" t="s">
        <v>448</v>
      </c>
      <c r="C84" s="73" t="s">
        <v>1069</v>
      </c>
      <c r="D84" s="14" t="s">
        <v>1052</v>
      </c>
      <c r="E84" s="71">
        <v>500000</v>
      </c>
      <c r="F84" s="71">
        <v>500000</v>
      </c>
      <c r="G84" s="72">
        <v>0</v>
      </c>
    </row>
    <row r="85" spans="1:7" ht="20.100000000000001" customHeight="1">
      <c r="A85" s="9">
        <v>5</v>
      </c>
      <c r="B85" s="10" t="s">
        <v>451</v>
      </c>
      <c r="C85" s="73" t="s">
        <v>452</v>
      </c>
      <c r="D85" s="9" t="s">
        <v>37</v>
      </c>
      <c r="E85" s="71">
        <v>300000</v>
      </c>
      <c r="F85" s="71">
        <v>300000</v>
      </c>
      <c r="G85" s="72">
        <v>0</v>
      </c>
    </row>
    <row r="86" spans="1:7" ht="20.100000000000001" customHeight="1">
      <c r="A86" s="9"/>
      <c r="B86" s="19" t="s">
        <v>42</v>
      </c>
      <c r="C86" s="75">
        <v>5</v>
      </c>
      <c r="D86" s="20"/>
      <c r="E86" s="78">
        <f>SUM(E81:E85)</f>
        <v>2850000</v>
      </c>
      <c r="F86" s="78">
        <f>SUM(F81:F85)</f>
        <v>800000</v>
      </c>
      <c r="G86" s="78">
        <f t="shared" ref="G86" si="10">SUM(G81:G85)</f>
        <v>2050000</v>
      </c>
    </row>
    <row r="87" spans="1:7" ht="20.100000000000001" customHeight="1">
      <c r="A87" s="9"/>
      <c r="B87" s="19"/>
      <c r="C87" s="75"/>
      <c r="D87" s="20"/>
      <c r="E87" s="71"/>
      <c r="F87" s="71"/>
      <c r="G87" s="71"/>
    </row>
    <row r="88" spans="1:7" ht="20.100000000000001" customHeight="1">
      <c r="A88" s="9"/>
      <c r="B88" s="19" t="s">
        <v>74</v>
      </c>
      <c r="C88" s="81"/>
      <c r="D88" s="20"/>
      <c r="E88" s="71"/>
      <c r="F88" s="71"/>
      <c r="G88" s="71"/>
    </row>
    <row r="89" spans="1:7" ht="20.100000000000001" customHeight="1">
      <c r="A89" s="9">
        <v>1</v>
      </c>
      <c r="B89" s="10" t="s">
        <v>1271</v>
      </c>
      <c r="C89" s="73" t="s">
        <v>1233</v>
      </c>
      <c r="D89" s="9" t="s">
        <v>416</v>
      </c>
      <c r="E89" s="71">
        <v>700000</v>
      </c>
      <c r="F89" s="72">
        <v>0</v>
      </c>
      <c r="G89" s="71">
        <v>700000</v>
      </c>
    </row>
    <row r="90" spans="1:7" ht="20.100000000000001" customHeight="1">
      <c r="A90" s="9">
        <v>2</v>
      </c>
      <c r="B90" s="10" t="s">
        <v>457</v>
      </c>
      <c r="C90" s="73" t="s">
        <v>418</v>
      </c>
      <c r="D90" s="9" t="s">
        <v>358</v>
      </c>
      <c r="E90" s="71">
        <v>700000</v>
      </c>
      <c r="F90" s="72">
        <v>0</v>
      </c>
      <c r="G90" s="71">
        <v>700000</v>
      </c>
    </row>
    <row r="91" spans="1:7" ht="20.100000000000001" customHeight="1">
      <c r="A91" s="9">
        <v>3</v>
      </c>
      <c r="B91" s="10" t="s">
        <v>458</v>
      </c>
      <c r="C91" s="73" t="s">
        <v>418</v>
      </c>
      <c r="D91" s="9" t="s">
        <v>358</v>
      </c>
      <c r="E91" s="71">
        <v>700000</v>
      </c>
      <c r="F91" s="72">
        <v>0</v>
      </c>
      <c r="G91" s="71">
        <v>700000</v>
      </c>
    </row>
    <row r="92" spans="1:7" ht="20.100000000000001" customHeight="1">
      <c r="A92" s="9">
        <v>4</v>
      </c>
      <c r="B92" s="13" t="s">
        <v>493</v>
      </c>
      <c r="C92" s="73" t="s">
        <v>365</v>
      </c>
      <c r="D92" s="9" t="s">
        <v>366</v>
      </c>
      <c r="E92" s="71">
        <v>500000</v>
      </c>
      <c r="F92" s="72">
        <v>0</v>
      </c>
      <c r="G92" s="71">
        <v>500000</v>
      </c>
    </row>
    <row r="93" spans="1:7" ht="20.100000000000001" customHeight="1">
      <c r="A93" s="9">
        <v>5</v>
      </c>
      <c r="B93" s="10" t="s">
        <v>459</v>
      </c>
      <c r="C93" s="73" t="s">
        <v>368</v>
      </c>
      <c r="D93" s="9" t="s">
        <v>450</v>
      </c>
      <c r="E93" s="71">
        <v>500000</v>
      </c>
      <c r="F93" s="72">
        <v>0</v>
      </c>
      <c r="G93" s="71">
        <v>500000</v>
      </c>
    </row>
    <row r="94" spans="1:7" ht="21.6" customHeight="1">
      <c r="A94" s="9">
        <v>6</v>
      </c>
      <c r="B94" s="10" t="s">
        <v>460</v>
      </c>
      <c r="C94" s="73" t="s">
        <v>461</v>
      </c>
      <c r="D94" s="14" t="s">
        <v>1052</v>
      </c>
      <c r="E94" s="71">
        <v>500000</v>
      </c>
      <c r="F94" s="71">
        <v>500000</v>
      </c>
      <c r="G94" s="72">
        <v>0</v>
      </c>
    </row>
    <row r="95" spans="1:7" ht="21.6" customHeight="1">
      <c r="A95" s="9">
        <v>7</v>
      </c>
      <c r="B95" s="10" t="s">
        <v>462</v>
      </c>
      <c r="C95" s="70" t="s">
        <v>231</v>
      </c>
      <c r="D95" s="14" t="s">
        <v>1260</v>
      </c>
      <c r="E95" s="71">
        <v>500000</v>
      </c>
      <c r="F95" s="71">
        <v>500000</v>
      </c>
      <c r="G95" s="72">
        <v>0</v>
      </c>
    </row>
    <row r="96" spans="1:7" ht="21.6" customHeight="1">
      <c r="A96" s="9">
        <v>8</v>
      </c>
      <c r="B96" s="10" t="s">
        <v>463</v>
      </c>
      <c r="C96" s="70" t="s">
        <v>231</v>
      </c>
      <c r="D96" s="14" t="s">
        <v>1260</v>
      </c>
      <c r="E96" s="71">
        <f>500000/2</f>
        <v>250000</v>
      </c>
      <c r="F96" s="71">
        <f>500000/2</f>
        <v>250000</v>
      </c>
      <c r="G96" s="72">
        <v>0</v>
      </c>
    </row>
    <row r="97" spans="1:7" ht="21.6" customHeight="1">
      <c r="A97" s="9">
        <v>9</v>
      </c>
      <c r="B97" s="10" t="s">
        <v>464</v>
      </c>
      <c r="C97" s="74" t="s">
        <v>34</v>
      </c>
      <c r="D97" s="14" t="s">
        <v>32</v>
      </c>
      <c r="E97" s="71">
        <v>400000</v>
      </c>
      <c r="F97" s="71">
        <v>400000</v>
      </c>
      <c r="G97" s="72">
        <v>0</v>
      </c>
    </row>
    <row r="98" spans="1:7" ht="21.6" customHeight="1">
      <c r="A98" s="9">
        <v>10</v>
      </c>
      <c r="B98" s="10" t="s">
        <v>466</v>
      </c>
      <c r="C98" s="73" t="s">
        <v>467</v>
      </c>
      <c r="D98" s="9" t="s">
        <v>37</v>
      </c>
      <c r="E98" s="71">
        <v>300000</v>
      </c>
      <c r="F98" s="71">
        <v>300000</v>
      </c>
      <c r="G98" s="72">
        <v>0</v>
      </c>
    </row>
    <row r="99" spans="1:7" ht="21.6" customHeight="1">
      <c r="A99" s="9">
        <v>11</v>
      </c>
      <c r="B99" s="10" t="s">
        <v>468</v>
      </c>
      <c r="C99" s="74" t="s">
        <v>469</v>
      </c>
      <c r="D99" s="14" t="s">
        <v>72</v>
      </c>
      <c r="E99" s="71">
        <v>300000</v>
      </c>
      <c r="F99" s="71">
        <v>300000</v>
      </c>
      <c r="G99" s="72">
        <v>0</v>
      </c>
    </row>
    <row r="100" spans="1:7" ht="20.100000000000001" customHeight="1">
      <c r="A100" s="9"/>
      <c r="B100" s="19" t="s">
        <v>42</v>
      </c>
      <c r="C100" s="75">
        <v>10</v>
      </c>
      <c r="D100" s="20"/>
      <c r="E100" s="78">
        <f>SUM(E89:E99)</f>
        <v>5350000</v>
      </c>
      <c r="F100" s="78">
        <f t="shared" ref="F100:G100" si="11">SUM(F89:F99)</f>
        <v>2250000</v>
      </c>
      <c r="G100" s="78">
        <f t="shared" si="11"/>
        <v>3100000</v>
      </c>
    </row>
    <row r="101" spans="1:7" ht="20.100000000000001" customHeight="1">
      <c r="A101" s="9"/>
      <c r="B101" s="21"/>
      <c r="C101" s="75"/>
      <c r="D101" s="20"/>
      <c r="E101" s="79"/>
      <c r="F101" s="79"/>
      <c r="G101" s="79"/>
    </row>
    <row r="102" spans="1:7" ht="20.100000000000001" customHeight="1">
      <c r="A102" s="9"/>
      <c r="B102" s="19" t="s">
        <v>198</v>
      </c>
      <c r="C102" s="75"/>
      <c r="D102" s="20"/>
      <c r="E102" s="79"/>
      <c r="F102" s="79"/>
      <c r="G102" s="79"/>
    </row>
    <row r="103" spans="1:7" ht="20.100000000000001" customHeight="1">
      <c r="A103" s="9">
        <v>1</v>
      </c>
      <c r="B103" s="17" t="s">
        <v>341</v>
      </c>
      <c r="C103" s="82" t="s">
        <v>342</v>
      </c>
      <c r="D103" s="14" t="s">
        <v>416</v>
      </c>
      <c r="E103" s="71">
        <v>700000</v>
      </c>
      <c r="F103" s="72">
        <v>0</v>
      </c>
      <c r="G103" s="71">
        <v>700000</v>
      </c>
    </row>
    <row r="104" spans="1:7" ht="20.100000000000001" customHeight="1">
      <c r="A104" s="9">
        <v>2</v>
      </c>
      <c r="B104" s="10" t="s">
        <v>359</v>
      </c>
      <c r="C104" s="73" t="s">
        <v>474</v>
      </c>
      <c r="D104" s="9" t="s">
        <v>450</v>
      </c>
      <c r="E104" s="71">
        <v>500000</v>
      </c>
      <c r="F104" s="72">
        <v>0</v>
      </c>
      <c r="G104" s="71">
        <v>500000</v>
      </c>
    </row>
    <row r="105" spans="1:7" ht="20.100000000000001" customHeight="1">
      <c r="A105" s="9">
        <v>3</v>
      </c>
      <c r="B105" s="17" t="s">
        <v>1234</v>
      </c>
      <c r="C105" s="73" t="s">
        <v>1235</v>
      </c>
      <c r="D105" s="14" t="s">
        <v>1260</v>
      </c>
      <c r="E105" s="71">
        <v>500000</v>
      </c>
      <c r="F105" s="71">
        <v>500000</v>
      </c>
      <c r="G105" s="72">
        <v>0</v>
      </c>
    </row>
    <row r="106" spans="1:7" ht="20.100000000000001" customHeight="1">
      <c r="A106" s="9">
        <v>4</v>
      </c>
      <c r="B106" s="10" t="s">
        <v>475</v>
      </c>
      <c r="C106" s="73" t="s">
        <v>476</v>
      </c>
      <c r="D106" s="14" t="s">
        <v>32</v>
      </c>
      <c r="E106" s="71">
        <v>400000</v>
      </c>
      <c r="F106" s="71">
        <v>400000</v>
      </c>
      <c r="G106" s="72">
        <v>0</v>
      </c>
    </row>
    <row r="107" spans="1:7" ht="20.100000000000001" customHeight="1">
      <c r="A107" s="3"/>
      <c r="B107" s="19" t="s">
        <v>42</v>
      </c>
      <c r="C107" s="75">
        <v>4</v>
      </c>
      <c r="D107" s="25"/>
      <c r="E107" s="78">
        <f>SUM(E103:E106)</f>
        <v>2100000</v>
      </c>
      <c r="F107" s="78">
        <f t="shared" ref="F107:G107" si="12">SUM(F103:F106)</f>
        <v>900000</v>
      </c>
      <c r="G107" s="78">
        <f t="shared" si="12"/>
        <v>1200000</v>
      </c>
    </row>
    <row r="108" spans="1:7" ht="20.100000000000001" customHeight="1">
      <c r="A108" s="3"/>
      <c r="B108" s="21"/>
      <c r="C108" s="75"/>
      <c r="D108" s="25"/>
      <c r="E108" s="79"/>
      <c r="F108" s="79"/>
      <c r="G108" s="79"/>
    </row>
    <row r="109" spans="1:7" ht="20.100000000000001" customHeight="1">
      <c r="A109" s="3"/>
      <c r="B109" s="19" t="s">
        <v>479</v>
      </c>
      <c r="C109" s="73"/>
      <c r="D109" s="3"/>
      <c r="E109" s="83"/>
      <c r="F109" s="83"/>
      <c r="G109" s="83"/>
    </row>
    <row r="110" spans="1:7" ht="20.100000000000001" customHeight="1">
      <c r="A110" s="3">
        <v>1</v>
      </c>
      <c r="B110" s="10" t="s">
        <v>480</v>
      </c>
      <c r="C110" s="70" t="s">
        <v>481</v>
      </c>
      <c r="D110" s="14" t="s">
        <v>405</v>
      </c>
      <c r="E110" s="71">
        <v>1000000</v>
      </c>
      <c r="F110" s="72">
        <v>0</v>
      </c>
      <c r="G110" s="71">
        <v>1000000</v>
      </c>
    </row>
    <row r="111" spans="1:7" ht="20.100000000000001" customHeight="1">
      <c r="A111" s="3">
        <v>2</v>
      </c>
      <c r="B111" s="10" t="s">
        <v>482</v>
      </c>
      <c r="C111" s="73" t="s">
        <v>483</v>
      </c>
      <c r="D111" s="15" t="s">
        <v>106</v>
      </c>
      <c r="E111" s="71">
        <v>700000</v>
      </c>
      <c r="F111" s="72">
        <v>0</v>
      </c>
      <c r="G111" s="71">
        <v>700000</v>
      </c>
    </row>
    <row r="112" spans="1:7" ht="20.100000000000001" customHeight="1">
      <c r="A112" s="3">
        <v>3</v>
      </c>
      <c r="B112" s="10" t="s">
        <v>484</v>
      </c>
      <c r="C112" s="73" t="s">
        <v>485</v>
      </c>
      <c r="D112" s="9" t="s">
        <v>372</v>
      </c>
      <c r="E112" s="71">
        <v>500000</v>
      </c>
      <c r="F112" s="71">
        <v>500000</v>
      </c>
      <c r="G112" s="72">
        <v>0</v>
      </c>
    </row>
    <row r="113" spans="1:7" ht="20.100000000000001" customHeight="1">
      <c r="A113" s="3">
        <v>4</v>
      </c>
      <c r="B113" s="10" t="s">
        <v>486</v>
      </c>
      <c r="C113" s="73" t="s">
        <v>485</v>
      </c>
      <c r="D113" s="9" t="s">
        <v>375</v>
      </c>
      <c r="E113" s="71">
        <v>500000</v>
      </c>
      <c r="F113" s="71">
        <v>500000</v>
      </c>
      <c r="G113" s="72">
        <v>0</v>
      </c>
    </row>
    <row r="114" spans="1:7" ht="20.100000000000001" customHeight="1">
      <c r="A114" s="3">
        <v>5</v>
      </c>
      <c r="B114" s="10" t="s">
        <v>487</v>
      </c>
      <c r="C114" s="73" t="s">
        <v>488</v>
      </c>
      <c r="D114" s="14" t="s">
        <v>1048</v>
      </c>
      <c r="E114" s="71">
        <v>300000</v>
      </c>
      <c r="F114" s="71">
        <v>300000</v>
      </c>
      <c r="G114" s="72">
        <v>0</v>
      </c>
    </row>
    <row r="115" spans="1:7" ht="20.100000000000001" customHeight="1">
      <c r="A115" s="3">
        <v>6</v>
      </c>
      <c r="B115" s="17" t="s">
        <v>490</v>
      </c>
      <c r="C115" s="73" t="s">
        <v>488</v>
      </c>
      <c r="D115" s="9" t="s">
        <v>399</v>
      </c>
      <c r="E115" s="71">
        <v>300000</v>
      </c>
      <c r="F115" s="71">
        <v>300000</v>
      </c>
      <c r="G115" s="72">
        <v>0</v>
      </c>
    </row>
    <row r="116" spans="1:7" ht="20.100000000000001" customHeight="1">
      <c r="A116" s="3">
        <v>7</v>
      </c>
      <c r="B116" s="17" t="s">
        <v>492</v>
      </c>
      <c r="C116" s="73" t="s">
        <v>488</v>
      </c>
      <c r="D116" s="14" t="s">
        <v>72</v>
      </c>
      <c r="E116" s="71">
        <v>300000</v>
      </c>
      <c r="F116" s="71">
        <v>300000</v>
      </c>
      <c r="G116" s="72">
        <v>0</v>
      </c>
    </row>
    <row r="117" spans="1:7" ht="20.100000000000001" customHeight="1">
      <c r="A117" s="3"/>
      <c r="B117" s="19" t="s">
        <v>42</v>
      </c>
      <c r="C117" s="75">
        <v>7</v>
      </c>
      <c r="D117" s="3"/>
      <c r="E117" s="84">
        <f>SUM(E110:E116)</f>
        <v>3600000</v>
      </c>
      <c r="F117" s="84">
        <f t="shared" ref="F117:G117" si="13">SUM(F110:F116)</f>
        <v>1900000</v>
      </c>
      <c r="G117" s="84">
        <f t="shared" si="13"/>
        <v>1700000</v>
      </c>
    </row>
    <row r="118" spans="1:7" ht="20.100000000000001" customHeight="1">
      <c r="A118" s="3"/>
      <c r="B118" s="21"/>
      <c r="C118" s="82"/>
      <c r="D118" s="3"/>
      <c r="E118" s="85"/>
      <c r="F118" s="85"/>
      <c r="G118" s="85"/>
    </row>
    <row r="119" spans="1:7" ht="20.100000000000001" customHeight="1">
      <c r="A119" s="3"/>
      <c r="B119" s="19" t="s">
        <v>97</v>
      </c>
      <c r="C119" s="75"/>
      <c r="D119" s="20"/>
      <c r="E119" s="71"/>
      <c r="F119" s="71"/>
      <c r="G119" s="71"/>
    </row>
    <row r="120" spans="1:7" ht="20.100000000000001" customHeight="1">
      <c r="A120" s="3">
        <v>1</v>
      </c>
      <c r="B120" s="10" t="s">
        <v>499</v>
      </c>
      <c r="C120" s="70" t="s">
        <v>500</v>
      </c>
      <c r="D120" s="14" t="s">
        <v>405</v>
      </c>
      <c r="E120" s="71">
        <v>1000000</v>
      </c>
      <c r="F120" s="72">
        <v>0</v>
      </c>
      <c r="G120" s="71">
        <v>1000000</v>
      </c>
    </row>
    <row r="121" spans="1:7" ht="20.100000000000001" customHeight="1">
      <c r="A121" s="3">
        <v>2</v>
      </c>
      <c r="B121" s="10" t="s">
        <v>1237</v>
      </c>
      <c r="C121" s="70" t="s">
        <v>1238</v>
      </c>
      <c r="D121" s="14" t="s">
        <v>340</v>
      </c>
      <c r="E121" s="71">
        <v>700000</v>
      </c>
      <c r="F121" s="72">
        <v>0</v>
      </c>
      <c r="G121" s="71">
        <v>700000</v>
      </c>
    </row>
    <row r="122" spans="1:7" ht="20.100000000000001" customHeight="1">
      <c r="A122" s="3">
        <v>3</v>
      </c>
      <c r="B122" s="10" t="s">
        <v>178</v>
      </c>
      <c r="C122" s="70" t="s">
        <v>337</v>
      </c>
      <c r="D122" s="14" t="s">
        <v>358</v>
      </c>
      <c r="E122" s="71">
        <v>700000</v>
      </c>
      <c r="F122" s="72">
        <v>0</v>
      </c>
      <c r="G122" s="71">
        <v>700000</v>
      </c>
    </row>
    <row r="123" spans="1:7" ht="20.100000000000001" customHeight="1">
      <c r="A123" s="3">
        <v>4</v>
      </c>
      <c r="B123" s="13" t="s">
        <v>502</v>
      </c>
      <c r="C123" s="70" t="s">
        <v>337</v>
      </c>
      <c r="D123" s="14" t="s">
        <v>358</v>
      </c>
      <c r="E123" s="71">
        <v>700000</v>
      </c>
      <c r="F123" s="72">
        <v>0</v>
      </c>
      <c r="G123" s="71">
        <v>700000</v>
      </c>
    </row>
    <row r="124" spans="1:7" ht="20.100000000000001" customHeight="1">
      <c r="A124" s="3">
        <v>5</v>
      </c>
      <c r="B124" s="13" t="s">
        <v>336</v>
      </c>
      <c r="C124" s="70" t="s">
        <v>337</v>
      </c>
      <c r="D124" s="14" t="s">
        <v>99</v>
      </c>
      <c r="E124" s="71">
        <v>700000</v>
      </c>
      <c r="F124" s="72">
        <v>0</v>
      </c>
      <c r="G124" s="71">
        <v>700000</v>
      </c>
    </row>
    <row r="125" spans="1:7" ht="20.100000000000001" customHeight="1">
      <c r="A125" s="3">
        <v>6</v>
      </c>
      <c r="B125" s="10" t="s">
        <v>503</v>
      </c>
      <c r="C125" s="70" t="s">
        <v>504</v>
      </c>
      <c r="D125" s="14" t="s">
        <v>369</v>
      </c>
      <c r="E125" s="71">
        <v>500000</v>
      </c>
      <c r="F125" s="72">
        <v>0</v>
      </c>
      <c r="G125" s="71">
        <v>500000</v>
      </c>
    </row>
    <row r="126" spans="1:7" ht="20.100000000000001" customHeight="1">
      <c r="A126" s="3">
        <v>7</v>
      </c>
      <c r="B126" s="10" t="s">
        <v>505</v>
      </c>
      <c r="C126" s="70" t="s">
        <v>506</v>
      </c>
      <c r="D126" s="14" t="s">
        <v>1052</v>
      </c>
      <c r="E126" s="71">
        <v>500000</v>
      </c>
      <c r="F126" s="71">
        <v>500000</v>
      </c>
      <c r="G126" s="72">
        <v>0</v>
      </c>
    </row>
    <row r="127" spans="1:7" ht="20.100000000000001" customHeight="1">
      <c r="A127" s="3">
        <v>8</v>
      </c>
      <c r="B127" s="10" t="s">
        <v>507</v>
      </c>
      <c r="C127" s="70" t="s">
        <v>1071</v>
      </c>
      <c r="D127" s="14" t="s">
        <v>1052</v>
      </c>
      <c r="E127" s="71">
        <v>500000</v>
      </c>
      <c r="F127" s="71">
        <v>500000</v>
      </c>
      <c r="G127" s="72">
        <v>0</v>
      </c>
    </row>
    <row r="128" spans="1:7" ht="20.100000000000001" customHeight="1">
      <c r="A128" s="3">
        <v>9</v>
      </c>
      <c r="B128" s="17" t="s">
        <v>1239</v>
      </c>
      <c r="C128" s="70" t="s">
        <v>1240</v>
      </c>
      <c r="D128" s="14" t="s">
        <v>1053</v>
      </c>
      <c r="E128" s="71">
        <v>500000</v>
      </c>
      <c r="F128" s="71">
        <v>500000</v>
      </c>
      <c r="G128" s="72">
        <v>0</v>
      </c>
    </row>
    <row r="129" spans="1:7" ht="20.100000000000001" customHeight="1">
      <c r="A129" s="3">
        <v>10</v>
      </c>
      <c r="B129" s="10" t="s">
        <v>508</v>
      </c>
      <c r="C129" s="70" t="s">
        <v>509</v>
      </c>
      <c r="D129" s="9" t="s">
        <v>55</v>
      </c>
      <c r="E129" s="71">
        <v>300000</v>
      </c>
      <c r="F129" s="71">
        <v>300000</v>
      </c>
      <c r="G129" s="72">
        <v>0</v>
      </c>
    </row>
    <row r="130" spans="1:7" ht="20.100000000000001" customHeight="1">
      <c r="A130" s="3">
        <v>11</v>
      </c>
      <c r="B130" s="17" t="s">
        <v>510</v>
      </c>
      <c r="C130" s="70" t="s">
        <v>511</v>
      </c>
      <c r="D130" s="14" t="s">
        <v>72</v>
      </c>
      <c r="E130" s="71">
        <v>300000</v>
      </c>
      <c r="F130" s="71">
        <v>300000</v>
      </c>
      <c r="G130" s="72">
        <v>0</v>
      </c>
    </row>
    <row r="131" spans="1:7" ht="20.100000000000001" customHeight="1">
      <c r="A131" s="3"/>
      <c r="B131" s="19" t="s">
        <v>42</v>
      </c>
      <c r="C131" s="86" t="s">
        <v>1241</v>
      </c>
      <c r="D131" s="14"/>
      <c r="E131" s="78">
        <f>SUM(E120:E130)</f>
        <v>6400000</v>
      </c>
      <c r="F131" s="78">
        <f t="shared" ref="F131:G131" si="14">SUM(F120:F130)</f>
        <v>2100000</v>
      </c>
      <c r="G131" s="78">
        <f t="shared" si="14"/>
        <v>4300000</v>
      </c>
    </row>
    <row r="132" spans="1:7" ht="20.100000000000001" customHeight="1">
      <c r="A132" s="3"/>
      <c r="B132" s="21"/>
      <c r="C132" s="86"/>
      <c r="D132" s="14"/>
      <c r="E132" s="79"/>
      <c r="F132" s="79"/>
      <c r="G132" s="79"/>
    </row>
    <row r="133" spans="1:7" ht="20.100000000000001" customHeight="1">
      <c r="A133" s="3"/>
      <c r="B133" s="19" t="s">
        <v>103</v>
      </c>
      <c r="C133" s="70"/>
      <c r="D133" s="14"/>
      <c r="E133" s="71"/>
      <c r="F133" s="71"/>
      <c r="G133" s="71"/>
    </row>
    <row r="134" spans="1:7" ht="20.100000000000001" customHeight="1">
      <c r="A134" s="26">
        <v>1</v>
      </c>
      <c r="B134" s="10" t="s">
        <v>514</v>
      </c>
      <c r="C134" s="70" t="s">
        <v>1318</v>
      </c>
      <c r="D134" s="14" t="s">
        <v>405</v>
      </c>
      <c r="E134" s="71">
        <f>1000000/2</f>
        <v>500000</v>
      </c>
      <c r="F134" s="72">
        <v>0</v>
      </c>
      <c r="G134" s="71">
        <f t="shared" ref="G134" si="15">1000000/2</f>
        <v>500000</v>
      </c>
    </row>
    <row r="135" spans="1:7" ht="20.100000000000001" customHeight="1">
      <c r="A135" s="26">
        <v>2</v>
      </c>
      <c r="B135" s="10" t="s">
        <v>338</v>
      </c>
      <c r="C135" s="70" t="s">
        <v>339</v>
      </c>
      <c r="D135" s="14" t="s">
        <v>340</v>
      </c>
      <c r="E135" s="71">
        <f>700000/2</f>
        <v>350000</v>
      </c>
      <c r="F135" s="72">
        <v>0</v>
      </c>
      <c r="G135" s="71">
        <f t="shared" ref="G135" si="16">700000/2</f>
        <v>350000</v>
      </c>
    </row>
    <row r="136" spans="1:7" ht="20.100000000000001" customHeight="1">
      <c r="A136" s="26">
        <v>3</v>
      </c>
      <c r="B136" s="13" t="s">
        <v>516</v>
      </c>
      <c r="C136" s="73" t="s">
        <v>517</v>
      </c>
      <c r="D136" s="15" t="s">
        <v>106</v>
      </c>
      <c r="E136" s="71">
        <v>700000</v>
      </c>
      <c r="F136" s="72">
        <v>0</v>
      </c>
      <c r="G136" s="71">
        <v>700000</v>
      </c>
    </row>
    <row r="137" spans="1:7" ht="20.100000000000001" customHeight="1">
      <c r="A137" s="26">
        <v>4</v>
      </c>
      <c r="B137" s="10" t="s">
        <v>518</v>
      </c>
      <c r="C137" s="70" t="s">
        <v>519</v>
      </c>
      <c r="D137" s="14" t="s">
        <v>450</v>
      </c>
      <c r="E137" s="71">
        <v>500000</v>
      </c>
      <c r="F137" s="72">
        <v>0</v>
      </c>
      <c r="G137" s="71">
        <v>500000</v>
      </c>
    </row>
    <row r="138" spans="1:7" ht="20.100000000000001" customHeight="1">
      <c r="A138" s="26">
        <v>5</v>
      </c>
      <c r="B138" s="10" t="s">
        <v>520</v>
      </c>
      <c r="C138" s="73" t="s">
        <v>521</v>
      </c>
      <c r="D138" s="14" t="s">
        <v>450</v>
      </c>
      <c r="E138" s="71">
        <v>500000</v>
      </c>
      <c r="F138" s="72">
        <v>0</v>
      </c>
      <c r="G138" s="71">
        <v>500000</v>
      </c>
    </row>
    <row r="139" spans="1:7" ht="20.100000000000001" customHeight="1">
      <c r="A139" s="26">
        <v>6</v>
      </c>
      <c r="B139" s="10" t="s">
        <v>473</v>
      </c>
      <c r="C139" s="73" t="s">
        <v>527</v>
      </c>
      <c r="D139" s="14" t="s">
        <v>1052</v>
      </c>
      <c r="E139" s="71">
        <v>500000</v>
      </c>
      <c r="F139" s="71">
        <v>500000</v>
      </c>
      <c r="G139" s="72">
        <v>0</v>
      </c>
    </row>
    <row r="140" spans="1:7" ht="20.100000000000001" customHeight="1">
      <c r="A140" s="26">
        <v>7</v>
      </c>
      <c r="B140" s="10" t="s">
        <v>523</v>
      </c>
      <c r="C140" s="70" t="s">
        <v>524</v>
      </c>
      <c r="D140" s="14" t="s">
        <v>440</v>
      </c>
      <c r="E140" s="71">
        <v>400000</v>
      </c>
      <c r="F140" s="71">
        <v>400000</v>
      </c>
      <c r="G140" s="72">
        <v>0</v>
      </c>
    </row>
    <row r="141" spans="1:7" ht="20.100000000000001" customHeight="1">
      <c r="A141" s="26">
        <v>8</v>
      </c>
      <c r="B141" s="10" t="s">
        <v>525</v>
      </c>
      <c r="C141" s="70" t="s">
        <v>524</v>
      </c>
      <c r="D141" s="14" t="s">
        <v>440</v>
      </c>
      <c r="E141" s="71">
        <v>400000</v>
      </c>
      <c r="F141" s="71">
        <v>400000</v>
      </c>
      <c r="G141" s="72">
        <v>0</v>
      </c>
    </row>
    <row r="142" spans="1:7" ht="20.100000000000001" customHeight="1">
      <c r="A142" s="26">
        <v>9</v>
      </c>
      <c r="B142" s="10" t="s">
        <v>526</v>
      </c>
      <c r="C142" s="73" t="s">
        <v>527</v>
      </c>
      <c r="D142" s="14" t="s">
        <v>440</v>
      </c>
      <c r="E142" s="71">
        <v>400000</v>
      </c>
      <c r="F142" s="71">
        <v>400000</v>
      </c>
      <c r="G142" s="72">
        <v>0</v>
      </c>
    </row>
    <row r="143" spans="1:7" ht="20.100000000000001" customHeight="1">
      <c r="A143" s="26">
        <v>10</v>
      </c>
      <c r="B143" s="10" t="s">
        <v>528</v>
      </c>
      <c r="C143" s="70" t="s">
        <v>533</v>
      </c>
      <c r="D143" s="14" t="s">
        <v>32</v>
      </c>
      <c r="E143" s="71">
        <v>400000</v>
      </c>
      <c r="F143" s="71">
        <v>400000</v>
      </c>
      <c r="G143" s="72">
        <v>0</v>
      </c>
    </row>
    <row r="144" spans="1:7" ht="20.100000000000001" customHeight="1">
      <c r="A144" s="26">
        <v>11</v>
      </c>
      <c r="B144" s="10" t="s">
        <v>530</v>
      </c>
      <c r="C144" s="70" t="s">
        <v>1072</v>
      </c>
      <c r="D144" s="14" t="s">
        <v>453</v>
      </c>
      <c r="E144" s="71">
        <v>300000</v>
      </c>
      <c r="F144" s="71">
        <v>300000</v>
      </c>
      <c r="G144" s="72">
        <v>0</v>
      </c>
    </row>
    <row r="145" spans="1:7" ht="20.100000000000001" customHeight="1">
      <c r="A145" s="26">
        <v>12</v>
      </c>
      <c r="B145" s="10" t="s">
        <v>532</v>
      </c>
      <c r="C145" s="70" t="s">
        <v>533</v>
      </c>
      <c r="D145" s="14" t="s">
        <v>32</v>
      </c>
      <c r="E145" s="71">
        <v>400000</v>
      </c>
      <c r="F145" s="71">
        <v>400000</v>
      </c>
      <c r="G145" s="72">
        <v>0</v>
      </c>
    </row>
    <row r="146" spans="1:7" ht="20.100000000000001" customHeight="1">
      <c r="A146" s="26">
        <v>13</v>
      </c>
      <c r="B146" s="10" t="s">
        <v>536</v>
      </c>
      <c r="C146" s="73" t="s">
        <v>537</v>
      </c>
      <c r="D146" s="14" t="s">
        <v>409</v>
      </c>
      <c r="E146" s="71">
        <v>300000</v>
      </c>
      <c r="F146" s="71">
        <v>300000</v>
      </c>
      <c r="G146" s="72">
        <v>0</v>
      </c>
    </row>
    <row r="147" spans="1:7" ht="20.100000000000001" customHeight="1">
      <c r="A147" s="26">
        <v>14</v>
      </c>
      <c r="B147" s="10" t="s">
        <v>538</v>
      </c>
      <c r="C147" s="73" t="s">
        <v>537</v>
      </c>
      <c r="D147" s="14" t="s">
        <v>409</v>
      </c>
      <c r="E147" s="71">
        <v>300000</v>
      </c>
      <c r="F147" s="71">
        <v>300000</v>
      </c>
      <c r="G147" s="72">
        <v>0</v>
      </c>
    </row>
    <row r="148" spans="1:7" ht="20.100000000000001" customHeight="1">
      <c r="A148" s="26">
        <v>15</v>
      </c>
      <c r="B148" s="10" t="s">
        <v>540</v>
      </c>
      <c r="C148" s="73" t="s">
        <v>537</v>
      </c>
      <c r="D148" s="14" t="s">
        <v>409</v>
      </c>
      <c r="E148" s="71">
        <v>300000</v>
      </c>
      <c r="F148" s="71">
        <v>300000</v>
      </c>
      <c r="G148" s="72">
        <v>0</v>
      </c>
    </row>
    <row r="149" spans="1:7" ht="20.100000000000001" customHeight="1">
      <c r="A149" s="26">
        <v>16</v>
      </c>
      <c r="B149" s="10" t="s">
        <v>541</v>
      </c>
      <c r="C149" s="70" t="s">
        <v>542</v>
      </c>
      <c r="D149" s="14" t="s">
        <v>37</v>
      </c>
      <c r="E149" s="71">
        <v>300000</v>
      </c>
      <c r="F149" s="71">
        <v>300000</v>
      </c>
      <c r="G149" s="72">
        <v>0</v>
      </c>
    </row>
    <row r="150" spans="1:7" ht="20.100000000000001" customHeight="1">
      <c r="A150" s="26">
        <v>17</v>
      </c>
      <c r="B150" s="10" t="s">
        <v>1055</v>
      </c>
      <c r="C150" s="70" t="s">
        <v>544</v>
      </c>
      <c r="D150" s="9" t="s">
        <v>55</v>
      </c>
      <c r="E150" s="71">
        <v>300000</v>
      </c>
      <c r="F150" s="71">
        <v>300000</v>
      </c>
      <c r="G150" s="72">
        <v>0</v>
      </c>
    </row>
    <row r="151" spans="1:7" ht="20.100000000000001" customHeight="1">
      <c r="A151" s="26">
        <v>18</v>
      </c>
      <c r="B151" s="10" t="s">
        <v>545</v>
      </c>
      <c r="C151" s="70" t="s">
        <v>546</v>
      </c>
      <c r="D151" s="14" t="s">
        <v>37</v>
      </c>
      <c r="E151" s="71">
        <v>300000</v>
      </c>
      <c r="F151" s="71">
        <v>300000</v>
      </c>
      <c r="G151" s="72">
        <v>0</v>
      </c>
    </row>
    <row r="152" spans="1:7" ht="20.100000000000001" customHeight="1">
      <c r="A152" s="26">
        <v>19</v>
      </c>
      <c r="B152" s="10" t="s">
        <v>547</v>
      </c>
      <c r="C152" s="70" t="s">
        <v>548</v>
      </c>
      <c r="D152" s="14" t="s">
        <v>55</v>
      </c>
      <c r="E152" s="71">
        <v>300000</v>
      </c>
      <c r="F152" s="71">
        <v>300000</v>
      </c>
      <c r="G152" s="72">
        <v>0</v>
      </c>
    </row>
    <row r="153" spans="1:7" ht="20.100000000000001" customHeight="1">
      <c r="A153" s="26">
        <v>20</v>
      </c>
      <c r="B153" s="10" t="s">
        <v>549</v>
      </c>
      <c r="C153" s="70" t="s">
        <v>550</v>
      </c>
      <c r="D153" s="14" t="s">
        <v>37</v>
      </c>
      <c r="E153" s="71">
        <v>300000</v>
      </c>
      <c r="F153" s="71">
        <v>300000</v>
      </c>
      <c r="G153" s="72">
        <v>0</v>
      </c>
    </row>
    <row r="154" spans="1:7" ht="20.100000000000001" customHeight="1">
      <c r="A154" s="26">
        <v>21</v>
      </c>
      <c r="B154" s="10" t="s">
        <v>551</v>
      </c>
      <c r="C154" s="70" t="s">
        <v>552</v>
      </c>
      <c r="D154" s="14" t="s">
        <v>55</v>
      </c>
      <c r="E154" s="71">
        <v>300000</v>
      </c>
      <c r="F154" s="71">
        <v>300000</v>
      </c>
      <c r="G154" s="72">
        <v>0</v>
      </c>
    </row>
    <row r="155" spans="1:7" ht="20.100000000000001" customHeight="1">
      <c r="A155" s="26">
        <v>22</v>
      </c>
      <c r="B155" s="17" t="s">
        <v>553</v>
      </c>
      <c r="C155" s="70" t="s">
        <v>558</v>
      </c>
      <c r="D155" s="14" t="s">
        <v>1264</v>
      </c>
      <c r="E155" s="71">
        <v>300000</v>
      </c>
      <c r="F155" s="71">
        <v>300000</v>
      </c>
      <c r="G155" s="72">
        <v>0</v>
      </c>
    </row>
    <row r="156" spans="1:7" ht="20.100000000000001" customHeight="1">
      <c r="A156" s="26">
        <v>23</v>
      </c>
      <c r="B156" s="17" t="s">
        <v>1242</v>
      </c>
      <c r="C156" s="70" t="s">
        <v>556</v>
      </c>
      <c r="D156" s="14" t="s">
        <v>72</v>
      </c>
      <c r="E156" s="71">
        <v>300000</v>
      </c>
      <c r="F156" s="71">
        <v>300000</v>
      </c>
      <c r="G156" s="72">
        <v>0</v>
      </c>
    </row>
    <row r="157" spans="1:7" ht="20.100000000000001" customHeight="1">
      <c r="A157" s="26">
        <v>24</v>
      </c>
      <c r="B157" s="17" t="s">
        <v>555</v>
      </c>
      <c r="C157" s="70" t="s">
        <v>556</v>
      </c>
      <c r="D157" s="14" t="s">
        <v>72</v>
      </c>
      <c r="E157" s="71">
        <v>300000</v>
      </c>
      <c r="F157" s="71">
        <v>300000</v>
      </c>
      <c r="G157" s="72">
        <v>0</v>
      </c>
    </row>
    <row r="158" spans="1:7" ht="20.100000000000001" customHeight="1">
      <c r="A158" s="26">
        <v>25</v>
      </c>
      <c r="B158" s="17" t="s">
        <v>557</v>
      </c>
      <c r="C158" s="70" t="s">
        <v>558</v>
      </c>
      <c r="D158" s="14" t="s">
        <v>72</v>
      </c>
      <c r="E158" s="71">
        <v>300000</v>
      </c>
      <c r="F158" s="71">
        <v>300000</v>
      </c>
      <c r="G158" s="72">
        <v>0</v>
      </c>
    </row>
    <row r="159" spans="1:7" ht="20.100000000000001" customHeight="1">
      <c r="A159" s="26">
        <v>26</v>
      </c>
      <c r="B159" s="17" t="s">
        <v>559</v>
      </c>
      <c r="C159" s="70" t="s">
        <v>560</v>
      </c>
      <c r="D159" s="14" t="s">
        <v>72</v>
      </c>
      <c r="E159" s="71">
        <v>300000</v>
      </c>
      <c r="F159" s="71">
        <v>300000</v>
      </c>
      <c r="G159" s="72">
        <v>0</v>
      </c>
    </row>
    <row r="160" spans="1:7" ht="20.100000000000001" customHeight="1">
      <c r="A160" s="26">
        <v>27</v>
      </c>
      <c r="B160" s="17" t="s">
        <v>561</v>
      </c>
      <c r="C160" s="70" t="s">
        <v>562</v>
      </c>
      <c r="D160" s="14" t="s">
        <v>72</v>
      </c>
      <c r="E160" s="71">
        <v>300000</v>
      </c>
      <c r="F160" s="71">
        <v>300000</v>
      </c>
      <c r="G160" s="72">
        <v>0</v>
      </c>
    </row>
    <row r="161" spans="1:7" ht="20.100000000000001" customHeight="1">
      <c r="A161" s="26">
        <v>28</v>
      </c>
      <c r="B161" s="10" t="s">
        <v>564</v>
      </c>
      <c r="C161" s="70" t="s">
        <v>565</v>
      </c>
      <c r="D161" s="14" t="s">
        <v>583</v>
      </c>
      <c r="E161" s="71">
        <v>100000</v>
      </c>
      <c r="F161" s="71">
        <v>100000</v>
      </c>
      <c r="G161" s="72">
        <v>0</v>
      </c>
    </row>
    <row r="162" spans="1:7" ht="20.100000000000001" customHeight="1">
      <c r="A162" s="26">
        <v>29</v>
      </c>
      <c r="B162" s="10" t="s">
        <v>567</v>
      </c>
      <c r="C162" s="70" t="s">
        <v>565</v>
      </c>
      <c r="D162" s="14" t="s">
        <v>583</v>
      </c>
      <c r="E162" s="71">
        <v>100000</v>
      </c>
      <c r="F162" s="71">
        <v>100000</v>
      </c>
      <c r="G162" s="72">
        <v>0</v>
      </c>
    </row>
    <row r="163" spans="1:7" ht="20.100000000000001" customHeight="1">
      <c r="A163" s="26">
        <v>30</v>
      </c>
      <c r="B163" s="10" t="s">
        <v>568</v>
      </c>
      <c r="C163" s="70" t="s">
        <v>565</v>
      </c>
      <c r="D163" s="14" t="s">
        <v>583</v>
      </c>
      <c r="E163" s="71">
        <v>100000</v>
      </c>
      <c r="F163" s="71">
        <v>100000</v>
      </c>
      <c r="G163" s="72">
        <v>0</v>
      </c>
    </row>
    <row r="164" spans="1:7" ht="20.100000000000001" customHeight="1">
      <c r="A164" s="26">
        <v>31</v>
      </c>
      <c r="B164" s="10" t="s">
        <v>769</v>
      </c>
      <c r="C164" s="70" t="s">
        <v>565</v>
      </c>
      <c r="D164" s="14" t="s">
        <v>583</v>
      </c>
      <c r="E164" s="71">
        <v>100000</v>
      </c>
      <c r="F164" s="71">
        <v>100000</v>
      </c>
      <c r="G164" s="72">
        <v>0</v>
      </c>
    </row>
    <row r="165" spans="1:7" ht="20.100000000000001" customHeight="1">
      <c r="A165" s="26">
        <v>32</v>
      </c>
      <c r="B165" s="10" t="s">
        <v>767</v>
      </c>
      <c r="C165" s="70" t="s">
        <v>565</v>
      </c>
      <c r="D165" s="14" t="s">
        <v>583</v>
      </c>
      <c r="E165" s="71">
        <v>100000</v>
      </c>
      <c r="F165" s="71">
        <v>100000</v>
      </c>
      <c r="G165" s="72">
        <v>0</v>
      </c>
    </row>
    <row r="166" spans="1:7" ht="20.100000000000001" customHeight="1">
      <c r="A166" s="26">
        <v>33</v>
      </c>
      <c r="B166" s="10" t="s">
        <v>569</v>
      </c>
      <c r="C166" s="70" t="s">
        <v>565</v>
      </c>
      <c r="D166" s="14" t="s">
        <v>583</v>
      </c>
      <c r="E166" s="71">
        <v>100000</v>
      </c>
      <c r="F166" s="71">
        <v>100000</v>
      </c>
      <c r="G166" s="72">
        <v>0</v>
      </c>
    </row>
    <row r="167" spans="1:7" ht="20.100000000000001" customHeight="1">
      <c r="A167" s="26">
        <v>34</v>
      </c>
      <c r="B167" s="10" t="s">
        <v>570</v>
      </c>
      <c r="C167" s="70" t="s">
        <v>565</v>
      </c>
      <c r="D167" s="14" t="s">
        <v>583</v>
      </c>
      <c r="E167" s="71">
        <v>100000</v>
      </c>
      <c r="F167" s="71">
        <v>100000</v>
      </c>
      <c r="G167" s="72">
        <v>0</v>
      </c>
    </row>
    <row r="168" spans="1:7" ht="20.100000000000001" customHeight="1">
      <c r="A168" s="26">
        <v>35</v>
      </c>
      <c r="B168" s="10" t="s">
        <v>571</v>
      </c>
      <c r="C168" s="70" t="s">
        <v>565</v>
      </c>
      <c r="D168" s="14" t="s">
        <v>580</v>
      </c>
      <c r="E168" s="71">
        <v>100000</v>
      </c>
      <c r="F168" s="71">
        <v>100000</v>
      </c>
      <c r="G168" s="72">
        <v>0</v>
      </c>
    </row>
    <row r="169" spans="1:7" ht="20.100000000000001" customHeight="1">
      <c r="A169" s="26">
        <v>36</v>
      </c>
      <c r="B169" s="10" t="s">
        <v>573</v>
      </c>
      <c r="C169" s="70" t="s">
        <v>565</v>
      </c>
      <c r="D169" s="14" t="s">
        <v>580</v>
      </c>
      <c r="E169" s="71">
        <v>100000</v>
      </c>
      <c r="F169" s="71">
        <v>100000</v>
      </c>
      <c r="G169" s="72">
        <v>0</v>
      </c>
    </row>
    <row r="170" spans="1:7" ht="20.100000000000001" customHeight="1">
      <c r="A170" s="26">
        <v>37</v>
      </c>
      <c r="B170" s="10" t="s">
        <v>1220</v>
      </c>
      <c r="C170" s="70" t="s">
        <v>565</v>
      </c>
      <c r="D170" s="14" t="s">
        <v>580</v>
      </c>
      <c r="E170" s="71">
        <v>100000</v>
      </c>
      <c r="F170" s="71">
        <v>100000</v>
      </c>
      <c r="G170" s="72">
        <v>0</v>
      </c>
    </row>
    <row r="171" spans="1:7" ht="20.100000000000001" customHeight="1">
      <c r="A171" s="26">
        <v>38</v>
      </c>
      <c r="B171" s="13" t="s">
        <v>574</v>
      </c>
      <c r="C171" s="70" t="s">
        <v>565</v>
      </c>
      <c r="D171" s="14" t="s">
        <v>580</v>
      </c>
      <c r="E171" s="71">
        <v>100000</v>
      </c>
      <c r="F171" s="71">
        <v>100000</v>
      </c>
      <c r="G171" s="72">
        <v>0</v>
      </c>
    </row>
    <row r="172" spans="1:7" ht="20.100000000000001" customHeight="1">
      <c r="A172" s="26">
        <v>39</v>
      </c>
      <c r="B172" s="10" t="s">
        <v>575</v>
      </c>
      <c r="C172" s="70" t="s">
        <v>565</v>
      </c>
      <c r="D172" s="14" t="s">
        <v>580</v>
      </c>
      <c r="E172" s="71">
        <v>100000</v>
      </c>
      <c r="F172" s="71">
        <v>100000</v>
      </c>
      <c r="G172" s="72">
        <v>0</v>
      </c>
    </row>
    <row r="173" spans="1:7" ht="20.100000000000001" customHeight="1">
      <c r="A173" s="26">
        <v>40</v>
      </c>
      <c r="B173" s="17" t="s">
        <v>576</v>
      </c>
      <c r="C173" s="70" t="s">
        <v>565</v>
      </c>
      <c r="D173" s="14" t="s">
        <v>580</v>
      </c>
      <c r="E173" s="71">
        <v>100000</v>
      </c>
      <c r="F173" s="71">
        <v>100000</v>
      </c>
      <c r="G173" s="72">
        <v>0</v>
      </c>
    </row>
    <row r="174" spans="1:7" ht="20.100000000000001" customHeight="1">
      <c r="A174" s="26">
        <v>41</v>
      </c>
      <c r="B174" s="17" t="s">
        <v>577</v>
      </c>
      <c r="C174" s="70" t="s">
        <v>565</v>
      </c>
      <c r="D174" s="14" t="s">
        <v>580</v>
      </c>
      <c r="E174" s="71">
        <v>100000</v>
      </c>
      <c r="F174" s="71">
        <v>100000</v>
      </c>
      <c r="G174" s="72">
        <v>0</v>
      </c>
    </row>
    <row r="175" spans="1:7" ht="20.100000000000001" customHeight="1">
      <c r="A175" s="26">
        <v>42</v>
      </c>
      <c r="B175" s="10" t="s">
        <v>578</v>
      </c>
      <c r="C175" s="70" t="s">
        <v>585</v>
      </c>
      <c r="D175" s="14" t="s">
        <v>1056</v>
      </c>
      <c r="E175" s="71">
        <v>100000</v>
      </c>
      <c r="F175" s="71">
        <v>100000</v>
      </c>
      <c r="G175" s="72">
        <v>0</v>
      </c>
    </row>
    <row r="176" spans="1:7" ht="20.100000000000001" customHeight="1">
      <c r="A176" s="26">
        <v>43</v>
      </c>
      <c r="B176" s="10" t="s">
        <v>581</v>
      </c>
      <c r="C176" s="70" t="s">
        <v>585</v>
      </c>
      <c r="D176" s="14" t="s">
        <v>1056</v>
      </c>
      <c r="E176" s="71">
        <v>100000</v>
      </c>
      <c r="F176" s="71">
        <v>100000</v>
      </c>
      <c r="G176" s="72">
        <v>0</v>
      </c>
    </row>
    <row r="177" spans="1:7" ht="20.100000000000001" customHeight="1">
      <c r="A177" s="26">
        <v>44</v>
      </c>
      <c r="B177" s="17" t="s">
        <v>582</v>
      </c>
      <c r="C177" s="70" t="s">
        <v>585</v>
      </c>
      <c r="D177" s="14" t="s">
        <v>586</v>
      </c>
      <c r="E177" s="71">
        <v>100000</v>
      </c>
      <c r="F177" s="71">
        <v>100000</v>
      </c>
      <c r="G177" s="72">
        <v>0</v>
      </c>
    </row>
    <row r="178" spans="1:7" ht="20.100000000000001" customHeight="1">
      <c r="A178" s="26">
        <v>45</v>
      </c>
      <c r="B178" s="10" t="s">
        <v>584</v>
      </c>
      <c r="C178" s="70" t="s">
        <v>585</v>
      </c>
      <c r="D178" s="14" t="s">
        <v>599</v>
      </c>
      <c r="E178" s="71">
        <v>100000</v>
      </c>
      <c r="F178" s="71">
        <v>100000</v>
      </c>
      <c r="G178" s="72">
        <v>0</v>
      </c>
    </row>
    <row r="179" spans="1:7" ht="20.100000000000001" customHeight="1">
      <c r="A179" s="26">
        <v>46</v>
      </c>
      <c r="B179" s="10" t="s">
        <v>587</v>
      </c>
      <c r="C179" s="70" t="s">
        <v>588</v>
      </c>
      <c r="D179" s="14" t="s">
        <v>1288</v>
      </c>
      <c r="E179" s="71">
        <v>100000</v>
      </c>
      <c r="F179" s="71">
        <v>100000</v>
      </c>
      <c r="G179" s="72">
        <v>0</v>
      </c>
    </row>
    <row r="180" spans="1:7" ht="20.100000000000001" customHeight="1">
      <c r="A180" s="26">
        <v>47</v>
      </c>
      <c r="B180" s="10" t="s">
        <v>590</v>
      </c>
      <c r="C180" s="70" t="s">
        <v>588</v>
      </c>
      <c r="D180" s="14" t="s">
        <v>1288</v>
      </c>
      <c r="E180" s="71">
        <v>100000</v>
      </c>
      <c r="F180" s="71">
        <v>100000</v>
      </c>
      <c r="G180" s="72">
        <v>0</v>
      </c>
    </row>
    <row r="181" spans="1:7" ht="20.100000000000001" customHeight="1">
      <c r="A181" s="26">
        <v>48</v>
      </c>
      <c r="B181" s="10" t="s">
        <v>591</v>
      </c>
      <c r="C181" s="70" t="s">
        <v>588</v>
      </c>
      <c r="D181" s="14" t="s">
        <v>1288</v>
      </c>
      <c r="E181" s="71">
        <v>100000</v>
      </c>
      <c r="F181" s="71">
        <v>100000</v>
      </c>
      <c r="G181" s="72">
        <v>0</v>
      </c>
    </row>
    <row r="182" spans="1:7" ht="20.100000000000001" customHeight="1">
      <c r="A182" s="26">
        <v>49</v>
      </c>
      <c r="B182" s="10" t="s">
        <v>592</v>
      </c>
      <c r="C182" s="70" t="s">
        <v>588</v>
      </c>
      <c r="D182" s="14" t="s">
        <v>1288</v>
      </c>
      <c r="E182" s="71">
        <v>100000</v>
      </c>
      <c r="F182" s="71">
        <v>100000</v>
      </c>
      <c r="G182" s="72">
        <v>0</v>
      </c>
    </row>
    <row r="183" spans="1:7" ht="20.100000000000001" customHeight="1">
      <c r="A183" s="26">
        <v>50</v>
      </c>
      <c r="B183" s="10" t="s">
        <v>593</v>
      </c>
      <c r="C183" s="70" t="s">
        <v>588</v>
      </c>
      <c r="D183" s="14" t="s">
        <v>1288</v>
      </c>
      <c r="E183" s="71">
        <v>100000</v>
      </c>
      <c r="F183" s="71">
        <v>100000</v>
      </c>
      <c r="G183" s="72">
        <v>0</v>
      </c>
    </row>
    <row r="184" spans="1:7" ht="20.100000000000001" customHeight="1">
      <c r="A184" s="26">
        <v>51</v>
      </c>
      <c r="B184" s="17" t="s">
        <v>594</v>
      </c>
      <c r="C184" s="70" t="s">
        <v>588</v>
      </c>
      <c r="D184" s="14" t="s">
        <v>609</v>
      </c>
      <c r="E184" s="71">
        <v>100000</v>
      </c>
      <c r="F184" s="71">
        <v>100000</v>
      </c>
      <c r="G184" s="72">
        <v>0</v>
      </c>
    </row>
    <row r="185" spans="1:7" ht="20.100000000000001" customHeight="1">
      <c r="A185" s="26">
        <v>52</v>
      </c>
      <c r="B185" s="17" t="s">
        <v>595</v>
      </c>
      <c r="C185" s="70" t="s">
        <v>588</v>
      </c>
      <c r="D185" s="14" t="s">
        <v>609</v>
      </c>
      <c r="E185" s="71">
        <v>100000</v>
      </c>
      <c r="F185" s="71">
        <v>100000</v>
      </c>
      <c r="G185" s="72">
        <v>0</v>
      </c>
    </row>
    <row r="186" spans="1:7" ht="20.100000000000001" customHeight="1">
      <c r="A186" s="26">
        <v>53</v>
      </c>
      <c r="B186" s="10" t="s">
        <v>596</v>
      </c>
      <c r="C186" s="70" t="s">
        <v>585</v>
      </c>
      <c r="D186" s="14" t="s">
        <v>609</v>
      </c>
      <c r="E186" s="71">
        <v>100000</v>
      </c>
      <c r="F186" s="71">
        <v>100000</v>
      </c>
      <c r="G186" s="72">
        <v>0</v>
      </c>
    </row>
    <row r="187" spans="1:7" ht="20.100000000000001" customHeight="1">
      <c r="A187" s="26">
        <v>54</v>
      </c>
      <c r="B187" s="10" t="s">
        <v>597</v>
      </c>
      <c r="C187" s="70" t="s">
        <v>585</v>
      </c>
      <c r="D187" s="14" t="s">
        <v>609</v>
      </c>
      <c r="E187" s="71">
        <v>100000</v>
      </c>
      <c r="F187" s="71">
        <v>100000</v>
      </c>
      <c r="G187" s="72">
        <v>0</v>
      </c>
    </row>
    <row r="188" spans="1:7" ht="20.100000000000001" customHeight="1">
      <c r="A188" s="26">
        <v>55</v>
      </c>
      <c r="B188" s="17" t="s">
        <v>598</v>
      </c>
      <c r="C188" s="70" t="s">
        <v>588</v>
      </c>
      <c r="D188" s="14" t="s">
        <v>601</v>
      </c>
      <c r="E188" s="71">
        <v>100000</v>
      </c>
      <c r="F188" s="71">
        <v>100000</v>
      </c>
      <c r="G188" s="72">
        <v>0</v>
      </c>
    </row>
    <row r="189" spans="1:7" ht="20.100000000000001" customHeight="1">
      <c r="A189" s="26">
        <v>56</v>
      </c>
      <c r="B189" s="17" t="s">
        <v>600</v>
      </c>
      <c r="C189" s="70" t="s">
        <v>588</v>
      </c>
      <c r="D189" s="14" t="s">
        <v>604</v>
      </c>
      <c r="E189" s="71">
        <v>100000</v>
      </c>
      <c r="F189" s="71">
        <v>100000</v>
      </c>
      <c r="G189" s="72">
        <v>0</v>
      </c>
    </row>
    <row r="190" spans="1:7" ht="20.100000000000001" customHeight="1">
      <c r="A190" s="26"/>
      <c r="B190" s="7" t="s">
        <v>42</v>
      </c>
      <c r="C190" s="87" t="s">
        <v>1319</v>
      </c>
      <c r="D190" s="28"/>
      <c r="E190" s="78">
        <f>SUM(E134:E189)</f>
        <v>12750000</v>
      </c>
      <c r="F190" s="78">
        <f t="shared" ref="F190:G190" si="17">SUM(F134:F189)</f>
        <v>10200000</v>
      </c>
      <c r="G190" s="78">
        <f t="shared" si="17"/>
        <v>2550000</v>
      </c>
    </row>
    <row r="191" spans="1:7" ht="20.100000000000001" customHeight="1">
      <c r="A191" s="3"/>
      <c r="B191" s="29" t="s">
        <v>125</v>
      </c>
      <c r="C191" s="88">
        <f>C38+C43+C58+C62+C78+C86+C100+C107+C117+C131+C190+2</f>
        <v>152</v>
      </c>
      <c r="D191" s="31"/>
      <c r="E191" s="89">
        <f>E190+E131+E117+E107+E100+E86+E78+E62+E58+E43+E38</f>
        <v>62400000</v>
      </c>
      <c r="F191" s="89">
        <f>F190+F131+F117+F107+F100+F86+F78+F62+F58+F43+F38</f>
        <v>29750000</v>
      </c>
      <c r="G191" s="89">
        <f t="shared" ref="G191" si="18">G190+G131+G117+G107+G100+G86+G78+G62+G58+G43+G38</f>
        <v>32650000</v>
      </c>
    </row>
    <row r="192" spans="1:7" ht="20.100000000000001" customHeight="1">
      <c r="A192" s="2"/>
      <c r="B192" s="32"/>
      <c r="C192" s="32"/>
      <c r="D192" s="33"/>
      <c r="E192" s="90"/>
      <c r="F192" s="91"/>
      <c r="G192" s="91"/>
    </row>
    <row r="193" spans="1:5" ht="28.5" customHeight="1">
      <c r="A193" s="2"/>
      <c r="B193" s="32"/>
      <c r="C193" s="32"/>
      <c r="D193" s="33"/>
      <c r="E193" s="92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75" orientation="portrait" horizontalDpi="1200" verticalDpi="1200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3"/>
  <sheetViews>
    <sheetView view="pageBreakPreview" zoomScaleNormal="100" workbookViewId="0">
      <pane xSplit="2" ySplit="6" topLeftCell="C187" activePane="bottomRight" state="frozen"/>
      <selection pane="topRight"/>
      <selection pane="bottomLeft"/>
      <selection pane="bottomRight" activeCell="K15" sqref="K15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32.42578125" style="1" customWidth="1"/>
    <col min="4" max="4" width="9.140625" style="1" customWidth="1"/>
    <col min="5" max="5" width="13.85546875" style="1" customWidth="1"/>
    <col min="6" max="6" width="14.7109375" style="1" customWidth="1"/>
    <col min="7" max="7" width="14" style="1" customWidth="1"/>
    <col min="8" max="16384" width="9.140625" style="1"/>
  </cols>
  <sheetData>
    <row r="1" spans="1:7" ht="27" customHeight="1">
      <c r="A1" s="856" t="s">
        <v>0</v>
      </c>
      <c r="B1" s="856"/>
      <c r="C1" s="856"/>
      <c r="D1" s="856"/>
      <c r="E1" s="856"/>
    </row>
    <row r="2" spans="1:7" ht="33.75" customHeight="1">
      <c r="A2" s="63" t="s">
        <v>1316</v>
      </c>
      <c r="B2" s="64"/>
      <c r="C2" s="64"/>
      <c r="D2" s="63"/>
      <c r="E2" s="65"/>
    </row>
    <row r="3" spans="1:7" ht="9.75" customHeight="1">
      <c r="A3" s="2"/>
      <c r="B3" s="2"/>
      <c r="C3" s="2"/>
      <c r="D3" s="2"/>
    </row>
    <row r="4" spans="1:7" ht="61.5" customHeight="1">
      <c r="A4" s="3"/>
      <c r="B4" s="4" t="s">
        <v>2</v>
      </c>
      <c r="C4" s="5" t="s">
        <v>3</v>
      </c>
      <c r="D4" s="66" t="s">
        <v>4</v>
      </c>
      <c r="E4" s="67" t="s">
        <v>201</v>
      </c>
      <c r="F4" s="67" t="s">
        <v>202</v>
      </c>
      <c r="G4" s="67" t="s">
        <v>203</v>
      </c>
    </row>
    <row r="5" spans="1:7" ht="20.100000000000001" customHeight="1">
      <c r="A5" s="8" t="s">
        <v>21</v>
      </c>
      <c r="B5" s="7" t="s">
        <v>22</v>
      </c>
      <c r="C5" s="68"/>
      <c r="D5" s="7"/>
      <c r="E5" s="69" t="s">
        <v>20</v>
      </c>
      <c r="F5" s="69" t="s">
        <v>20</v>
      </c>
      <c r="G5" s="69" t="s">
        <v>20</v>
      </c>
    </row>
    <row r="6" spans="1:7" ht="20.100000000000001" customHeight="1">
      <c r="A6" s="9">
        <v>1</v>
      </c>
      <c r="B6" s="10" t="s">
        <v>345</v>
      </c>
      <c r="C6" s="70" t="s">
        <v>346</v>
      </c>
      <c r="D6" s="11" t="s">
        <v>347</v>
      </c>
      <c r="E6" s="71">
        <v>2000000</v>
      </c>
      <c r="F6" s="72">
        <v>0</v>
      </c>
      <c r="G6" s="71">
        <v>2000000</v>
      </c>
    </row>
    <row r="7" spans="1:7" ht="20.100000000000001" customHeight="1">
      <c r="A7" s="9">
        <v>2</v>
      </c>
      <c r="B7" s="10" t="s">
        <v>1116</v>
      </c>
      <c r="C7" s="73" t="s">
        <v>1206</v>
      </c>
      <c r="D7" s="9" t="s">
        <v>340</v>
      </c>
      <c r="E7" s="71">
        <v>700000</v>
      </c>
      <c r="F7" s="72">
        <v>0</v>
      </c>
      <c r="G7" s="71">
        <v>700000</v>
      </c>
    </row>
    <row r="8" spans="1:7" ht="20.100000000000001" customHeight="1">
      <c r="A8" s="9">
        <v>3</v>
      </c>
      <c r="B8" s="13" t="s">
        <v>1207</v>
      </c>
      <c r="C8" s="73" t="s">
        <v>1208</v>
      </c>
      <c r="D8" s="9" t="s">
        <v>416</v>
      </c>
      <c r="E8" s="71">
        <f>700000/2</f>
        <v>350000</v>
      </c>
      <c r="F8" s="72">
        <v>0</v>
      </c>
      <c r="G8" s="71">
        <f t="shared" ref="G8:G9" si="0">700000/2</f>
        <v>350000</v>
      </c>
    </row>
    <row r="9" spans="1:7" ht="20.100000000000001" customHeight="1">
      <c r="A9" s="9">
        <v>4</v>
      </c>
      <c r="B9" s="10" t="s">
        <v>348</v>
      </c>
      <c r="C9" s="70" t="s">
        <v>349</v>
      </c>
      <c r="D9" s="9" t="s">
        <v>1255</v>
      </c>
      <c r="E9" s="71">
        <f>700000/2</f>
        <v>350000</v>
      </c>
      <c r="F9" s="72">
        <v>0</v>
      </c>
      <c r="G9" s="71">
        <f t="shared" si="0"/>
        <v>350000</v>
      </c>
    </row>
    <row r="10" spans="1:7" ht="20.100000000000001" customHeight="1">
      <c r="A10" s="9">
        <v>5</v>
      </c>
      <c r="B10" s="13" t="s">
        <v>350</v>
      </c>
      <c r="C10" s="73" t="s">
        <v>351</v>
      </c>
      <c r="D10" s="14" t="s">
        <v>106</v>
      </c>
      <c r="E10" s="71">
        <v>700000</v>
      </c>
      <c r="F10" s="72">
        <v>0</v>
      </c>
      <c r="G10" s="71">
        <v>700000</v>
      </c>
    </row>
    <row r="11" spans="1:7" ht="20.100000000000001" customHeight="1">
      <c r="A11" s="9">
        <v>6</v>
      </c>
      <c r="B11" s="13" t="s">
        <v>470</v>
      </c>
      <c r="C11" s="73" t="s">
        <v>1118</v>
      </c>
      <c r="D11" s="15" t="s">
        <v>106</v>
      </c>
      <c r="E11" s="71">
        <v>700000</v>
      </c>
      <c r="F11" s="72">
        <v>0</v>
      </c>
      <c r="G11" s="71">
        <v>700000</v>
      </c>
    </row>
    <row r="12" spans="1:7" ht="20.100000000000001" customHeight="1">
      <c r="A12" s="9">
        <v>7</v>
      </c>
      <c r="B12" s="10" t="s">
        <v>352</v>
      </c>
      <c r="C12" s="74" t="s">
        <v>353</v>
      </c>
      <c r="D12" s="15" t="s">
        <v>106</v>
      </c>
      <c r="E12" s="71">
        <v>700000</v>
      </c>
      <c r="F12" s="72">
        <v>0</v>
      </c>
      <c r="G12" s="71">
        <v>700000</v>
      </c>
    </row>
    <row r="13" spans="1:7" ht="20.100000000000001" customHeight="1">
      <c r="A13" s="9">
        <v>8</v>
      </c>
      <c r="B13" s="13" t="s">
        <v>354</v>
      </c>
      <c r="C13" s="73" t="s">
        <v>355</v>
      </c>
      <c r="D13" s="15" t="s">
        <v>106</v>
      </c>
      <c r="E13" s="71">
        <v>700000</v>
      </c>
      <c r="F13" s="72">
        <v>0</v>
      </c>
      <c r="G13" s="71">
        <v>700000</v>
      </c>
    </row>
    <row r="14" spans="1:7" ht="20.100000000000001" customHeight="1">
      <c r="A14" s="9">
        <v>9</v>
      </c>
      <c r="B14" s="10" t="s">
        <v>356</v>
      </c>
      <c r="C14" s="70" t="s">
        <v>357</v>
      </c>
      <c r="D14" s="14" t="s">
        <v>358</v>
      </c>
      <c r="E14" s="71">
        <v>700000</v>
      </c>
      <c r="F14" s="72">
        <v>0</v>
      </c>
      <c r="G14" s="71">
        <v>700000</v>
      </c>
    </row>
    <row r="15" spans="1:7" ht="20.100000000000001" customHeight="1">
      <c r="A15" s="9">
        <v>10</v>
      </c>
      <c r="B15" s="17" t="s">
        <v>333</v>
      </c>
      <c r="C15" s="70" t="s">
        <v>334</v>
      </c>
      <c r="D15" s="9" t="s">
        <v>1054</v>
      </c>
      <c r="E15" s="71">
        <v>700000</v>
      </c>
      <c r="F15" s="72">
        <v>0</v>
      </c>
      <c r="G15" s="71">
        <v>700000</v>
      </c>
    </row>
    <row r="16" spans="1:7" ht="20.100000000000001" customHeight="1">
      <c r="A16" s="9">
        <v>11</v>
      </c>
      <c r="B16" s="18" t="s">
        <v>1209</v>
      </c>
      <c r="C16" s="73" t="s">
        <v>1210</v>
      </c>
      <c r="D16" s="15" t="s">
        <v>450</v>
      </c>
      <c r="E16" s="71">
        <v>500000</v>
      </c>
      <c r="F16" s="72">
        <v>0</v>
      </c>
      <c r="G16" s="71">
        <v>500000</v>
      </c>
    </row>
    <row r="17" spans="1:7" ht="19.5" customHeight="1">
      <c r="A17" s="9">
        <v>12</v>
      </c>
      <c r="B17" s="13" t="s">
        <v>1119</v>
      </c>
      <c r="C17" s="73" t="s">
        <v>362</v>
      </c>
      <c r="D17" s="9" t="s">
        <v>450</v>
      </c>
      <c r="E17" s="71">
        <v>500000</v>
      </c>
      <c r="F17" s="72">
        <v>0</v>
      </c>
      <c r="G17" s="71">
        <v>500000</v>
      </c>
    </row>
    <row r="18" spans="1:7" ht="19.5" customHeight="1">
      <c r="A18" s="9">
        <v>13</v>
      </c>
      <c r="B18" s="13" t="s">
        <v>1211</v>
      </c>
      <c r="C18" s="73" t="s">
        <v>1212</v>
      </c>
      <c r="D18" s="9" t="s">
        <v>450</v>
      </c>
      <c r="E18" s="71">
        <v>500000</v>
      </c>
      <c r="F18" s="72">
        <v>0</v>
      </c>
      <c r="G18" s="71">
        <v>500000</v>
      </c>
    </row>
    <row r="19" spans="1:7" ht="20.100000000000001" customHeight="1">
      <c r="A19" s="9">
        <v>14</v>
      </c>
      <c r="B19" s="10" t="s">
        <v>361</v>
      </c>
      <c r="C19" s="73" t="s">
        <v>362</v>
      </c>
      <c r="D19" s="14" t="s">
        <v>450</v>
      </c>
      <c r="E19" s="71">
        <v>500000</v>
      </c>
      <c r="F19" s="72">
        <v>0</v>
      </c>
      <c r="G19" s="71">
        <v>500000</v>
      </c>
    </row>
    <row r="20" spans="1:7" ht="20.100000000000001" customHeight="1">
      <c r="A20" s="9">
        <v>15</v>
      </c>
      <c r="B20" s="10" t="s">
        <v>373</v>
      </c>
      <c r="C20" s="70" t="s">
        <v>374</v>
      </c>
      <c r="D20" s="14" t="s">
        <v>1260</v>
      </c>
      <c r="E20" s="71">
        <v>500000</v>
      </c>
      <c r="F20" s="71">
        <v>500000</v>
      </c>
      <c r="G20" s="72">
        <v>0</v>
      </c>
    </row>
    <row r="21" spans="1:7" ht="20.100000000000001" customHeight="1">
      <c r="A21" s="9">
        <v>16</v>
      </c>
      <c r="B21" s="17" t="s">
        <v>376</v>
      </c>
      <c r="C21" s="73" t="s">
        <v>377</v>
      </c>
      <c r="D21" s="14" t="s">
        <v>1261</v>
      </c>
      <c r="E21" s="71">
        <v>500000</v>
      </c>
      <c r="F21" s="71">
        <v>500000</v>
      </c>
      <c r="G21" s="72">
        <v>0</v>
      </c>
    </row>
    <row r="22" spans="1:7" ht="20.100000000000001" customHeight="1">
      <c r="A22" s="9">
        <v>17</v>
      </c>
      <c r="B22" s="10" t="s">
        <v>496</v>
      </c>
      <c r="C22" s="70" t="s">
        <v>497</v>
      </c>
      <c r="D22" s="14" t="s">
        <v>440</v>
      </c>
      <c r="E22" s="71">
        <v>400000</v>
      </c>
      <c r="F22" s="71">
        <v>400000</v>
      </c>
      <c r="G22" s="72">
        <v>0</v>
      </c>
    </row>
    <row r="23" spans="1:7" ht="18.75" customHeight="1">
      <c r="A23" s="9">
        <v>18</v>
      </c>
      <c r="B23" s="10" t="s">
        <v>379</v>
      </c>
      <c r="C23" s="70" t="s">
        <v>233</v>
      </c>
      <c r="D23" s="14" t="s">
        <v>32</v>
      </c>
      <c r="E23" s="71">
        <v>400000</v>
      </c>
      <c r="F23" s="71">
        <v>400000</v>
      </c>
      <c r="G23" s="72">
        <v>0</v>
      </c>
    </row>
    <row r="24" spans="1:7" ht="18.75" customHeight="1">
      <c r="A24" s="9">
        <v>19</v>
      </c>
      <c r="B24" s="10" t="s">
        <v>494</v>
      </c>
      <c r="C24" s="73" t="s">
        <v>495</v>
      </c>
      <c r="D24" s="14" t="s">
        <v>32</v>
      </c>
      <c r="E24" s="71">
        <v>400000</v>
      </c>
      <c r="F24" s="71">
        <v>400000</v>
      </c>
      <c r="G24" s="72">
        <v>0</v>
      </c>
    </row>
    <row r="25" spans="1:7" ht="18.75" customHeight="1">
      <c r="A25" s="9">
        <v>20</v>
      </c>
      <c r="B25" s="17" t="s">
        <v>534</v>
      </c>
      <c r="C25" s="73" t="s">
        <v>1227</v>
      </c>
      <c r="D25" s="14" t="s">
        <v>453</v>
      </c>
      <c r="E25" s="71">
        <v>300000</v>
      </c>
      <c r="F25" s="71">
        <v>300000</v>
      </c>
      <c r="G25" s="72">
        <v>0</v>
      </c>
    </row>
    <row r="26" spans="1:7" ht="18.75" customHeight="1">
      <c r="A26" s="9">
        <v>21</v>
      </c>
      <c r="B26" s="17" t="s">
        <v>1213</v>
      </c>
      <c r="C26" s="70" t="s">
        <v>401</v>
      </c>
      <c r="D26" s="14" t="s">
        <v>409</v>
      </c>
      <c r="E26" s="71">
        <v>300000</v>
      </c>
      <c r="F26" s="71">
        <v>300000</v>
      </c>
      <c r="G26" s="72">
        <v>0</v>
      </c>
    </row>
    <row r="27" spans="1:7" ht="18.75" customHeight="1">
      <c r="A27" s="9">
        <v>22</v>
      </c>
      <c r="B27" s="3" t="s">
        <v>386</v>
      </c>
      <c r="C27" s="73" t="s">
        <v>289</v>
      </c>
      <c r="D27" s="9" t="s">
        <v>55</v>
      </c>
      <c r="E27" s="71">
        <v>300000</v>
      </c>
      <c r="F27" s="71">
        <v>300000</v>
      </c>
      <c r="G27" s="72">
        <v>0</v>
      </c>
    </row>
    <row r="28" spans="1:7" ht="18.75" customHeight="1">
      <c r="A28" s="9">
        <v>23</v>
      </c>
      <c r="B28" s="17" t="s">
        <v>388</v>
      </c>
      <c r="C28" s="70" t="s">
        <v>289</v>
      </c>
      <c r="D28" s="14" t="s">
        <v>55</v>
      </c>
      <c r="E28" s="71">
        <v>300000</v>
      </c>
      <c r="F28" s="71">
        <v>300000</v>
      </c>
      <c r="G28" s="72">
        <v>0</v>
      </c>
    </row>
    <row r="29" spans="1:7" ht="18.75" customHeight="1">
      <c r="A29" s="9">
        <v>24</v>
      </c>
      <c r="B29" s="10" t="s">
        <v>1120</v>
      </c>
      <c r="C29" s="70" t="s">
        <v>1121</v>
      </c>
      <c r="D29" s="14" t="s">
        <v>55</v>
      </c>
      <c r="E29" s="71">
        <v>300000</v>
      </c>
      <c r="F29" s="71">
        <v>300000</v>
      </c>
      <c r="G29" s="72">
        <v>0</v>
      </c>
    </row>
    <row r="30" spans="1:7" ht="18.75" customHeight="1">
      <c r="A30" s="9">
        <v>25</v>
      </c>
      <c r="B30" s="17" t="s">
        <v>390</v>
      </c>
      <c r="C30" s="70" t="s">
        <v>1068</v>
      </c>
      <c r="D30" s="14" t="s">
        <v>1264</v>
      </c>
      <c r="E30" s="71">
        <v>300000</v>
      </c>
      <c r="F30" s="71">
        <v>300000</v>
      </c>
      <c r="G30" s="72">
        <v>0</v>
      </c>
    </row>
    <row r="31" spans="1:7" ht="18.75" customHeight="1">
      <c r="A31" s="9">
        <v>26</v>
      </c>
      <c r="B31" s="10" t="s">
        <v>477</v>
      </c>
      <c r="C31" s="74" t="s">
        <v>1229</v>
      </c>
      <c r="D31" s="14" t="s">
        <v>399</v>
      </c>
      <c r="E31" s="71">
        <v>300000</v>
      </c>
      <c r="F31" s="71">
        <v>300000</v>
      </c>
      <c r="G31" s="72">
        <v>0</v>
      </c>
    </row>
    <row r="32" spans="1:7" ht="18.75" customHeight="1">
      <c r="A32" s="9">
        <v>27</v>
      </c>
      <c r="B32" s="17" t="s">
        <v>392</v>
      </c>
      <c r="C32" s="73" t="s">
        <v>1122</v>
      </c>
      <c r="D32" s="9" t="s">
        <v>399</v>
      </c>
      <c r="E32" s="71">
        <v>300000</v>
      </c>
      <c r="F32" s="71">
        <v>300000</v>
      </c>
      <c r="G32" s="72">
        <v>0</v>
      </c>
    </row>
    <row r="33" spans="1:7" ht="18.75" customHeight="1">
      <c r="A33" s="9">
        <v>28</v>
      </c>
      <c r="B33" s="17" t="s">
        <v>395</v>
      </c>
      <c r="C33" s="74" t="s">
        <v>396</v>
      </c>
      <c r="D33" s="14" t="s">
        <v>55</v>
      </c>
      <c r="E33" s="71">
        <v>300000</v>
      </c>
      <c r="F33" s="71">
        <v>300000</v>
      </c>
      <c r="G33" s="72">
        <v>0</v>
      </c>
    </row>
    <row r="34" spans="1:7" ht="18.75" customHeight="1">
      <c r="A34" s="9">
        <v>29</v>
      </c>
      <c r="B34" s="17" t="s">
        <v>1317</v>
      </c>
      <c r="C34" s="74" t="s">
        <v>396</v>
      </c>
      <c r="D34" s="14" t="s">
        <v>72</v>
      </c>
      <c r="E34" s="71">
        <v>300000</v>
      </c>
      <c r="F34" s="71">
        <v>300000</v>
      </c>
      <c r="G34" s="72">
        <v>0</v>
      </c>
    </row>
    <row r="35" spans="1:7" ht="18.75" customHeight="1">
      <c r="A35" s="9">
        <v>30</v>
      </c>
      <c r="B35" s="17" t="s">
        <v>397</v>
      </c>
      <c r="C35" s="73" t="s">
        <v>1230</v>
      </c>
      <c r="D35" s="9" t="s">
        <v>72</v>
      </c>
      <c r="E35" s="71">
        <v>300000</v>
      </c>
      <c r="F35" s="71">
        <v>300000</v>
      </c>
      <c r="G35" s="72">
        <v>0</v>
      </c>
    </row>
    <row r="36" spans="1:7" ht="18.75" customHeight="1">
      <c r="A36" s="9">
        <v>31</v>
      </c>
      <c r="B36" s="17" t="s">
        <v>1036</v>
      </c>
      <c r="C36" s="70" t="s">
        <v>401</v>
      </c>
      <c r="D36" s="14" t="s">
        <v>72</v>
      </c>
      <c r="E36" s="71">
        <v>300000</v>
      </c>
      <c r="F36" s="71">
        <v>300000</v>
      </c>
      <c r="G36" s="72">
        <v>0</v>
      </c>
    </row>
    <row r="37" spans="1:7" ht="18.75" customHeight="1">
      <c r="A37" s="9">
        <v>32</v>
      </c>
      <c r="B37" s="17" t="s">
        <v>1214</v>
      </c>
      <c r="C37" s="70" t="s">
        <v>401</v>
      </c>
      <c r="D37" s="14" t="s">
        <v>72</v>
      </c>
      <c r="E37" s="71">
        <v>300000</v>
      </c>
      <c r="F37" s="71">
        <v>300000</v>
      </c>
      <c r="G37" s="72">
        <v>0</v>
      </c>
    </row>
    <row r="38" spans="1:7" ht="26.25" customHeight="1">
      <c r="A38" s="9"/>
      <c r="B38" s="19" t="s">
        <v>42</v>
      </c>
      <c r="C38" s="75">
        <v>29</v>
      </c>
      <c r="D38" s="14"/>
      <c r="E38" s="76">
        <f>SUM(E6:E37)</f>
        <v>15700000</v>
      </c>
      <c r="F38" s="76">
        <f>SUM(F6:F37)</f>
        <v>6100000</v>
      </c>
      <c r="G38" s="76">
        <f t="shared" ref="G38" si="1">SUM(G6:G37)</f>
        <v>9600000</v>
      </c>
    </row>
    <row r="39" spans="1:7" ht="18.75" customHeight="1">
      <c r="A39" s="9"/>
      <c r="B39" s="21"/>
      <c r="C39" s="73"/>
      <c r="D39" s="14"/>
      <c r="E39" s="76"/>
      <c r="F39" s="71"/>
      <c r="G39" s="76"/>
    </row>
    <row r="40" spans="1:7" ht="18.75" customHeight="1">
      <c r="A40" s="9"/>
      <c r="B40" s="19" t="s">
        <v>225</v>
      </c>
      <c r="C40" s="73"/>
      <c r="D40" s="14"/>
      <c r="E40" s="71"/>
      <c r="F40" s="71"/>
      <c r="G40" s="71"/>
    </row>
    <row r="41" spans="1:7" ht="18.75" customHeight="1">
      <c r="A41" s="9">
        <v>1</v>
      </c>
      <c r="B41" s="17" t="s">
        <v>403</v>
      </c>
      <c r="C41" s="73" t="s">
        <v>404</v>
      </c>
      <c r="D41" s="9" t="s">
        <v>1266</v>
      </c>
      <c r="E41" s="71">
        <v>1000000</v>
      </c>
      <c r="F41" s="72">
        <v>0</v>
      </c>
      <c r="G41" s="71">
        <v>1000000</v>
      </c>
    </row>
    <row r="42" spans="1:7" ht="18.75" customHeight="1">
      <c r="A42" s="9">
        <v>2</v>
      </c>
      <c r="B42" s="17" t="s">
        <v>406</v>
      </c>
      <c r="C42" s="73" t="s">
        <v>642</v>
      </c>
      <c r="D42" s="9" t="s">
        <v>72</v>
      </c>
      <c r="E42" s="71">
        <v>300000</v>
      </c>
      <c r="F42" s="71">
        <v>300000</v>
      </c>
      <c r="G42" s="72">
        <v>0</v>
      </c>
    </row>
    <row r="43" spans="1:7" ht="19.5" customHeight="1">
      <c r="A43" s="9"/>
      <c r="B43" s="13"/>
      <c r="C43" s="75">
        <v>2</v>
      </c>
      <c r="D43" s="9"/>
      <c r="E43" s="76">
        <f>SUM(E41:E42)</f>
        <v>1300000</v>
      </c>
      <c r="F43" s="76">
        <f t="shared" ref="F43:G43" si="2">SUM(F41:F42)</f>
        <v>300000</v>
      </c>
      <c r="G43" s="76">
        <f t="shared" si="2"/>
        <v>1000000</v>
      </c>
    </row>
    <row r="44" spans="1:7" ht="20.100000000000001" customHeight="1">
      <c r="A44" s="9"/>
      <c r="B44" s="13"/>
      <c r="C44" s="73"/>
      <c r="D44" s="9"/>
      <c r="E44" s="71"/>
      <c r="F44" s="71"/>
      <c r="G44" s="71"/>
    </row>
    <row r="45" spans="1:7" ht="20.100000000000001" customHeight="1">
      <c r="A45" s="9"/>
      <c r="B45" s="22" t="s">
        <v>43</v>
      </c>
      <c r="C45" s="77"/>
      <c r="D45" s="23"/>
      <c r="E45" s="71"/>
      <c r="F45" s="71"/>
      <c r="G45" s="71"/>
    </row>
    <row r="46" spans="1:7" ht="20.100000000000001" customHeight="1">
      <c r="A46" s="9">
        <v>1</v>
      </c>
      <c r="B46" s="10" t="s">
        <v>410</v>
      </c>
      <c r="C46" s="73" t="s">
        <v>411</v>
      </c>
      <c r="D46" s="9" t="s">
        <v>405</v>
      </c>
      <c r="E46" s="71">
        <v>1000000</v>
      </c>
      <c r="F46" s="72">
        <v>0</v>
      </c>
      <c r="G46" s="71">
        <v>1000000</v>
      </c>
    </row>
    <row r="47" spans="1:7" ht="20.100000000000001" customHeight="1">
      <c r="A47" s="9">
        <v>2</v>
      </c>
      <c r="B47" s="10" t="s">
        <v>412</v>
      </c>
      <c r="C47" s="73" t="s">
        <v>413</v>
      </c>
      <c r="D47" s="9" t="s">
        <v>358</v>
      </c>
      <c r="E47" s="71">
        <v>700000</v>
      </c>
      <c r="F47" s="72">
        <v>0</v>
      </c>
      <c r="G47" s="71">
        <v>700000</v>
      </c>
    </row>
    <row r="48" spans="1:7" ht="20.100000000000001" customHeight="1">
      <c r="A48" s="9">
        <v>3</v>
      </c>
      <c r="B48" s="10" t="s">
        <v>414</v>
      </c>
      <c r="C48" s="73" t="s">
        <v>418</v>
      </c>
      <c r="D48" s="9" t="s">
        <v>358</v>
      </c>
      <c r="E48" s="71">
        <v>700000</v>
      </c>
      <c r="F48" s="72">
        <v>0</v>
      </c>
      <c r="G48" s="71">
        <v>700000</v>
      </c>
    </row>
    <row r="49" spans="1:7" ht="20.100000000000001" customHeight="1">
      <c r="A49" s="9">
        <v>4</v>
      </c>
      <c r="B49" s="10" t="s">
        <v>417</v>
      </c>
      <c r="C49" s="73" t="s">
        <v>418</v>
      </c>
      <c r="D49" s="9" t="s">
        <v>435</v>
      </c>
      <c r="E49" s="71">
        <v>700000</v>
      </c>
      <c r="F49" s="72">
        <v>0</v>
      </c>
      <c r="G49" s="71">
        <v>700000</v>
      </c>
    </row>
    <row r="50" spans="1:7" ht="20.100000000000001" customHeight="1">
      <c r="A50" s="9">
        <v>5</v>
      </c>
      <c r="B50" s="10" t="s">
        <v>419</v>
      </c>
      <c r="C50" s="73" t="s">
        <v>418</v>
      </c>
      <c r="D50" s="9" t="s">
        <v>99</v>
      </c>
      <c r="E50" s="71">
        <v>700000</v>
      </c>
      <c r="F50" s="72">
        <v>0</v>
      </c>
      <c r="G50" s="71">
        <v>700000</v>
      </c>
    </row>
    <row r="51" spans="1:7" ht="20.100000000000001" customHeight="1">
      <c r="A51" s="9">
        <v>6</v>
      </c>
      <c r="B51" s="10" t="s">
        <v>420</v>
      </c>
      <c r="C51" s="73" t="s">
        <v>368</v>
      </c>
      <c r="D51" s="9" t="s">
        <v>450</v>
      </c>
      <c r="E51" s="71">
        <v>500000</v>
      </c>
      <c r="F51" s="72">
        <v>0</v>
      </c>
      <c r="G51" s="71">
        <v>500000</v>
      </c>
    </row>
    <row r="52" spans="1:7" ht="20.100000000000001" customHeight="1">
      <c r="A52" s="9">
        <v>7</v>
      </c>
      <c r="B52" s="13" t="s">
        <v>421</v>
      </c>
      <c r="C52" s="73" t="s">
        <v>365</v>
      </c>
      <c r="D52" s="15" t="s">
        <v>450</v>
      </c>
      <c r="E52" s="71">
        <v>500000</v>
      </c>
      <c r="F52" s="72">
        <v>0</v>
      </c>
      <c r="G52" s="71">
        <v>500000</v>
      </c>
    </row>
    <row r="53" spans="1:7" ht="20.100000000000001" customHeight="1">
      <c r="A53" s="9">
        <v>8</v>
      </c>
      <c r="B53" s="10" t="s">
        <v>1125</v>
      </c>
      <c r="C53" s="73" t="s">
        <v>365</v>
      </c>
      <c r="D53" s="9" t="s">
        <v>369</v>
      </c>
      <c r="E53" s="71">
        <v>500000</v>
      </c>
      <c r="F53" s="72">
        <v>0</v>
      </c>
      <c r="G53" s="71">
        <v>500000</v>
      </c>
    </row>
    <row r="54" spans="1:7" ht="20.100000000000001" customHeight="1">
      <c r="A54" s="9">
        <v>9</v>
      </c>
      <c r="B54" s="10" t="s">
        <v>367</v>
      </c>
      <c r="C54" s="73" t="s">
        <v>461</v>
      </c>
      <c r="D54" s="9" t="s">
        <v>1052</v>
      </c>
      <c r="E54" s="71">
        <v>500000</v>
      </c>
      <c r="F54" s="71">
        <v>500000</v>
      </c>
      <c r="G54" s="72">
        <v>0</v>
      </c>
    </row>
    <row r="55" spans="1:7" ht="20.100000000000001" customHeight="1">
      <c r="A55" s="9">
        <v>10</v>
      </c>
      <c r="B55" s="10" t="s">
        <v>423</v>
      </c>
      <c r="C55" s="73" t="s">
        <v>64</v>
      </c>
      <c r="D55" s="9" t="s">
        <v>55</v>
      </c>
      <c r="E55" s="71">
        <v>300000</v>
      </c>
      <c r="F55" s="71">
        <v>300000</v>
      </c>
      <c r="G55" s="72">
        <v>0</v>
      </c>
    </row>
    <row r="56" spans="1:7" ht="20.100000000000001" customHeight="1">
      <c r="A56" s="9">
        <v>11</v>
      </c>
      <c r="B56" s="10" t="s">
        <v>424</v>
      </c>
      <c r="C56" s="73" t="s">
        <v>64</v>
      </c>
      <c r="D56" s="9" t="s">
        <v>55</v>
      </c>
      <c r="E56" s="71">
        <v>300000</v>
      </c>
      <c r="F56" s="71">
        <v>300000</v>
      </c>
      <c r="G56" s="72">
        <v>0</v>
      </c>
    </row>
    <row r="57" spans="1:7" ht="20.100000000000001" customHeight="1">
      <c r="A57" s="9">
        <v>12</v>
      </c>
      <c r="B57" s="10" t="s">
        <v>425</v>
      </c>
      <c r="C57" s="73" t="s">
        <v>64</v>
      </c>
      <c r="D57" s="9" t="s">
        <v>55</v>
      </c>
      <c r="E57" s="71">
        <v>300000</v>
      </c>
      <c r="F57" s="71">
        <v>300000</v>
      </c>
      <c r="G57" s="72">
        <v>0</v>
      </c>
    </row>
    <row r="58" spans="1:7" ht="25.5" customHeight="1">
      <c r="A58" s="9"/>
      <c r="B58" s="19" t="s">
        <v>42</v>
      </c>
      <c r="C58" s="75">
        <v>11</v>
      </c>
      <c r="D58" s="20"/>
      <c r="E58" s="78">
        <f>SUM(E46:E57)</f>
        <v>6700000</v>
      </c>
      <c r="F58" s="78">
        <f t="shared" ref="F58:G58" si="3">SUM(F46:F57)</f>
        <v>1400000</v>
      </c>
      <c r="G58" s="78">
        <f t="shared" si="3"/>
        <v>5300000</v>
      </c>
    </row>
    <row r="59" spans="1:7" ht="20.100000000000001" customHeight="1">
      <c r="A59" s="9"/>
      <c r="B59" s="21"/>
      <c r="C59" s="75"/>
      <c r="D59" s="20"/>
      <c r="E59" s="79"/>
      <c r="F59" s="79"/>
      <c r="G59" s="79"/>
    </row>
    <row r="60" spans="1:7" ht="20.100000000000001" customHeight="1">
      <c r="A60" s="9"/>
      <c r="B60" s="19" t="s">
        <v>426</v>
      </c>
      <c r="C60" s="75"/>
      <c r="D60" s="20"/>
      <c r="E60" s="79"/>
      <c r="F60" s="79"/>
      <c r="G60" s="79"/>
    </row>
    <row r="61" spans="1:7" ht="20.100000000000001" customHeight="1">
      <c r="A61" s="9">
        <v>1</v>
      </c>
      <c r="B61" s="10" t="s">
        <v>427</v>
      </c>
      <c r="C61" s="70" t="s">
        <v>428</v>
      </c>
      <c r="D61" s="14" t="s">
        <v>405</v>
      </c>
      <c r="E61" s="71">
        <f>1000000/2</f>
        <v>500000</v>
      </c>
      <c r="F61" s="72">
        <v>0</v>
      </c>
      <c r="G61" s="71">
        <f t="shared" ref="G61" si="4">1000000/2</f>
        <v>500000</v>
      </c>
    </row>
    <row r="62" spans="1:7" ht="20.100000000000001" customHeight="1">
      <c r="A62" s="9"/>
      <c r="B62" s="19" t="s">
        <v>42</v>
      </c>
      <c r="C62" s="75">
        <v>2</v>
      </c>
      <c r="D62" s="20"/>
      <c r="E62" s="78">
        <f>SUM(E61)</f>
        <v>500000</v>
      </c>
      <c r="F62" s="80">
        <f t="shared" ref="F62:G62" si="5">SUM(F61)</f>
        <v>0</v>
      </c>
      <c r="G62" s="78">
        <f t="shared" si="5"/>
        <v>500000</v>
      </c>
    </row>
    <row r="63" spans="1:7" ht="20.100000000000001" customHeight="1">
      <c r="A63" s="9"/>
      <c r="B63" s="19"/>
      <c r="C63" s="75"/>
      <c r="D63" s="20"/>
      <c r="E63" s="79"/>
      <c r="F63" s="79"/>
      <c r="G63" s="79"/>
    </row>
    <row r="64" spans="1:7" ht="20.100000000000001" customHeight="1">
      <c r="A64" s="9"/>
      <c r="B64" s="19" t="s">
        <v>60</v>
      </c>
      <c r="C64" s="75"/>
      <c r="D64" s="20"/>
      <c r="E64" s="79"/>
      <c r="F64" s="79"/>
      <c r="G64" s="79"/>
    </row>
    <row r="65" spans="1:7" ht="20.100000000000001" customHeight="1">
      <c r="A65" s="9">
        <v>1</v>
      </c>
      <c r="B65" s="10" t="s">
        <v>431</v>
      </c>
      <c r="C65" s="74" t="s">
        <v>432</v>
      </c>
      <c r="D65" s="9" t="s">
        <v>405</v>
      </c>
      <c r="E65" s="71">
        <f>1000000/2</f>
        <v>500000</v>
      </c>
      <c r="F65" s="72">
        <v>0</v>
      </c>
      <c r="G65" s="71">
        <f t="shared" ref="G65" si="6">1000000/2</f>
        <v>500000</v>
      </c>
    </row>
    <row r="66" spans="1:7" ht="20.100000000000001" customHeight="1">
      <c r="A66" s="9">
        <v>2</v>
      </c>
      <c r="B66" s="17" t="s">
        <v>433</v>
      </c>
      <c r="C66" s="74" t="s">
        <v>434</v>
      </c>
      <c r="D66" s="14" t="s">
        <v>1054</v>
      </c>
      <c r="E66" s="71">
        <f>700000/2</f>
        <v>350000</v>
      </c>
      <c r="F66" s="72">
        <v>0</v>
      </c>
      <c r="G66" s="71">
        <f t="shared" ref="G66" si="7">700000/2</f>
        <v>350000</v>
      </c>
    </row>
    <row r="67" spans="1:7" ht="20.100000000000001" customHeight="1">
      <c r="A67" s="9">
        <v>3</v>
      </c>
      <c r="B67" s="10" t="s">
        <v>436</v>
      </c>
      <c r="C67" s="73" t="s">
        <v>231</v>
      </c>
      <c r="D67" s="9" t="s">
        <v>1052</v>
      </c>
      <c r="E67" s="71">
        <v>500000</v>
      </c>
      <c r="F67" s="71">
        <v>500000</v>
      </c>
      <c r="G67" s="72">
        <v>0</v>
      </c>
    </row>
    <row r="68" spans="1:7" ht="20.100000000000001" customHeight="1">
      <c r="A68" s="9">
        <v>4</v>
      </c>
      <c r="B68" s="17" t="s">
        <v>437</v>
      </c>
      <c r="C68" s="74" t="s">
        <v>231</v>
      </c>
      <c r="D68" s="14" t="s">
        <v>1260</v>
      </c>
      <c r="E68" s="71">
        <v>500000</v>
      </c>
      <c r="F68" s="71">
        <v>500000</v>
      </c>
      <c r="G68" s="72">
        <v>0</v>
      </c>
    </row>
    <row r="69" spans="1:7" ht="20.100000000000001" customHeight="1">
      <c r="A69" s="9">
        <v>5</v>
      </c>
      <c r="B69" s="13" t="s">
        <v>438</v>
      </c>
      <c r="C69" s="74" t="s">
        <v>365</v>
      </c>
      <c r="D69" s="14" t="s">
        <v>450</v>
      </c>
      <c r="E69" s="71">
        <v>500000</v>
      </c>
      <c r="F69" s="72">
        <v>0</v>
      </c>
      <c r="G69" s="71">
        <v>500000</v>
      </c>
    </row>
    <row r="70" spans="1:7" ht="20.100000000000001" customHeight="1">
      <c r="A70" s="9">
        <v>6</v>
      </c>
      <c r="B70" s="10" t="s">
        <v>439</v>
      </c>
      <c r="C70" s="73" t="s">
        <v>64</v>
      </c>
      <c r="D70" s="9" t="s">
        <v>1268</v>
      </c>
      <c r="E70" s="71">
        <v>300000</v>
      </c>
      <c r="F70" s="71">
        <v>300000</v>
      </c>
      <c r="G70" s="72">
        <v>0</v>
      </c>
    </row>
    <row r="71" spans="1:7" ht="20.100000000000001" customHeight="1">
      <c r="A71" s="9">
        <v>7</v>
      </c>
      <c r="B71" s="10" t="s">
        <v>1133</v>
      </c>
      <c r="C71" s="74" t="s">
        <v>34</v>
      </c>
      <c r="D71" s="14" t="s">
        <v>440</v>
      </c>
      <c r="E71" s="71">
        <v>400000</v>
      </c>
      <c r="F71" s="71">
        <v>400000</v>
      </c>
      <c r="G71" s="72">
        <v>0</v>
      </c>
    </row>
    <row r="72" spans="1:7" ht="20.100000000000001" customHeight="1">
      <c r="A72" s="9">
        <v>8</v>
      </c>
      <c r="B72" s="10" t="s">
        <v>441</v>
      </c>
      <c r="C72" s="74" t="s">
        <v>34</v>
      </c>
      <c r="D72" s="14" t="s">
        <v>32</v>
      </c>
      <c r="E72" s="71">
        <v>400000</v>
      </c>
      <c r="F72" s="71">
        <v>400000</v>
      </c>
      <c r="G72" s="72">
        <v>0</v>
      </c>
    </row>
    <row r="73" spans="1:7" ht="20.100000000000001" customHeight="1">
      <c r="A73" s="9">
        <v>9</v>
      </c>
      <c r="B73" s="10" t="s">
        <v>442</v>
      </c>
      <c r="C73" s="74" t="s">
        <v>34</v>
      </c>
      <c r="D73" s="14" t="s">
        <v>32</v>
      </c>
      <c r="E73" s="71">
        <v>400000</v>
      </c>
      <c r="F73" s="71">
        <v>400000</v>
      </c>
      <c r="G73" s="72">
        <v>0</v>
      </c>
    </row>
    <row r="74" spans="1:7" ht="20.100000000000001" customHeight="1">
      <c r="A74" s="9">
        <v>10</v>
      </c>
      <c r="B74" s="10" t="s">
        <v>443</v>
      </c>
      <c r="C74" s="73" t="s">
        <v>444</v>
      </c>
      <c r="D74" s="9" t="s">
        <v>32</v>
      </c>
      <c r="E74" s="71">
        <v>400000</v>
      </c>
      <c r="F74" s="71">
        <v>400000</v>
      </c>
      <c r="G74" s="72">
        <v>0</v>
      </c>
    </row>
    <row r="75" spans="1:7" ht="20.100000000000001" customHeight="1">
      <c r="A75" s="9">
        <v>11</v>
      </c>
      <c r="B75" s="10" t="s">
        <v>1215</v>
      </c>
      <c r="C75" s="74" t="s">
        <v>64</v>
      </c>
      <c r="D75" s="9" t="s">
        <v>37</v>
      </c>
      <c r="E75" s="71">
        <v>300000</v>
      </c>
      <c r="F75" s="71">
        <v>300000</v>
      </c>
      <c r="G75" s="72">
        <v>0</v>
      </c>
    </row>
    <row r="76" spans="1:7" ht="20.100000000000001" customHeight="1">
      <c r="A76" s="9">
        <v>12</v>
      </c>
      <c r="B76" s="10" t="s">
        <v>389</v>
      </c>
      <c r="C76" s="74" t="s">
        <v>382</v>
      </c>
      <c r="D76" s="9" t="s">
        <v>55</v>
      </c>
      <c r="E76" s="71">
        <v>300000</v>
      </c>
      <c r="F76" s="71">
        <v>300000</v>
      </c>
      <c r="G76" s="72">
        <v>0</v>
      </c>
    </row>
    <row r="77" spans="1:7" ht="20.100000000000001" customHeight="1">
      <c r="A77" s="9">
        <v>13</v>
      </c>
      <c r="B77" s="13" t="s">
        <v>381</v>
      </c>
      <c r="C77" s="74" t="s">
        <v>382</v>
      </c>
      <c r="D77" s="9" t="s">
        <v>72</v>
      </c>
      <c r="E77" s="71">
        <v>300000</v>
      </c>
      <c r="F77" s="71">
        <v>300000</v>
      </c>
      <c r="G77" s="72">
        <v>0</v>
      </c>
    </row>
    <row r="78" spans="1:7" ht="20.100000000000001" customHeight="1">
      <c r="A78" s="9"/>
      <c r="B78" s="19" t="s">
        <v>42</v>
      </c>
      <c r="C78" s="75">
        <v>13</v>
      </c>
      <c r="D78" s="20"/>
      <c r="E78" s="78">
        <f>SUM(E65:E77)</f>
        <v>5150000</v>
      </c>
      <c r="F78" s="78">
        <f t="shared" ref="F78:G78" si="8">SUM(F65:F77)</f>
        <v>3800000</v>
      </c>
      <c r="G78" s="78">
        <f t="shared" si="8"/>
        <v>1350000</v>
      </c>
    </row>
    <row r="79" spans="1:7" ht="20.100000000000001" customHeight="1">
      <c r="A79" s="9"/>
      <c r="B79" s="21"/>
      <c r="C79" s="75"/>
      <c r="D79" s="20"/>
      <c r="E79" s="79"/>
      <c r="F79" s="79"/>
      <c r="G79" s="79"/>
    </row>
    <row r="80" spans="1:7" ht="20.100000000000001" customHeight="1">
      <c r="A80" s="9"/>
      <c r="B80" s="19" t="s">
        <v>65</v>
      </c>
      <c r="C80" s="75"/>
      <c r="D80" s="20"/>
      <c r="E80" s="79"/>
      <c r="F80" s="79"/>
      <c r="G80" s="79"/>
    </row>
    <row r="81" spans="1:7" ht="20.100000000000001" customHeight="1">
      <c r="A81" s="9">
        <v>1</v>
      </c>
      <c r="B81" s="10" t="s">
        <v>446</v>
      </c>
      <c r="C81" s="73" t="s">
        <v>447</v>
      </c>
      <c r="D81" s="9" t="s">
        <v>405</v>
      </c>
      <c r="E81" s="71">
        <v>1000000</v>
      </c>
      <c r="F81" s="72">
        <v>0</v>
      </c>
      <c r="G81" s="71">
        <v>1000000</v>
      </c>
    </row>
    <row r="82" spans="1:7" ht="20.100000000000001" customHeight="1">
      <c r="A82" s="9">
        <v>2</v>
      </c>
      <c r="B82" s="13" t="s">
        <v>331</v>
      </c>
      <c r="C82" s="73" t="s">
        <v>76</v>
      </c>
      <c r="D82" s="14" t="s">
        <v>1054</v>
      </c>
      <c r="E82" s="71">
        <v>700000</v>
      </c>
      <c r="F82" s="72">
        <v>0</v>
      </c>
      <c r="G82" s="71">
        <v>700000</v>
      </c>
    </row>
    <row r="83" spans="1:7" ht="20.100000000000001" customHeight="1">
      <c r="A83" s="9">
        <v>3</v>
      </c>
      <c r="B83" s="13" t="s">
        <v>1216</v>
      </c>
      <c r="C83" s="73" t="s">
        <v>1217</v>
      </c>
      <c r="D83" s="14" t="s">
        <v>1054</v>
      </c>
      <c r="E83" s="71">
        <f>700000/2</f>
        <v>350000</v>
      </c>
      <c r="F83" s="72">
        <v>0</v>
      </c>
      <c r="G83" s="71">
        <f t="shared" ref="G83" si="9">700000/2</f>
        <v>350000</v>
      </c>
    </row>
    <row r="84" spans="1:7" ht="20.100000000000001" customHeight="1">
      <c r="A84" s="9">
        <v>4</v>
      </c>
      <c r="B84" s="10" t="s">
        <v>448</v>
      </c>
      <c r="C84" s="73" t="s">
        <v>1069</v>
      </c>
      <c r="D84" s="14" t="s">
        <v>1052</v>
      </c>
      <c r="E84" s="71">
        <v>500000</v>
      </c>
      <c r="F84" s="71">
        <v>500000</v>
      </c>
      <c r="G84" s="72">
        <v>0</v>
      </c>
    </row>
    <row r="85" spans="1:7" ht="20.100000000000001" customHeight="1">
      <c r="A85" s="9">
        <v>5</v>
      </c>
      <c r="B85" s="10" t="s">
        <v>451</v>
      </c>
      <c r="C85" s="73" t="s">
        <v>452</v>
      </c>
      <c r="D85" s="9" t="s">
        <v>37</v>
      </c>
      <c r="E85" s="71">
        <v>300000</v>
      </c>
      <c r="F85" s="71">
        <v>300000</v>
      </c>
      <c r="G85" s="72">
        <v>0</v>
      </c>
    </row>
    <row r="86" spans="1:7" ht="20.100000000000001" customHeight="1">
      <c r="A86" s="9"/>
      <c r="B86" s="19" t="s">
        <v>42</v>
      </c>
      <c r="C86" s="75">
        <v>5</v>
      </c>
      <c r="D86" s="20"/>
      <c r="E86" s="78">
        <f>SUM(E81:E85)</f>
        <v>2850000</v>
      </c>
      <c r="F86" s="78">
        <f>SUM(F81:F85)</f>
        <v>800000</v>
      </c>
      <c r="G86" s="78">
        <f t="shared" ref="G86" si="10">SUM(G81:G85)</f>
        <v>2050000</v>
      </c>
    </row>
    <row r="87" spans="1:7" ht="20.100000000000001" customHeight="1">
      <c r="A87" s="9"/>
      <c r="B87" s="19"/>
      <c r="C87" s="75"/>
      <c r="D87" s="20"/>
      <c r="E87" s="71"/>
      <c r="F87" s="71"/>
      <c r="G87" s="71"/>
    </row>
    <row r="88" spans="1:7" ht="20.100000000000001" customHeight="1">
      <c r="A88" s="9"/>
      <c r="B88" s="19" t="s">
        <v>74</v>
      </c>
      <c r="C88" s="81"/>
      <c r="D88" s="20"/>
      <c r="E88" s="71"/>
      <c r="F88" s="71"/>
      <c r="G88" s="71"/>
    </row>
    <row r="89" spans="1:7" ht="20.100000000000001" customHeight="1">
      <c r="A89" s="9">
        <v>1</v>
      </c>
      <c r="B89" s="10" t="s">
        <v>1271</v>
      </c>
      <c r="C89" s="73" t="s">
        <v>1233</v>
      </c>
      <c r="D89" s="9" t="s">
        <v>416</v>
      </c>
      <c r="E89" s="71">
        <v>700000</v>
      </c>
      <c r="F89" s="72">
        <v>0</v>
      </c>
      <c r="G89" s="71">
        <v>700000</v>
      </c>
    </row>
    <row r="90" spans="1:7" ht="20.100000000000001" customHeight="1">
      <c r="A90" s="9">
        <v>2</v>
      </c>
      <c r="B90" s="10" t="s">
        <v>457</v>
      </c>
      <c r="C90" s="73" t="s">
        <v>418</v>
      </c>
      <c r="D90" s="9" t="s">
        <v>358</v>
      </c>
      <c r="E90" s="71">
        <v>700000</v>
      </c>
      <c r="F90" s="72">
        <v>0</v>
      </c>
      <c r="G90" s="71">
        <v>700000</v>
      </c>
    </row>
    <row r="91" spans="1:7" ht="20.100000000000001" customHeight="1">
      <c r="A91" s="9">
        <v>3</v>
      </c>
      <c r="B91" s="10" t="s">
        <v>458</v>
      </c>
      <c r="C91" s="73" t="s">
        <v>418</v>
      </c>
      <c r="D91" s="9" t="s">
        <v>358</v>
      </c>
      <c r="E91" s="71">
        <v>700000</v>
      </c>
      <c r="F91" s="72">
        <v>0</v>
      </c>
      <c r="G91" s="71">
        <v>700000</v>
      </c>
    </row>
    <row r="92" spans="1:7" ht="20.100000000000001" customHeight="1">
      <c r="A92" s="9">
        <v>4</v>
      </c>
      <c r="B92" s="13" t="s">
        <v>493</v>
      </c>
      <c r="C92" s="73" t="s">
        <v>365</v>
      </c>
      <c r="D92" s="9" t="s">
        <v>366</v>
      </c>
      <c r="E92" s="71">
        <v>500000</v>
      </c>
      <c r="F92" s="72">
        <v>0</v>
      </c>
      <c r="G92" s="71">
        <v>500000</v>
      </c>
    </row>
    <row r="93" spans="1:7" ht="20.100000000000001" customHeight="1">
      <c r="A93" s="9">
        <v>5</v>
      </c>
      <c r="B93" s="10" t="s">
        <v>459</v>
      </c>
      <c r="C93" s="73" t="s">
        <v>368</v>
      </c>
      <c r="D93" s="9" t="s">
        <v>450</v>
      </c>
      <c r="E93" s="71">
        <v>500000</v>
      </c>
      <c r="F93" s="72">
        <v>0</v>
      </c>
      <c r="G93" s="71">
        <v>500000</v>
      </c>
    </row>
    <row r="94" spans="1:7" ht="21.6" customHeight="1">
      <c r="A94" s="9">
        <v>6</v>
      </c>
      <c r="B94" s="10" t="s">
        <v>460</v>
      </c>
      <c r="C94" s="73" t="s">
        <v>461</v>
      </c>
      <c r="D94" s="14" t="s">
        <v>1052</v>
      </c>
      <c r="E94" s="71">
        <v>500000</v>
      </c>
      <c r="F94" s="71">
        <v>500000</v>
      </c>
      <c r="G94" s="72">
        <v>0</v>
      </c>
    </row>
    <row r="95" spans="1:7" ht="21.6" customHeight="1">
      <c r="A95" s="9">
        <v>7</v>
      </c>
      <c r="B95" s="10" t="s">
        <v>462</v>
      </c>
      <c r="C95" s="70" t="s">
        <v>231</v>
      </c>
      <c r="D95" s="14" t="s">
        <v>1260</v>
      </c>
      <c r="E95" s="71">
        <v>500000</v>
      </c>
      <c r="F95" s="71">
        <v>500000</v>
      </c>
      <c r="G95" s="72">
        <v>0</v>
      </c>
    </row>
    <row r="96" spans="1:7" ht="21.6" customHeight="1">
      <c r="A96" s="9">
        <v>8</v>
      </c>
      <c r="B96" s="10" t="s">
        <v>463</v>
      </c>
      <c r="C96" s="70" t="s">
        <v>231</v>
      </c>
      <c r="D96" s="14" t="s">
        <v>1260</v>
      </c>
      <c r="E96" s="71">
        <f>500000/2</f>
        <v>250000</v>
      </c>
      <c r="F96" s="71">
        <f>500000/2</f>
        <v>250000</v>
      </c>
      <c r="G96" s="72">
        <v>0</v>
      </c>
    </row>
    <row r="97" spans="1:7" ht="21.6" customHeight="1">
      <c r="A97" s="9">
        <v>9</v>
      </c>
      <c r="B97" s="10" t="s">
        <v>464</v>
      </c>
      <c r="C97" s="74" t="s">
        <v>34</v>
      </c>
      <c r="D97" s="14" t="s">
        <v>32</v>
      </c>
      <c r="E97" s="71">
        <v>400000</v>
      </c>
      <c r="F97" s="71">
        <v>400000</v>
      </c>
      <c r="G97" s="72">
        <v>0</v>
      </c>
    </row>
    <row r="98" spans="1:7" ht="21.6" customHeight="1">
      <c r="A98" s="9">
        <v>10</v>
      </c>
      <c r="B98" s="10" t="s">
        <v>466</v>
      </c>
      <c r="C98" s="73" t="s">
        <v>467</v>
      </c>
      <c r="D98" s="9" t="s">
        <v>37</v>
      </c>
      <c r="E98" s="71">
        <v>300000</v>
      </c>
      <c r="F98" s="71">
        <v>300000</v>
      </c>
      <c r="G98" s="72">
        <v>0</v>
      </c>
    </row>
    <row r="99" spans="1:7" ht="21.6" customHeight="1">
      <c r="A99" s="9">
        <v>11</v>
      </c>
      <c r="B99" s="10" t="s">
        <v>468</v>
      </c>
      <c r="C99" s="74" t="s">
        <v>469</v>
      </c>
      <c r="D99" s="14" t="s">
        <v>72</v>
      </c>
      <c r="E99" s="71">
        <v>300000</v>
      </c>
      <c r="F99" s="71">
        <v>300000</v>
      </c>
      <c r="G99" s="72">
        <v>0</v>
      </c>
    </row>
    <row r="100" spans="1:7" ht="20.100000000000001" customHeight="1">
      <c r="A100" s="9"/>
      <c r="B100" s="19" t="s">
        <v>42</v>
      </c>
      <c r="C100" s="75">
        <v>10</v>
      </c>
      <c r="D100" s="20"/>
      <c r="E100" s="78">
        <f>SUM(E89:E99)</f>
        <v>5350000</v>
      </c>
      <c r="F100" s="78">
        <f t="shared" ref="F100:G100" si="11">SUM(F89:F99)</f>
        <v>2250000</v>
      </c>
      <c r="G100" s="78">
        <f t="shared" si="11"/>
        <v>3100000</v>
      </c>
    </row>
    <row r="101" spans="1:7" ht="20.100000000000001" customHeight="1">
      <c r="A101" s="9"/>
      <c r="B101" s="21"/>
      <c r="C101" s="75"/>
      <c r="D101" s="20"/>
      <c r="E101" s="79"/>
      <c r="F101" s="79"/>
      <c r="G101" s="79"/>
    </row>
    <row r="102" spans="1:7" ht="20.100000000000001" customHeight="1">
      <c r="A102" s="9"/>
      <c r="B102" s="19" t="s">
        <v>198</v>
      </c>
      <c r="C102" s="75"/>
      <c r="D102" s="20"/>
      <c r="E102" s="79"/>
      <c r="F102" s="79"/>
      <c r="G102" s="79"/>
    </row>
    <row r="103" spans="1:7" ht="20.100000000000001" customHeight="1">
      <c r="A103" s="9">
        <v>1</v>
      </c>
      <c r="B103" s="17" t="s">
        <v>341</v>
      </c>
      <c r="C103" s="82" t="s">
        <v>342</v>
      </c>
      <c r="D103" s="14" t="s">
        <v>416</v>
      </c>
      <c r="E103" s="71">
        <v>700000</v>
      </c>
      <c r="F103" s="72">
        <v>0</v>
      </c>
      <c r="G103" s="71">
        <v>700000</v>
      </c>
    </row>
    <row r="104" spans="1:7" ht="20.100000000000001" customHeight="1">
      <c r="A104" s="9">
        <v>2</v>
      </c>
      <c r="B104" s="10" t="s">
        <v>359</v>
      </c>
      <c r="C104" s="73" t="s">
        <v>474</v>
      </c>
      <c r="D104" s="9" t="s">
        <v>450</v>
      </c>
      <c r="E104" s="71">
        <v>500000</v>
      </c>
      <c r="F104" s="72">
        <v>0</v>
      </c>
      <c r="G104" s="71">
        <v>500000</v>
      </c>
    </row>
    <row r="105" spans="1:7" ht="20.100000000000001" customHeight="1">
      <c r="A105" s="9">
        <v>3</v>
      </c>
      <c r="B105" s="17" t="s">
        <v>1234</v>
      </c>
      <c r="C105" s="73" t="s">
        <v>1235</v>
      </c>
      <c r="D105" s="14" t="s">
        <v>1260</v>
      </c>
      <c r="E105" s="71">
        <v>500000</v>
      </c>
      <c r="F105" s="71">
        <v>500000</v>
      </c>
      <c r="G105" s="72">
        <v>0</v>
      </c>
    </row>
    <row r="106" spans="1:7" ht="20.100000000000001" customHeight="1">
      <c r="A106" s="9">
        <v>4</v>
      </c>
      <c r="B106" s="10" t="s">
        <v>475</v>
      </c>
      <c r="C106" s="73" t="s">
        <v>476</v>
      </c>
      <c r="D106" s="14" t="s">
        <v>32</v>
      </c>
      <c r="E106" s="71">
        <v>400000</v>
      </c>
      <c r="F106" s="71">
        <v>400000</v>
      </c>
      <c r="G106" s="72">
        <v>0</v>
      </c>
    </row>
    <row r="107" spans="1:7" ht="20.100000000000001" customHeight="1">
      <c r="A107" s="3"/>
      <c r="B107" s="19" t="s">
        <v>42</v>
      </c>
      <c r="C107" s="75">
        <v>4</v>
      </c>
      <c r="D107" s="25"/>
      <c r="E107" s="78">
        <f>SUM(E103:E106)</f>
        <v>2100000</v>
      </c>
      <c r="F107" s="78">
        <f t="shared" ref="F107:G107" si="12">SUM(F103:F106)</f>
        <v>900000</v>
      </c>
      <c r="G107" s="78">
        <f t="shared" si="12"/>
        <v>1200000</v>
      </c>
    </row>
    <row r="108" spans="1:7" ht="20.100000000000001" customHeight="1">
      <c r="A108" s="3"/>
      <c r="B108" s="21"/>
      <c r="C108" s="75"/>
      <c r="D108" s="25"/>
      <c r="E108" s="79"/>
      <c r="F108" s="79"/>
      <c r="G108" s="79"/>
    </row>
    <row r="109" spans="1:7" ht="20.100000000000001" customHeight="1">
      <c r="A109" s="3"/>
      <c r="B109" s="19" t="s">
        <v>479</v>
      </c>
      <c r="C109" s="73"/>
      <c r="D109" s="3"/>
      <c r="E109" s="83"/>
      <c r="F109" s="83"/>
      <c r="G109" s="83"/>
    </row>
    <row r="110" spans="1:7" ht="20.100000000000001" customHeight="1">
      <c r="A110" s="3">
        <v>1</v>
      </c>
      <c r="B110" s="10" t="s">
        <v>480</v>
      </c>
      <c r="C110" s="70" t="s">
        <v>481</v>
      </c>
      <c r="D110" s="14" t="s">
        <v>405</v>
      </c>
      <c r="E110" s="71">
        <v>1000000</v>
      </c>
      <c r="F110" s="72">
        <v>0</v>
      </c>
      <c r="G110" s="71">
        <v>1000000</v>
      </c>
    </row>
    <row r="111" spans="1:7" ht="20.100000000000001" customHeight="1">
      <c r="A111" s="3">
        <v>2</v>
      </c>
      <c r="B111" s="10" t="s">
        <v>482</v>
      </c>
      <c r="C111" s="73" t="s">
        <v>483</v>
      </c>
      <c r="D111" s="15" t="s">
        <v>106</v>
      </c>
      <c r="E111" s="71">
        <v>700000</v>
      </c>
      <c r="F111" s="72">
        <v>0</v>
      </c>
      <c r="G111" s="71">
        <v>700000</v>
      </c>
    </row>
    <row r="112" spans="1:7" ht="20.100000000000001" customHeight="1">
      <c r="A112" s="3">
        <v>3</v>
      </c>
      <c r="B112" s="10" t="s">
        <v>484</v>
      </c>
      <c r="C112" s="73" t="s">
        <v>485</v>
      </c>
      <c r="D112" s="9" t="s">
        <v>372</v>
      </c>
      <c r="E112" s="71">
        <v>500000</v>
      </c>
      <c r="F112" s="71">
        <v>500000</v>
      </c>
      <c r="G112" s="72">
        <v>0</v>
      </c>
    </row>
    <row r="113" spans="1:7" ht="20.100000000000001" customHeight="1">
      <c r="A113" s="3">
        <v>4</v>
      </c>
      <c r="B113" s="10" t="s">
        <v>486</v>
      </c>
      <c r="C113" s="73" t="s">
        <v>485</v>
      </c>
      <c r="D113" s="9" t="s">
        <v>375</v>
      </c>
      <c r="E113" s="71">
        <v>500000</v>
      </c>
      <c r="F113" s="71">
        <v>500000</v>
      </c>
      <c r="G113" s="72">
        <v>0</v>
      </c>
    </row>
    <row r="114" spans="1:7" ht="20.100000000000001" customHeight="1">
      <c r="A114" s="3">
        <v>5</v>
      </c>
      <c r="B114" s="10" t="s">
        <v>487</v>
      </c>
      <c r="C114" s="73" t="s">
        <v>488</v>
      </c>
      <c r="D114" s="14" t="s">
        <v>1048</v>
      </c>
      <c r="E114" s="71">
        <v>300000</v>
      </c>
      <c r="F114" s="71">
        <v>300000</v>
      </c>
      <c r="G114" s="72">
        <v>0</v>
      </c>
    </row>
    <row r="115" spans="1:7" ht="20.100000000000001" customHeight="1">
      <c r="A115" s="3">
        <v>6</v>
      </c>
      <c r="B115" s="17" t="s">
        <v>490</v>
      </c>
      <c r="C115" s="73" t="s">
        <v>488</v>
      </c>
      <c r="D115" s="9" t="s">
        <v>399</v>
      </c>
      <c r="E115" s="71">
        <v>300000</v>
      </c>
      <c r="F115" s="71">
        <v>300000</v>
      </c>
      <c r="G115" s="72">
        <v>0</v>
      </c>
    </row>
    <row r="116" spans="1:7" ht="20.100000000000001" customHeight="1">
      <c r="A116" s="3">
        <v>7</v>
      </c>
      <c r="B116" s="17" t="s">
        <v>492</v>
      </c>
      <c r="C116" s="73" t="s">
        <v>488</v>
      </c>
      <c r="D116" s="14" t="s">
        <v>72</v>
      </c>
      <c r="E116" s="71">
        <v>300000</v>
      </c>
      <c r="F116" s="71">
        <v>300000</v>
      </c>
      <c r="G116" s="72">
        <v>0</v>
      </c>
    </row>
    <row r="117" spans="1:7" ht="20.100000000000001" customHeight="1">
      <c r="A117" s="3"/>
      <c r="B117" s="19" t="s">
        <v>42</v>
      </c>
      <c r="C117" s="75">
        <v>7</v>
      </c>
      <c r="D117" s="3"/>
      <c r="E117" s="84">
        <f>SUM(E110:E116)</f>
        <v>3600000</v>
      </c>
      <c r="F117" s="84">
        <f t="shared" ref="F117:G117" si="13">SUM(F110:F116)</f>
        <v>1900000</v>
      </c>
      <c r="G117" s="84">
        <f t="shared" si="13"/>
        <v>1700000</v>
      </c>
    </row>
    <row r="118" spans="1:7" ht="20.100000000000001" customHeight="1">
      <c r="A118" s="3"/>
      <c r="B118" s="21"/>
      <c r="C118" s="82"/>
      <c r="D118" s="3"/>
      <c r="E118" s="85"/>
      <c r="F118" s="85"/>
      <c r="G118" s="85"/>
    </row>
    <row r="119" spans="1:7" ht="20.100000000000001" customHeight="1">
      <c r="A119" s="3"/>
      <c r="B119" s="19" t="s">
        <v>97</v>
      </c>
      <c r="C119" s="75"/>
      <c r="D119" s="20"/>
      <c r="E119" s="71"/>
      <c r="F119" s="71"/>
      <c r="G119" s="71"/>
    </row>
    <row r="120" spans="1:7" ht="20.100000000000001" customHeight="1">
      <c r="A120" s="3">
        <v>1</v>
      </c>
      <c r="B120" s="10" t="s">
        <v>499</v>
      </c>
      <c r="C120" s="70" t="s">
        <v>500</v>
      </c>
      <c r="D120" s="14" t="s">
        <v>405</v>
      </c>
      <c r="E120" s="71">
        <v>1000000</v>
      </c>
      <c r="F120" s="72">
        <v>0</v>
      </c>
      <c r="G120" s="71">
        <v>1000000</v>
      </c>
    </row>
    <row r="121" spans="1:7" ht="20.100000000000001" customHeight="1">
      <c r="A121" s="3">
        <v>2</v>
      </c>
      <c r="B121" s="10" t="s">
        <v>1237</v>
      </c>
      <c r="C121" s="70" t="s">
        <v>1238</v>
      </c>
      <c r="D121" s="14" t="s">
        <v>340</v>
      </c>
      <c r="E121" s="71">
        <v>700000</v>
      </c>
      <c r="F121" s="72">
        <v>0</v>
      </c>
      <c r="G121" s="71">
        <v>700000</v>
      </c>
    </row>
    <row r="122" spans="1:7" ht="20.100000000000001" customHeight="1">
      <c r="A122" s="3">
        <v>3</v>
      </c>
      <c r="B122" s="10" t="s">
        <v>178</v>
      </c>
      <c r="C122" s="70" t="s">
        <v>337</v>
      </c>
      <c r="D122" s="14" t="s">
        <v>358</v>
      </c>
      <c r="E122" s="71">
        <v>700000</v>
      </c>
      <c r="F122" s="72">
        <v>0</v>
      </c>
      <c r="G122" s="71">
        <v>700000</v>
      </c>
    </row>
    <row r="123" spans="1:7" ht="20.100000000000001" customHeight="1">
      <c r="A123" s="3">
        <v>4</v>
      </c>
      <c r="B123" s="13" t="s">
        <v>502</v>
      </c>
      <c r="C123" s="70" t="s">
        <v>337</v>
      </c>
      <c r="D123" s="14" t="s">
        <v>358</v>
      </c>
      <c r="E123" s="71">
        <v>700000</v>
      </c>
      <c r="F123" s="72">
        <v>0</v>
      </c>
      <c r="G123" s="71">
        <v>700000</v>
      </c>
    </row>
    <row r="124" spans="1:7" ht="20.100000000000001" customHeight="1">
      <c r="A124" s="3">
        <v>5</v>
      </c>
      <c r="B124" s="13" t="s">
        <v>336</v>
      </c>
      <c r="C124" s="70" t="s">
        <v>337</v>
      </c>
      <c r="D124" s="14" t="s">
        <v>99</v>
      </c>
      <c r="E124" s="71">
        <v>700000</v>
      </c>
      <c r="F124" s="72">
        <v>0</v>
      </c>
      <c r="G124" s="71">
        <v>700000</v>
      </c>
    </row>
    <row r="125" spans="1:7" ht="20.100000000000001" customHeight="1">
      <c r="A125" s="3">
        <v>6</v>
      </c>
      <c r="B125" s="10" t="s">
        <v>503</v>
      </c>
      <c r="C125" s="70" t="s">
        <v>504</v>
      </c>
      <c r="D125" s="14" t="s">
        <v>369</v>
      </c>
      <c r="E125" s="71">
        <v>500000</v>
      </c>
      <c r="F125" s="72">
        <v>0</v>
      </c>
      <c r="G125" s="71">
        <v>500000</v>
      </c>
    </row>
    <row r="126" spans="1:7" ht="20.100000000000001" customHeight="1">
      <c r="A126" s="3">
        <v>7</v>
      </c>
      <c r="B126" s="10" t="s">
        <v>505</v>
      </c>
      <c r="C126" s="70" t="s">
        <v>506</v>
      </c>
      <c r="D126" s="14" t="s">
        <v>1052</v>
      </c>
      <c r="E126" s="71">
        <v>500000</v>
      </c>
      <c r="F126" s="71">
        <v>500000</v>
      </c>
      <c r="G126" s="72">
        <v>0</v>
      </c>
    </row>
    <row r="127" spans="1:7" ht="20.100000000000001" customHeight="1">
      <c r="A127" s="3">
        <v>8</v>
      </c>
      <c r="B127" s="10" t="s">
        <v>507</v>
      </c>
      <c r="C127" s="70" t="s">
        <v>1071</v>
      </c>
      <c r="D127" s="14" t="s">
        <v>1052</v>
      </c>
      <c r="E127" s="71">
        <v>500000</v>
      </c>
      <c r="F127" s="71">
        <v>500000</v>
      </c>
      <c r="G127" s="72">
        <v>0</v>
      </c>
    </row>
    <row r="128" spans="1:7" ht="20.100000000000001" customHeight="1">
      <c r="A128" s="3">
        <v>9</v>
      </c>
      <c r="B128" s="17" t="s">
        <v>1239</v>
      </c>
      <c r="C128" s="70" t="s">
        <v>1240</v>
      </c>
      <c r="D128" s="14" t="s">
        <v>1053</v>
      </c>
      <c r="E128" s="71">
        <v>500000</v>
      </c>
      <c r="F128" s="71">
        <v>500000</v>
      </c>
      <c r="G128" s="72">
        <v>0</v>
      </c>
    </row>
    <row r="129" spans="1:7" ht="20.100000000000001" customHeight="1">
      <c r="A129" s="3">
        <v>10</v>
      </c>
      <c r="B129" s="10" t="s">
        <v>508</v>
      </c>
      <c r="C129" s="70" t="s">
        <v>509</v>
      </c>
      <c r="D129" s="9" t="s">
        <v>55</v>
      </c>
      <c r="E129" s="71">
        <v>300000</v>
      </c>
      <c r="F129" s="71">
        <v>300000</v>
      </c>
      <c r="G129" s="72">
        <v>0</v>
      </c>
    </row>
    <row r="130" spans="1:7" ht="20.100000000000001" customHeight="1">
      <c r="A130" s="3">
        <v>11</v>
      </c>
      <c r="B130" s="17" t="s">
        <v>510</v>
      </c>
      <c r="C130" s="70" t="s">
        <v>511</v>
      </c>
      <c r="D130" s="14" t="s">
        <v>72</v>
      </c>
      <c r="E130" s="71">
        <v>300000</v>
      </c>
      <c r="F130" s="71">
        <v>300000</v>
      </c>
      <c r="G130" s="72">
        <v>0</v>
      </c>
    </row>
    <row r="131" spans="1:7" ht="20.100000000000001" customHeight="1">
      <c r="A131" s="3"/>
      <c r="B131" s="19" t="s">
        <v>42</v>
      </c>
      <c r="C131" s="86" t="s">
        <v>1241</v>
      </c>
      <c r="D131" s="14"/>
      <c r="E131" s="78">
        <f>SUM(E120:E130)</f>
        <v>6400000</v>
      </c>
      <c r="F131" s="78">
        <f t="shared" ref="F131:G131" si="14">SUM(F120:F130)</f>
        <v>2100000</v>
      </c>
      <c r="G131" s="78">
        <f t="shared" si="14"/>
        <v>4300000</v>
      </c>
    </row>
    <row r="132" spans="1:7" ht="20.100000000000001" customHeight="1">
      <c r="A132" s="3"/>
      <c r="B132" s="21"/>
      <c r="C132" s="86"/>
      <c r="D132" s="14"/>
      <c r="E132" s="79"/>
      <c r="F132" s="79"/>
      <c r="G132" s="79"/>
    </row>
    <row r="133" spans="1:7" ht="20.100000000000001" customHeight="1">
      <c r="A133" s="3"/>
      <c r="B133" s="19" t="s">
        <v>103</v>
      </c>
      <c r="C133" s="70"/>
      <c r="D133" s="14"/>
      <c r="E133" s="71"/>
      <c r="F133" s="71"/>
      <c r="G133" s="71"/>
    </row>
    <row r="134" spans="1:7" ht="20.100000000000001" customHeight="1">
      <c r="A134" s="26">
        <v>1</v>
      </c>
      <c r="B134" s="10" t="s">
        <v>514</v>
      </c>
      <c r="C134" s="70" t="s">
        <v>1318</v>
      </c>
      <c r="D134" s="14" t="s">
        <v>405</v>
      </c>
      <c r="E134" s="71">
        <f>1000000/2</f>
        <v>500000</v>
      </c>
      <c r="F134" s="72">
        <v>0</v>
      </c>
      <c r="G134" s="71">
        <f t="shared" ref="G134" si="15">1000000/2</f>
        <v>500000</v>
      </c>
    </row>
    <row r="135" spans="1:7" ht="20.100000000000001" customHeight="1">
      <c r="A135" s="26">
        <v>2</v>
      </c>
      <c r="B135" s="10" t="s">
        <v>338</v>
      </c>
      <c r="C135" s="70" t="s">
        <v>339</v>
      </c>
      <c r="D135" s="14" t="s">
        <v>340</v>
      </c>
      <c r="E135" s="71">
        <f>700000/2</f>
        <v>350000</v>
      </c>
      <c r="F135" s="72">
        <v>0</v>
      </c>
      <c r="G135" s="71">
        <f t="shared" ref="G135" si="16">700000/2</f>
        <v>350000</v>
      </c>
    </row>
    <row r="136" spans="1:7" ht="20.100000000000001" customHeight="1">
      <c r="A136" s="26">
        <v>3</v>
      </c>
      <c r="B136" s="13" t="s">
        <v>516</v>
      </c>
      <c r="C136" s="73" t="s">
        <v>517</v>
      </c>
      <c r="D136" s="15" t="s">
        <v>106</v>
      </c>
      <c r="E136" s="71">
        <v>700000</v>
      </c>
      <c r="F136" s="72">
        <v>0</v>
      </c>
      <c r="G136" s="71">
        <v>700000</v>
      </c>
    </row>
    <row r="137" spans="1:7" ht="20.100000000000001" customHeight="1">
      <c r="A137" s="26">
        <v>4</v>
      </c>
      <c r="B137" s="10" t="s">
        <v>518</v>
      </c>
      <c r="C137" s="70" t="s">
        <v>519</v>
      </c>
      <c r="D137" s="14" t="s">
        <v>450</v>
      </c>
      <c r="E137" s="71">
        <v>500000</v>
      </c>
      <c r="F137" s="72">
        <v>0</v>
      </c>
      <c r="G137" s="71">
        <v>500000</v>
      </c>
    </row>
    <row r="138" spans="1:7" ht="20.100000000000001" customHeight="1">
      <c r="A138" s="26">
        <v>5</v>
      </c>
      <c r="B138" s="10" t="s">
        <v>520</v>
      </c>
      <c r="C138" s="73" t="s">
        <v>521</v>
      </c>
      <c r="D138" s="14" t="s">
        <v>450</v>
      </c>
      <c r="E138" s="71">
        <v>500000</v>
      </c>
      <c r="F138" s="72">
        <v>0</v>
      </c>
      <c r="G138" s="71">
        <v>500000</v>
      </c>
    </row>
    <row r="139" spans="1:7" ht="20.100000000000001" customHeight="1">
      <c r="A139" s="26">
        <v>6</v>
      </c>
      <c r="B139" s="10" t="s">
        <v>473</v>
      </c>
      <c r="C139" s="73" t="s">
        <v>527</v>
      </c>
      <c r="D139" s="14" t="s">
        <v>1052</v>
      </c>
      <c r="E139" s="71">
        <v>500000</v>
      </c>
      <c r="F139" s="71">
        <v>500000</v>
      </c>
      <c r="G139" s="72">
        <v>0</v>
      </c>
    </row>
    <row r="140" spans="1:7" ht="20.100000000000001" customHeight="1">
      <c r="A140" s="26">
        <v>7</v>
      </c>
      <c r="B140" s="10" t="s">
        <v>523</v>
      </c>
      <c r="C140" s="70" t="s">
        <v>524</v>
      </c>
      <c r="D140" s="14" t="s">
        <v>440</v>
      </c>
      <c r="E140" s="71">
        <v>400000</v>
      </c>
      <c r="F140" s="71">
        <v>400000</v>
      </c>
      <c r="G140" s="72">
        <v>0</v>
      </c>
    </row>
    <row r="141" spans="1:7" ht="20.100000000000001" customHeight="1">
      <c r="A141" s="26">
        <v>8</v>
      </c>
      <c r="B141" s="10" t="s">
        <v>525</v>
      </c>
      <c r="C141" s="70" t="s">
        <v>524</v>
      </c>
      <c r="D141" s="14" t="s">
        <v>440</v>
      </c>
      <c r="E141" s="71">
        <v>400000</v>
      </c>
      <c r="F141" s="71">
        <v>400000</v>
      </c>
      <c r="G141" s="72">
        <v>0</v>
      </c>
    </row>
    <row r="142" spans="1:7" ht="20.100000000000001" customHeight="1">
      <c r="A142" s="26">
        <v>9</v>
      </c>
      <c r="B142" s="10" t="s">
        <v>526</v>
      </c>
      <c r="C142" s="73" t="s">
        <v>527</v>
      </c>
      <c r="D142" s="14" t="s">
        <v>440</v>
      </c>
      <c r="E142" s="71">
        <v>400000</v>
      </c>
      <c r="F142" s="71">
        <v>400000</v>
      </c>
      <c r="G142" s="72">
        <v>0</v>
      </c>
    </row>
    <row r="143" spans="1:7" ht="20.100000000000001" customHeight="1">
      <c r="A143" s="26">
        <v>10</v>
      </c>
      <c r="B143" s="10" t="s">
        <v>528</v>
      </c>
      <c r="C143" s="70" t="s">
        <v>533</v>
      </c>
      <c r="D143" s="14" t="s">
        <v>32</v>
      </c>
      <c r="E143" s="71">
        <v>400000</v>
      </c>
      <c r="F143" s="71">
        <v>400000</v>
      </c>
      <c r="G143" s="72">
        <v>0</v>
      </c>
    </row>
    <row r="144" spans="1:7" ht="20.100000000000001" customHeight="1">
      <c r="A144" s="26">
        <v>11</v>
      </c>
      <c r="B144" s="10" t="s">
        <v>530</v>
      </c>
      <c r="C144" s="70" t="s">
        <v>1072</v>
      </c>
      <c r="D144" s="14" t="s">
        <v>453</v>
      </c>
      <c r="E144" s="71">
        <v>300000</v>
      </c>
      <c r="F144" s="71">
        <v>300000</v>
      </c>
      <c r="G144" s="72">
        <v>0</v>
      </c>
    </row>
    <row r="145" spans="1:7" ht="20.100000000000001" customHeight="1">
      <c r="A145" s="26">
        <v>12</v>
      </c>
      <c r="B145" s="10" t="s">
        <v>532</v>
      </c>
      <c r="C145" s="70" t="s">
        <v>533</v>
      </c>
      <c r="D145" s="14" t="s">
        <v>32</v>
      </c>
      <c r="E145" s="71">
        <v>400000</v>
      </c>
      <c r="F145" s="71">
        <v>400000</v>
      </c>
      <c r="G145" s="72">
        <v>0</v>
      </c>
    </row>
    <row r="146" spans="1:7" ht="20.100000000000001" customHeight="1">
      <c r="A146" s="26">
        <v>13</v>
      </c>
      <c r="B146" s="10" t="s">
        <v>536</v>
      </c>
      <c r="C146" s="73" t="s">
        <v>537</v>
      </c>
      <c r="D146" s="14" t="s">
        <v>409</v>
      </c>
      <c r="E146" s="71">
        <v>300000</v>
      </c>
      <c r="F146" s="71">
        <v>300000</v>
      </c>
      <c r="G146" s="72">
        <v>0</v>
      </c>
    </row>
    <row r="147" spans="1:7" ht="20.100000000000001" customHeight="1">
      <c r="A147" s="26">
        <v>14</v>
      </c>
      <c r="B147" s="10" t="s">
        <v>538</v>
      </c>
      <c r="C147" s="73" t="s">
        <v>537</v>
      </c>
      <c r="D147" s="14" t="s">
        <v>409</v>
      </c>
      <c r="E147" s="71">
        <v>300000</v>
      </c>
      <c r="F147" s="71">
        <v>300000</v>
      </c>
      <c r="G147" s="72">
        <v>0</v>
      </c>
    </row>
    <row r="148" spans="1:7" ht="20.100000000000001" customHeight="1">
      <c r="A148" s="26">
        <v>15</v>
      </c>
      <c r="B148" s="10" t="s">
        <v>540</v>
      </c>
      <c r="C148" s="73" t="s">
        <v>537</v>
      </c>
      <c r="D148" s="14" t="s">
        <v>409</v>
      </c>
      <c r="E148" s="71">
        <v>300000</v>
      </c>
      <c r="F148" s="71">
        <v>300000</v>
      </c>
      <c r="G148" s="72">
        <v>0</v>
      </c>
    </row>
    <row r="149" spans="1:7" ht="20.100000000000001" customHeight="1">
      <c r="A149" s="26">
        <v>16</v>
      </c>
      <c r="B149" s="10" t="s">
        <v>541</v>
      </c>
      <c r="C149" s="70" t="s">
        <v>542</v>
      </c>
      <c r="D149" s="14" t="s">
        <v>37</v>
      </c>
      <c r="E149" s="71">
        <v>300000</v>
      </c>
      <c r="F149" s="71">
        <v>300000</v>
      </c>
      <c r="G149" s="72">
        <v>0</v>
      </c>
    </row>
    <row r="150" spans="1:7" ht="20.100000000000001" customHeight="1">
      <c r="A150" s="26">
        <v>17</v>
      </c>
      <c r="B150" s="10" t="s">
        <v>1055</v>
      </c>
      <c r="C150" s="70" t="s">
        <v>544</v>
      </c>
      <c r="D150" s="9" t="s">
        <v>55</v>
      </c>
      <c r="E150" s="71">
        <v>300000</v>
      </c>
      <c r="F150" s="71">
        <v>300000</v>
      </c>
      <c r="G150" s="72">
        <v>0</v>
      </c>
    </row>
    <row r="151" spans="1:7" ht="20.100000000000001" customHeight="1">
      <c r="A151" s="26">
        <v>18</v>
      </c>
      <c r="B151" s="10" t="s">
        <v>545</v>
      </c>
      <c r="C151" s="70" t="s">
        <v>546</v>
      </c>
      <c r="D151" s="14" t="s">
        <v>37</v>
      </c>
      <c r="E151" s="71">
        <v>300000</v>
      </c>
      <c r="F151" s="71">
        <v>300000</v>
      </c>
      <c r="G151" s="72">
        <v>0</v>
      </c>
    </row>
    <row r="152" spans="1:7" ht="20.100000000000001" customHeight="1">
      <c r="A152" s="26">
        <v>19</v>
      </c>
      <c r="B152" s="10" t="s">
        <v>547</v>
      </c>
      <c r="C152" s="70" t="s">
        <v>548</v>
      </c>
      <c r="D152" s="14" t="s">
        <v>55</v>
      </c>
      <c r="E152" s="71">
        <v>300000</v>
      </c>
      <c r="F152" s="71">
        <v>300000</v>
      </c>
      <c r="G152" s="72">
        <v>0</v>
      </c>
    </row>
    <row r="153" spans="1:7" ht="20.100000000000001" customHeight="1">
      <c r="A153" s="26">
        <v>20</v>
      </c>
      <c r="B153" s="10" t="s">
        <v>549</v>
      </c>
      <c r="C153" s="70" t="s">
        <v>550</v>
      </c>
      <c r="D153" s="14" t="s">
        <v>37</v>
      </c>
      <c r="E153" s="71">
        <v>300000</v>
      </c>
      <c r="F153" s="71">
        <v>300000</v>
      </c>
      <c r="G153" s="72">
        <v>0</v>
      </c>
    </row>
    <row r="154" spans="1:7" ht="20.100000000000001" customHeight="1">
      <c r="A154" s="26">
        <v>21</v>
      </c>
      <c r="B154" s="10" t="s">
        <v>551</v>
      </c>
      <c r="C154" s="70" t="s">
        <v>552</v>
      </c>
      <c r="D154" s="14" t="s">
        <v>55</v>
      </c>
      <c r="E154" s="71">
        <v>300000</v>
      </c>
      <c r="F154" s="71">
        <v>300000</v>
      </c>
      <c r="G154" s="72">
        <v>0</v>
      </c>
    </row>
    <row r="155" spans="1:7" ht="20.100000000000001" customHeight="1">
      <c r="A155" s="26">
        <v>22</v>
      </c>
      <c r="B155" s="17" t="s">
        <v>553</v>
      </c>
      <c r="C155" s="70" t="s">
        <v>558</v>
      </c>
      <c r="D155" s="14" t="s">
        <v>1264</v>
      </c>
      <c r="E155" s="71">
        <v>300000</v>
      </c>
      <c r="F155" s="71">
        <v>300000</v>
      </c>
      <c r="G155" s="72">
        <v>0</v>
      </c>
    </row>
    <row r="156" spans="1:7" ht="20.100000000000001" customHeight="1">
      <c r="A156" s="26">
        <v>23</v>
      </c>
      <c r="B156" s="17" t="s">
        <v>1242</v>
      </c>
      <c r="C156" s="70" t="s">
        <v>556</v>
      </c>
      <c r="D156" s="14" t="s">
        <v>72</v>
      </c>
      <c r="E156" s="71">
        <v>300000</v>
      </c>
      <c r="F156" s="71">
        <v>300000</v>
      </c>
      <c r="G156" s="72">
        <v>0</v>
      </c>
    </row>
    <row r="157" spans="1:7" ht="20.100000000000001" customHeight="1">
      <c r="A157" s="26">
        <v>24</v>
      </c>
      <c r="B157" s="17" t="s">
        <v>555</v>
      </c>
      <c r="C157" s="70" t="s">
        <v>556</v>
      </c>
      <c r="D157" s="14" t="s">
        <v>72</v>
      </c>
      <c r="E157" s="71">
        <v>300000</v>
      </c>
      <c r="F157" s="71">
        <v>300000</v>
      </c>
      <c r="G157" s="72">
        <v>0</v>
      </c>
    </row>
    <row r="158" spans="1:7" ht="20.100000000000001" customHeight="1">
      <c r="A158" s="26">
        <v>25</v>
      </c>
      <c r="B158" s="17" t="s">
        <v>557</v>
      </c>
      <c r="C158" s="70" t="s">
        <v>558</v>
      </c>
      <c r="D158" s="14" t="s">
        <v>72</v>
      </c>
      <c r="E158" s="71">
        <v>300000</v>
      </c>
      <c r="F158" s="71">
        <v>300000</v>
      </c>
      <c r="G158" s="72">
        <v>0</v>
      </c>
    </row>
    <row r="159" spans="1:7" ht="20.100000000000001" customHeight="1">
      <c r="A159" s="26">
        <v>26</v>
      </c>
      <c r="B159" s="17" t="s">
        <v>559</v>
      </c>
      <c r="C159" s="70" t="s">
        <v>560</v>
      </c>
      <c r="D159" s="14" t="s">
        <v>72</v>
      </c>
      <c r="E159" s="71">
        <v>300000</v>
      </c>
      <c r="F159" s="71">
        <v>300000</v>
      </c>
      <c r="G159" s="72">
        <v>0</v>
      </c>
    </row>
    <row r="160" spans="1:7" ht="20.100000000000001" customHeight="1">
      <c r="A160" s="26">
        <v>27</v>
      </c>
      <c r="B160" s="17" t="s">
        <v>561</v>
      </c>
      <c r="C160" s="70" t="s">
        <v>562</v>
      </c>
      <c r="D160" s="14" t="s">
        <v>72</v>
      </c>
      <c r="E160" s="71">
        <v>300000</v>
      </c>
      <c r="F160" s="71">
        <v>300000</v>
      </c>
      <c r="G160" s="72">
        <v>0</v>
      </c>
    </row>
    <row r="161" spans="1:7" ht="20.100000000000001" customHeight="1">
      <c r="A161" s="26">
        <v>28</v>
      </c>
      <c r="B161" s="10" t="s">
        <v>564</v>
      </c>
      <c r="C161" s="70" t="s">
        <v>565</v>
      </c>
      <c r="D161" s="14" t="s">
        <v>583</v>
      </c>
      <c r="E161" s="71">
        <v>100000</v>
      </c>
      <c r="F161" s="71">
        <v>100000</v>
      </c>
      <c r="G161" s="72">
        <v>0</v>
      </c>
    </row>
    <row r="162" spans="1:7" ht="20.100000000000001" customHeight="1">
      <c r="A162" s="26">
        <v>29</v>
      </c>
      <c r="B162" s="10" t="s">
        <v>567</v>
      </c>
      <c r="C162" s="70" t="s">
        <v>565</v>
      </c>
      <c r="D162" s="14" t="s">
        <v>583</v>
      </c>
      <c r="E162" s="71">
        <v>100000</v>
      </c>
      <c r="F162" s="71">
        <v>100000</v>
      </c>
      <c r="G162" s="72">
        <v>0</v>
      </c>
    </row>
    <row r="163" spans="1:7" ht="20.100000000000001" customHeight="1">
      <c r="A163" s="26">
        <v>30</v>
      </c>
      <c r="B163" s="10" t="s">
        <v>568</v>
      </c>
      <c r="C163" s="70" t="s">
        <v>565</v>
      </c>
      <c r="D163" s="14" t="s">
        <v>583</v>
      </c>
      <c r="E163" s="71">
        <v>100000</v>
      </c>
      <c r="F163" s="71">
        <v>100000</v>
      </c>
      <c r="G163" s="72">
        <v>0</v>
      </c>
    </row>
    <row r="164" spans="1:7" ht="20.100000000000001" customHeight="1">
      <c r="A164" s="26">
        <v>31</v>
      </c>
      <c r="B164" s="10" t="s">
        <v>769</v>
      </c>
      <c r="C164" s="70" t="s">
        <v>565</v>
      </c>
      <c r="D164" s="14" t="s">
        <v>583</v>
      </c>
      <c r="E164" s="71">
        <v>100000</v>
      </c>
      <c r="F164" s="71">
        <v>100000</v>
      </c>
      <c r="G164" s="72">
        <v>0</v>
      </c>
    </row>
    <row r="165" spans="1:7" ht="20.100000000000001" customHeight="1">
      <c r="A165" s="26">
        <v>32</v>
      </c>
      <c r="B165" s="10" t="s">
        <v>767</v>
      </c>
      <c r="C165" s="70" t="s">
        <v>565</v>
      </c>
      <c r="D165" s="14" t="s">
        <v>583</v>
      </c>
      <c r="E165" s="71">
        <v>100000</v>
      </c>
      <c r="F165" s="71">
        <v>100000</v>
      </c>
      <c r="G165" s="72">
        <v>0</v>
      </c>
    </row>
    <row r="166" spans="1:7" ht="20.100000000000001" customHeight="1">
      <c r="A166" s="26">
        <v>33</v>
      </c>
      <c r="B166" s="10" t="s">
        <v>569</v>
      </c>
      <c r="C166" s="70" t="s">
        <v>565</v>
      </c>
      <c r="D166" s="14" t="s">
        <v>583</v>
      </c>
      <c r="E166" s="71">
        <v>100000</v>
      </c>
      <c r="F166" s="71">
        <v>100000</v>
      </c>
      <c r="G166" s="72">
        <v>0</v>
      </c>
    </row>
    <row r="167" spans="1:7" ht="20.100000000000001" customHeight="1">
      <c r="A167" s="26">
        <v>34</v>
      </c>
      <c r="B167" s="10" t="s">
        <v>570</v>
      </c>
      <c r="C167" s="70" t="s">
        <v>565</v>
      </c>
      <c r="D167" s="14" t="s">
        <v>583</v>
      </c>
      <c r="E167" s="71">
        <v>100000</v>
      </c>
      <c r="F167" s="71">
        <v>100000</v>
      </c>
      <c r="G167" s="72">
        <v>0</v>
      </c>
    </row>
    <row r="168" spans="1:7" ht="20.100000000000001" customHeight="1">
      <c r="A168" s="26">
        <v>35</v>
      </c>
      <c r="B168" s="10" t="s">
        <v>571</v>
      </c>
      <c r="C168" s="70" t="s">
        <v>565</v>
      </c>
      <c r="D168" s="14" t="s">
        <v>580</v>
      </c>
      <c r="E168" s="71">
        <v>100000</v>
      </c>
      <c r="F168" s="71">
        <v>100000</v>
      </c>
      <c r="G168" s="72">
        <v>0</v>
      </c>
    </row>
    <row r="169" spans="1:7" ht="20.100000000000001" customHeight="1">
      <c r="A169" s="26">
        <v>36</v>
      </c>
      <c r="B169" s="10" t="s">
        <v>573</v>
      </c>
      <c r="C169" s="70" t="s">
        <v>565</v>
      </c>
      <c r="D169" s="14" t="s">
        <v>580</v>
      </c>
      <c r="E169" s="71">
        <v>100000</v>
      </c>
      <c r="F169" s="71">
        <v>100000</v>
      </c>
      <c r="G169" s="72">
        <v>0</v>
      </c>
    </row>
    <row r="170" spans="1:7" ht="20.100000000000001" customHeight="1">
      <c r="A170" s="26">
        <v>37</v>
      </c>
      <c r="B170" s="10" t="s">
        <v>1220</v>
      </c>
      <c r="C170" s="70" t="s">
        <v>565</v>
      </c>
      <c r="D170" s="14" t="s">
        <v>580</v>
      </c>
      <c r="E170" s="71">
        <v>100000</v>
      </c>
      <c r="F170" s="71">
        <v>100000</v>
      </c>
      <c r="G170" s="72">
        <v>0</v>
      </c>
    </row>
    <row r="171" spans="1:7" ht="20.100000000000001" customHeight="1">
      <c r="A171" s="26">
        <v>38</v>
      </c>
      <c r="B171" s="13" t="s">
        <v>574</v>
      </c>
      <c r="C171" s="70" t="s">
        <v>565</v>
      </c>
      <c r="D171" s="14" t="s">
        <v>580</v>
      </c>
      <c r="E171" s="71">
        <v>100000</v>
      </c>
      <c r="F171" s="71">
        <v>100000</v>
      </c>
      <c r="G171" s="72">
        <v>0</v>
      </c>
    </row>
    <row r="172" spans="1:7" ht="20.100000000000001" customHeight="1">
      <c r="A172" s="26">
        <v>39</v>
      </c>
      <c r="B172" s="10" t="s">
        <v>575</v>
      </c>
      <c r="C172" s="70" t="s">
        <v>565</v>
      </c>
      <c r="D172" s="14" t="s">
        <v>580</v>
      </c>
      <c r="E172" s="71">
        <v>100000</v>
      </c>
      <c r="F172" s="71">
        <v>100000</v>
      </c>
      <c r="G172" s="72">
        <v>0</v>
      </c>
    </row>
    <row r="173" spans="1:7" ht="20.100000000000001" customHeight="1">
      <c r="A173" s="26">
        <v>40</v>
      </c>
      <c r="B173" s="17" t="s">
        <v>576</v>
      </c>
      <c r="C173" s="70" t="s">
        <v>565</v>
      </c>
      <c r="D173" s="14" t="s">
        <v>580</v>
      </c>
      <c r="E173" s="71">
        <v>100000</v>
      </c>
      <c r="F173" s="71">
        <v>100000</v>
      </c>
      <c r="G173" s="72">
        <v>0</v>
      </c>
    </row>
    <row r="174" spans="1:7" ht="20.100000000000001" customHeight="1">
      <c r="A174" s="26">
        <v>41</v>
      </c>
      <c r="B174" s="17" t="s">
        <v>577</v>
      </c>
      <c r="C174" s="70" t="s">
        <v>565</v>
      </c>
      <c r="D174" s="14" t="s">
        <v>580</v>
      </c>
      <c r="E174" s="71">
        <v>100000</v>
      </c>
      <c r="F174" s="71">
        <v>100000</v>
      </c>
      <c r="G174" s="72">
        <v>0</v>
      </c>
    </row>
    <row r="175" spans="1:7" ht="20.100000000000001" customHeight="1">
      <c r="A175" s="26">
        <v>42</v>
      </c>
      <c r="B175" s="10" t="s">
        <v>578</v>
      </c>
      <c r="C175" s="70" t="s">
        <v>585</v>
      </c>
      <c r="D175" s="14" t="s">
        <v>1056</v>
      </c>
      <c r="E175" s="71">
        <v>100000</v>
      </c>
      <c r="F175" s="71">
        <v>100000</v>
      </c>
      <c r="G175" s="72">
        <v>0</v>
      </c>
    </row>
    <row r="176" spans="1:7" ht="20.100000000000001" customHeight="1">
      <c r="A176" s="26">
        <v>43</v>
      </c>
      <c r="B176" s="10" t="s">
        <v>581</v>
      </c>
      <c r="C176" s="70" t="s">
        <v>585</v>
      </c>
      <c r="D176" s="14" t="s">
        <v>1056</v>
      </c>
      <c r="E176" s="71">
        <v>100000</v>
      </c>
      <c r="F176" s="71">
        <v>100000</v>
      </c>
      <c r="G176" s="72">
        <v>0</v>
      </c>
    </row>
    <row r="177" spans="1:7" ht="20.100000000000001" customHeight="1">
      <c r="A177" s="26">
        <v>44</v>
      </c>
      <c r="B177" s="17" t="s">
        <v>582</v>
      </c>
      <c r="C177" s="70" t="s">
        <v>585</v>
      </c>
      <c r="D177" s="14" t="s">
        <v>586</v>
      </c>
      <c r="E177" s="71">
        <v>100000</v>
      </c>
      <c r="F177" s="71">
        <v>100000</v>
      </c>
      <c r="G177" s="72">
        <v>0</v>
      </c>
    </row>
    <row r="178" spans="1:7" ht="20.100000000000001" customHeight="1">
      <c r="A178" s="26">
        <v>45</v>
      </c>
      <c r="B178" s="10" t="s">
        <v>584</v>
      </c>
      <c r="C178" s="70" t="s">
        <v>585</v>
      </c>
      <c r="D178" s="14" t="s">
        <v>599</v>
      </c>
      <c r="E178" s="71">
        <v>100000</v>
      </c>
      <c r="F178" s="71">
        <v>100000</v>
      </c>
      <c r="G178" s="72">
        <v>0</v>
      </c>
    </row>
    <row r="179" spans="1:7" ht="20.100000000000001" customHeight="1">
      <c r="A179" s="26">
        <v>46</v>
      </c>
      <c r="B179" s="10" t="s">
        <v>587</v>
      </c>
      <c r="C179" s="70" t="s">
        <v>588</v>
      </c>
      <c r="D179" s="14" t="s">
        <v>1288</v>
      </c>
      <c r="E179" s="71">
        <v>100000</v>
      </c>
      <c r="F179" s="71">
        <v>100000</v>
      </c>
      <c r="G179" s="72">
        <v>0</v>
      </c>
    </row>
    <row r="180" spans="1:7" ht="20.100000000000001" customHeight="1">
      <c r="A180" s="26">
        <v>47</v>
      </c>
      <c r="B180" s="10" t="s">
        <v>590</v>
      </c>
      <c r="C180" s="70" t="s">
        <v>588</v>
      </c>
      <c r="D180" s="14" t="s">
        <v>1288</v>
      </c>
      <c r="E180" s="71">
        <v>100000</v>
      </c>
      <c r="F180" s="71">
        <v>100000</v>
      </c>
      <c r="G180" s="72">
        <v>0</v>
      </c>
    </row>
    <row r="181" spans="1:7" ht="20.100000000000001" customHeight="1">
      <c r="A181" s="26">
        <v>48</v>
      </c>
      <c r="B181" s="10" t="s">
        <v>591</v>
      </c>
      <c r="C181" s="70" t="s">
        <v>588</v>
      </c>
      <c r="D181" s="14" t="s">
        <v>1288</v>
      </c>
      <c r="E181" s="71">
        <v>100000</v>
      </c>
      <c r="F181" s="71">
        <v>100000</v>
      </c>
      <c r="G181" s="72">
        <v>0</v>
      </c>
    </row>
    <row r="182" spans="1:7" ht="20.100000000000001" customHeight="1">
      <c r="A182" s="26">
        <v>49</v>
      </c>
      <c r="B182" s="10" t="s">
        <v>592</v>
      </c>
      <c r="C182" s="70" t="s">
        <v>588</v>
      </c>
      <c r="D182" s="14" t="s">
        <v>1288</v>
      </c>
      <c r="E182" s="71">
        <v>100000</v>
      </c>
      <c r="F182" s="71">
        <v>100000</v>
      </c>
      <c r="G182" s="72">
        <v>0</v>
      </c>
    </row>
    <row r="183" spans="1:7" ht="20.100000000000001" customHeight="1">
      <c r="A183" s="26">
        <v>50</v>
      </c>
      <c r="B183" s="10" t="s">
        <v>593</v>
      </c>
      <c r="C183" s="70" t="s">
        <v>588</v>
      </c>
      <c r="D183" s="14" t="s">
        <v>1288</v>
      </c>
      <c r="E183" s="71">
        <v>100000</v>
      </c>
      <c r="F183" s="71">
        <v>100000</v>
      </c>
      <c r="G183" s="72">
        <v>0</v>
      </c>
    </row>
    <row r="184" spans="1:7" ht="20.100000000000001" customHeight="1">
      <c r="A184" s="26">
        <v>51</v>
      </c>
      <c r="B184" s="17" t="s">
        <v>594</v>
      </c>
      <c r="C184" s="70" t="s">
        <v>588</v>
      </c>
      <c r="D184" s="14" t="s">
        <v>609</v>
      </c>
      <c r="E184" s="71">
        <v>100000</v>
      </c>
      <c r="F184" s="71">
        <v>100000</v>
      </c>
      <c r="G184" s="72">
        <v>0</v>
      </c>
    </row>
    <row r="185" spans="1:7" ht="20.100000000000001" customHeight="1">
      <c r="A185" s="26">
        <v>52</v>
      </c>
      <c r="B185" s="17" t="s">
        <v>595</v>
      </c>
      <c r="C185" s="70" t="s">
        <v>588</v>
      </c>
      <c r="D185" s="14" t="s">
        <v>609</v>
      </c>
      <c r="E185" s="71">
        <v>100000</v>
      </c>
      <c r="F185" s="71">
        <v>100000</v>
      </c>
      <c r="G185" s="72">
        <v>0</v>
      </c>
    </row>
    <row r="186" spans="1:7" ht="20.100000000000001" customHeight="1">
      <c r="A186" s="26">
        <v>53</v>
      </c>
      <c r="B186" s="10" t="s">
        <v>596</v>
      </c>
      <c r="C186" s="70" t="s">
        <v>585</v>
      </c>
      <c r="D186" s="14" t="s">
        <v>609</v>
      </c>
      <c r="E186" s="71">
        <v>100000</v>
      </c>
      <c r="F186" s="71">
        <v>100000</v>
      </c>
      <c r="G186" s="72">
        <v>0</v>
      </c>
    </row>
    <row r="187" spans="1:7" ht="20.100000000000001" customHeight="1">
      <c r="A187" s="26">
        <v>54</v>
      </c>
      <c r="B187" s="10" t="s">
        <v>597</v>
      </c>
      <c r="C187" s="70" t="s">
        <v>585</v>
      </c>
      <c r="D187" s="14" t="s">
        <v>609</v>
      </c>
      <c r="E187" s="71">
        <v>100000</v>
      </c>
      <c r="F187" s="71">
        <v>100000</v>
      </c>
      <c r="G187" s="72">
        <v>0</v>
      </c>
    </row>
    <row r="188" spans="1:7" ht="20.100000000000001" customHeight="1">
      <c r="A188" s="26">
        <v>55</v>
      </c>
      <c r="B188" s="17" t="s">
        <v>598</v>
      </c>
      <c r="C188" s="70" t="s">
        <v>588</v>
      </c>
      <c r="D188" s="14" t="s">
        <v>601</v>
      </c>
      <c r="E188" s="71">
        <v>100000</v>
      </c>
      <c r="F188" s="71">
        <v>100000</v>
      </c>
      <c r="G188" s="72">
        <v>0</v>
      </c>
    </row>
    <row r="189" spans="1:7" ht="20.100000000000001" customHeight="1">
      <c r="A189" s="26">
        <v>56</v>
      </c>
      <c r="B189" s="17" t="s">
        <v>600</v>
      </c>
      <c r="C189" s="70" t="s">
        <v>588</v>
      </c>
      <c r="D189" s="14" t="s">
        <v>604</v>
      </c>
      <c r="E189" s="71">
        <v>100000</v>
      </c>
      <c r="F189" s="71">
        <v>100000</v>
      </c>
      <c r="G189" s="72">
        <v>0</v>
      </c>
    </row>
    <row r="190" spans="1:7" ht="20.100000000000001" customHeight="1">
      <c r="A190" s="26"/>
      <c r="B190" s="7" t="s">
        <v>42</v>
      </c>
      <c r="C190" s="87" t="s">
        <v>1319</v>
      </c>
      <c r="D190" s="28"/>
      <c r="E190" s="78">
        <f>SUM(E134:E189)</f>
        <v>12750000</v>
      </c>
      <c r="F190" s="78">
        <f t="shared" ref="F190:G190" si="17">SUM(F134:F189)</f>
        <v>10200000</v>
      </c>
      <c r="G190" s="78">
        <f t="shared" si="17"/>
        <v>2550000</v>
      </c>
    </row>
    <row r="191" spans="1:7" ht="20.100000000000001" customHeight="1">
      <c r="A191" s="3"/>
      <c r="B191" s="29" t="s">
        <v>125</v>
      </c>
      <c r="C191" s="88">
        <f>C38+C43+C58+C62+C78+C86+C100+C107+C117+C131+C190+2</f>
        <v>152</v>
      </c>
      <c r="D191" s="31"/>
      <c r="E191" s="89">
        <f>E190+E131+E117+E107+E100+E86+E78+E62+E58+E43+E38</f>
        <v>62400000</v>
      </c>
      <c r="F191" s="89">
        <f>F190+F131+F117+F107+F100+F86+F78+F62+F58+F43+F38</f>
        <v>29750000</v>
      </c>
      <c r="G191" s="89">
        <f t="shared" ref="G191" si="18">G190+G131+G117+G107+G100+G86+G78+G62+G58+G43+G38</f>
        <v>32650000</v>
      </c>
    </row>
    <row r="192" spans="1:7" ht="20.100000000000001" customHeight="1">
      <c r="A192" s="2"/>
      <c r="B192" s="32"/>
      <c r="C192" s="32"/>
      <c r="D192" s="33"/>
      <c r="E192" s="90"/>
      <c r="F192" s="91"/>
      <c r="G192" s="91"/>
    </row>
    <row r="193" spans="1:5" ht="28.5" customHeight="1">
      <c r="A193" s="2"/>
      <c r="B193" s="32"/>
      <c r="C193" s="32"/>
      <c r="D193" s="33"/>
      <c r="E193" s="92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G6" sqref="G6"/>
    </sheetView>
  </sheetViews>
  <sheetFormatPr defaultColWidth="9" defaultRowHeight="12.75"/>
  <cols>
    <col min="3" max="3" width="11.85546875" customWidth="1"/>
    <col min="4" max="5" width="28.140625" customWidth="1"/>
  </cols>
  <sheetData>
    <row r="1" spans="1:6" ht="18.75">
      <c r="A1" s="909" t="s">
        <v>1320</v>
      </c>
      <c r="B1" s="909"/>
      <c r="C1" s="909"/>
      <c r="D1" s="909"/>
      <c r="E1" s="909"/>
      <c r="F1" s="909"/>
    </row>
    <row r="2" spans="1:6" ht="18.75">
      <c r="A2" s="910" t="s">
        <v>1321</v>
      </c>
      <c r="B2" s="910"/>
      <c r="C2" s="910"/>
      <c r="D2" s="910"/>
      <c r="E2" s="910"/>
      <c r="F2" s="910"/>
    </row>
    <row r="3" spans="1:6" ht="18.75">
      <c r="A3" s="911"/>
      <c r="B3" s="911"/>
      <c r="C3" s="911"/>
      <c r="D3" s="47" t="s">
        <v>1322</v>
      </c>
      <c r="E3" s="47" t="s">
        <v>1323</v>
      </c>
      <c r="F3" s="48"/>
    </row>
    <row r="4" spans="1:6" ht="18.75">
      <c r="A4" s="911" t="s">
        <v>1324</v>
      </c>
      <c r="B4" s="911"/>
      <c r="C4" s="911"/>
      <c r="D4" s="49">
        <f>E4*12</f>
        <v>948475.68</v>
      </c>
      <c r="E4" s="49">
        <f>SUMMARY!F3</f>
        <v>79039.64</v>
      </c>
      <c r="F4" s="45"/>
    </row>
    <row r="5" spans="1:6" ht="18.75">
      <c r="A5" s="911" t="s">
        <v>1325</v>
      </c>
      <c r="B5" s="911"/>
      <c r="C5" s="911"/>
      <c r="D5" s="49">
        <f t="shared" ref="D5:D14" si="0">E5*12</f>
        <v>2845427.04</v>
      </c>
      <c r="E5" s="49">
        <f>SUMMARY!H3</f>
        <v>237118.92</v>
      </c>
      <c r="F5" s="45"/>
    </row>
    <row r="6" spans="1:6" ht="18.75">
      <c r="A6" s="911" t="s">
        <v>1326</v>
      </c>
      <c r="B6" s="911"/>
      <c r="C6" s="911"/>
      <c r="D6" s="49">
        <f t="shared" si="0"/>
        <v>71135.676000000007</v>
      </c>
      <c r="E6" s="49">
        <f>SUMMARY!I3</f>
        <v>5927.973</v>
      </c>
      <c r="F6" s="45"/>
    </row>
    <row r="7" spans="1:6" ht="18.75">
      <c r="A7" s="911" t="s">
        <v>1327</v>
      </c>
      <c r="B7" s="911"/>
      <c r="C7" s="911"/>
      <c r="D7" s="49">
        <f t="shared" si="0"/>
        <v>962932.56</v>
      </c>
      <c r="E7" s="49">
        <f>SUMMARY!J3</f>
        <v>80244.38</v>
      </c>
      <c r="F7" s="45"/>
    </row>
    <row r="8" spans="1:6" ht="18.75">
      <c r="A8" s="911" t="s">
        <v>1328</v>
      </c>
      <c r="B8" s="911"/>
      <c r="C8" s="911"/>
      <c r="D8" s="49">
        <f t="shared" si="0"/>
        <v>474237.84</v>
      </c>
      <c r="E8" s="49">
        <f>SUMMARY!K3</f>
        <v>39519.82</v>
      </c>
      <c r="F8" s="45"/>
    </row>
    <row r="9" spans="1:6" ht="18.75">
      <c r="A9" s="911" t="s">
        <v>1329</v>
      </c>
      <c r="B9" s="911"/>
      <c r="C9" s="911"/>
      <c r="D9" s="49">
        <f t="shared" si="0"/>
        <v>3319664.88</v>
      </c>
      <c r="E9" s="49">
        <f>SUMMARY!L3</f>
        <v>276638.74</v>
      </c>
      <c r="F9" s="45"/>
    </row>
    <row r="10" spans="1:6" ht="18.75">
      <c r="A10" s="912" t="s">
        <v>1330</v>
      </c>
      <c r="B10" s="913"/>
      <c r="C10" s="914"/>
      <c r="D10" s="49">
        <f t="shared" si="0"/>
        <v>0</v>
      </c>
      <c r="E10" s="49"/>
      <c r="F10" s="45"/>
    </row>
    <row r="11" spans="1:6" ht="18.75">
      <c r="A11" s="911" t="s">
        <v>1331</v>
      </c>
      <c r="B11" s="911"/>
      <c r="C11" s="911"/>
      <c r="D11" s="49">
        <f t="shared" si="0"/>
        <v>948475.68</v>
      </c>
      <c r="E11" s="49">
        <f>SUMMARY!N3</f>
        <v>79039.64</v>
      </c>
      <c r="F11" s="45"/>
    </row>
    <row r="12" spans="1:6" ht="18.75">
      <c r="A12" s="911" t="s">
        <v>1332</v>
      </c>
      <c r="B12" s="911"/>
      <c r="C12" s="911"/>
      <c r="D12" s="49">
        <f t="shared" si="0"/>
        <v>94847.567999999999</v>
      </c>
      <c r="E12" s="49">
        <f>SUMMARY!O3</f>
        <v>7903.9639999999999</v>
      </c>
      <c r="F12" s="45"/>
    </row>
    <row r="13" spans="1:6" ht="18.75">
      <c r="A13" s="911" t="s">
        <v>1333</v>
      </c>
      <c r="B13" s="911"/>
      <c r="C13" s="911"/>
      <c r="D13" s="49">
        <f t="shared" si="0"/>
        <v>240000</v>
      </c>
      <c r="E13" s="49">
        <f>SUMMARY!P3</f>
        <v>20000</v>
      </c>
      <c r="F13" s="45"/>
    </row>
    <row r="14" spans="1:6" ht="18.75">
      <c r="A14" s="915" t="s">
        <v>9</v>
      </c>
      <c r="B14" s="915"/>
      <c r="C14" s="915"/>
      <c r="D14" s="51">
        <f t="shared" si="0"/>
        <v>9905196.9240000006</v>
      </c>
      <c r="E14" s="51">
        <f>SUM(E4:E13)</f>
        <v>825433.07700000005</v>
      </c>
      <c r="F14" s="45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02" right="0.7" top="1.1399999999999999" bottom="0.75" header="0.3" footer="0.3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E4" sqref="E4"/>
    </sheetView>
  </sheetViews>
  <sheetFormatPr defaultColWidth="9" defaultRowHeight="12.75"/>
  <cols>
    <col min="3" max="3" width="11.5703125" customWidth="1"/>
    <col min="4" max="4" width="25.42578125" customWidth="1"/>
    <col min="5" max="5" width="25.85546875" customWidth="1"/>
  </cols>
  <sheetData>
    <row r="1" spans="1:6" ht="18.75">
      <c r="A1" s="916" t="s">
        <v>1334</v>
      </c>
      <c r="B1" s="916"/>
      <c r="C1" s="916"/>
      <c r="D1" s="916"/>
      <c r="E1" s="916"/>
      <c r="F1" s="916"/>
    </row>
    <row r="2" spans="1:6" ht="18.75">
      <c r="A2" s="910" t="s">
        <v>1335</v>
      </c>
      <c r="B2" s="910"/>
      <c r="C2" s="910"/>
      <c r="D2" s="910"/>
      <c r="E2" s="910"/>
      <c r="F2" s="910"/>
    </row>
    <row r="3" spans="1:6" ht="18.75">
      <c r="A3" s="911"/>
      <c r="B3" s="911"/>
      <c r="C3" s="911"/>
      <c r="D3" s="47" t="s">
        <v>1322</v>
      </c>
      <c r="E3" s="47" t="s">
        <v>1323</v>
      </c>
      <c r="F3" s="48"/>
    </row>
    <row r="4" spans="1:6" ht="18.75">
      <c r="A4" s="911" t="s">
        <v>1324</v>
      </c>
      <c r="B4" s="911"/>
      <c r="C4" s="911"/>
      <c r="D4" s="49" t="e">
        <f>E4*12</f>
        <v>#REF!</v>
      </c>
      <c r="E4" s="49" t="e">
        <f>#REF!</f>
        <v>#REF!</v>
      </c>
      <c r="F4" s="45"/>
    </row>
    <row r="5" spans="1:6" ht="18.75">
      <c r="A5" s="911" t="s">
        <v>1325</v>
      </c>
      <c r="B5" s="911"/>
      <c r="C5" s="911"/>
      <c r="D5" s="49" t="e">
        <f t="shared" ref="D5:D13" si="0">E5*12</f>
        <v>#REF!</v>
      </c>
      <c r="E5" s="49" t="e">
        <f>#REF!</f>
        <v>#REF!</v>
      </c>
      <c r="F5" s="45"/>
    </row>
    <row r="6" spans="1:6" ht="18.75">
      <c r="A6" s="911" t="s">
        <v>1326</v>
      </c>
      <c r="B6" s="911"/>
      <c r="C6" s="911"/>
      <c r="D6" s="49" t="e">
        <f t="shared" si="0"/>
        <v>#REF!</v>
      </c>
      <c r="E6" s="49" t="e">
        <f>#REF!</f>
        <v>#REF!</v>
      </c>
      <c r="F6" s="45"/>
    </row>
    <row r="7" spans="1:6" ht="18.75">
      <c r="A7" s="911" t="s">
        <v>1327</v>
      </c>
      <c r="B7" s="911"/>
      <c r="C7" s="911"/>
      <c r="D7" s="49" t="e">
        <f t="shared" si="0"/>
        <v>#REF!</v>
      </c>
      <c r="E7" s="49" t="e">
        <f>#REF!</f>
        <v>#REF!</v>
      </c>
      <c r="F7" s="45"/>
    </row>
    <row r="8" spans="1:6" ht="18.75">
      <c r="A8" s="911" t="s">
        <v>1328</v>
      </c>
      <c r="B8" s="911"/>
      <c r="C8" s="911"/>
      <c r="D8" s="49" t="e">
        <f t="shared" si="0"/>
        <v>#REF!</v>
      </c>
      <c r="E8" s="49" t="e">
        <f>#REF!</f>
        <v>#REF!</v>
      </c>
      <c r="F8" s="45"/>
    </row>
    <row r="9" spans="1:6" ht="18.75">
      <c r="A9" s="911" t="s">
        <v>1329</v>
      </c>
      <c r="B9" s="911"/>
      <c r="C9" s="911"/>
      <c r="D9" s="49" t="e">
        <f t="shared" si="0"/>
        <v>#REF!</v>
      </c>
      <c r="E9" s="49" t="e">
        <f>#REF!</f>
        <v>#REF!</v>
      </c>
      <c r="F9" s="45"/>
    </row>
    <row r="10" spans="1:6" ht="18.75">
      <c r="A10" s="911" t="s">
        <v>1331</v>
      </c>
      <c r="B10" s="911"/>
      <c r="C10" s="911"/>
      <c r="D10" s="49" t="e">
        <f t="shared" si="0"/>
        <v>#REF!</v>
      </c>
      <c r="E10" s="49" t="e">
        <f>#REF!</f>
        <v>#REF!</v>
      </c>
      <c r="F10" s="45"/>
    </row>
    <row r="11" spans="1:6" ht="18.75">
      <c r="A11" s="912" t="s">
        <v>1336</v>
      </c>
      <c r="B11" s="913"/>
      <c r="C11" s="914"/>
      <c r="D11" s="49">
        <f t="shared" si="0"/>
        <v>1200000</v>
      </c>
      <c r="E11" s="49">
        <v>100000</v>
      </c>
      <c r="F11" s="45"/>
    </row>
    <row r="12" spans="1:6" ht="18.75">
      <c r="A12" s="911" t="s">
        <v>1332</v>
      </c>
      <c r="B12" s="911"/>
      <c r="C12" s="911"/>
      <c r="D12" s="49" t="e">
        <f t="shared" si="0"/>
        <v>#REF!</v>
      </c>
      <c r="E12" s="49" t="e">
        <f>#REF!</f>
        <v>#REF!</v>
      </c>
      <c r="F12" s="45"/>
    </row>
    <row r="13" spans="1:6" ht="18.75">
      <c r="A13" s="911" t="s">
        <v>1333</v>
      </c>
      <c r="B13" s="911"/>
      <c r="C13" s="911"/>
      <c r="D13" s="49" t="e">
        <f t="shared" si="0"/>
        <v>#REF!</v>
      </c>
      <c r="E13" s="49" t="e">
        <f>#REF!</f>
        <v>#REF!</v>
      </c>
      <c r="F13" s="45"/>
    </row>
    <row r="14" spans="1:6" ht="18.75">
      <c r="A14" s="915" t="s">
        <v>9</v>
      </c>
      <c r="B14" s="915"/>
      <c r="C14" s="915"/>
      <c r="D14" s="51" t="e">
        <f>SUM(D4:D13)</f>
        <v>#REF!</v>
      </c>
      <c r="E14" s="51" t="e">
        <f>SUM(E4:E13)</f>
        <v>#REF!</v>
      </c>
      <c r="F14" s="45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G9" sqref="G9"/>
    </sheetView>
  </sheetViews>
  <sheetFormatPr defaultColWidth="9" defaultRowHeight="12.75"/>
  <cols>
    <col min="3" max="3" width="11.28515625" customWidth="1"/>
    <col min="4" max="4" width="19" customWidth="1"/>
    <col min="5" max="5" width="19.140625" customWidth="1"/>
  </cols>
  <sheetData>
    <row r="1" spans="1:6" ht="18.75">
      <c r="A1" s="916" t="s">
        <v>1337</v>
      </c>
      <c r="B1" s="916"/>
      <c r="C1" s="916"/>
      <c r="D1" s="916"/>
      <c r="E1" s="916"/>
      <c r="F1" s="916"/>
    </row>
    <row r="2" spans="1:6" ht="18.75">
      <c r="A2" s="910" t="s">
        <v>1338</v>
      </c>
      <c r="B2" s="910"/>
      <c r="C2" s="910"/>
      <c r="D2" s="910"/>
      <c r="E2" s="910"/>
      <c r="F2" s="910"/>
    </row>
    <row r="3" spans="1:6" ht="18.75">
      <c r="A3" s="911"/>
      <c r="B3" s="911"/>
      <c r="C3" s="911"/>
      <c r="D3" s="47" t="s">
        <v>1322</v>
      </c>
      <c r="E3" s="47" t="s">
        <v>1323</v>
      </c>
      <c r="F3" s="48"/>
    </row>
    <row r="4" spans="1:6" ht="18.75">
      <c r="A4" s="911" t="s">
        <v>1324</v>
      </c>
      <c r="B4" s="911"/>
      <c r="C4" s="911"/>
      <c r="D4" s="49" t="e">
        <f>E4*12</f>
        <v>#REF!</v>
      </c>
      <c r="E4" s="49" t="e">
        <f>#REF!</f>
        <v>#REF!</v>
      </c>
      <c r="F4" s="45"/>
    </row>
    <row r="5" spans="1:6" ht="18.75">
      <c r="A5" s="911" t="s">
        <v>1325</v>
      </c>
      <c r="B5" s="911"/>
      <c r="C5" s="911"/>
      <c r="D5" s="49" t="e">
        <f t="shared" ref="D5:D14" si="0">E5*12</f>
        <v>#REF!</v>
      </c>
      <c r="E5" s="49" t="e">
        <f>#REF!</f>
        <v>#REF!</v>
      </c>
      <c r="F5" s="45"/>
    </row>
    <row r="6" spans="1:6" ht="18.75">
      <c r="A6" s="911" t="s">
        <v>1326</v>
      </c>
      <c r="B6" s="911"/>
      <c r="C6" s="911"/>
      <c r="D6" s="49" t="e">
        <f t="shared" si="0"/>
        <v>#REF!</v>
      </c>
      <c r="E6" s="49" t="e">
        <f>#REF!</f>
        <v>#REF!</v>
      </c>
      <c r="F6" s="45"/>
    </row>
    <row r="7" spans="1:6" ht="18.75">
      <c r="A7" s="911" t="s">
        <v>1327</v>
      </c>
      <c r="B7" s="911"/>
      <c r="C7" s="911"/>
      <c r="D7" s="49" t="e">
        <f t="shared" si="0"/>
        <v>#REF!</v>
      </c>
      <c r="E7" s="49" t="e">
        <f>#REF!</f>
        <v>#REF!</v>
      </c>
      <c r="F7" s="45"/>
    </row>
    <row r="8" spans="1:6" ht="18.75">
      <c r="A8" s="911" t="s">
        <v>1328</v>
      </c>
      <c r="B8" s="911"/>
      <c r="C8" s="911"/>
      <c r="D8" s="49" t="e">
        <f t="shared" si="0"/>
        <v>#REF!</v>
      </c>
      <c r="E8" s="49" t="e">
        <f>#REF!</f>
        <v>#REF!</v>
      </c>
      <c r="F8" s="45"/>
    </row>
    <row r="9" spans="1:6" ht="18.75">
      <c r="A9" s="911" t="s">
        <v>1329</v>
      </c>
      <c r="B9" s="911"/>
      <c r="C9" s="911"/>
      <c r="D9" s="49" t="e">
        <f t="shared" si="0"/>
        <v>#REF!</v>
      </c>
      <c r="E9" s="49" t="e">
        <f>#REF!</f>
        <v>#REF!</v>
      </c>
      <c r="F9" s="45"/>
    </row>
    <row r="10" spans="1:6" ht="18.75">
      <c r="A10" s="911" t="s">
        <v>1331</v>
      </c>
      <c r="B10" s="911"/>
      <c r="C10" s="911"/>
      <c r="D10" s="49" t="e">
        <f t="shared" si="0"/>
        <v>#REF!</v>
      </c>
      <c r="E10" s="49" t="e">
        <f>#REF!</f>
        <v>#REF!</v>
      </c>
      <c r="F10" s="45"/>
    </row>
    <row r="11" spans="1:6" ht="18.75">
      <c r="A11" s="912" t="s">
        <v>1330</v>
      </c>
      <c r="B11" s="913"/>
      <c r="C11" s="914"/>
      <c r="D11" s="49">
        <f t="shared" si="0"/>
        <v>0</v>
      </c>
      <c r="E11" s="49">
        <v>0</v>
      </c>
      <c r="F11" s="45"/>
    </row>
    <row r="12" spans="1:6" ht="18.75">
      <c r="A12" s="911" t="s">
        <v>1332</v>
      </c>
      <c r="B12" s="911"/>
      <c r="C12" s="911"/>
      <c r="D12" s="49" t="e">
        <f t="shared" si="0"/>
        <v>#REF!</v>
      </c>
      <c r="E12" s="49" t="e">
        <f>#REF!</f>
        <v>#REF!</v>
      </c>
      <c r="F12" s="45"/>
    </row>
    <row r="13" spans="1:6" ht="18.75">
      <c r="A13" s="911" t="s">
        <v>1333</v>
      </c>
      <c r="B13" s="911"/>
      <c r="C13" s="911"/>
      <c r="D13" s="49">
        <f t="shared" si="0"/>
        <v>240000</v>
      </c>
      <c r="E13" s="49">
        <v>20000</v>
      </c>
      <c r="F13" s="45"/>
    </row>
    <row r="14" spans="1:6" ht="18.75">
      <c r="A14" s="915" t="s">
        <v>9</v>
      </c>
      <c r="B14" s="915"/>
      <c r="C14" s="915"/>
      <c r="D14" s="51" t="e">
        <f t="shared" si="0"/>
        <v>#REF!</v>
      </c>
      <c r="E14" s="51" t="e">
        <f>SUM(E4:E13)</f>
        <v>#REF!</v>
      </c>
      <c r="F14" s="45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21" right="0.7" top="0.75" bottom="0.75" header="0.3" footer="0.3"/>
  <pageSetup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A2" sqref="A2:F2"/>
    </sheetView>
  </sheetViews>
  <sheetFormatPr defaultColWidth="9" defaultRowHeight="12.75"/>
  <cols>
    <col min="3" max="3" width="11.140625" customWidth="1"/>
    <col min="4" max="4" width="19.28515625" customWidth="1"/>
    <col min="5" max="5" width="19.140625" customWidth="1"/>
  </cols>
  <sheetData>
    <row r="1" spans="1:6" ht="18.75">
      <c r="A1" s="916" t="s">
        <v>1339</v>
      </c>
      <c r="B1" s="916"/>
      <c r="C1" s="916"/>
      <c r="D1" s="916"/>
      <c r="E1" s="916"/>
      <c r="F1" s="916"/>
    </row>
    <row r="2" spans="1:6" ht="18.75">
      <c r="A2" s="910" t="s">
        <v>1340</v>
      </c>
      <c r="B2" s="910"/>
      <c r="C2" s="910"/>
      <c r="D2" s="910"/>
      <c r="E2" s="910"/>
      <c r="F2" s="910"/>
    </row>
    <row r="3" spans="1:6" ht="18.75">
      <c r="A3" s="911"/>
      <c r="B3" s="911"/>
      <c r="C3" s="911"/>
      <c r="D3" s="47" t="s">
        <v>1322</v>
      </c>
      <c r="E3" s="47" t="s">
        <v>1323</v>
      </c>
      <c r="F3" s="48"/>
    </row>
    <row r="4" spans="1:6" ht="18.75">
      <c r="A4" s="911" t="s">
        <v>1324</v>
      </c>
      <c r="B4" s="911"/>
      <c r="C4" s="911"/>
      <c r="D4" s="49" t="e">
        <f>E4*12</f>
        <v>#REF!</v>
      </c>
      <c r="E4" s="49" t="e">
        <f>#REF!</f>
        <v>#REF!</v>
      </c>
      <c r="F4" s="45"/>
    </row>
    <row r="5" spans="1:6" ht="18.75">
      <c r="A5" s="911" t="s">
        <v>1325</v>
      </c>
      <c r="B5" s="911"/>
      <c r="C5" s="911"/>
      <c r="D5" s="49" t="e">
        <f t="shared" ref="D5:D14" si="0">E5*12</f>
        <v>#REF!</v>
      </c>
      <c r="E5" s="49" t="e">
        <f>#REF!</f>
        <v>#REF!</v>
      </c>
      <c r="F5" s="45"/>
    </row>
    <row r="6" spans="1:6" ht="18.75">
      <c r="A6" s="911" t="s">
        <v>1326</v>
      </c>
      <c r="B6" s="911"/>
      <c r="C6" s="911"/>
      <c r="D6" s="49" t="e">
        <f t="shared" si="0"/>
        <v>#REF!</v>
      </c>
      <c r="E6" s="49" t="e">
        <f>#REF!</f>
        <v>#REF!</v>
      </c>
      <c r="F6" s="45"/>
    </row>
    <row r="7" spans="1:6" ht="18.75">
      <c r="A7" s="911" t="s">
        <v>1327</v>
      </c>
      <c r="B7" s="911"/>
      <c r="C7" s="911"/>
      <c r="D7" s="49">
        <f t="shared" si="0"/>
        <v>0</v>
      </c>
      <c r="E7" s="49">
        <f>SUMMARY!J6</f>
        <v>0</v>
      </c>
      <c r="F7" s="45"/>
    </row>
    <row r="8" spans="1:6" ht="18.75">
      <c r="A8" s="911" t="s">
        <v>1328</v>
      </c>
      <c r="B8" s="911"/>
      <c r="C8" s="911"/>
      <c r="D8" s="49" t="e">
        <f t="shared" si="0"/>
        <v>#REF!</v>
      </c>
      <c r="E8" s="49" t="e">
        <f>#REF!</f>
        <v>#REF!</v>
      </c>
      <c r="F8" s="45"/>
    </row>
    <row r="9" spans="1:6" ht="18.75">
      <c r="A9" s="911" t="s">
        <v>1329</v>
      </c>
      <c r="B9" s="911"/>
      <c r="C9" s="911"/>
      <c r="D9" s="49" t="e">
        <f t="shared" si="0"/>
        <v>#REF!</v>
      </c>
      <c r="E9" s="49" t="e">
        <f>#REF!</f>
        <v>#REF!</v>
      </c>
      <c r="F9" s="45"/>
    </row>
    <row r="10" spans="1:6" ht="18.75">
      <c r="A10" s="911" t="s">
        <v>1331</v>
      </c>
      <c r="B10" s="911"/>
      <c r="C10" s="911"/>
      <c r="D10" s="49" t="e">
        <f t="shared" si="0"/>
        <v>#REF!</v>
      </c>
      <c r="E10" s="49" t="e">
        <f>#REF!</f>
        <v>#REF!</v>
      </c>
      <c r="F10" s="45"/>
    </row>
    <row r="11" spans="1:6" ht="18.75">
      <c r="A11" s="912" t="s">
        <v>1330</v>
      </c>
      <c r="B11" s="913"/>
      <c r="C11" s="914"/>
      <c r="D11" s="49">
        <f t="shared" si="0"/>
        <v>0</v>
      </c>
      <c r="E11" s="49">
        <v>0</v>
      </c>
      <c r="F11" s="45"/>
    </row>
    <row r="12" spans="1:6" ht="18.75">
      <c r="A12" s="911" t="s">
        <v>1332</v>
      </c>
      <c r="B12" s="911"/>
      <c r="C12" s="911"/>
      <c r="D12" s="49" t="e">
        <f t="shared" si="0"/>
        <v>#REF!</v>
      </c>
      <c r="E12" s="49" t="e">
        <f>#REF!</f>
        <v>#REF!</v>
      </c>
      <c r="F12" s="45"/>
    </row>
    <row r="13" spans="1:6" ht="18.75">
      <c r="A13" s="911" t="s">
        <v>1333</v>
      </c>
      <c r="B13" s="911"/>
      <c r="C13" s="911"/>
      <c r="D13" s="49" t="e">
        <f t="shared" si="0"/>
        <v>#REF!</v>
      </c>
      <c r="E13" s="49" t="e">
        <f>#REF!</f>
        <v>#REF!</v>
      </c>
      <c r="F13" s="45"/>
    </row>
    <row r="14" spans="1:6" ht="18.75">
      <c r="A14" s="915" t="s">
        <v>9</v>
      </c>
      <c r="B14" s="915"/>
      <c r="C14" s="915"/>
      <c r="D14" s="51" t="e">
        <f t="shared" si="0"/>
        <v>#REF!</v>
      </c>
      <c r="E14" s="51" t="e">
        <f>SUM(E4:E13)</f>
        <v>#REF!</v>
      </c>
      <c r="F14" s="45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05" right="0.7" top="0.75" bottom="0.75" header="0.17" footer="0.3"/>
  <pageSetup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B37" sqref="B37"/>
    </sheetView>
  </sheetViews>
  <sheetFormatPr defaultColWidth="9" defaultRowHeight="12.75"/>
  <cols>
    <col min="3" max="3" width="11.140625" customWidth="1"/>
    <col min="4" max="4" width="19.28515625" customWidth="1"/>
    <col min="5" max="5" width="18.7109375" customWidth="1"/>
  </cols>
  <sheetData>
    <row r="1" spans="1:6" ht="18.75">
      <c r="A1" s="916"/>
      <c r="B1" s="916"/>
      <c r="C1" s="916"/>
      <c r="D1" s="916"/>
      <c r="E1" s="916"/>
      <c r="F1" s="916"/>
    </row>
    <row r="2" spans="1:6" ht="18.75">
      <c r="A2" s="910"/>
      <c r="B2" s="910"/>
      <c r="C2" s="910"/>
      <c r="D2" s="910"/>
      <c r="E2" s="910"/>
      <c r="F2" s="910"/>
    </row>
    <row r="3" spans="1:6" ht="18.75">
      <c r="A3" s="911"/>
      <c r="B3" s="911"/>
      <c r="C3" s="911"/>
      <c r="D3" s="47" t="s">
        <v>1322</v>
      </c>
      <c r="E3" s="47" t="s">
        <v>1323</v>
      </c>
      <c r="F3" s="48"/>
    </row>
    <row r="4" spans="1:6" ht="18.75">
      <c r="A4" s="911" t="s">
        <v>1324</v>
      </c>
      <c r="B4" s="911"/>
      <c r="C4" s="911"/>
      <c r="D4" s="49">
        <f>E4*12</f>
        <v>255527.52</v>
      </c>
      <c r="E4" s="49">
        <f>SUMMARY!F7</f>
        <v>21293.96</v>
      </c>
      <c r="F4" s="45"/>
    </row>
    <row r="5" spans="1:6" ht="18.75">
      <c r="A5" s="911" t="s">
        <v>1325</v>
      </c>
      <c r="B5" s="911"/>
      <c r="C5" s="911"/>
      <c r="D5" s="49">
        <f t="shared" ref="D5:D13" si="0">E5*12</f>
        <v>766582.56</v>
      </c>
      <c r="E5" s="49">
        <f>SUMMARY!H7</f>
        <v>63881.88</v>
      </c>
      <c r="F5" s="45"/>
    </row>
    <row r="6" spans="1:6" ht="18.75">
      <c r="A6" s="911" t="s">
        <v>1326</v>
      </c>
      <c r="B6" s="911"/>
      <c r="C6" s="911"/>
      <c r="D6" s="49">
        <f t="shared" si="0"/>
        <v>19164.563999999998</v>
      </c>
      <c r="E6" s="49">
        <f>SUMMARY!I7</f>
        <v>1597.047</v>
      </c>
      <c r="F6" s="45"/>
    </row>
    <row r="7" spans="1:6" ht="18.75">
      <c r="A7" s="911" t="s">
        <v>1327</v>
      </c>
      <c r="B7" s="911"/>
      <c r="C7" s="911"/>
      <c r="D7" s="49">
        <f t="shared" si="0"/>
        <v>0</v>
      </c>
      <c r="E7" s="49">
        <f>SUMMARY!J6</f>
        <v>0</v>
      </c>
      <c r="F7" s="45"/>
    </row>
    <row r="8" spans="1:6" ht="18.75">
      <c r="A8" s="911" t="s">
        <v>1328</v>
      </c>
      <c r="B8" s="911"/>
      <c r="C8" s="911"/>
      <c r="D8" s="49">
        <f t="shared" si="0"/>
        <v>127763.76</v>
      </c>
      <c r="E8" s="49">
        <f>SUMMARY!K7</f>
        <v>10646.98</v>
      </c>
      <c r="F8" s="45"/>
    </row>
    <row r="9" spans="1:6" ht="18.75">
      <c r="A9" s="911" t="s">
        <v>1329</v>
      </c>
      <c r="B9" s="911"/>
      <c r="C9" s="911"/>
      <c r="D9" s="49">
        <f t="shared" si="0"/>
        <v>894346.32</v>
      </c>
      <c r="E9" s="49">
        <f>SUMMARY!L7</f>
        <v>74528.86</v>
      </c>
      <c r="F9" s="45"/>
    </row>
    <row r="10" spans="1:6" ht="18.75">
      <c r="A10" s="911" t="s">
        <v>1331</v>
      </c>
      <c r="B10" s="911"/>
      <c r="C10" s="911"/>
      <c r="D10" s="49">
        <f t="shared" si="0"/>
        <v>255527.52</v>
      </c>
      <c r="E10" s="49">
        <f>SUMMARY!N7</f>
        <v>21293.96</v>
      </c>
      <c r="F10" s="45"/>
    </row>
    <row r="11" spans="1:6" ht="18.75">
      <c r="A11" s="911" t="s">
        <v>1332</v>
      </c>
      <c r="B11" s="911"/>
      <c r="C11" s="911"/>
      <c r="D11" s="49">
        <f t="shared" si="0"/>
        <v>25552.752</v>
      </c>
      <c r="E11" s="49">
        <f>SUMMARY!O7</f>
        <v>2129.3960000000002</v>
      </c>
      <c r="F11" s="45"/>
    </row>
    <row r="12" spans="1:6" ht="18.75">
      <c r="A12" s="911" t="s">
        <v>1333</v>
      </c>
      <c r="B12" s="911"/>
      <c r="C12" s="911"/>
      <c r="D12" s="49">
        <f t="shared" si="0"/>
        <v>120000</v>
      </c>
      <c r="E12" s="49">
        <f>SUMMARY!P7</f>
        <v>10000</v>
      </c>
      <c r="F12" s="45"/>
    </row>
    <row r="13" spans="1:6" ht="18.75">
      <c r="A13" s="915" t="s">
        <v>9</v>
      </c>
      <c r="B13" s="915"/>
      <c r="C13" s="915"/>
      <c r="D13" s="51">
        <f t="shared" si="0"/>
        <v>2464464.9959999998</v>
      </c>
      <c r="E13" s="51">
        <f>SUM(E4:E12)</f>
        <v>205372.08300000001</v>
      </c>
      <c r="F13" s="45"/>
    </row>
  </sheetData>
  <mergeCells count="13">
    <mergeCell ref="A11:C11"/>
    <mergeCell ref="A12:C12"/>
    <mergeCell ref="A13:C13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D34" sqref="D34"/>
    </sheetView>
  </sheetViews>
  <sheetFormatPr defaultColWidth="9" defaultRowHeight="12.75"/>
  <cols>
    <col min="3" max="3" width="11.7109375" customWidth="1"/>
    <col min="4" max="4" width="19.42578125" customWidth="1"/>
    <col min="5" max="5" width="18.85546875" customWidth="1"/>
  </cols>
  <sheetData>
    <row r="1" spans="1:6" ht="18.75">
      <c r="A1" s="916" t="s">
        <v>1341</v>
      </c>
      <c r="B1" s="916"/>
      <c r="C1" s="916"/>
      <c r="D1" s="916"/>
      <c r="E1" s="916"/>
      <c r="F1" s="916"/>
    </row>
    <row r="2" spans="1:6" ht="18.75">
      <c r="A2" s="910" t="s">
        <v>1342</v>
      </c>
      <c r="B2" s="910"/>
      <c r="C2" s="910"/>
      <c r="D2" s="910"/>
      <c r="E2" s="910"/>
      <c r="F2" s="910"/>
    </row>
    <row r="3" spans="1:6" ht="18.75">
      <c r="A3" s="911"/>
      <c r="B3" s="911"/>
      <c r="C3" s="911"/>
      <c r="D3" s="47" t="s">
        <v>1322</v>
      </c>
      <c r="E3" s="47" t="s">
        <v>1323</v>
      </c>
      <c r="F3" s="48"/>
    </row>
    <row r="4" spans="1:6" ht="18.75">
      <c r="A4" s="911" t="s">
        <v>1324</v>
      </c>
      <c r="B4" s="911"/>
      <c r="C4" s="911"/>
      <c r="D4" s="49">
        <f>E4*12</f>
        <v>207435.96</v>
      </c>
      <c r="E4" s="49">
        <f>SUMMARY!F8</f>
        <v>17286.330000000002</v>
      </c>
      <c r="F4" s="45"/>
    </row>
    <row r="5" spans="1:6" ht="18.75">
      <c r="A5" s="911" t="s">
        <v>1325</v>
      </c>
      <c r="B5" s="911"/>
      <c r="C5" s="911"/>
      <c r="D5" s="49">
        <f t="shared" ref="D5:D14" si="0">E5*12</f>
        <v>622307.88</v>
      </c>
      <c r="E5" s="49">
        <f>SUMMARY!H8</f>
        <v>51858.99</v>
      </c>
      <c r="F5" s="45"/>
    </row>
    <row r="6" spans="1:6" ht="18.75">
      <c r="A6" s="911" t="s">
        <v>1326</v>
      </c>
      <c r="B6" s="911"/>
      <c r="C6" s="911"/>
      <c r="D6" s="49">
        <f t="shared" si="0"/>
        <v>15557.697</v>
      </c>
      <c r="E6" s="49">
        <f>SUMMARY!I8</f>
        <v>1296.4747500000001</v>
      </c>
      <c r="F6" s="45"/>
    </row>
    <row r="7" spans="1:6" ht="18.75">
      <c r="A7" s="911" t="s">
        <v>1327</v>
      </c>
      <c r="B7" s="911"/>
      <c r="C7" s="911"/>
      <c r="D7" s="49">
        <f t="shared" si="0"/>
        <v>0</v>
      </c>
      <c r="E7" s="49">
        <f>SUMMARY!J6</f>
        <v>0</v>
      </c>
      <c r="F7" s="45"/>
    </row>
    <row r="8" spans="1:6" ht="18.75">
      <c r="A8" s="911" t="s">
        <v>1328</v>
      </c>
      <c r="B8" s="911"/>
      <c r="C8" s="911"/>
      <c r="D8" s="49">
        <f t="shared" si="0"/>
        <v>103717.98</v>
      </c>
      <c r="E8" s="49">
        <f>SUMMARY!K8</f>
        <v>8643.1650000000009</v>
      </c>
      <c r="F8" s="45"/>
    </row>
    <row r="9" spans="1:6" ht="18.75">
      <c r="A9" s="911" t="s">
        <v>1329</v>
      </c>
      <c r="B9" s="911"/>
      <c r="C9" s="911"/>
      <c r="D9" s="49">
        <f t="shared" si="0"/>
        <v>726025.86</v>
      </c>
      <c r="E9" s="49">
        <f>SUMMARY!L8</f>
        <v>60502.154999999999</v>
      </c>
      <c r="F9" s="45"/>
    </row>
    <row r="10" spans="1:6" ht="18.75">
      <c r="A10" s="911" t="s">
        <v>1331</v>
      </c>
      <c r="B10" s="911"/>
      <c r="C10" s="911"/>
      <c r="D10" s="49">
        <f t="shared" si="0"/>
        <v>207435.96</v>
      </c>
      <c r="E10" s="49">
        <f>SUMMARY!N8</f>
        <v>17286.330000000002</v>
      </c>
      <c r="F10" s="45"/>
    </row>
    <row r="11" spans="1:6" ht="18.75">
      <c r="A11" s="912" t="s">
        <v>1330</v>
      </c>
      <c r="B11" s="913"/>
      <c r="C11" s="914"/>
      <c r="D11" s="49">
        <f t="shared" si="0"/>
        <v>480000</v>
      </c>
      <c r="E11" s="49">
        <v>40000</v>
      </c>
      <c r="F11" s="45"/>
    </row>
    <row r="12" spans="1:6" ht="18.75">
      <c r="A12" s="911" t="s">
        <v>1332</v>
      </c>
      <c r="B12" s="911"/>
      <c r="C12" s="911"/>
      <c r="D12" s="49">
        <f t="shared" si="0"/>
        <v>20743.596000000001</v>
      </c>
      <c r="E12" s="49">
        <f>SUMMARY!O8</f>
        <v>1728.633</v>
      </c>
      <c r="F12" s="45"/>
    </row>
    <row r="13" spans="1:6" ht="18.75">
      <c r="A13" s="911" t="s">
        <v>1333</v>
      </c>
      <c r="B13" s="911"/>
      <c r="C13" s="911"/>
      <c r="D13" s="49">
        <f t="shared" si="0"/>
        <v>120000</v>
      </c>
      <c r="E13" s="49">
        <f>SUMMARY!P7</f>
        <v>10000</v>
      </c>
      <c r="F13" s="45"/>
    </row>
    <row r="14" spans="1:6" ht="18.75">
      <c r="A14" s="915" t="s">
        <v>9</v>
      </c>
      <c r="B14" s="915"/>
      <c r="C14" s="915"/>
      <c r="D14" s="51">
        <f t="shared" si="0"/>
        <v>2503224.9330000002</v>
      </c>
      <c r="E14" s="51">
        <f>SUM(E4:E13)</f>
        <v>208602.07775</v>
      </c>
      <c r="F14" s="45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02" right="0.7" top="0.75" bottom="0.75" header="0.3" footer="0.3"/>
  <pageSetup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D18" sqref="D18"/>
    </sheetView>
  </sheetViews>
  <sheetFormatPr defaultColWidth="9" defaultRowHeight="12.75"/>
  <cols>
    <col min="3" max="3" width="11.140625" customWidth="1"/>
    <col min="4" max="4" width="19" customWidth="1"/>
    <col min="5" max="5" width="18.85546875" customWidth="1"/>
  </cols>
  <sheetData>
    <row r="1" spans="1:6" ht="18.75">
      <c r="A1" s="916" t="s">
        <v>1343</v>
      </c>
      <c r="B1" s="916"/>
      <c r="C1" s="916"/>
      <c r="D1" s="916"/>
      <c r="E1" s="916"/>
      <c r="F1" s="916"/>
    </row>
    <row r="2" spans="1:6" ht="18.75">
      <c r="A2" s="910" t="s">
        <v>1344</v>
      </c>
      <c r="B2" s="910"/>
      <c r="C2" s="910"/>
      <c r="D2" s="910"/>
      <c r="E2" s="910"/>
      <c r="F2" s="910"/>
    </row>
    <row r="3" spans="1:6" ht="18.75">
      <c r="A3" s="911"/>
      <c r="B3" s="911"/>
      <c r="C3" s="911"/>
      <c r="D3" s="47" t="s">
        <v>1322</v>
      </c>
      <c r="E3" s="47" t="s">
        <v>1323</v>
      </c>
      <c r="F3" s="48"/>
    </row>
    <row r="4" spans="1:6" ht="18.75">
      <c r="A4" s="911" t="s">
        <v>1324</v>
      </c>
      <c r="B4" s="911"/>
      <c r="C4" s="911"/>
      <c r="D4" s="49">
        <f>E4*12</f>
        <v>176833.68</v>
      </c>
      <c r="E4" s="49">
        <f>SUMMARY!F9</f>
        <v>14736.14</v>
      </c>
      <c r="F4" s="45"/>
    </row>
    <row r="5" spans="1:6" ht="18.75">
      <c r="A5" s="911" t="s">
        <v>1325</v>
      </c>
      <c r="B5" s="911"/>
      <c r="C5" s="911"/>
      <c r="D5" s="49">
        <f t="shared" ref="D5:D14" si="0">E5*12</f>
        <v>530501.04</v>
      </c>
      <c r="E5" s="49">
        <f>SUMMARY!H9</f>
        <v>44208.42</v>
      </c>
      <c r="F5" s="45"/>
    </row>
    <row r="6" spans="1:6" ht="18.75">
      <c r="A6" s="911" t="s">
        <v>1326</v>
      </c>
      <c r="B6" s="911"/>
      <c r="C6" s="911"/>
      <c r="D6" s="49">
        <f t="shared" si="0"/>
        <v>13262.526</v>
      </c>
      <c r="E6" s="49">
        <f>SUMMARY!I9</f>
        <v>1105.2104999999999</v>
      </c>
      <c r="F6" s="45"/>
    </row>
    <row r="7" spans="1:6" ht="18.75">
      <c r="A7" s="911" t="s">
        <v>1327</v>
      </c>
      <c r="B7" s="911"/>
      <c r="C7" s="911"/>
      <c r="D7" s="49">
        <f t="shared" si="0"/>
        <v>0</v>
      </c>
      <c r="E7" s="49">
        <f>SUMMARY!J6</f>
        <v>0</v>
      </c>
      <c r="F7" s="45"/>
    </row>
    <row r="8" spans="1:6" ht="18.75">
      <c r="A8" s="911" t="s">
        <v>1328</v>
      </c>
      <c r="B8" s="911"/>
      <c r="C8" s="911"/>
      <c r="D8" s="49">
        <f t="shared" si="0"/>
        <v>88416.84</v>
      </c>
      <c r="E8" s="49">
        <f>SUMMARY!K9</f>
        <v>7368.07</v>
      </c>
      <c r="F8" s="45"/>
    </row>
    <row r="9" spans="1:6" ht="18.75">
      <c r="A9" s="911" t="s">
        <v>1329</v>
      </c>
      <c r="B9" s="911"/>
      <c r="C9" s="911"/>
      <c r="D9" s="49">
        <f t="shared" si="0"/>
        <v>618917.88</v>
      </c>
      <c r="E9" s="49">
        <f>SUMMARY!L9</f>
        <v>51576.49</v>
      </c>
      <c r="F9" s="45"/>
    </row>
    <row r="10" spans="1:6" ht="18.75">
      <c r="A10" s="911" t="s">
        <v>1331</v>
      </c>
      <c r="B10" s="911"/>
      <c r="C10" s="911"/>
      <c r="D10" s="49">
        <f t="shared" si="0"/>
        <v>176833.68</v>
      </c>
      <c r="E10" s="49">
        <f>SUMMARY!N9</f>
        <v>14736.14</v>
      </c>
      <c r="F10" s="45"/>
    </row>
    <row r="11" spans="1:6" ht="18.75">
      <c r="A11" s="912" t="s">
        <v>1345</v>
      </c>
      <c r="B11" s="913"/>
      <c r="C11" s="914"/>
      <c r="D11" s="49">
        <f t="shared" si="0"/>
        <v>480000</v>
      </c>
      <c r="E11" s="49">
        <v>40000</v>
      </c>
      <c r="F11" s="45"/>
    </row>
    <row r="12" spans="1:6" ht="18.75">
      <c r="A12" s="911" t="s">
        <v>1332</v>
      </c>
      <c r="B12" s="911"/>
      <c r="C12" s="911"/>
      <c r="D12" s="49">
        <f t="shared" si="0"/>
        <v>17683.367999999999</v>
      </c>
      <c r="E12" s="49">
        <f>SUMMARY!O9</f>
        <v>1473.614</v>
      </c>
      <c r="F12" s="45"/>
    </row>
    <row r="13" spans="1:6" ht="18.75">
      <c r="A13" s="911" t="s">
        <v>1333</v>
      </c>
      <c r="B13" s="911"/>
      <c r="C13" s="911"/>
      <c r="D13" s="49">
        <f t="shared" si="0"/>
        <v>120000</v>
      </c>
      <c r="E13" s="49">
        <f>SUMMARY!P7</f>
        <v>10000</v>
      </c>
      <c r="F13" s="45"/>
    </row>
    <row r="14" spans="1:6" ht="18.75">
      <c r="A14" s="915" t="s">
        <v>9</v>
      </c>
      <c r="B14" s="915"/>
      <c r="C14" s="915"/>
      <c r="D14" s="51">
        <f t="shared" si="0"/>
        <v>2222449.014</v>
      </c>
      <c r="E14" s="51">
        <f>SUM(E4:E13)</f>
        <v>185204.0845</v>
      </c>
      <c r="F14" s="45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1399999999999999" right="0.7" top="0.75" bottom="0.75" header="0.3" footer="0.3"/>
  <pageSetup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O5" sqref="O5"/>
    </sheetView>
  </sheetViews>
  <sheetFormatPr defaultColWidth="9" defaultRowHeight="12.75"/>
  <cols>
    <col min="3" max="3" width="11.42578125" customWidth="1"/>
    <col min="4" max="4" width="22.140625" customWidth="1"/>
    <col min="5" max="5" width="22.28515625" customWidth="1"/>
  </cols>
  <sheetData>
    <row r="1" spans="1:6" ht="18.75">
      <c r="A1" s="916" t="s">
        <v>1346</v>
      </c>
      <c r="B1" s="916"/>
      <c r="C1" s="916"/>
      <c r="D1" s="916"/>
      <c r="E1" s="916"/>
      <c r="F1" s="916"/>
    </row>
    <row r="2" spans="1:6" ht="18.75">
      <c r="A2" s="910"/>
      <c r="B2" s="910"/>
      <c r="C2" s="910"/>
      <c r="D2" s="910"/>
      <c r="E2" s="910"/>
      <c r="F2" s="910"/>
    </row>
    <row r="3" spans="1:6" ht="18.75">
      <c r="A3" s="911"/>
      <c r="B3" s="911"/>
      <c r="C3" s="911"/>
      <c r="D3" s="47" t="s">
        <v>1322</v>
      </c>
      <c r="E3" s="47" t="s">
        <v>1323</v>
      </c>
      <c r="F3" s="48"/>
    </row>
    <row r="4" spans="1:6" ht="18.75">
      <c r="A4" s="911" t="s">
        <v>1324</v>
      </c>
      <c r="B4" s="911"/>
      <c r="C4" s="911"/>
      <c r="D4" s="49" t="e">
        <f>E4*12</f>
        <v>#REF!</v>
      </c>
      <c r="E4" s="49" t="e">
        <f>#REF!</f>
        <v>#REF!</v>
      </c>
      <c r="F4" s="45"/>
    </row>
    <row r="5" spans="1:6" ht="18.75">
      <c r="A5" s="911" t="s">
        <v>1325</v>
      </c>
      <c r="B5" s="911"/>
      <c r="C5" s="911"/>
      <c r="D5" s="49" t="e">
        <f t="shared" ref="D5:D12" si="0">E5*12</f>
        <v>#REF!</v>
      </c>
      <c r="E5" s="49" t="e">
        <f>#REF!</f>
        <v>#REF!</v>
      </c>
      <c r="F5" s="45"/>
    </row>
    <row r="6" spans="1:6" ht="18.75">
      <c r="A6" s="911" t="s">
        <v>1326</v>
      </c>
      <c r="B6" s="911"/>
      <c r="C6" s="911"/>
      <c r="D6" s="49" t="e">
        <f t="shared" si="0"/>
        <v>#REF!</v>
      </c>
      <c r="E6" s="49" t="e">
        <f>#REF!</f>
        <v>#REF!</v>
      </c>
      <c r="F6" s="45"/>
    </row>
    <row r="7" spans="1:6" ht="18.75">
      <c r="A7" s="911" t="s">
        <v>1328</v>
      </c>
      <c r="B7" s="911"/>
      <c r="C7" s="911"/>
      <c r="D7" s="49" t="e">
        <f t="shared" si="0"/>
        <v>#REF!</v>
      </c>
      <c r="E7" s="49" t="e">
        <f>#REF!</f>
        <v>#REF!</v>
      </c>
      <c r="F7" s="45"/>
    </row>
    <row r="8" spans="1:6" ht="18.75">
      <c r="A8" s="911" t="s">
        <v>1329</v>
      </c>
      <c r="B8" s="911"/>
      <c r="C8" s="911"/>
      <c r="D8" s="49" t="e">
        <f t="shared" si="0"/>
        <v>#REF!</v>
      </c>
      <c r="E8" s="49" t="e">
        <f>#REF!</f>
        <v>#REF!</v>
      </c>
      <c r="F8" s="45"/>
    </row>
    <row r="9" spans="1:6" ht="18.75">
      <c r="A9" s="911" t="s">
        <v>1331</v>
      </c>
      <c r="B9" s="911"/>
      <c r="C9" s="911"/>
      <c r="D9" s="49" t="e">
        <f t="shared" si="0"/>
        <v>#REF!</v>
      </c>
      <c r="E9" s="49" t="e">
        <f>#REF!</f>
        <v>#REF!</v>
      </c>
      <c r="F9" s="45"/>
    </row>
    <row r="10" spans="1:6" ht="18.75">
      <c r="A10" s="911" t="s">
        <v>1332</v>
      </c>
      <c r="B10" s="911"/>
      <c r="C10" s="911"/>
      <c r="D10" s="49" t="e">
        <f t="shared" si="0"/>
        <v>#REF!</v>
      </c>
      <c r="E10" s="49" t="e">
        <f>#REF!</f>
        <v>#REF!</v>
      </c>
      <c r="F10" s="45"/>
    </row>
    <row r="11" spans="1:6" ht="18.75">
      <c r="A11" s="911" t="s">
        <v>1333</v>
      </c>
      <c r="B11" s="911"/>
      <c r="C11" s="911"/>
      <c r="D11" s="49" t="e">
        <f t="shared" si="0"/>
        <v>#REF!</v>
      </c>
      <c r="E11" s="49" t="e">
        <f>#REF!</f>
        <v>#REF!</v>
      </c>
      <c r="F11" s="45"/>
    </row>
    <row r="12" spans="1:6" ht="18.75">
      <c r="A12" s="915" t="s">
        <v>9</v>
      </c>
      <c r="B12" s="915"/>
      <c r="C12" s="915"/>
      <c r="D12" s="51" t="e">
        <f t="shared" si="0"/>
        <v>#REF!</v>
      </c>
      <c r="E12" s="51" t="e">
        <f>SUM(E4:E11)</f>
        <v>#REF!</v>
      </c>
      <c r="F12" s="45"/>
    </row>
  </sheetData>
  <mergeCells count="12">
    <mergeCell ref="A11:C11"/>
    <mergeCell ref="A12:C12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Views>
    <sheetView workbookViewId="0">
      <selection activeCell="F3" sqref="F3"/>
    </sheetView>
  </sheetViews>
  <sheetFormatPr defaultColWidth="9" defaultRowHeight="12.75"/>
  <cols>
    <col min="3" max="3" width="11.7109375" customWidth="1"/>
    <col min="6" max="6" width="13.5703125" customWidth="1"/>
    <col min="7" max="7" width="11" customWidth="1"/>
    <col min="8" max="8" width="14.5703125" customWidth="1"/>
    <col min="9" max="9" width="12.42578125" customWidth="1"/>
    <col min="10" max="10" width="13.28515625" customWidth="1"/>
    <col min="11" max="11" width="13.140625" customWidth="1"/>
    <col min="12" max="12" width="14.42578125" customWidth="1"/>
    <col min="14" max="14" width="13.140625" customWidth="1"/>
    <col min="15" max="15" width="16.140625" customWidth="1"/>
    <col min="16" max="16" width="13.42578125" customWidth="1"/>
    <col min="17" max="17" width="13.5703125" customWidth="1"/>
    <col min="18" max="18" width="14.85546875" customWidth="1"/>
    <col min="19" max="19" width="16.28515625" customWidth="1"/>
    <col min="21" max="21" width="17.28515625" customWidth="1"/>
  </cols>
  <sheetData>
    <row r="1" spans="1:22" ht="18.75">
      <c r="F1" s="52" t="s">
        <v>1292</v>
      </c>
      <c r="G1" s="52" t="s">
        <v>1347</v>
      </c>
      <c r="H1" s="52"/>
      <c r="I1" s="52"/>
      <c r="J1" s="52"/>
      <c r="K1" s="52"/>
      <c r="L1" s="52"/>
      <c r="M1" s="52" t="s">
        <v>1348</v>
      </c>
      <c r="N1" s="52" t="s">
        <v>1293</v>
      </c>
      <c r="O1" s="52" t="s">
        <v>1294</v>
      </c>
      <c r="P1" s="52" t="s">
        <v>1296</v>
      </c>
      <c r="Q1" s="52" t="s">
        <v>1297</v>
      </c>
      <c r="R1" s="52" t="s">
        <v>1298</v>
      </c>
      <c r="S1" s="52" t="s">
        <v>1349</v>
      </c>
      <c r="T1" s="57"/>
      <c r="U1" s="58" t="s">
        <v>1350</v>
      </c>
      <c r="V1" s="59" t="s">
        <v>1351</v>
      </c>
    </row>
    <row r="2" spans="1:22" ht="18.75">
      <c r="F2" s="52" t="s">
        <v>308</v>
      </c>
      <c r="G2" s="52" t="s">
        <v>1352</v>
      </c>
      <c r="H2" s="52" t="s">
        <v>671</v>
      </c>
      <c r="I2" s="52" t="s">
        <v>672</v>
      </c>
      <c r="J2" s="52" t="s">
        <v>673</v>
      </c>
      <c r="K2" s="52" t="s">
        <v>674</v>
      </c>
      <c r="L2" s="52" t="s">
        <v>675</v>
      </c>
      <c r="M2" s="52" t="s">
        <v>1353</v>
      </c>
      <c r="N2" s="52" t="s">
        <v>676</v>
      </c>
      <c r="O2" s="52" t="s">
        <v>7</v>
      </c>
      <c r="P2" s="52" t="s">
        <v>677</v>
      </c>
      <c r="Q2" s="52" t="s">
        <v>677</v>
      </c>
      <c r="R2" s="52" t="s">
        <v>8</v>
      </c>
      <c r="S2" s="52" t="s">
        <v>308</v>
      </c>
      <c r="T2" s="52" t="s">
        <v>15</v>
      </c>
      <c r="U2" s="58"/>
      <c r="V2" s="59"/>
    </row>
    <row r="3" spans="1:22" ht="18.75">
      <c r="A3" s="917" t="s">
        <v>1354</v>
      </c>
      <c r="B3" s="918"/>
      <c r="C3" s="919"/>
      <c r="D3" s="53"/>
      <c r="E3" s="53" t="s">
        <v>1355</v>
      </c>
      <c r="F3" s="54">
        <v>79039.64</v>
      </c>
      <c r="G3" s="54"/>
      <c r="H3" s="54">
        <f t="shared" ref="H3:H10" si="0">F3*300%</f>
        <v>237118.92</v>
      </c>
      <c r="I3" s="54">
        <f t="shared" ref="I3:I10" si="1">F3*7.5%</f>
        <v>5927.973</v>
      </c>
      <c r="J3" s="54">
        <v>80244.38</v>
      </c>
      <c r="K3" s="54">
        <f t="shared" ref="K3:K10" si="2">F3*50%</f>
        <v>39519.82</v>
      </c>
      <c r="L3" s="54">
        <f t="shared" ref="L3:L10" si="3">F3*350%</f>
        <v>276638.74</v>
      </c>
      <c r="M3" s="54">
        <v>0</v>
      </c>
      <c r="N3" s="54">
        <f t="shared" ref="N3:N10" si="4">F3*100%</f>
        <v>79039.64</v>
      </c>
      <c r="O3" s="54">
        <f t="shared" ref="O3:O10" si="5">F3*10%</f>
        <v>7903.9639999999999</v>
      </c>
      <c r="P3" s="54">
        <v>20000</v>
      </c>
      <c r="Q3" s="54">
        <v>0</v>
      </c>
      <c r="R3" s="54">
        <f t="shared" ref="R3:R10" si="6">SUM(F3:Q3)</f>
        <v>825433.07700000005</v>
      </c>
      <c r="S3" s="54"/>
      <c r="T3" s="60"/>
      <c r="U3" s="61"/>
    </row>
    <row r="4" spans="1:22" ht="18.75">
      <c r="A4" s="917" t="s">
        <v>105</v>
      </c>
      <c r="B4" s="918"/>
      <c r="C4" s="919"/>
      <c r="D4" s="53"/>
      <c r="E4" s="53" t="s">
        <v>1356</v>
      </c>
      <c r="F4" s="54">
        <v>36784.71</v>
      </c>
      <c r="G4" s="54"/>
      <c r="H4" s="54">
        <f t="shared" si="0"/>
        <v>110354.13</v>
      </c>
      <c r="I4" s="54">
        <f t="shared" si="1"/>
        <v>2758.8532500000001</v>
      </c>
      <c r="J4" s="54">
        <v>80244.38</v>
      </c>
      <c r="K4" s="54">
        <f t="shared" si="2"/>
        <v>18392.355</v>
      </c>
      <c r="L4" s="54">
        <f t="shared" si="3"/>
        <v>128746.485</v>
      </c>
      <c r="M4" s="54"/>
      <c r="N4" s="54">
        <f t="shared" si="4"/>
        <v>36784.71</v>
      </c>
      <c r="O4" s="54">
        <f t="shared" si="5"/>
        <v>3678.471</v>
      </c>
      <c r="P4" s="54">
        <v>20000</v>
      </c>
      <c r="Q4" s="54">
        <v>0</v>
      </c>
      <c r="R4" s="54">
        <f t="shared" si="6"/>
        <v>437744.09425000002</v>
      </c>
      <c r="S4" s="54"/>
      <c r="T4" s="60"/>
      <c r="U4" s="61"/>
    </row>
    <row r="5" spans="1:22" ht="18.75">
      <c r="A5" s="920" t="s">
        <v>368</v>
      </c>
      <c r="B5" s="921"/>
      <c r="C5" s="922"/>
      <c r="D5" s="55"/>
      <c r="E5" s="56" t="s">
        <v>29</v>
      </c>
      <c r="F5" s="54">
        <v>24975.81</v>
      </c>
      <c r="G5" s="54">
        <v>0</v>
      </c>
      <c r="H5" s="54">
        <f t="shared" si="0"/>
        <v>74927.429999999993</v>
      </c>
      <c r="I5" s="54">
        <f t="shared" si="1"/>
        <v>1873.1857500000001</v>
      </c>
      <c r="J5" s="54">
        <v>0</v>
      </c>
      <c r="K5" s="54">
        <f t="shared" si="2"/>
        <v>12487.905000000001</v>
      </c>
      <c r="L5" s="54">
        <f t="shared" si="3"/>
        <v>87415.335000000006</v>
      </c>
      <c r="M5" s="54">
        <v>0</v>
      </c>
      <c r="N5" s="54">
        <f t="shared" si="4"/>
        <v>24975.81</v>
      </c>
      <c r="O5" s="54">
        <v>100000</v>
      </c>
      <c r="P5" s="54">
        <f>F5*10%</f>
        <v>2497.5810000000001</v>
      </c>
      <c r="Q5" s="54">
        <v>20000</v>
      </c>
      <c r="R5" s="54">
        <v>0</v>
      </c>
      <c r="S5" s="54">
        <f>SUM(F5:R5)</f>
        <v>349153.05674999999</v>
      </c>
      <c r="T5" s="54">
        <v>0</v>
      </c>
      <c r="U5" s="62">
        <f>S5-T5</f>
        <v>349153.05674999999</v>
      </c>
      <c r="V5" s="54">
        <v>344720.6</v>
      </c>
    </row>
    <row r="6" spans="1:22" ht="18.75">
      <c r="A6" s="917" t="s">
        <v>461</v>
      </c>
      <c r="B6" s="918"/>
      <c r="C6" s="919"/>
      <c r="D6" s="53"/>
      <c r="E6" s="53" t="s">
        <v>1357</v>
      </c>
      <c r="F6" s="54">
        <v>23891.119999999999</v>
      </c>
      <c r="G6" s="54"/>
      <c r="H6" s="54">
        <f t="shared" si="0"/>
        <v>71673.36</v>
      </c>
      <c r="I6" s="54">
        <f t="shared" si="1"/>
        <v>1791.8340000000001</v>
      </c>
      <c r="J6" s="54">
        <v>0</v>
      </c>
      <c r="K6" s="54">
        <f t="shared" si="2"/>
        <v>11945.56</v>
      </c>
      <c r="L6" s="54">
        <f t="shared" si="3"/>
        <v>83618.92</v>
      </c>
      <c r="M6" s="54">
        <v>0</v>
      </c>
      <c r="N6" s="54">
        <f t="shared" si="4"/>
        <v>23891.119999999999</v>
      </c>
      <c r="O6" s="54">
        <f t="shared" si="5"/>
        <v>2389.1120000000001</v>
      </c>
      <c r="P6" s="54">
        <v>15000</v>
      </c>
      <c r="Q6" s="54">
        <v>0</v>
      </c>
      <c r="R6" s="54">
        <f t="shared" si="6"/>
        <v>234201.02600000001</v>
      </c>
      <c r="S6" s="54"/>
      <c r="T6" s="60"/>
      <c r="U6" s="61"/>
    </row>
    <row r="7" spans="1:22" ht="18.75">
      <c r="A7" s="917" t="s">
        <v>1358</v>
      </c>
      <c r="B7" s="918"/>
      <c r="C7" s="919"/>
      <c r="D7" s="53"/>
      <c r="E7" s="53" t="s">
        <v>1359</v>
      </c>
      <c r="F7" s="54">
        <v>21293.96</v>
      </c>
      <c r="G7" s="54"/>
      <c r="H7" s="54">
        <f t="shared" si="0"/>
        <v>63881.88</v>
      </c>
      <c r="I7" s="54">
        <f t="shared" si="1"/>
        <v>1597.047</v>
      </c>
      <c r="J7" s="54">
        <v>0</v>
      </c>
      <c r="K7" s="54">
        <f t="shared" si="2"/>
        <v>10646.98</v>
      </c>
      <c r="L7" s="54">
        <f t="shared" si="3"/>
        <v>74528.86</v>
      </c>
      <c r="M7" s="54">
        <v>0</v>
      </c>
      <c r="N7" s="54">
        <f t="shared" si="4"/>
        <v>21293.96</v>
      </c>
      <c r="O7" s="54">
        <f t="shared" si="5"/>
        <v>2129.3960000000002</v>
      </c>
      <c r="P7" s="54">
        <v>10000</v>
      </c>
      <c r="Q7" s="54">
        <v>0</v>
      </c>
      <c r="R7" s="54">
        <f t="shared" si="6"/>
        <v>205372.08300000001</v>
      </c>
      <c r="S7" s="54"/>
      <c r="T7" s="60"/>
      <c r="U7" s="61"/>
    </row>
    <row r="8" spans="1:22" ht="18.75">
      <c r="A8" s="917" t="s">
        <v>64</v>
      </c>
      <c r="B8" s="918"/>
      <c r="C8" s="919"/>
      <c r="D8" s="53"/>
      <c r="E8" s="53" t="s">
        <v>1360</v>
      </c>
      <c r="F8" s="54">
        <v>17286.330000000002</v>
      </c>
      <c r="G8" s="54"/>
      <c r="H8" s="54">
        <f t="shared" si="0"/>
        <v>51858.99</v>
      </c>
      <c r="I8" s="54">
        <f t="shared" si="1"/>
        <v>1296.4747500000001</v>
      </c>
      <c r="J8" s="54">
        <v>0</v>
      </c>
      <c r="K8" s="54">
        <f t="shared" si="2"/>
        <v>8643.1650000000009</v>
      </c>
      <c r="L8" s="54">
        <f t="shared" si="3"/>
        <v>60502.154999999999</v>
      </c>
      <c r="M8" s="54">
        <v>0</v>
      </c>
      <c r="N8" s="54">
        <f t="shared" si="4"/>
        <v>17286.330000000002</v>
      </c>
      <c r="O8" s="54">
        <f t="shared" si="5"/>
        <v>1728.633</v>
      </c>
      <c r="P8" s="54">
        <v>10000</v>
      </c>
      <c r="Q8" s="54">
        <v>0</v>
      </c>
      <c r="R8" s="54">
        <f t="shared" si="6"/>
        <v>168602.07775</v>
      </c>
      <c r="S8" s="54"/>
      <c r="T8" s="60"/>
      <c r="U8" s="61"/>
    </row>
    <row r="9" spans="1:22" ht="18.75">
      <c r="A9" s="917" t="s">
        <v>1361</v>
      </c>
      <c r="B9" s="918"/>
      <c r="C9" s="919"/>
      <c r="D9" s="53"/>
      <c r="E9" s="53" t="s">
        <v>1362</v>
      </c>
      <c r="F9" s="54">
        <v>14736.14</v>
      </c>
      <c r="G9" s="54"/>
      <c r="H9" s="54">
        <f t="shared" si="0"/>
        <v>44208.42</v>
      </c>
      <c r="I9" s="54">
        <f t="shared" si="1"/>
        <v>1105.2104999999999</v>
      </c>
      <c r="J9" s="54">
        <v>0</v>
      </c>
      <c r="K9" s="54">
        <f t="shared" si="2"/>
        <v>7368.07</v>
      </c>
      <c r="L9" s="54">
        <f t="shared" si="3"/>
        <v>51576.49</v>
      </c>
      <c r="M9" s="54">
        <v>0</v>
      </c>
      <c r="N9" s="54">
        <f t="shared" si="4"/>
        <v>14736.14</v>
      </c>
      <c r="O9" s="54">
        <f t="shared" si="5"/>
        <v>1473.614</v>
      </c>
      <c r="P9" s="54">
        <v>10000</v>
      </c>
      <c r="Q9" s="54">
        <v>0</v>
      </c>
      <c r="R9" s="54">
        <f t="shared" si="6"/>
        <v>145204.0845</v>
      </c>
      <c r="S9" s="54"/>
      <c r="T9" s="60"/>
      <c r="U9" s="61"/>
    </row>
    <row r="10" spans="1:22" ht="18.75">
      <c r="A10" s="917"/>
      <c r="B10" s="918"/>
      <c r="C10" s="919"/>
      <c r="D10" s="53"/>
      <c r="E10" s="53" t="s">
        <v>1363</v>
      </c>
      <c r="F10" s="54">
        <v>12351.94</v>
      </c>
      <c r="G10" s="54"/>
      <c r="H10" s="54">
        <f t="shared" si="0"/>
        <v>37055.82</v>
      </c>
      <c r="I10" s="54">
        <f t="shared" si="1"/>
        <v>926.39549999999997</v>
      </c>
      <c r="J10" s="54">
        <v>0</v>
      </c>
      <c r="K10" s="54">
        <f t="shared" si="2"/>
        <v>6175.97</v>
      </c>
      <c r="L10" s="54">
        <f t="shared" si="3"/>
        <v>43231.79</v>
      </c>
      <c r="M10" s="54">
        <v>0</v>
      </c>
      <c r="N10" s="54">
        <f t="shared" si="4"/>
        <v>12351.94</v>
      </c>
      <c r="O10" s="54">
        <f t="shared" si="5"/>
        <v>1235.194</v>
      </c>
      <c r="P10" s="54">
        <v>10000</v>
      </c>
      <c r="Q10" s="54">
        <v>0</v>
      </c>
      <c r="R10" s="54">
        <f t="shared" si="6"/>
        <v>123329.04949999999</v>
      </c>
      <c r="S10" s="54"/>
      <c r="T10" s="60"/>
      <c r="U10" s="61"/>
    </row>
  </sheetData>
  <mergeCells count="8">
    <mergeCell ref="A8:C8"/>
    <mergeCell ref="A9:C9"/>
    <mergeCell ref="A10:C10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E4" sqref="E4"/>
    </sheetView>
  </sheetViews>
  <sheetFormatPr defaultColWidth="9" defaultRowHeight="12.75"/>
  <cols>
    <col min="3" max="3" width="15.28515625" customWidth="1"/>
    <col min="4" max="4" width="18.7109375" customWidth="1"/>
    <col min="5" max="5" width="18.85546875" customWidth="1"/>
  </cols>
  <sheetData>
    <row r="1" spans="1:6" ht="18.75">
      <c r="A1" s="916" t="s">
        <v>1364</v>
      </c>
      <c r="B1" s="916"/>
      <c r="C1" s="916"/>
      <c r="D1" s="916"/>
      <c r="E1" s="916"/>
      <c r="F1" s="916"/>
    </row>
    <row r="2" spans="1:6" ht="18.75">
      <c r="A2" s="910" t="s">
        <v>1365</v>
      </c>
      <c r="B2" s="910"/>
      <c r="C2" s="910"/>
      <c r="D2" s="910"/>
      <c r="E2" s="910"/>
      <c r="F2" s="910"/>
    </row>
    <row r="3" spans="1:6" ht="18.75">
      <c r="A3" s="911"/>
      <c r="B3" s="911"/>
      <c r="C3" s="911"/>
      <c r="D3" s="47" t="s">
        <v>1322</v>
      </c>
      <c r="E3" s="47" t="s">
        <v>1323</v>
      </c>
      <c r="F3" s="48"/>
    </row>
    <row r="4" spans="1:6" ht="18.75">
      <c r="A4" s="911" t="s">
        <v>1324</v>
      </c>
      <c r="B4" s="911"/>
      <c r="C4" s="911"/>
      <c r="D4" s="49">
        <f>E4*12</f>
        <v>299709.71999999997</v>
      </c>
      <c r="E4" s="49">
        <f>SUMMARY!F5</f>
        <v>24975.81</v>
      </c>
      <c r="F4" s="45"/>
    </row>
    <row r="5" spans="1:6" ht="18.75">
      <c r="A5" s="911" t="s">
        <v>1325</v>
      </c>
      <c r="B5" s="911"/>
      <c r="C5" s="911"/>
      <c r="D5" s="49">
        <f t="shared" ref="D5:D14" si="0">E5*12</f>
        <v>899129.16</v>
      </c>
      <c r="E5" s="49">
        <f>SUMMARY!H5</f>
        <v>74927.429999999993</v>
      </c>
      <c r="F5" s="45"/>
    </row>
    <row r="6" spans="1:6" ht="18.75">
      <c r="A6" s="911" t="s">
        <v>1326</v>
      </c>
      <c r="B6" s="911"/>
      <c r="C6" s="911"/>
      <c r="D6" s="49">
        <f t="shared" si="0"/>
        <v>22478.228999999999</v>
      </c>
      <c r="E6" s="49">
        <f>SUMMARY!I5</f>
        <v>1873.1857500000001</v>
      </c>
      <c r="F6" s="45"/>
    </row>
    <row r="7" spans="1:6" ht="18.75">
      <c r="A7" s="911" t="s">
        <v>1327</v>
      </c>
      <c r="B7" s="911"/>
      <c r="C7" s="911"/>
      <c r="D7" s="49">
        <f t="shared" si="0"/>
        <v>0</v>
      </c>
      <c r="E7" s="49">
        <f>SUMMARY!J6</f>
        <v>0</v>
      </c>
      <c r="F7" s="45"/>
    </row>
    <row r="8" spans="1:6" ht="18.75">
      <c r="A8" s="911" t="s">
        <v>1328</v>
      </c>
      <c r="B8" s="911"/>
      <c r="C8" s="911"/>
      <c r="D8" s="49">
        <f t="shared" si="0"/>
        <v>149854.85999999999</v>
      </c>
      <c r="E8" s="49">
        <f>SUMMARY!K5</f>
        <v>12487.905000000001</v>
      </c>
      <c r="F8" s="45"/>
    </row>
    <row r="9" spans="1:6" ht="18.75">
      <c r="A9" s="911" t="s">
        <v>1329</v>
      </c>
      <c r="B9" s="911"/>
      <c r="C9" s="911"/>
      <c r="D9" s="49">
        <f t="shared" si="0"/>
        <v>1048984.02</v>
      </c>
      <c r="E9" s="49">
        <f>SUMMARY!L5</f>
        <v>87415.335000000006</v>
      </c>
      <c r="F9" s="45"/>
    </row>
    <row r="10" spans="1:6" ht="18.75">
      <c r="A10" s="911" t="s">
        <v>1331</v>
      </c>
      <c r="B10" s="911"/>
      <c r="C10" s="911"/>
      <c r="D10" s="49">
        <f t="shared" si="0"/>
        <v>299709.71999999997</v>
      </c>
      <c r="E10" s="49">
        <f>SUMMARY!N5</f>
        <v>24975.81</v>
      </c>
      <c r="F10" s="45"/>
    </row>
    <row r="11" spans="1:6" ht="18.75">
      <c r="A11" s="912" t="s">
        <v>1330</v>
      </c>
      <c r="B11" s="913"/>
      <c r="C11" s="914"/>
      <c r="D11" s="49">
        <f t="shared" si="0"/>
        <v>0</v>
      </c>
      <c r="E11" s="49">
        <v>0</v>
      </c>
      <c r="F11" s="45"/>
    </row>
    <row r="12" spans="1:6" ht="18.75">
      <c r="A12" s="911" t="s">
        <v>1332</v>
      </c>
      <c r="B12" s="911"/>
      <c r="C12" s="911"/>
      <c r="D12" s="49">
        <f t="shared" si="0"/>
        <v>29970.972000000002</v>
      </c>
      <c r="E12" s="49">
        <f>SUMMARY!P5</f>
        <v>2497.5810000000001</v>
      </c>
      <c r="F12" s="45"/>
    </row>
    <row r="13" spans="1:6" ht="18.75">
      <c r="A13" s="911" t="s">
        <v>1333</v>
      </c>
      <c r="B13" s="911"/>
      <c r="C13" s="911"/>
      <c r="D13" s="49">
        <f t="shared" si="0"/>
        <v>240000</v>
      </c>
      <c r="E13" s="49">
        <f>SUMMARY!Q5</f>
        <v>20000</v>
      </c>
      <c r="F13" s="45"/>
    </row>
    <row r="14" spans="1:6" ht="18.75">
      <c r="A14" s="915" t="s">
        <v>9</v>
      </c>
      <c r="B14" s="915"/>
      <c r="C14" s="915"/>
      <c r="D14" s="51">
        <f t="shared" si="0"/>
        <v>2989836.6809999999</v>
      </c>
      <c r="E14" s="51">
        <f>SUM(E4:E13)</f>
        <v>249153.05674999999</v>
      </c>
      <c r="F14" s="45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06" right="0.7" top="0.75" bottom="0.75" header="0.3" footer="0.3"/>
  <pageSetup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H14" sqref="H14"/>
    </sheetView>
  </sheetViews>
  <sheetFormatPr defaultColWidth="9" defaultRowHeight="12.75"/>
  <cols>
    <col min="1" max="1" width="32.140625" customWidth="1"/>
    <col min="2" max="2" width="22.42578125" customWidth="1"/>
    <col min="3" max="3" width="25" customWidth="1"/>
  </cols>
  <sheetData>
    <row r="1" spans="1:3" ht="18.75">
      <c r="A1" s="923" t="s">
        <v>1366</v>
      </c>
      <c r="B1" s="923"/>
      <c r="C1" s="923"/>
    </row>
    <row r="2" spans="1:3" ht="18.75">
      <c r="A2" s="923" t="s">
        <v>1338</v>
      </c>
      <c r="B2" s="923"/>
      <c r="C2" s="923"/>
    </row>
    <row r="3" spans="1:3" ht="18.75">
      <c r="A3" s="41"/>
      <c r="B3" s="41" t="s">
        <v>1322</v>
      </c>
      <c r="C3" s="41" t="s">
        <v>1323</v>
      </c>
    </row>
    <row r="4" spans="1:3" ht="18.75">
      <c r="A4" s="42" t="s">
        <v>1324</v>
      </c>
      <c r="B4" s="43">
        <f>C4*12</f>
        <v>475947</v>
      </c>
      <c r="C4" s="43">
        <v>39662.25</v>
      </c>
    </row>
    <row r="5" spans="1:3" ht="18.75">
      <c r="A5" s="42" t="s">
        <v>1325</v>
      </c>
      <c r="B5" s="43">
        <f t="shared" ref="B5:B13" si="0">C5*12</f>
        <v>1427841</v>
      </c>
      <c r="C5" s="43">
        <v>118986.75</v>
      </c>
    </row>
    <row r="6" spans="1:3" ht="18.75">
      <c r="A6" s="42" t="s">
        <v>1326</v>
      </c>
      <c r="B6" s="43">
        <f t="shared" si="0"/>
        <v>35696.04</v>
      </c>
      <c r="C6" s="43">
        <v>2974.67</v>
      </c>
    </row>
    <row r="7" spans="1:3" ht="18.75">
      <c r="A7" s="42" t="s">
        <v>1327</v>
      </c>
      <c r="B7" s="43" t="e">
        <f t="shared" si="0"/>
        <v>#REF!</v>
      </c>
      <c r="C7" s="43" t="e">
        <f>#REF!</f>
        <v>#REF!</v>
      </c>
    </row>
    <row r="8" spans="1:3" ht="18.75">
      <c r="A8" s="42" t="s">
        <v>1328</v>
      </c>
      <c r="B8" s="43">
        <f t="shared" si="0"/>
        <v>237973.56</v>
      </c>
      <c r="C8" s="43">
        <v>19831.13</v>
      </c>
    </row>
    <row r="9" spans="1:3" ht="18.75">
      <c r="A9" s="42" t="s">
        <v>1329</v>
      </c>
      <c r="B9" s="43">
        <f t="shared" si="0"/>
        <v>1665814.56</v>
      </c>
      <c r="C9" s="43">
        <v>138817.88</v>
      </c>
    </row>
    <row r="10" spans="1:3" ht="18.75">
      <c r="A10" s="42" t="s">
        <v>1331</v>
      </c>
      <c r="B10" s="43">
        <f t="shared" si="0"/>
        <v>475947</v>
      </c>
      <c r="C10" s="43">
        <v>39662.25</v>
      </c>
    </row>
    <row r="11" spans="1:3" ht="18.75">
      <c r="A11" s="42" t="s">
        <v>1330</v>
      </c>
      <c r="B11" s="43">
        <f t="shared" si="0"/>
        <v>0</v>
      </c>
      <c r="C11" s="43">
        <v>0</v>
      </c>
    </row>
    <row r="12" spans="1:3" ht="18.75">
      <c r="A12" s="42" t="s">
        <v>1332</v>
      </c>
      <c r="B12" s="43">
        <f t="shared" si="0"/>
        <v>47594.76</v>
      </c>
      <c r="C12" s="43">
        <v>3966.23</v>
      </c>
    </row>
    <row r="13" spans="1:3" ht="18.75">
      <c r="A13" s="42" t="s">
        <v>1333</v>
      </c>
      <c r="B13" s="43" t="e">
        <f t="shared" si="0"/>
        <v>#REF!</v>
      </c>
      <c r="C13" s="43" t="e">
        <f>#REF!</f>
        <v>#REF!</v>
      </c>
    </row>
    <row r="14" spans="1:3" ht="18.75">
      <c r="A14" s="41" t="s">
        <v>9</v>
      </c>
      <c r="B14" s="44" t="e">
        <f>SUM(B4:B13)</f>
        <v>#REF!</v>
      </c>
      <c r="C14" s="44" t="e">
        <f>SUM(C4:C13)</f>
        <v>#REF!</v>
      </c>
    </row>
    <row r="15" spans="1:3" ht="18.75">
      <c r="A15" s="45"/>
      <c r="B15" s="45"/>
      <c r="C15" s="45"/>
    </row>
  </sheetData>
  <mergeCells count="2">
    <mergeCell ref="A1:C1"/>
    <mergeCell ref="A2:C2"/>
  </mergeCells>
  <pageMargins left="0.7" right="0.7" top="0.75" bottom="0.75" header="0.3" footer="0.3"/>
  <pageSetup fitToWidth="2"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60"/>
  <sheetViews>
    <sheetView topLeftCell="A38" workbookViewId="0">
      <selection activeCell="L51" sqref="L51"/>
    </sheetView>
  </sheetViews>
  <sheetFormatPr defaultColWidth="9" defaultRowHeight="12.75"/>
  <cols>
    <col min="1" max="1" width="4.5703125" customWidth="1"/>
    <col min="2" max="2" width="15.85546875" customWidth="1"/>
    <col min="3" max="3" width="15" customWidth="1"/>
    <col min="4" max="4" width="16.85546875" customWidth="1"/>
  </cols>
  <sheetData>
    <row r="2" spans="1:4" ht="15">
      <c r="A2" s="35"/>
      <c r="B2" s="35" t="s">
        <v>5</v>
      </c>
      <c r="C2" s="35"/>
      <c r="D2" s="35"/>
    </row>
    <row r="3" spans="1:4" ht="15">
      <c r="A3" s="35" t="s">
        <v>21</v>
      </c>
      <c r="B3" s="35" t="s">
        <v>4</v>
      </c>
      <c r="C3" s="35" t="s">
        <v>1367</v>
      </c>
      <c r="D3" s="36" t="s">
        <v>20</v>
      </c>
    </row>
    <row r="4" spans="1:4" ht="15">
      <c r="A4" s="37">
        <v>1</v>
      </c>
      <c r="B4" s="37">
        <v>17</v>
      </c>
      <c r="C4" s="37">
        <v>9</v>
      </c>
      <c r="D4" s="38">
        <v>81740.02</v>
      </c>
    </row>
    <row r="5" spans="1:4" ht="15">
      <c r="A5" s="37">
        <v>2</v>
      </c>
      <c r="B5" s="37">
        <v>17</v>
      </c>
      <c r="C5" s="37">
        <v>8</v>
      </c>
      <c r="D5" s="38">
        <f>79039.64</f>
        <v>79039.64</v>
      </c>
    </row>
    <row r="6" spans="1:4" ht="15">
      <c r="A6" s="37">
        <v>3</v>
      </c>
      <c r="B6" s="37">
        <v>17</v>
      </c>
      <c r="C6" s="37">
        <v>7</v>
      </c>
      <c r="D6" s="38">
        <f>76339.3</f>
        <v>76339.3</v>
      </c>
    </row>
    <row r="7" spans="1:4" ht="15">
      <c r="A7" s="37">
        <v>4</v>
      </c>
      <c r="B7" s="37">
        <v>16</v>
      </c>
      <c r="C7" s="37">
        <v>9</v>
      </c>
      <c r="D7" s="38">
        <f>42653.17</f>
        <v>42653.17</v>
      </c>
    </row>
    <row r="8" spans="1:4" ht="15">
      <c r="A8" s="37">
        <v>5</v>
      </c>
      <c r="B8" s="37">
        <f>16</f>
        <v>16</v>
      </c>
      <c r="C8" s="37">
        <v>8</v>
      </c>
      <c r="D8" s="38">
        <v>41157.69</v>
      </c>
    </row>
    <row r="9" spans="1:4" ht="15">
      <c r="A9" s="37">
        <v>6</v>
      </c>
      <c r="B9" s="37">
        <v>16</v>
      </c>
      <c r="C9" s="37">
        <v>7</v>
      </c>
      <c r="D9" s="38">
        <v>39662.25</v>
      </c>
    </row>
    <row r="10" spans="1:4" ht="15">
      <c r="A10" s="37">
        <v>7</v>
      </c>
      <c r="B10" s="37">
        <v>15</v>
      </c>
      <c r="C10" s="37">
        <v>9</v>
      </c>
      <c r="D10" s="38">
        <v>33507.5</v>
      </c>
    </row>
    <row r="11" spans="1:4" ht="15">
      <c r="A11" s="37">
        <v>8</v>
      </c>
      <c r="B11" s="37">
        <v>15</v>
      </c>
      <c r="C11" s="37">
        <v>8</v>
      </c>
      <c r="D11" s="38">
        <v>32263.200000000001</v>
      </c>
    </row>
    <row r="12" spans="1:4" ht="15">
      <c r="A12" s="37">
        <v>9</v>
      </c>
      <c r="B12" s="37">
        <v>15</v>
      </c>
      <c r="C12" s="37">
        <v>7</v>
      </c>
      <c r="D12" s="38">
        <v>31018.84</v>
      </c>
    </row>
    <row r="13" spans="1:4" ht="15">
      <c r="A13" s="37">
        <v>10</v>
      </c>
      <c r="B13" s="37">
        <v>14</v>
      </c>
      <c r="C13" s="37">
        <v>11</v>
      </c>
      <c r="D13" s="38">
        <v>28489.81</v>
      </c>
    </row>
    <row r="14" spans="1:4" ht="15">
      <c r="A14" s="37">
        <v>11</v>
      </c>
      <c r="B14" s="37">
        <v>14</v>
      </c>
      <c r="C14" s="37">
        <v>10</v>
      </c>
      <c r="D14" s="38">
        <v>27611.23</v>
      </c>
    </row>
    <row r="15" spans="1:4" ht="15">
      <c r="A15" s="37">
        <v>12</v>
      </c>
      <c r="B15" s="37">
        <v>14</v>
      </c>
      <c r="C15" s="37">
        <v>9</v>
      </c>
      <c r="D15" s="38">
        <v>26732.65</v>
      </c>
    </row>
    <row r="16" spans="1:4" ht="15">
      <c r="A16" s="37">
        <v>13</v>
      </c>
      <c r="B16" s="37">
        <v>14</v>
      </c>
      <c r="C16" s="37">
        <v>8</v>
      </c>
      <c r="D16" s="38">
        <v>25854.1</v>
      </c>
    </row>
    <row r="17" spans="1:4" ht="15">
      <c r="A17" s="37">
        <v>14</v>
      </c>
      <c r="B17" s="37">
        <v>14</v>
      </c>
      <c r="C17" s="37">
        <v>7</v>
      </c>
      <c r="D17" s="38">
        <v>24975.81</v>
      </c>
    </row>
    <row r="18" spans="1:4" ht="15">
      <c r="A18" s="37">
        <v>15</v>
      </c>
      <c r="B18" s="37">
        <v>13</v>
      </c>
      <c r="C18" s="37">
        <v>11</v>
      </c>
      <c r="D18" s="38">
        <v>26339.3</v>
      </c>
    </row>
    <row r="19" spans="1:4" ht="15">
      <c r="A19" s="37">
        <v>16</v>
      </c>
      <c r="B19" s="37">
        <v>13</v>
      </c>
      <c r="C19" s="37">
        <v>10</v>
      </c>
      <c r="D19" s="38">
        <v>25523.45</v>
      </c>
    </row>
    <row r="20" spans="1:4" ht="15">
      <c r="A20" s="37">
        <v>17</v>
      </c>
      <c r="B20" s="37">
        <v>13</v>
      </c>
      <c r="C20" s="37">
        <v>9</v>
      </c>
      <c r="D20" s="38">
        <v>24741.26</v>
      </c>
    </row>
    <row r="21" spans="1:4" ht="15">
      <c r="A21" s="37">
        <v>18</v>
      </c>
      <c r="B21" s="37">
        <v>13</v>
      </c>
      <c r="C21" s="37">
        <v>8</v>
      </c>
      <c r="D21" s="38">
        <v>23891.119999999999</v>
      </c>
    </row>
    <row r="22" spans="1:4" ht="15">
      <c r="A22" s="37">
        <v>19</v>
      </c>
      <c r="B22" s="37">
        <v>13</v>
      </c>
      <c r="C22" s="37">
        <v>7</v>
      </c>
      <c r="D22" s="38">
        <v>23074.99</v>
      </c>
    </row>
    <row r="23" spans="1:4" ht="15">
      <c r="A23" s="37">
        <v>20</v>
      </c>
      <c r="B23" s="37">
        <v>12</v>
      </c>
      <c r="C23" s="37">
        <v>12</v>
      </c>
      <c r="D23" s="38"/>
    </row>
    <row r="24" spans="1:4" ht="15">
      <c r="A24" s="37">
        <v>21</v>
      </c>
      <c r="B24" s="37">
        <v>12</v>
      </c>
      <c r="C24" s="37">
        <v>11</v>
      </c>
      <c r="D24" s="38"/>
    </row>
    <row r="25" spans="1:4" ht="15">
      <c r="A25" s="37">
        <v>22</v>
      </c>
      <c r="B25" s="37">
        <v>12</v>
      </c>
      <c r="C25" s="37">
        <v>10</v>
      </c>
      <c r="D25" s="38"/>
    </row>
    <row r="26" spans="1:4" ht="15">
      <c r="A26" s="37">
        <v>23</v>
      </c>
      <c r="B26" s="37">
        <v>12</v>
      </c>
      <c r="C26" s="37">
        <v>9</v>
      </c>
      <c r="D26" s="38"/>
    </row>
    <row r="27" spans="1:4" ht="15">
      <c r="A27" s="37">
        <v>24</v>
      </c>
      <c r="B27" s="37">
        <v>12</v>
      </c>
      <c r="C27" s="37">
        <v>8</v>
      </c>
      <c r="D27" s="38">
        <f>21520.88</f>
        <v>21520.880000000001</v>
      </c>
    </row>
    <row r="28" spans="1:4" ht="15">
      <c r="A28" s="37">
        <v>25</v>
      </c>
      <c r="B28" s="37">
        <v>12</v>
      </c>
      <c r="C28" s="37">
        <v>7</v>
      </c>
      <c r="D28" s="38">
        <f>20749</f>
        <v>20749</v>
      </c>
    </row>
    <row r="29" spans="1:4" ht="15">
      <c r="A29" s="37">
        <v>26</v>
      </c>
      <c r="B29" s="37">
        <v>10</v>
      </c>
      <c r="C29" s="37">
        <v>13</v>
      </c>
      <c r="D29" s="38"/>
    </row>
    <row r="30" spans="1:4" ht="15">
      <c r="A30" s="37">
        <v>27</v>
      </c>
      <c r="B30" s="37">
        <v>10</v>
      </c>
      <c r="C30" s="37">
        <v>12</v>
      </c>
      <c r="D30" s="38">
        <v>19774.62</v>
      </c>
    </row>
    <row r="31" spans="1:4" ht="15">
      <c r="A31" s="37">
        <v>28</v>
      </c>
      <c r="B31" s="37">
        <v>10</v>
      </c>
      <c r="C31" s="37">
        <v>11</v>
      </c>
      <c r="D31" s="38">
        <v>19276.95</v>
      </c>
    </row>
    <row r="32" spans="1:4" ht="15">
      <c r="A32" s="37">
        <v>29</v>
      </c>
      <c r="B32" s="37">
        <v>10</v>
      </c>
      <c r="C32" s="37">
        <v>10</v>
      </c>
      <c r="D32" s="38">
        <v>18779.3</v>
      </c>
    </row>
    <row r="33" spans="1:4" ht="15">
      <c r="A33" s="37">
        <v>30</v>
      </c>
      <c r="B33" s="37">
        <v>10</v>
      </c>
      <c r="C33" s="37">
        <v>9</v>
      </c>
      <c r="D33" s="38">
        <v>18281.64</v>
      </c>
    </row>
    <row r="34" spans="1:4" ht="15">
      <c r="A34" s="37">
        <v>31</v>
      </c>
      <c r="B34" s="37">
        <v>10</v>
      </c>
      <c r="C34" s="37">
        <v>8</v>
      </c>
      <c r="D34" s="38">
        <v>17784.099999999999</v>
      </c>
    </row>
    <row r="35" spans="1:4" ht="15">
      <c r="A35" s="37">
        <v>32</v>
      </c>
      <c r="B35" s="37">
        <v>10</v>
      </c>
      <c r="C35" s="37">
        <v>7</v>
      </c>
      <c r="D35" s="38">
        <v>17286.330000000002</v>
      </c>
    </row>
    <row r="36" spans="1:4" ht="15">
      <c r="A36" s="37">
        <v>33</v>
      </c>
      <c r="B36" s="37">
        <v>9</v>
      </c>
      <c r="C36" s="37">
        <v>10</v>
      </c>
      <c r="D36" s="38">
        <v>16093.74</v>
      </c>
    </row>
    <row r="37" spans="1:4" ht="15">
      <c r="A37" s="37">
        <v>34</v>
      </c>
      <c r="B37" s="37">
        <v>9</v>
      </c>
      <c r="C37" s="37">
        <v>9</v>
      </c>
      <c r="D37" s="39">
        <f>15641.2</f>
        <v>15641.2</v>
      </c>
    </row>
    <row r="38" spans="1:4" ht="15">
      <c r="A38" s="37">
        <v>35</v>
      </c>
      <c r="B38" s="37">
        <v>9</v>
      </c>
      <c r="C38" s="37">
        <v>8</v>
      </c>
      <c r="D38" s="39">
        <f>15188.68</f>
        <v>15188.68</v>
      </c>
    </row>
    <row r="39" spans="1:4" ht="15">
      <c r="A39" s="37">
        <v>36</v>
      </c>
      <c r="B39" s="37">
        <v>9</v>
      </c>
      <c r="C39">
        <v>7</v>
      </c>
      <c r="D39" s="39">
        <f>14736.14</f>
        <v>14736.14</v>
      </c>
    </row>
    <row r="40" spans="1:4" ht="15">
      <c r="A40" s="37">
        <v>37</v>
      </c>
      <c r="B40" s="37">
        <v>8</v>
      </c>
      <c r="C40" s="37">
        <v>10</v>
      </c>
      <c r="D40" s="38">
        <v>13492.21</v>
      </c>
    </row>
    <row r="41" spans="1:4" ht="15">
      <c r="A41" s="37">
        <v>38</v>
      </c>
      <c r="B41" s="37">
        <v>8</v>
      </c>
      <c r="C41" s="37">
        <v>9</v>
      </c>
      <c r="D41" s="38">
        <v>13112.16</v>
      </c>
    </row>
    <row r="42" spans="1:4" ht="15">
      <c r="A42" s="37">
        <v>39</v>
      </c>
      <c r="B42" s="37">
        <v>8</v>
      </c>
      <c r="C42" s="37">
        <v>8</v>
      </c>
      <c r="D42" s="38">
        <v>12732</v>
      </c>
    </row>
    <row r="43" spans="1:4" ht="15">
      <c r="A43" s="37">
        <v>40</v>
      </c>
      <c r="B43" s="37">
        <v>8</v>
      </c>
      <c r="C43" s="37">
        <v>7</v>
      </c>
      <c r="D43" s="38">
        <v>12351.94</v>
      </c>
    </row>
    <row r="44" spans="1:4" ht="15">
      <c r="A44" s="37">
        <v>41</v>
      </c>
      <c r="B44" s="37">
        <v>7</v>
      </c>
      <c r="C44" s="37">
        <v>10</v>
      </c>
    </row>
    <row r="45" spans="1:4" ht="15">
      <c r="A45" s="37">
        <v>42</v>
      </c>
      <c r="B45" s="37">
        <v>7</v>
      </c>
      <c r="C45" s="37">
        <v>9</v>
      </c>
    </row>
    <row r="46" spans="1:4" ht="15">
      <c r="A46" s="37">
        <v>43</v>
      </c>
      <c r="B46" s="37">
        <v>7</v>
      </c>
      <c r="C46" s="37">
        <v>8</v>
      </c>
      <c r="D46" s="38"/>
    </row>
    <row r="47" spans="1:4" ht="15">
      <c r="A47" s="37">
        <v>44</v>
      </c>
      <c r="B47" s="37">
        <v>7</v>
      </c>
      <c r="C47" s="37">
        <v>6</v>
      </c>
      <c r="D47" s="38"/>
    </row>
    <row r="48" spans="1:4" ht="15">
      <c r="A48" s="37">
        <v>45</v>
      </c>
      <c r="B48" s="37">
        <v>7</v>
      </c>
      <c r="C48" s="37">
        <v>5</v>
      </c>
      <c r="D48" s="38"/>
    </row>
    <row r="49" spans="1:4" ht="15">
      <c r="A49" s="37">
        <v>46</v>
      </c>
      <c r="B49" s="37">
        <v>7</v>
      </c>
      <c r="C49" s="37">
        <v>4</v>
      </c>
      <c r="D49" s="38">
        <f>9050.14</f>
        <v>9050.14</v>
      </c>
    </row>
    <row r="50" spans="1:4" ht="15">
      <c r="A50" s="37">
        <v>47</v>
      </c>
      <c r="B50" s="37">
        <v>7</v>
      </c>
      <c r="C50" s="37">
        <v>3</v>
      </c>
      <c r="D50" s="38">
        <f>8730.79</f>
        <v>8730.7900000000009</v>
      </c>
    </row>
    <row r="51" spans="1:4" ht="15">
      <c r="A51" s="37">
        <v>48</v>
      </c>
      <c r="B51" s="37">
        <v>5</v>
      </c>
      <c r="C51" s="37">
        <v>13</v>
      </c>
      <c r="D51" s="38">
        <v>5769.6</v>
      </c>
    </row>
    <row r="52" spans="1:4" ht="15">
      <c r="A52" s="37">
        <v>49</v>
      </c>
      <c r="B52" s="37">
        <v>5</v>
      </c>
      <c r="C52" s="37">
        <v>12</v>
      </c>
      <c r="D52" s="38">
        <v>5598.92</v>
      </c>
    </row>
    <row r="53" spans="1:4" ht="15">
      <c r="A53" s="37">
        <v>50</v>
      </c>
      <c r="B53" s="37">
        <v>5</v>
      </c>
      <c r="C53" s="37">
        <v>11</v>
      </c>
      <c r="D53" s="38">
        <v>5428.12</v>
      </c>
    </row>
    <row r="54" spans="1:4" ht="15">
      <c r="A54" s="37">
        <v>51</v>
      </c>
      <c r="B54" s="37">
        <v>5</v>
      </c>
      <c r="C54" s="37">
        <v>10</v>
      </c>
      <c r="D54" s="38">
        <v>5257.44</v>
      </c>
    </row>
    <row r="55" spans="1:4" ht="15">
      <c r="A55" s="37">
        <v>52</v>
      </c>
      <c r="B55" s="37">
        <v>5</v>
      </c>
      <c r="C55" s="37">
        <v>9</v>
      </c>
      <c r="D55" s="38">
        <v>5086.76</v>
      </c>
    </row>
    <row r="56" spans="1:4" ht="15">
      <c r="A56" s="37">
        <v>53</v>
      </c>
      <c r="B56" s="37">
        <v>5</v>
      </c>
      <c r="C56" s="37">
        <v>8</v>
      </c>
      <c r="D56" s="38">
        <v>4915.9399999999996</v>
      </c>
    </row>
    <row r="57" spans="1:4" ht="15">
      <c r="A57" s="37"/>
      <c r="B57" s="37">
        <v>5</v>
      </c>
      <c r="C57" s="37">
        <v>7</v>
      </c>
      <c r="D57" s="38">
        <v>4745.29</v>
      </c>
    </row>
    <row r="58" spans="1:4" ht="15">
      <c r="B58" s="37">
        <v>4</v>
      </c>
      <c r="C58" s="37">
        <v>11</v>
      </c>
      <c r="D58" s="38">
        <v>4836.3</v>
      </c>
    </row>
    <row r="59" spans="1:4" ht="15">
      <c r="B59" s="37">
        <v>4</v>
      </c>
      <c r="C59" s="37">
        <v>8</v>
      </c>
      <c r="D59" s="38">
        <v>4248.51</v>
      </c>
    </row>
    <row r="60" spans="1:4" ht="15">
      <c r="B60" s="37">
        <v>4</v>
      </c>
      <c r="C60" s="37">
        <v>7</v>
      </c>
      <c r="D60" s="38">
        <v>4101.58</v>
      </c>
    </row>
  </sheetData>
  <pageMargins left="0.7" right="0.7" top="0.75" bottom="0.75" header="0.3" footer="0.3"/>
  <pageSetup paperSize="9"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2"/>
  <sheetViews>
    <sheetView view="pageBreakPreview" zoomScaleNormal="69" workbookViewId="0">
      <pane xSplit="3" ySplit="7" topLeftCell="D153" activePane="bottomRight" state="frozen"/>
      <selection pane="topRight"/>
      <selection pane="bottomLeft"/>
      <selection pane="bottomRight" activeCell="C6" sqref="C6"/>
    </sheetView>
  </sheetViews>
  <sheetFormatPr defaultColWidth="9.140625" defaultRowHeight="20.100000000000001" customHeight="1"/>
  <cols>
    <col min="1" max="1" width="4.5703125" style="1" customWidth="1"/>
    <col min="2" max="2" width="42.42578125" style="1" customWidth="1"/>
    <col min="3" max="3" width="40.42578125" style="1" customWidth="1"/>
    <col min="4" max="4" width="11.5703125" style="1" customWidth="1"/>
    <col min="5" max="5" width="21.7109375" style="1" customWidth="1"/>
    <col min="6" max="16384" width="9.140625" style="1"/>
  </cols>
  <sheetData>
    <row r="1" spans="1:5" ht="27" customHeight="1">
      <c r="A1" s="924" t="s">
        <v>0</v>
      </c>
      <c r="B1" s="924"/>
      <c r="C1" s="924"/>
      <c r="D1" s="924"/>
    </row>
    <row r="2" spans="1:5" ht="33.75" customHeight="1">
      <c r="A2" s="868" t="s">
        <v>1368</v>
      </c>
      <c r="B2" s="868"/>
      <c r="C2" s="868"/>
      <c r="D2" s="868"/>
    </row>
    <row r="3" spans="1:5" ht="9.75" customHeight="1">
      <c r="A3" s="2"/>
      <c r="B3" s="2"/>
      <c r="C3" s="2"/>
      <c r="D3" s="2"/>
    </row>
    <row r="4" spans="1:5" ht="33" customHeight="1">
      <c r="A4" s="3"/>
      <c r="B4" s="4" t="s">
        <v>2</v>
      </c>
      <c r="C4" s="5" t="s">
        <v>3</v>
      </c>
      <c r="D4" s="6" t="s">
        <v>4</v>
      </c>
    </row>
    <row r="5" spans="1:5" ht="17.25" customHeight="1">
      <c r="C5" s="7"/>
      <c r="D5" s="7"/>
    </row>
    <row r="6" spans="1:5" ht="20.100000000000001" customHeight="1">
      <c r="A6" s="8" t="s">
        <v>21</v>
      </c>
      <c r="B6" s="7" t="s">
        <v>22</v>
      </c>
      <c r="C6" s="7"/>
      <c r="D6" s="7"/>
    </row>
    <row r="7" spans="1:5" ht="20.100000000000001" customHeight="1">
      <c r="A7" s="9">
        <v>1</v>
      </c>
      <c r="B7" s="10" t="s">
        <v>345</v>
      </c>
      <c r="C7" s="11" t="s">
        <v>346</v>
      </c>
      <c r="D7" s="11" t="s">
        <v>347</v>
      </c>
      <c r="E7" s="12"/>
    </row>
    <row r="8" spans="1:5" ht="20.100000000000001" customHeight="1">
      <c r="A8" s="9">
        <v>2</v>
      </c>
      <c r="B8" s="10" t="s">
        <v>1116</v>
      </c>
      <c r="C8" s="3" t="s">
        <v>1117</v>
      </c>
      <c r="D8" s="9" t="s">
        <v>340</v>
      </c>
      <c r="E8" s="12"/>
    </row>
    <row r="9" spans="1:5" ht="20.100000000000001" customHeight="1">
      <c r="A9" s="9">
        <v>3</v>
      </c>
      <c r="B9" s="10" t="s">
        <v>348</v>
      </c>
      <c r="C9" s="11" t="s">
        <v>349</v>
      </c>
      <c r="D9" s="9" t="s">
        <v>343</v>
      </c>
      <c r="E9" s="12"/>
    </row>
    <row r="10" spans="1:5" ht="20.100000000000001" customHeight="1">
      <c r="A10" s="9">
        <v>4</v>
      </c>
      <c r="B10" s="13" t="s">
        <v>350</v>
      </c>
      <c r="C10" s="3" t="s">
        <v>351</v>
      </c>
      <c r="D10" s="14" t="s">
        <v>416</v>
      </c>
      <c r="E10" s="12"/>
    </row>
    <row r="11" spans="1:5" ht="20.100000000000001" customHeight="1">
      <c r="A11" s="9">
        <v>5</v>
      </c>
      <c r="B11" s="13" t="s">
        <v>470</v>
      </c>
      <c r="C11" s="3" t="s">
        <v>1118</v>
      </c>
      <c r="D11" s="15" t="s">
        <v>416</v>
      </c>
      <c r="E11" s="12"/>
    </row>
    <row r="12" spans="1:5" ht="20.100000000000001" customHeight="1">
      <c r="A12" s="9">
        <v>6</v>
      </c>
      <c r="B12" s="10" t="s">
        <v>352</v>
      </c>
      <c r="C12" s="16" t="s">
        <v>353</v>
      </c>
      <c r="D12" s="15" t="s">
        <v>416</v>
      </c>
      <c r="E12" s="12"/>
    </row>
    <row r="13" spans="1:5" ht="20.100000000000001" customHeight="1">
      <c r="A13" s="9">
        <v>7</v>
      </c>
      <c r="B13" s="13" t="s">
        <v>354</v>
      </c>
      <c r="C13" s="3" t="s">
        <v>355</v>
      </c>
      <c r="D13" s="15" t="s">
        <v>416</v>
      </c>
      <c r="E13" s="12"/>
    </row>
    <row r="14" spans="1:5" ht="20.100000000000001" customHeight="1">
      <c r="A14" s="9">
        <v>8</v>
      </c>
      <c r="B14" s="10" t="s">
        <v>356</v>
      </c>
      <c r="C14" s="11" t="s">
        <v>357</v>
      </c>
      <c r="D14" s="14" t="s">
        <v>358</v>
      </c>
      <c r="E14" s="12"/>
    </row>
    <row r="15" spans="1:5" ht="20.100000000000001" customHeight="1">
      <c r="A15" s="9">
        <v>9</v>
      </c>
      <c r="B15" s="17" t="s">
        <v>333</v>
      </c>
      <c r="C15" s="11" t="s">
        <v>334</v>
      </c>
      <c r="D15" s="9" t="s">
        <v>332</v>
      </c>
      <c r="E15" s="12"/>
    </row>
    <row r="16" spans="1:5" ht="20.100000000000001" customHeight="1">
      <c r="A16" s="9">
        <v>10</v>
      </c>
      <c r="B16" s="18" t="s">
        <v>1209</v>
      </c>
      <c r="C16" s="3" t="s">
        <v>1210</v>
      </c>
      <c r="D16" s="15" t="s">
        <v>366</v>
      </c>
      <c r="E16" s="12"/>
    </row>
    <row r="17" spans="1:5" ht="19.5" customHeight="1">
      <c r="A17" s="9">
        <v>11</v>
      </c>
      <c r="B17" s="13" t="s">
        <v>1119</v>
      </c>
      <c r="C17" s="3" t="s">
        <v>362</v>
      </c>
      <c r="D17" s="9" t="s">
        <v>366</v>
      </c>
      <c r="E17" s="12"/>
    </row>
    <row r="18" spans="1:5" ht="19.5" customHeight="1">
      <c r="A18" s="9">
        <v>12</v>
      </c>
      <c r="B18" s="13" t="s">
        <v>1211</v>
      </c>
      <c r="C18" s="3" t="s">
        <v>1212</v>
      </c>
      <c r="D18" s="9" t="s">
        <v>366</v>
      </c>
      <c r="E18" s="12"/>
    </row>
    <row r="19" spans="1:5" ht="20.100000000000001" customHeight="1">
      <c r="A19" s="9">
        <v>13</v>
      </c>
      <c r="B19" s="10" t="s">
        <v>361</v>
      </c>
      <c r="C19" s="3" t="s">
        <v>362</v>
      </c>
      <c r="D19" s="14" t="s">
        <v>366</v>
      </c>
      <c r="E19" s="12"/>
    </row>
    <row r="20" spans="1:5" ht="20.100000000000001" customHeight="1">
      <c r="A20" s="9">
        <v>14</v>
      </c>
      <c r="B20" s="10" t="s">
        <v>373</v>
      </c>
      <c r="C20" s="11" t="s">
        <v>374</v>
      </c>
      <c r="D20" s="14" t="s">
        <v>1052</v>
      </c>
      <c r="E20" s="12"/>
    </row>
    <row r="21" spans="1:5" ht="20.100000000000001" customHeight="1">
      <c r="A21" s="9">
        <v>15</v>
      </c>
      <c r="B21" s="17" t="s">
        <v>376</v>
      </c>
      <c r="C21" s="3" t="s">
        <v>377</v>
      </c>
      <c r="D21" s="14" t="s">
        <v>1053</v>
      </c>
      <c r="E21" s="12"/>
    </row>
    <row r="22" spans="1:5" ht="20.100000000000001" customHeight="1">
      <c r="A22" s="9">
        <v>16</v>
      </c>
      <c r="B22" s="10" t="s">
        <v>496</v>
      </c>
      <c r="C22" s="11" t="s">
        <v>497</v>
      </c>
      <c r="D22" s="14" t="s">
        <v>380</v>
      </c>
      <c r="E22" s="12"/>
    </row>
    <row r="23" spans="1:5" ht="18.75" customHeight="1">
      <c r="A23" s="9">
        <v>17</v>
      </c>
      <c r="B23" s="10" t="s">
        <v>379</v>
      </c>
      <c r="C23" s="11" t="s">
        <v>233</v>
      </c>
      <c r="D23" s="14" t="s">
        <v>440</v>
      </c>
      <c r="E23" s="12"/>
    </row>
    <row r="24" spans="1:5" ht="18.75" customHeight="1">
      <c r="A24" s="9">
        <v>18</v>
      </c>
      <c r="B24" s="17" t="s">
        <v>1213</v>
      </c>
      <c r="C24" s="11" t="s">
        <v>401</v>
      </c>
      <c r="D24" s="14" t="s">
        <v>453</v>
      </c>
      <c r="E24" s="12"/>
    </row>
    <row r="25" spans="1:5" ht="18.75" customHeight="1">
      <c r="A25" s="9">
        <v>19</v>
      </c>
      <c r="B25" s="3" t="s">
        <v>386</v>
      </c>
      <c r="C25" s="3" t="s">
        <v>289</v>
      </c>
      <c r="D25" s="9" t="s">
        <v>391</v>
      </c>
      <c r="E25" s="12"/>
    </row>
    <row r="26" spans="1:5" ht="18.75" customHeight="1">
      <c r="A26" s="9">
        <v>20</v>
      </c>
      <c r="B26" s="17" t="s">
        <v>388</v>
      </c>
      <c r="C26" s="11" t="s">
        <v>289</v>
      </c>
      <c r="D26" s="14" t="s">
        <v>391</v>
      </c>
      <c r="E26" s="12"/>
    </row>
    <row r="27" spans="1:5" ht="18.75" customHeight="1">
      <c r="A27" s="9">
        <v>21</v>
      </c>
      <c r="B27" s="10" t="s">
        <v>1120</v>
      </c>
      <c r="C27" s="11" t="s">
        <v>1121</v>
      </c>
      <c r="D27" s="14" t="s">
        <v>391</v>
      </c>
      <c r="E27" s="12"/>
    </row>
    <row r="28" spans="1:5" ht="18.75" customHeight="1">
      <c r="A28" s="9">
        <v>22</v>
      </c>
      <c r="B28" s="17" t="s">
        <v>390</v>
      </c>
      <c r="C28" s="11" t="s">
        <v>1068</v>
      </c>
      <c r="D28" s="14" t="s">
        <v>1048</v>
      </c>
      <c r="E28" s="12"/>
    </row>
    <row r="29" spans="1:5" ht="18.75" customHeight="1">
      <c r="A29" s="9">
        <v>23</v>
      </c>
      <c r="B29" s="17" t="s">
        <v>392</v>
      </c>
      <c r="C29" s="3" t="s">
        <v>1122</v>
      </c>
      <c r="D29" s="9" t="s">
        <v>1048</v>
      </c>
      <c r="E29" s="12"/>
    </row>
    <row r="30" spans="1:5" ht="18.75" customHeight="1">
      <c r="A30" s="9">
        <v>24</v>
      </c>
      <c r="B30" s="17" t="s">
        <v>395</v>
      </c>
      <c r="C30" s="16" t="s">
        <v>396</v>
      </c>
      <c r="D30" s="14" t="s">
        <v>391</v>
      </c>
      <c r="E30" s="12"/>
    </row>
    <row r="31" spans="1:5" ht="18.75" customHeight="1">
      <c r="A31" s="9">
        <v>25</v>
      </c>
      <c r="B31" s="17" t="s">
        <v>397</v>
      </c>
      <c r="C31" s="3" t="s">
        <v>398</v>
      </c>
      <c r="D31" s="9" t="s">
        <v>402</v>
      </c>
      <c r="E31" s="12"/>
    </row>
    <row r="32" spans="1:5" ht="18.75" customHeight="1">
      <c r="A32" s="9">
        <v>26</v>
      </c>
      <c r="B32" s="17" t="s">
        <v>1036</v>
      </c>
      <c r="C32" s="11" t="s">
        <v>401</v>
      </c>
      <c r="D32" s="14" t="s">
        <v>402</v>
      </c>
      <c r="E32" s="12"/>
    </row>
    <row r="33" spans="1:5" ht="18.75" customHeight="1">
      <c r="A33" s="9">
        <v>27</v>
      </c>
      <c r="B33" s="17" t="s">
        <v>1214</v>
      </c>
      <c r="C33" s="11" t="s">
        <v>401</v>
      </c>
      <c r="D33" s="14" t="s">
        <v>402</v>
      </c>
      <c r="E33" s="12"/>
    </row>
    <row r="34" spans="1:5" ht="18.75" customHeight="1">
      <c r="A34" s="9">
        <v>28</v>
      </c>
      <c r="B34" s="17" t="s">
        <v>512</v>
      </c>
      <c r="C34" s="11" t="s">
        <v>248</v>
      </c>
      <c r="D34" s="14" t="s">
        <v>72</v>
      </c>
      <c r="E34" s="12"/>
    </row>
    <row r="35" spans="1:5" ht="20.25" customHeight="1">
      <c r="A35" s="9"/>
      <c r="B35" s="19" t="s">
        <v>42</v>
      </c>
      <c r="C35" s="20">
        <v>28</v>
      </c>
      <c r="D35" s="14"/>
      <c r="E35" s="12"/>
    </row>
    <row r="36" spans="1:5" ht="18.75" customHeight="1">
      <c r="A36" s="9"/>
      <c r="B36" s="21"/>
      <c r="C36" s="3"/>
      <c r="D36" s="14"/>
      <c r="E36" s="12"/>
    </row>
    <row r="37" spans="1:5" ht="18.75" customHeight="1">
      <c r="A37" s="9"/>
      <c r="B37" s="19" t="s">
        <v>225</v>
      </c>
      <c r="C37" s="3"/>
      <c r="D37" s="14"/>
      <c r="E37" s="12"/>
    </row>
    <row r="38" spans="1:5" ht="18.75" customHeight="1">
      <c r="A38" s="9">
        <v>1</v>
      </c>
      <c r="B38" s="17" t="s">
        <v>403</v>
      </c>
      <c r="C38" s="3" t="s">
        <v>404</v>
      </c>
      <c r="D38" s="9" t="s">
        <v>405</v>
      </c>
      <c r="E38" s="12"/>
    </row>
    <row r="39" spans="1:5" ht="18.75" customHeight="1">
      <c r="A39" s="9">
        <v>2</v>
      </c>
      <c r="B39" s="17" t="s">
        <v>406</v>
      </c>
      <c r="C39" s="3" t="s">
        <v>642</v>
      </c>
      <c r="D39" s="9" t="s">
        <v>72</v>
      </c>
      <c r="E39" s="12"/>
    </row>
    <row r="40" spans="1:5" ht="19.5" customHeight="1">
      <c r="A40" s="9"/>
      <c r="B40" s="13"/>
      <c r="C40" s="20">
        <v>2</v>
      </c>
      <c r="D40" s="9"/>
      <c r="E40" s="12"/>
    </row>
    <row r="41" spans="1:5" ht="20.100000000000001" customHeight="1">
      <c r="A41" s="9"/>
      <c r="B41" s="13"/>
      <c r="C41" s="3"/>
      <c r="D41" s="9"/>
      <c r="E41" s="12"/>
    </row>
    <row r="42" spans="1:5" ht="20.100000000000001" customHeight="1">
      <c r="A42" s="9"/>
      <c r="B42" s="22" t="s">
        <v>43</v>
      </c>
      <c r="C42" s="4"/>
      <c r="D42" s="23"/>
      <c r="E42" s="12"/>
    </row>
    <row r="43" spans="1:5" ht="20.100000000000001" customHeight="1">
      <c r="A43" s="9">
        <v>1</v>
      </c>
      <c r="B43" s="10" t="s">
        <v>410</v>
      </c>
      <c r="C43" s="3" t="s">
        <v>411</v>
      </c>
      <c r="D43" s="9" t="s">
        <v>405</v>
      </c>
      <c r="E43" s="12"/>
    </row>
    <row r="44" spans="1:5" ht="20.100000000000001" customHeight="1">
      <c r="A44" s="9">
        <v>2</v>
      </c>
      <c r="B44" s="10" t="s">
        <v>412</v>
      </c>
      <c r="C44" s="3" t="s">
        <v>413</v>
      </c>
      <c r="D44" s="9" t="s">
        <v>358</v>
      </c>
      <c r="E44" s="12"/>
    </row>
    <row r="45" spans="1:5" ht="20.100000000000001" customHeight="1">
      <c r="A45" s="9">
        <v>3</v>
      </c>
      <c r="B45" s="10" t="s">
        <v>414</v>
      </c>
      <c r="C45" s="3" t="s">
        <v>418</v>
      </c>
      <c r="D45" s="9" t="s">
        <v>358</v>
      </c>
      <c r="E45" s="12"/>
    </row>
    <row r="46" spans="1:5" ht="20.100000000000001" customHeight="1">
      <c r="A46" s="9">
        <v>4</v>
      </c>
      <c r="B46" s="10" t="s">
        <v>417</v>
      </c>
      <c r="C46" s="3" t="s">
        <v>418</v>
      </c>
      <c r="D46" s="9" t="s">
        <v>358</v>
      </c>
      <c r="E46" s="12"/>
    </row>
    <row r="47" spans="1:5" ht="20.100000000000001" customHeight="1">
      <c r="A47" s="9">
        <v>5</v>
      </c>
      <c r="B47" s="10" t="s">
        <v>419</v>
      </c>
      <c r="C47" s="3" t="s">
        <v>418</v>
      </c>
      <c r="D47" s="9" t="s">
        <v>435</v>
      </c>
      <c r="E47" s="12"/>
    </row>
    <row r="48" spans="1:5" ht="20.100000000000001" customHeight="1">
      <c r="A48" s="9">
        <v>6</v>
      </c>
      <c r="B48" s="10" t="s">
        <v>420</v>
      </c>
      <c r="C48" s="3" t="s">
        <v>368</v>
      </c>
      <c r="D48" s="9" t="s">
        <v>366</v>
      </c>
      <c r="E48" s="12"/>
    </row>
    <row r="49" spans="1:5" ht="20.100000000000001" customHeight="1">
      <c r="A49" s="9">
        <v>7</v>
      </c>
      <c r="B49" s="13" t="s">
        <v>421</v>
      </c>
      <c r="C49" s="3" t="s">
        <v>365</v>
      </c>
      <c r="D49" s="15" t="s">
        <v>366</v>
      </c>
      <c r="E49" s="12"/>
    </row>
    <row r="50" spans="1:5" ht="20.100000000000001" customHeight="1">
      <c r="A50" s="9">
        <v>8</v>
      </c>
      <c r="B50" s="10" t="s">
        <v>1125</v>
      </c>
      <c r="C50" s="3" t="s">
        <v>365</v>
      </c>
      <c r="D50" s="9" t="s">
        <v>450</v>
      </c>
      <c r="E50" s="12"/>
    </row>
    <row r="51" spans="1:5" ht="20.100000000000001" customHeight="1">
      <c r="A51" s="9">
        <v>9</v>
      </c>
      <c r="B51" s="10" t="s">
        <v>367</v>
      </c>
      <c r="C51" s="3" t="s">
        <v>461</v>
      </c>
      <c r="D51" s="9" t="s">
        <v>375</v>
      </c>
      <c r="E51" s="12"/>
    </row>
    <row r="52" spans="1:5" ht="20.100000000000001" customHeight="1">
      <c r="A52" s="9">
        <v>10</v>
      </c>
      <c r="B52" s="10" t="s">
        <v>423</v>
      </c>
      <c r="C52" s="3" t="s">
        <v>64</v>
      </c>
      <c r="D52" s="9" t="s">
        <v>55</v>
      </c>
      <c r="E52" s="12"/>
    </row>
    <row r="53" spans="1:5" ht="20.100000000000001" customHeight="1">
      <c r="A53" s="9">
        <v>11</v>
      </c>
      <c r="B53" s="10" t="s">
        <v>424</v>
      </c>
      <c r="C53" s="3" t="s">
        <v>64</v>
      </c>
      <c r="D53" s="9" t="s">
        <v>55</v>
      </c>
      <c r="E53" s="12"/>
    </row>
    <row r="54" spans="1:5" ht="20.100000000000001" customHeight="1">
      <c r="A54" s="9">
        <v>12</v>
      </c>
      <c r="B54" s="10" t="s">
        <v>425</v>
      </c>
      <c r="C54" s="3" t="s">
        <v>64</v>
      </c>
      <c r="D54" s="9" t="s">
        <v>55</v>
      </c>
      <c r="E54" s="12"/>
    </row>
    <row r="55" spans="1:5" ht="25.5" customHeight="1">
      <c r="A55" s="9"/>
      <c r="B55" s="19" t="s">
        <v>42</v>
      </c>
      <c r="C55" s="20">
        <v>12</v>
      </c>
      <c r="D55" s="20"/>
      <c r="E55" s="12"/>
    </row>
    <row r="56" spans="1:5" ht="20.100000000000001" customHeight="1">
      <c r="A56" s="9"/>
      <c r="B56" s="21"/>
      <c r="C56" s="20"/>
      <c r="D56" s="20"/>
      <c r="E56" s="12"/>
    </row>
    <row r="57" spans="1:5" ht="20.100000000000001" customHeight="1">
      <c r="A57" s="9"/>
      <c r="B57" s="19" t="s">
        <v>426</v>
      </c>
      <c r="C57" s="20"/>
      <c r="D57" s="20"/>
      <c r="E57" s="12"/>
    </row>
    <row r="58" spans="1:5" ht="20.100000000000001" customHeight="1">
      <c r="A58" s="9">
        <v>1</v>
      </c>
      <c r="B58" s="10" t="s">
        <v>427</v>
      </c>
      <c r="C58" s="11" t="s">
        <v>428</v>
      </c>
      <c r="D58" s="14" t="s">
        <v>405</v>
      </c>
      <c r="E58" s="12"/>
    </row>
    <row r="59" spans="1:5" ht="20.100000000000001" customHeight="1">
      <c r="A59" s="9">
        <v>2</v>
      </c>
      <c r="B59" s="10" t="s">
        <v>429</v>
      </c>
      <c r="C59" s="11" t="s">
        <v>430</v>
      </c>
      <c r="D59" s="14" t="s">
        <v>332</v>
      </c>
      <c r="E59" s="12"/>
    </row>
    <row r="60" spans="1:5" ht="20.100000000000001" customHeight="1">
      <c r="A60" s="9"/>
      <c r="B60" s="19" t="s">
        <v>42</v>
      </c>
      <c r="C60" s="20">
        <v>2</v>
      </c>
      <c r="D60" s="20"/>
      <c r="E60" s="12"/>
    </row>
    <row r="61" spans="1:5" ht="20.100000000000001" customHeight="1">
      <c r="A61" s="9"/>
      <c r="B61" s="19"/>
      <c r="C61" s="20"/>
      <c r="D61" s="20"/>
      <c r="E61" s="12"/>
    </row>
    <row r="62" spans="1:5" ht="20.100000000000001" customHeight="1">
      <c r="A62" s="9"/>
      <c r="B62" s="19" t="s">
        <v>60</v>
      </c>
      <c r="C62" s="20"/>
      <c r="D62" s="20"/>
      <c r="E62" s="12"/>
    </row>
    <row r="63" spans="1:5" ht="20.100000000000001" customHeight="1">
      <c r="A63" s="9">
        <v>1</v>
      </c>
      <c r="B63" s="10" t="s">
        <v>431</v>
      </c>
      <c r="C63" s="16" t="s">
        <v>432</v>
      </c>
      <c r="D63" s="9" t="s">
        <v>405</v>
      </c>
      <c r="E63" s="12"/>
    </row>
    <row r="64" spans="1:5" ht="20.100000000000001" customHeight="1">
      <c r="A64" s="9">
        <v>2</v>
      </c>
      <c r="B64" s="17" t="s">
        <v>433</v>
      </c>
      <c r="C64" s="16" t="s">
        <v>434</v>
      </c>
      <c r="D64" s="14" t="s">
        <v>1054</v>
      </c>
      <c r="E64" s="12"/>
    </row>
    <row r="65" spans="1:5" ht="20.100000000000001" customHeight="1">
      <c r="A65" s="9">
        <v>3</v>
      </c>
      <c r="B65" s="10" t="s">
        <v>436</v>
      </c>
      <c r="C65" s="3" t="s">
        <v>231</v>
      </c>
      <c r="D65" s="9" t="s">
        <v>375</v>
      </c>
      <c r="E65" s="12"/>
    </row>
    <row r="66" spans="1:5" ht="20.100000000000001" customHeight="1">
      <c r="A66" s="9">
        <v>4</v>
      </c>
      <c r="B66" s="17" t="s">
        <v>437</v>
      </c>
      <c r="C66" s="16" t="s">
        <v>231</v>
      </c>
      <c r="D66" s="14" t="s">
        <v>1052</v>
      </c>
      <c r="E66" s="12"/>
    </row>
    <row r="67" spans="1:5" ht="20.100000000000001" customHeight="1">
      <c r="A67" s="9">
        <v>5</v>
      </c>
      <c r="B67" s="13" t="s">
        <v>438</v>
      </c>
      <c r="C67" s="16" t="s">
        <v>365</v>
      </c>
      <c r="D67" s="14" t="s">
        <v>366</v>
      </c>
      <c r="E67" s="12"/>
    </row>
    <row r="68" spans="1:5" ht="20.100000000000001" customHeight="1">
      <c r="A68" s="9">
        <v>6</v>
      </c>
      <c r="B68" s="13" t="s">
        <v>364</v>
      </c>
      <c r="C68" s="16" t="s">
        <v>365</v>
      </c>
      <c r="D68" s="14" t="s">
        <v>450</v>
      </c>
      <c r="E68" s="12"/>
    </row>
    <row r="69" spans="1:5" ht="20.100000000000001" customHeight="1">
      <c r="A69" s="9">
        <v>7</v>
      </c>
      <c r="B69" s="10" t="s">
        <v>439</v>
      </c>
      <c r="C69" s="3" t="s">
        <v>64</v>
      </c>
      <c r="D69" s="9" t="s">
        <v>32</v>
      </c>
      <c r="E69" s="12"/>
    </row>
    <row r="70" spans="1:5" ht="20.100000000000001" customHeight="1">
      <c r="A70" s="9">
        <v>8</v>
      </c>
      <c r="B70" s="10" t="s">
        <v>441</v>
      </c>
      <c r="C70" s="16" t="s">
        <v>34</v>
      </c>
      <c r="D70" s="14" t="s">
        <v>32</v>
      </c>
      <c r="E70" s="12"/>
    </row>
    <row r="71" spans="1:5" ht="20.100000000000001" customHeight="1">
      <c r="A71" s="9">
        <v>9</v>
      </c>
      <c r="B71" s="10" t="s">
        <v>442</v>
      </c>
      <c r="C71" s="16" t="s">
        <v>34</v>
      </c>
      <c r="D71" s="14" t="s">
        <v>32</v>
      </c>
      <c r="E71" s="12"/>
    </row>
    <row r="72" spans="1:5" ht="20.100000000000001" customHeight="1">
      <c r="A72" s="9">
        <v>10</v>
      </c>
      <c r="B72" s="10" t="s">
        <v>443</v>
      </c>
      <c r="C72" s="3" t="s">
        <v>444</v>
      </c>
      <c r="D72" s="9" t="s">
        <v>440</v>
      </c>
      <c r="E72" s="12"/>
    </row>
    <row r="73" spans="1:5" ht="20.100000000000001" customHeight="1">
      <c r="A73" s="9">
        <v>11</v>
      </c>
      <c r="B73" s="10" t="s">
        <v>1215</v>
      </c>
      <c r="C73" s="16" t="s">
        <v>64</v>
      </c>
      <c r="D73" s="9" t="s">
        <v>409</v>
      </c>
      <c r="E73" s="12"/>
    </row>
    <row r="74" spans="1:5" ht="20.100000000000001" customHeight="1">
      <c r="A74" s="9">
        <v>12</v>
      </c>
      <c r="B74" s="10" t="s">
        <v>389</v>
      </c>
      <c r="C74" s="16" t="s">
        <v>382</v>
      </c>
      <c r="D74" s="9" t="s">
        <v>391</v>
      </c>
      <c r="E74" s="12"/>
    </row>
    <row r="75" spans="1:5" ht="20.100000000000001" customHeight="1">
      <c r="A75" s="9">
        <v>13</v>
      </c>
      <c r="B75" s="13" t="s">
        <v>381</v>
      </c>
      <c r="C75" s="16" t="s">
        <v>382</v>
      </c>
      <c r="D75" s="9" t="s">
        <v>402</v>
      </c>
      <c r="E75" s="12"/>
    </row>
    <row r="76" spans="1:5" ht="20.100000000000001" customHeight="1">
      <c r="A76" s="9"/>
      <c r="B76" s="19" t="s">
        <v>42</v>
      </c>
      <c r="C76" s="20">
        <v>13</v>
      </c>
      <c r="D76" s="20"/>
      <c r="E76" s="12"/>
    </row>
    <row r="77" spans="1:5" ht="20.100000000000001" customHeight="1">
      <c r="A77" s="9"/>
      <c r="B77" s="21"/>
      <c r="C77" s="20"/>
      <c r="D77" s="20"/>
      <c r="E77" s="12"/>
    </row>
    <row r="78" spans="1:5" ht="20.100000000000001" customHeight="1">
      <c r="A78" s="9"/>
      <c r="B78" s="19" t="s">
        <v>65</v>
      </c>
      <c r="C78" s="20"/>
      <c r="D78" s="20"/>
      <c r="E78" s="12"/>
    </row>
    <row r="79" spans="1:5" ht="20.100000000000001" customHeight="1">
      <c r="A79" s="9">
        <v>1</v>
      </c>
      <c r="B79" s="10" t="s">
        <v>446</v>
      </c>
      <c r="C79" s="3" t="s">
        <v>447</v>
      </c>
      <c r="D79" s="9" t="s">
        <v>405</v>
      </c>
      <c r="E79" s="12"/>
    </row>
    <row r="80" spans="1:5" ht="20.100000000000001" customHeight="1">
      <c r="A80" s="9">
        <v>2</v>
      </c>
      <c r="B80" s="13" t="s">
        <v>331</v>
      </c>
      <c r="C80" s="3" t="s">
        <v>76</v>
      </c>
      <c r="D80" s="14" t="s">
        <v>1054</v>
      </c>
      <c r="E80" s="12"/>
    </row>
    <row r="81" spans="1:5" ht="20.100000000000001" customHeight="1">
      <c r="A81" s="9">
        <v>3</v>
      </c>
      <c r="B81" s="13" t="s">
        <v>1216</v>
      </c>
      <c r="C81" s="3" t="s">
        <v>1217</v>
      </c>
      <c r="D81" s="14" t="s">
        <v>1054</v>
      </c>
      <c r="E81" s="12"/>
    </row>
    <row r="82" spans="1:5" ht="20.100000000000001" customHeight="1">
      <c r="A82" s="9">
        <v>4</v>
      </c>
      <c r="B82" s="10" t="s">
        <v>448</v>
      </c>
      <c r="C82" s="3" t="s">
        <v>1069</v>
      </c>
      <c r="D82" s="14" t="s">
        <v>375</v>
      </c>
      <c r="E82" s="12"/>
    </row>
    <row r="83" spans="1:5" ht="20.100000000000001" customHeight="1">
      <c r="A83" s="9">
        <v>5</v>
      </c>
      <c r="B83" s="10" t="s">
        <v>451</v>
      </c>
      <c r="C83" s="3" t="s">
        <v>452</v>
      </c>
      <c r="D83" s="9" t="s">
        <v>409</v>
      </c>
      <c r="E83" s="12"/>
    </row>
    <row r="84" spans="1:5" ht="20.100000000000001" customHeight="1">
      <c r="A84" s="9"/>
      <c r="B84" s="19" t="s">
        <v>42</v>
      </c>
      <c r="C84" s="20">
        <v>5</v>
      </c>
      <c r="D84" s="20"/>
      <c r="E84" s="12"/>
    </row>
    <row r="85" spans="1:5" ht="20.100000000000001" customHeight="1">
      <c r="A85" s="9"/>
      <c r="B85" s="19"/>
      <c r="C85" s="20"/>
      <c r="D85" s="20"/>
      <c r="E85" s="12"/>
    </row>
    <row r="86" spans="1:5" ht="20.100000000000001" customHeight="1">
      <c r="A86" s="9"/>
      <c r="B86" s="19" t="s">
        <v>74</v>
      </c>
      <c r="C86" s="24"/>
      <c r="D86" s="20"/>
      <c r="E86" s="12"/>
    </row>
    <row r="87" spans="1:5" ht="20.100000000000001" customHeight="1">
      <c r="A87" s="9">
        <v>1</v>
      </c>
      <c r="B87" s="10" t="s">
        <v>457</v>
      </c>
      <c r="C87" s="3" t="s">
        <v>418</v>
      </c>
      <c r="D87" s="9" t="s">
        <v>358</v>
      </c>
      <c r="E87" s="12"/>
    </row>
    <row r="88" spans="1:5" ht="20.100000000000001" customHeight="1">
      <c r="A88" s="9">
        <v>2</v>
      </c>
      <c r="B88" s="10" t="s">
        <v>458</v>
      </c>
      <c r="C88" s="3" t="s">
        <v>418</v>
      </c>
      <c r="D88" s="9" t="s">
        <v>358</v>
      </c>
      <c r="E88" s="12"/>
    </row>
    <row r="89" spans="1:5" ht="20.100000000000001" customHeight="1">
      <c r="A89" s="9">
        <v>3</v>
      </c>
      <c r="B89" s="13" t="s">
        <v>493</v>
      </c>
      <c r="C89" s="3" t="s">
        <v>365</v>
      </c>
      <c r="D89" s="9" t="s">
        <v>363</v>
      </c>
      <c r="E89" s="12"/>
    </row>
    <row r="90" spans="1:5" ht="20.100000000000001" customHeight="1">
      <c r="A90" s="9">
        <v>4</v>
      </c>
      <c r="B90" s="10" t="s">
        <v>459</v>
      </c>
      <c r="C90" s="3" t="s">
        <v>368</v>
      </c>
      <c r="D90" s="9" t="s">
        <v>366</v>
      </c>
      <c r="E90" s="12"/>
    </row>
    <row r="91" spans="1:5" ht="21.6" customHeight="1">
      <c r="A91" s="9">
        <v>5</v>
      </c>
      <c r="B91" s="10" t="s">
        <v>460</v>
      </c>
      <c r="C91" s="3" t="s">
        <v>461</v>
      </c>
      <c r="D91" s="14" t="s">
        <v>375</v>
      </c>
      <c r="E91" s="12"/>
    </row>
    <row r="92" spans="1:5" ht="21.6" customHeight="1">
      <c r="A92" s="9">
        <v>6</v>
      </c>
      <c r="B92" s="10" t="s">
        <v>462</v>
      </c>
      <c r="C92" s="11" t="s">
        <v>231</v>
      </c>
      <c r="D92" s="14" t="s">
        <v>1052</v>
      </c>
      <c r="E92" s="12"/>
    </row>
    <row r="93" spans="1:5" ht="21.6" customHeight="1">
      <c r="A93" s="9">
        <v>7</v>
      </c>
      <c r="B93" s="10" t="s">
        <v>463</v>
      </c>
      <c r="C93" s="11" t="s">
        <v>231</v>
      </c>
      <c r="D93" s="14" t="s">
        <v>1052</v>
      </c>
      <c r="E93" s="12"/>
    </row>
    <row r="94" spans="1:5" ht="21.6" customHeight="1">
      <c r="A94" s="9">
        <v>8</v>
      </c>
      <c r="B94" s="10" t="s">
        <v>464</v>
      </c>
      <c r="C94" s="16" t="s">
        <v>34</v>
      </c>
      <c r="D94" s="14" t="s">
        <v>32</v>
      </c>
      <c r="E94" s="12"/>
    </row>
    <row r="95" spans="1:5" ht="21.6" customHeight="1">
      <c r="A95" s="9">
        <v>9</v>
      </c>
      <c r="B95" s="10" t="s">
        <v>466</v>
      </c>
      <c r="C95" s="3" t="s">
        <v>467</v>
      </c>
      <c r="D95" s="9" t="s">
        <v>37</v>
      </c>
      <c r="E95" s="12"/>
    </row>
    <row r="96" spans="1:5" ht="21.6" customHeight="1">
      <c r="A96" s="9">
        <v>10</v>
      </c>
      <c r="B96" s="10" t="s">
        <v>468</v>
      </c>
      <c r="C96" s="16" t="s">
        <v>469</v>
      </c>
      <c r="D96" s="14" t="s">
        <v>402</v>
      </c>
      <c r="E96" s="12"/>
    </row>
    <row r="97" spans="1:5" ht="20.100000000000001" customHeight="1">
      <c r="A97" s="9"/>
      <c r="B97" s="19" t="s">
        <v>42</v>
      </c>
      <c r="C97" s="20">
        <v>10</v>
      </c>
      <c r="D97" s="20"/>
      <c r="E97" s="12"/>
    </row>
    <row r="98" spans="1:5" ht="20.100000000000001" customHeight="1">
      <c r="A98" s="9"/>
      <c r="B98" s="21"/>
      <c r="C98" s="20"/>
      <c r="D98" s="20"/>
      <c r="E98" s="12"/>
    </row>
    <row r="99" spans="1:5" ht="20.100000000000001" customHeight="1">
      <c r="A99" s="9"/>
      <c r="B99" s="19" t="s">
        <v>84</v>
      </c>
      <c r="C99" s="20"/>
      <c r="D99" s="20"/>
      <c r="E99" s="12"/>
    </row>
    <row r="100" spans="1:5" ht="20.100000000000001" customHeight="1">
      <c r="A100" s="9">
        <v>1</v>
      </c>
      <c r="B100" s="17" t="s">
        <v>341</v>
      </c>
      <c r="C100" s="9" t="s">
        <v>342</v>
      </c>
      <c r="D100" s="14" t="s">
        <v>416</v>
      </c>
      <c r="E100" s="12"/>
    </row>
    <row r="101" spans="1:5" ht="20.100000000000001" customHeight="1">
      <c r="A101" s="9">
        <v>2</v>
      </c>
      <c r="B101" s="10" t="s">
        <v>359</v>
      </c>
      <c r="C101" s="3" t="s">
        <v>474</v>
      </c>
      <c r="D101" s="9" t="s">
        <v>366</v>
      </c>
      <c r="E101" s="12"/>
    </row>
    <row r="102" spans="1:5" ht="20.100000000000001" customHeight="1">
      <c r="A102" s="9">
        <v>3</v>
      </c>
      <c r="B102" s="10" t="s">
        <v>475</v>
      </c>
      <c r="C102" s="3" t="s">
        <v>476</v>
      </c>
      <c r="D102" s="14" t="s">
        <v>440</v>
      </c>
      <c r="E102" s="12"/>
    </row>
    <row r="103" spans="1:5" ht="20.100000000000001" customHeight="1">
      <c r="A103" s="9">
        <v>4</v>
      </c>
      <c r="B103" s="10" t="s">
        <v>477</v>
      </c>
      <c r="C103" s="3" t="s">
        <v>1070</v>
      </c>
      <c r="D103" s="14" t="s">
        <v>1048</v>
      </c>
      <c r="E103" s="12"/>
    </row>
    <row r="104" spans="1:5" ht="20.100000000000001" customHeight="1">
      <c r="A104" s="3"/>
      <c r="B104" s="19" t="s">
        <v>42</v>
      </c>
      <c r="C104" s="20">
        <v>4</v>
      </c>
      <c r="D104" s="25"/>
      <c r="E104" s="12"/>
    </row>
    <row r="105" spans="1:5" ht="20.100000000000001" customHeight="1">
      <c r="A105" s="3"/>
      <c r="B105" s="21"/>
      <c r="C105" s="20"/>
      <c r="D105" s="25"/>
      <c r="E105" s="12"/>
    </row>
    <row r="106" spans="1:5" ht="20.100000000000001" customHeight="1">
      <c r="A106" s="3"/>
      <c r="B106" s="19" t="s">
        <v>479</v>
      </c>
      <c r="C106" s="3"/>
      <c r="D106" s="3"/>
      <c r="E106" s="12"/>
    </row>
    <row r="107" spans="1:5" ht="20.100000000000001" customHeight="1">
      <c r="A107" s="3">
        <v>1</v>
      </c>
      <c r="B107" s="10" t="s">
        <v>480</v>
      </c>
      <c r="C107" s="11" t="s">
        <v>481</v>
      </c>
      <c r="D107" s="14" t="s">
        <v>405</v>
      </c>
      <c r="E107" s="12"/>
    </row>
    <row r="108" spans="1:5" ht="20.100000000000001" customHeight="1">
      <c r="A108" s="3">
        <v>2</v>
      </c>
      <c r="B108" s="10" t="s">
        <v>482</v>
      </c>
      <c r="C108" s="3" t="s">
        <v>483</v>
      </c>
      <c r="D108" s="15" t="s">
        <v>416</v>
      </c>
      <c r="E108" s="12"/>
    </row>
    <row r="109" spans="1:5" ht="20.100000000000001" customHeight="1">
      <c r="A109" s="3">
        <v>3</v>
      </c>
      <c r="B109" s="10" t="s">
        <v>484</v>
      </c>
      <c r="C109" s="3" t="s">
        <v>485</v>
      </c>
      <c r="D109" s="9" t="s">
        <v>372</v>
      </c>
      <c r="E109" s="12"/>
    </row>
    <row r="110" spans="1:5" ht="20.100000000000001" customHeight="1">
      <c r="A110" s="3">
        <v>4</v>
      </c>
      <c r="B110" s="10" t="s">
        <v>486</v>
      </c>
      <c r="C110" s="3" t="s">
        <v>485</v>
      </c>
      <c r="D110" s="9" t="s">
        <v>372</v>
      </c>
      <c r="E110" s="12"/>
    </row>
    <row r="111" spans="1:5" ht="20.100000000000001" customHeight="1">
      <c r="A111" s="3">
        <v>5</v>
      </c>
      <c r="B111" s="10" t="s">
        <v>487</v>
      </c>
      <c r="C111" s="3" t="s">
        <v>488</v>
      </c>
      <c r="D111" s="14" t="s">
        <v>491</v>
      </c>
      <c r="E111" s="12"/>
    </row>
    <row r="112" spans="1:5" ht="20.100000000000001" customHeight="1">
      <c r="A112" s="3">
        <v>6</v>
      </c>
      <c r="B112" s="17" t="s">
        <v>490</v>
      </c>
      <c r="C112" s="3" t="s">
        <v>488</v>
      </c>
      <c r="D112" s="9" t="s">
        <v>1048</v>
      </c>
      <c r="E112" s="12"/>
    </row>
    <row r="113" spans="1:5" ht="20.100000000000001" customHeight="1">
      <c r="A113" s="3">
        <v>7</v>
      </c>
      <c r="B113" s="17" t="s">
        <v>492</v>
      </c>
      <c r="C113" s="3" t="s">
        <v>488</v>
      </c>
      <c r="D113" s="14" t="s">
        <v>402</v>
      </c>
      <c r="E113" s="12"/>
    </row>
    <row r="114" spans="1:5" ht="25.5" customHeight="1">
      <c r="A114" s="3"/>
      <c r="B114" s="19" t="s">
        <v>42</v>
      </c>
      <c r="C114" s="20">
        <v>7</v>
      </c>
      <c r="D114" s="3"/>
      <c r="E114" s="12"/>
    </row>
    <row r="115" spans="1:5" ht="20.100000000000001" customHeight="1">
      <c r="A115" s="3"/>
      <c r="B115" s="19"/>
      <c r="C115" s="20"/>
      <c r="D115" s="3"/>
      <c r="E115" s="12"/>
    </row>
    <row r="116" spans="1:5" ht="20.100000000000001" customHeight="1">
      <c r="A116" s="9"/>
      <c r="B116" s="19" t="s">
        <v>242</v>
      </c>
      <c r="C116" s="20"/>
      <c r="D116" s="20"/>
      <c r="E116" s="12"/>
    </row>
    <row r="117" spans="1:5" ht="20.100000000000001" customHeight="1">
      <c r="A117" s="9">
        <v>1</v>
      </c>
      <c r="B117" s="10" t="s">
        <v>1133</v>
      </c>
      <c r="C117" s="16" t="s">
        <v>34</v>
      </c>
      <c r="D117" s="14" t="s">
        <v>380</v>
      </c>
      <c r="E117" s="12"/>
    </row>
    <row r="118" spans="1:5" ht="18.75" customHeight="1">
      <c r="A118" s="9">
        <v>2</v>
      </c>
      <c r="B118" s="10" t="s">
        <v>494</v>
      </c>
      <c r="C118" s="3" t="s">
        <v>495</v>
      </c>
      <c r="D118" s="14" t="s">
        <v>440</v>
      </c>
      <c r="E118" s="12"/>
    </row>
    <row r="119" spans="1:5" ht="24.75" customHeight="1">
      <c r="A119" s="3"/>
      <c r="B119" s="19" t="s">
        <v>42</v>
      </c>
      <c r="C119" s="20">
        <v>2</v>
      </c>
      <c r="D119" s="25"/>
      <c r="E119" s="12"/>
    </row>
    <row r="120" spans="1:5" ht="20.100000000000001" customHeight="1">
      <c r="A120" s="3"/>
      <c r="B120" s="19"/>
      <c r="C120" s="20"/>
      <c r="D120" s="3"/>
      <c r="E120" s="12"/>
    </row>
    <row r="121" spans="1:5" ht="20.100000000000001" customHeight="1">
      <c r="A121" s="3"/>
      <c r="B121" s="19" t="s">
        <v>97</v>
      </c>
      <c r="C121" s="20"/>
      <c r="D121" s="20"/>
      <c r="E121" s="12"/>
    </row>
    <row r="122" spans="1:5" ht="20.100000000000001" customHeight="1">
      <c r="A122" s="3">
        <v>1</v>
      </c>
      <c r="B122" s="10" t="s">
        <v>499</v>
      </c>
      <c r="C122" s="11" t="s">
        <v>500</v>
      </c>
      <c r="D122" s="14" t="s">
        <v>405</v>
      </c>
      <c r="E122" s="12"/>
    </row>
    <row r="123" spans="1:5" ht="20.100000000000001" customHeight="1">
      <c r="A123" s="3">
        <v>2</v>
      </c>
      <c r="B123" s="10" t="s">
        <v>1237</v>
      </c>
      <c r="C123" s="11" t="s">
        <v>1238</v>
      </c>
      <c r="D123" s="14" t="s">
        <v>340</v>
      </c>
      <c r="E123" s="12"/>
    </row>
    <row r="124" spans="1:5" ht="20.100000000000001" customHeight="1">
      <c r="A124" s="3">
        <v>3</v>
      </c>
      <c r="B124" s="10" t="s">
        <v>178</v>
      </c>
      <c r="C124" s="11" t="s">
        <v>337</v>
      </c>
      <c r="D124" s="14" t="s">
        <v>358</v>
      </c>
      <c r="E124" s="12"/>
    </row>
    <row r="125" spans="1:5" ht="20.100000000000001" customHeight="1">
      <c r="A125" s="3">
        <v>4</v>
      </c>
      <c r="B125" s="13" t="s">
        <v>502</v>
      </c>
      <c r="C125" s="11" t="s">
        <v>337</v>
      </c>
      <c r="D125" s="14" t="s">
        <v>358</v>
      </c>
      <c r="E125" s="12"/>
    </row>
    <row r="126" spans="1:5" ht="20.100000000000001" customHeight="1">
      <c r="A126" s="3">
        <v>5</v>
      </c>
      <c r="B126" s="13" t="s">
        <v>336</v>
      </c>
      <c r="C126" s="11" t="s">
        <v>337</v>
      </c>
      <c r="D126" s="14" t="s">
        <v>99</v>
      </c>
      <c r="E126" s="12"/>
    </row>
    <row r="127" spans="1:5" ht="20.100000000000001" customHeight="1">
      <c r="A127" s="3">
        <v>6</v>
      </c>
      <c r="B127" s="10" t="s">
        <v>503</v>
      </c>
      <c r="C127" s="11" t="s">
        <v>504</v>
      </c>
      <c r="D127" s="14" t="s">
        <v>450</v>
      </c>
      <c r="E127" s="12"/>
    </row>
    <row r="128" spans="1:5" ht="20.100000000000001" customHeight="1">
      <c r="A128" s="3">
        <v>7</v>
      </c>
      <c r="B128" s="10" t="s">
        <v>505</v>
      </c>
      <c r="C128" s="11" t="s">
        <v>506</v>
      </c>
      <c r="D128" s="14" t="s">
        <v>375</v>
      </c>
      <c r="E128" s="12"/>
    </row>
    <row r="129" spans="1:5" ht="20.100000000000001" customHeight="1">
      <c r="A129" s="3">
        <v>8</v>
      </c>
      <c r="B129" s="10" t="s">
        <v>507</v>
      </c>
      <c r="C129" s="11" t="s">
        <v>1071</v>
      </c>
      <c r="D129" s="14" t="s">
        <v>375</v>
      </c>
      <c r="E129" s="12"/>
    </row>
    <row r="130" spans="1:5" ht="20.100000000000001" customHeight="1">
      <c r="A130" s="3">
        <v>9</v>
      </c>
      <c r="B130" s="10" t="s">
        <v>508</v>
      </c>
      <c r="C130" s="11" t="s">
        <v>509</v>
      </c>
      <c r="D130" s="9" t="s">
        <v>391</v>
      </c>
      <c r="E130" s="12"/>
    </row>
    <row r="131" spans="1:5" ht="20.100000000000001" customHeight="1">
      <c r="A131" s="3">
        <v>10</v>
      </c>
      <c r="B131" s="17" t="s">
        <v>510</v>
      </c>
      <c r="C131" s="11" t="s">
        <v>511</v>
      </c>
      <c r="D131" s="14" t="s">
        <v>72</v>
      </c>
      <c r="E131" s="12"/>
    </row>
    <row r="132" spans="1:5" ht="20.100000000000001" customHeight="1">
      <c r="A132" s="3"/>
      <c r="B132" s="19" t="s">
        <v>42</v>
      </c>
      <c r="C132" s="25" t="s">
        <v>513</v>
      </c>
      <c r="D132" s="14"/>
      <c r="E132" s="12"/>
    </row>
    <row r="133" spans="1:5" ht="20.100000000000001" customHeight="1">
      <c r="A133" s="3"/>
      <c r="B133" s="21"/>
      <c r="C133" s="25"/>
      <c r="D133" s="14"/>
      <c r="E133" s="12"/>
    </row>
    <row r="134" spans="1:5" ht="20.100000000000001" customHeight="1">
      <c r="A134" s="3"/>
      <c r="B134" s="19" t="s">
        <v>103</v>
      </c>
      <c r="C134" s="11"/>
      <c r="D134" s="14"/>
      <c r="E134" s="12"/>
    </row>
    <row r="135" spans="1:5" ht="20.100000000000001" customHeight="1">
      <c r="A135" s="26">
        <v>1</v>
      </c>
      <c r="B135" s="10" t="s">
        <v>514</v>
      </c>
      <c r="C135" s="11" t="s">
        <v>515</v>
      </c>
      <c r="D135" s="14" t="s">
        <v>405</v>
      </c>
      <c r="E135" s="12"/>
    </row>
    <row r="136" spans="1:5" ht="20.100000000000001" customHeight="1">
      <c r="A136" s="26">
        <v>2</v>
      </c>
      <c r="B136" s="10" t="s">
        <v>338</v>
      </c>
      <c r="C136" s="11" t="s">
        <v>339</v>
      </c>
      <c r="D136" s="14" t="s">
        <v>340</v>
      </c>
      <c r="E136" s="12"/>
    </row>
    <row r="137" spans="1:5" ht="20.100000000000001" customHeight="1">
      <c r="A137" s="26">
        <v>3</v>
      </c>
      <c r="B137" s="13" t="s">
        <v>516</v>
      </c>
      <c r="C137" s="3" t="s">
        <v>517</v>
      </c>
      <c r="D137" s="15" t="s">
        <v>416</v>
      </c>
      <c r="E137" s="12"/>
    </row>
    <row r="138" spans="1:5" ht="20.100000000000001" customHeight="1">
      <c r="A138" s="26">
        <v>4</v>
      </c>
      <c r="B138" s="10" t="s">
        <v>518</v>
      </c>
      <c r="C138" s="11" t="s">
        <v>519</v>
      </c>
      <c r="D138" s="14" t="s">
        <v>366</v>
      </c>
      <c r="E138" s="12"/>
    </row>
    <row r="139" spans="1:5" ht="20.100000000000001" customHeight="1">
      <c r="A139" s="26">
        <v>5</v>
      </c>
      <c r="B139" s="10" t="s">
        <v>520</v>
      </c>
      <c r="C139" s="3" t="s">
        <v>521</v>
      </c>
      <c r="D139" s="14" t="s">
        <v>366</v>
      </c>
      <c r="E139" s="12"/>
    </row>
    <row r="140" spans="1:5" ht="20.100000000000001" customHeight="1">
      <c r="A140" s="26">
        <v>6</v>
      </c>
      <c r="B140" s="10" t="s">
        <v>473</v>
      </c>
      <c r="C140" s="3" t="s">
        <v>527</v>
      </c>
      <c r="D140" s="14" t="s">
        <v>375</v>
      </c>
      <c r="E140" s="12"/>
    </row>
    <row r="141" spans="1:5" ht="20.100000000000001" customHeight="1">
      <c r="A141" s="26">
        <v>7</v>
      </c>
      <c r="B141" s="10" t="s">
        <v>523</v>
      </c>
      <c r="C141" s="11" t="s">
        <v>524</v>
      </c>
      <c r="D141" s="14" t="s">
        <v>380</v>
      </c>
      <c r="E141" s="12"/>
    </row>
    <row r="142" spans="1:5" ht="20.100000000000001" customHeight="1">
      <c r="A142" s="26">
        <v>8</v>
      </c>
      <c r="B142" s="10" t="s">
        <v>525</v>
      </c>
      <c r="C142" s="11" t="s">
        <v>524</v>
      </c>
      <c r="D142" s="14" t="s">
        <v>380</v>
      </c>
      <c r="E142" s="12"/>
    </row>
    <row r="143" spans="1:5" ht="20.100000000000001" customHeight="1">
      <c r="A143" s="26">
        <v>9</v>
      </c>
      <c r="B143" s="10" t="s">
        <v>526</v>
      </c>
      <c r="C143" s="3" t="s">
        <v>527</v>
      </c>
      <c r="D143" s="14" t="s">
        <v>380</v>
      </c>
      <c r="E143" s="12"/>
    </row>
    <row r="144" spans="1:5" ht="20.100000000000001" customHeight="1">
      <c r="A144" s="26">
        <v>10</v>
      </c>
      <c r="B144" s="10" t="s">
        <v>528</v>
      </c>
      <c r="C144" s="11" t="s">
        <v>529</v>
      </c>
      <c r="D144" s="14" t="s">
        <v>440</v>
      </c>
      <c r="E144" s="12"/>
    </row>
    <row r="145" spans="1:5" ht="20.100000000000001" customHeight="1">
      <c r="A145" s="26">
        <v>11</v>
      </c>
      <c r="B145" s="10" t="s">
        <v>530</v>
      </c>
      <c r="C145" s="11" t="s">
        <v>1072</v>
      </c>
      <c r="D145" s="14" t="s">
        <v>539</v>
      </c>
      <c r="E145" s="12"/>
    </row>
    <row r="146" spans="1:5" ht="20.100000000000001" customHeight="1">
      <c r="A146" s="26">
        <v>12</v>
      </c>
      <c r="B146" s="10" t="s">
        <v>532</v>
      </c>
      <c r="C146" s="11" t="s">
        <v>533</v>
      </c>
      <c r="D146" s="14" t="s">
        <v>380</v>
      </c>
      <c r="E146" s="12"/>
    </row>
    <row r="147" spans="1:5" ht="20.100000000000001" customHeight="1">
      <c r="A147" s="26">
        <v>13</v>
      </c>
      <c r="B147" s="17" t="s">
        <v>534</v>
      </c>
      <c r="C147" s="3" t="s">
        <v>544</v>
      </c>
      <c r="D147" s="14" t="s">
        <v>539</v>
      </c>
      <c r="E147" s="12"/>
    </row>
    <row r="148" spans="1:5" ht="20.100000000000001" customHeight="1">
      <c r="A148" s="26">
        <v>14</v>
      </c>
      <c r="B148" s="10" t="s">
        <v>536</v>
      </c>
      <c r="C148" s="3" t="s">
        <v>537</v>
      </c>
      <c r="D148" s="14" t="s">
        <v>409</v>
      </c>
      <c r="E148" s="12"/>
    </row>
    <row r="149" spans="1:5" ht="20.100000000000001" customHeight="1">
      <c r="A149" s="26">
        <v>15</v>
      </c>
      <c r="B149" s="10" t="s">
        <v>538</v>
      </c>
      <c r="C149" s="3" t="s">
        <v>537</v>
      </c>
      <c r="D149" s="14" t="s">
        <v>453</v>
      </c>
      <c r="E149" s="12"/>
    </row>
    <row r="150" spans="1:5" ht="20.100000000000001" customHeight="1">
      <c r="A150" s="26">
        <v>16</v>
      </c>
      <c r="B150" s="10" t="s">
        <v>540</v>
      </c>
      <c r="C150" s="3" t="s">
        <v>537</v>
      </c>
      <c r="D150" s="14" t="s">
        <v>453</v>
      </c>
      <c r="E150" s="12"/>
    </row>
    <row r="151" spans="1:5" ht="20.100000000000001" customHeight="1">
      <c r="A151" s="26">
        <v>17</v>
      </c>
      <c r="B151" s="10" t="s">
        <v>541</v>
      </c>
      <c r="C151" s="11" t="s">
        <v>542</v>
      </c>
      <c r="D151" s="14" t="s">
        <v>37</v>
      </c>
      <c r="E151" s="12"/>
    </row>
    <row r="152" spans="1:5" ht="20.100000000000001" customHeight="1">
      <c r="A152" s="26">
        <v>18</v>
      </c>
      <c r="B152" s="10" t="s">
        <v>1055</v>
      </c>
      <c r="C152" s="11" t="s">
        <v>544</v>
      </c>
      <c r="D152" s="9" t="s">
        <v>55</v>
      </c>
      <c r="E152" s="12"/>
    </row>
    <row r="153" spans="1:5" ht="20.100000000000001" customHeight="1">
      <c r="A153" s="26">
        <v>19</v>
      </c>
      <c r="B153" s="10" t="s">
        <v>545</v>
      </c>
      <c r="C153" s="11" t="s">
        <v>546</v>
      </c>
      <c r="D153" s="14" t="s">
        <v>409</v>
      </c>
      <c r="E153" s="12"/>
    </row>
    <row r="154" spans="1:5" ht="20.100000000000001" customHeight="1">
      <c r="A154" s="26">
        <v>20</v>
      </c>
      <c r="B154" s="10" t="s">
        <v>547</v>
      </c>
      <c r="C154" s="11" t="s">
        <v>548</v>
      </c>
      <c r="D154" s="14" t="s">
        <v>391</v>
      </c>
      <c r="E154" s="12"/>
    </row>
    <row r="155" spans="1:5" ht="20.100000000000001" customHeight="1">
      <c r="A155" s="26">
        <v>21</v>
      </c>
      <c r="B155" s="10" t="s">
        <v>549</v>
      </c>
      <c r="C155" s="11" t="s">
        <v>550</v>
      </c>
      <c r="D155" s="14" t="s">
        <v>409</v>
      </c>
      <c r="E155" s="12"/>
    </row>
    <row r="156" spans="1:5" ht="20.100000000000001" customHeight="1">
      <c r="A156" s="26">
        <v>22</v>
      </c>
      <c r="B156" s="10" t="s">
        <v>551</v>
      </c>
      <c r="C156" s="11" t="s">
        <v>552</v>
      </c>
      <c r="D156" s="14" t="s">
        <v>391</v>
      </c>
      <c r="E156" s="12"/>
    </row>
    <row r="157" spans="1:5" ht="20.100000000000001" customHeight="1">
      <c r="A157" s="26">
        <v>23</v>
      </c>
      <c r="B157" s="17" t="s">
        <v>553</v>
      </c>
      <c r="C157" s="11" t="s">
        <v>558</v>
      </c>
      <c r="D157" s="14" t="s">
        <v>1048</v>
      </c>
      <c r="E157" s="12"/>
    </row>
    <row r="158" spans="1:5" ht="20.100000000000001" customHeight="1">
      <c r="A158" s="26">
        <v>24</v>
      </c>
      <c r="B158" s="17" t="s">
        <v>555</v>
      </c>
      <c r="C158" s="11" t="s">
        <v>556</v>
      </c>
      <c r="D158" s="14" t="s">
        <v>72</v>
      </c>
      <c r="E158" s="12"/>
    </row>
    <row r="159" spans="1:5" ht="20.100000000000001" customHeight="1">
      <c r="A159" s="26">
        <v>25</v>
      </c>
      <c r="B159" s="17" t="s">
        <v>557</v>
      </c>
      <c r="C159" s="11" t="s">
        <v>558</v>
      </c>
      <c r="D159" s="14" t="s">
        <v>72</v>
      </c>
      <c r="E159" s="12"/>
    </row>
    <row r="160" spans="1:5" ht="20.100000000000001" customHeight="1">
      <c r="A160" s="26">
        <v>26</v>
      </c>
      <c r="B160" s="17" t="s">
        <v>559</v>
      </c>
      <c r="C160" s="11" t="s">
        <v>560</v>
      </c>
      <c r="D160" s="14" t="s">
        <v>402</v>
      </c>
      <c r="E160" s="12"/>
    </row>
    <row r="161" spans="1:5" ht="20.100000000000001" customHeight="1">
      <c r="A161" s="26">
        <v>27</v>
      </c>
      <c r="B161" s="17" t="s">
        <v>561</v>
      </c>
      <c r="C161" s="11" t="s">
        <v>562</v>
      </c>
      <c r="D161" s="14" t="s">
        <v>402</v>
      </c>
      <c r="E161" s="12"/>
    </row>
    <row r="162" spans="1:5" ht="20.100000000000001" customHeight="1">
      <c r="A162" s="26">
        <v>28</v>
      </c>
      <c r="B162" s="10" t="s">
        <v>564</v>
      </c>
      <c r="C162" s="11" t="s">
        <v>565</v>
      </c>
      <c r="D162" s="14" t="s">
        <v>572</v>
      </c>
      <c r="E162" s="12"/>
    </row>
    <row r="163" spans="1:5" ht="20.100000000000001" customHeight="1">
      <c r="A163" s="26">
        <v>29</v>
      </c>
      <c r="B163" s="10" t="s">
        <v>567</v>
      </c>
      <c r="C163" s="11" t="s">
        <v>565</v>
      </c>
      <c r="D163" s="14" t="s">
        <v>572</v>
      </c>
      <c r="E163" s="12"/>
    </row>
    <row r="164" spans="1:5" ht="20.100000000000001" customHeight="1">
      <c r="A164" s="26">
        <v>30</v>
      </c>
      <c r="B164" s="10" t="s">
        <v>568</v>
      </c>
      <c r="C164" s="11" t="s">
        <v>565</v>
      </c>
      <c r="D164" s="14" t="s">
        <v>572</v>
      </c>
      <c r="E164" s="12"/>
    </row>
    <row r="165" spans="1:5" ht="20.100000000000001" customHeight="1">
      <c r="A165" s="26">
        <v>31</v>
      </c>
      <c r="B165" s="10" t="s">
        <v>569</v>
      </c>
      <c r="C165" s="11" t="s">
        <v>565</v>
      </c>
      <c r="D165" s="14" t="s">
        <v>572</v>
      </c>
      <c r="E165" s="12"/>
    </row>
    <row r="166" spans="1:5" ht="20.100000000000001" customHeight="1">
      <c r="A166" s="26">
        <v>32</v>
      </c>
      <c r="B166" s="10" t="s">
        <v>570</v>
      </c>
      <c r="C166" s="11" t="s">
        <v>565</v>
      </c>
      <c r="D166" s="14" t="s">
        <v>572</v>
      </c>
      <c r="E166" s="12"/>
    </row>
    <row r="167" spans="1:5" ht="20.100000000000001" customHeight="1">
      <c r="A167" s="26">
        <v>33</v>
      </c>
      <c r="B167" s="10" t="s">
        <v>571</v>
      </c>
      <c r="C167" s="11" t="s">
        <v>565</v>
      </c>
      <c r="D167" s="14" t="s">
        <v>583</v>
      </c>
      <c r="E167" s="12"/>
    </row>
    <row r="168" spans="1:5" ht="20.100000000000001" customHeight="1">
      <c r="A168" s="26">
        <v>34</v>
      </c>
      <c r="B168" s="10" t="s">
        <v>573</v>
      </c>
      <c r="C168" s="11" t="s">
        <v>565</v>
      </c>
      <c r="D168" s="14" t="s">
        <v>583</v>
      </c>
      <c r="E168" s="12"/>
    </row>
    <row r="169" spans="1:5" ht="20.100000000000001" customHeight="1">
      <c r="A169" s="26">
        <v>35</v>
      </c>
      <c r="B169" s="10" t="s">
        <v>1220</v>
      </c>
      <c r="C169" s="11" t="s">
        <v>565</v>
      </c>
      <c r="D169" s="14" t="s">
        <v>583</v>
      </c>
      <c r="E169" s="12"/>
    </row>
    <row r="170" spans="1:5" ht="20.100000000000001" customHeight="1">
      <c r="A170" s="26">
        <v>36</v>
      </c>
      <c r="B170" s="13" t="s">
        <v>574</v>
      </c>
      <c r="C170" s="11" t="s">
        <v>565</v>
      </c>
      <c r="D170" s="14" t="s">
        <v>583</v>
      </c>
      <c r="E170" s="12"/>
    </row>
    <row r="171" spans="1:5" ht="20.100000000000001" customHeight="1">
      <c r="A171" s="26">
        <v>37</v>
      </c>
      <c r="B171" s="10" t="s">
        <v>575</v>
      </c>
      <c r="C171" s="11" t="s">
        <v>565</v>
      </c>
      <c r="D171" s="14" t="s">
        <v>583</v>
      </c>
      <c r="E171" s="12"/>
    </row>
    <row r="172" spans="1:5" ht="20.100000000000001" customHeight="1">
      <c r="A172" s="26">
        <v>38</v>
      </c>
      <c r="B172" s="17" t="s">
        <v>576</v>
      </c>
      <c r="C172" s="11" t="s">
        <v>565</v>
      </c>
      <c r="D172" s="14" t="s">
        <v>583</v>
      </c>
      <c r="E172" s="12"/>
    </row>
    <row r="173" spans="1:5" ht="20.100000000000001" customHeight="1">
      <c r="A173" s="26">
        <v>39</v>
      </c>
      <c r="B173" s="17" t="s">
        <v>577</v>
      </c>
      <c r="C173" s="11" t="s">
        <v>565</v>
      </c>
      <c r="D173" s="14" t="s">
        <v>583</v>
      </c>
      <c r="E173" s="12"/>
    </row>
    <row r="174" spans="1:5" ht="20.100000000000001" customHeight="1">
      <c r="A174" s="26">
        <v>40</v>
      </c>
      <c r="B174" s="10" t="s">
        <v>578</v>
      </c>
      <c r="C174" s="11" t="s">
        <v>585</v>
      </c>
      <c r="D174" s="14" t="s">
        <v>586</v>
      </c>
      <c r="E174" s="12"/>
    </row>
    <row r="175" spans="1:5" ht="20.100000000000001" customHeight="1">
      <c r="A175" s="26">
        <v>41</v>
      </c>
      <c r="B175" s="10" t="s">
        <v>581</v>
      </c>
      <c r="C175" s="11" t="s">
        <v>585</v>
      </c>
      <c r="D175" s="14" t="s">
        <v>586</v>
      </c>
      <c r="E175" s="12"/>
    </row>
    <row r="176" spans="1:5" ht="20.100000000000001" customHeight="1">
      <c r="A176" s="26">
        <v>42</v>
      </c>
      <c r="B176" s="17" t="s">
        <v>582</v>
      </c>
      <c r="C176" s="11" t="s">
        <v>585</v>
      </c>
      <c r="D176" s="14" t="s">
        <v>1050</v>
      </c>
      <c r="E176" s="12"/>
    </row>
    <row r="177" spans="1:5" ht="20.100000000000001" customHeight="1">
      <c r="A177" s="26">
        <v>43</v>
      </c>
      <c r="B177" s="10" t="s">
        <v>584</v>
      </c>
      <c r="C177" s="11" t="s">
        <v>585</v>
      </c>
      <c r="D177" s="14" t="s">
        <v>1056</v>
      </c>
      <c r="E177" s="12"/>
    </row>
    <row r="178" spans="1:5" ht="20.100000000000001" customHeight="1">
      <c r="A178" s="26">
        <v>44</v>
      </c>
      <c r="B178" s="10" t="s">
        <v>587</v>
      </c>
      <c r="C178" s="11" t="s">
        <v>588</v>
      </c>
      <c r="D178" s="14" t="s">
        <v>1057</v>
      </c>
      <c r="E178" s="12"/>
    </row>
    <row r="179" spans="1:5" ht="20.100000000000001" customHeight="1">
      <c r="A179" s="26">
        <v>45</v>
      </c>
      <c r="B179" s="10" t="s">
        <v>590</v>
      </c>
      <c r="C179" s="11" t="s">
        <v>588</v>
      </c>
      <c r="D179" s="14" t="s">
        <v>1057</v>
      </c>
      <c r="E179" s="12"/>
    </row>
    <row r="180" spans="1:5" ht="20.100000000000001" customHeight="1">
      <c r="A180" s="26">
        <v>46</v>
      </c>
      <c r="B180" s="10" t="s">
        <v>591</v>
      </c>
      <c r="C180" s="11" t="s">
        <v>588</v>
      </c>
      <c r="D180" s="14" t="s">
        <v>1057</v>
      </c>
      <c r="E180" s="12"/>
    </row>
    <row r="181" spans="1:5" ht="20.100000000000001" customHeight="1">
      <c r="A181" s="26">
        <v>47</v>
      </c>
      <c r="B181" s="10" t="s">
        <v>592</v>
      </c>
      <c r="C181" s="11" t="s">
        <v>588</v>
      </c>
      <c r="D181" s="14" t="s">
        <v>1057</v>
      </c>
      <c r="E181" s="12"/>
    </row>
    <row r="182" spans="1:5" ht="20.100000000000001" customHeight="1">
      <c r="A182" s="26">
        <v>48</v>
      </c>
      <c r="B182" s="10" t="s">
        <v>593</v>
      </c>
      <c r="C182" s="11" t="s">
        <v>588</v>
      </c>
      <c r="D182" s="14" t="s">
        <v>1057</v>
      </c>
      <c r="E182" s="12"/>
    </row>
    <row r="183" spans="1:5" ht="20.100000000000001" customHeight="1">
      <c r="A183" s="26">
        <v>49</v>
      </c>
      <c r="B183" s="17" t="s">
        <v>594</v>
      </c>
      <c r="C183" s="11" t="s">
        <v>588</v>
      </c>
      <c r="D183" s="14" t="s">
        <v>1057</v>
      </c>
      <c r="E183" s="12"/>
    </row>
    <row r="184" spans="1:5" ht="20.100000000000001" customHeight="1">
      <c r="A184" s="26">
        <v>50</v>
      </c>
      <c r="B184" s="17" t="s">
        <v>595</v>
      </c>
      <c r="C184" s="11" t="s">
        <v>588</v>
      </c>
      <c r="D184" s="14" t="s">
        <v>1057</v>
      </c>
      <c r="E184" s="12"/>
    </row>
    <row r="185" spans="1:5" ht="20.100000000000001" customHeight="1">
      <c r="A185" s="26">
        <v>51</v>
      </c>
      <c r="B185" s="10" t="s">
        <v>596</v>
      </c>
      <c r="C185" s="11" t="s">
        <v>585</v>
      </c>
      <c r="D185" s="14" t="s">
        <v>1057</v>
      </c>
      <c r="E185" s="12"/>
    </row>
    <row r="186" spans="1:5" ht="20.100000000000001" customHeight="1">
      <c r="A186" s="26">
        <v>52</v>
      </c>
      <c r="B186" s="10" t="s">
        <v>597</v>
      </c>
      <c r="C186" s="11" t="s">
        <v>585</v>
      </c>
      <c r="D186" s="14" t="s">
        <v>1057</v>
      </c>
      <c r="E186" s="12"/>
    </row>
    <row r="187" spans="1:5" ht="20.100000000000001" customHeight="1">
      <c r="A187" s="26">
        <v>53</v>
      </c>
      <c r="B187" s="17" t="s">
        <v>598</v>
      </c>
      <c r="C187" s="11" t="s">
        <v>588</v>
      </c>
      <c r="D187" s="14" t="s">
        <v>1073</v>
      </c>
      <c r="E187" s="12"/>
    </row>
    <row r="188" spans="1:5" ht="20.100000000000001" customHeight="1">
      <c r="A188" s="26">
        <v>54</v>
      </c>
      <c r="B188" s="17" t="s">
        <v>600</v>
      </c>
      <c r="C188" s="11" t="s">
        <v>588</v>
      </c>
      <c r="D188" s="14" t="s">
        <v>1058</v>
      </c>
      <c r="E188" s="12"/>
    </row>
    <row r="189" spans="1:5" ht="20.100000000000001" customHeight="1">
      <c r="A189" s="26"/>
      <c r="B189" s="7" t="s">
        <v>42</v>
      </c>
      <c r="C189" s="27" t="s">
        <v>1223</v>
      </c>
      <c r="D189" s="28"/>
      <c r="E189" s="12"/>
    </row>
    <row r="190" spans="1:5" ht="32.25" customHeight="1">
      <c r="A190" s="3"/>
      <c r="B190" s="29" t="s">
        <v>125</v>
      </c>
      <c r="C190" s="30">
        <f>C35+C40+C55+C60+C76+C84+C97+C104+C114+C132+C189</f>
        <v>147</v>
      </c>
      <c r="D190" s="31"/>
      <c r="E190" s="12"/>
    </row>
    <row r="191" spans="1:5" ht="20.100000000000001" customHeight="1">
      <c r="A191" s="2"/>
      <c r="B191" s="32"/>
      <c r="C191" s="2"/>
      <c r="D191" s="33"/>
      <c r="E191" s="34"/>
    </row>
    <row r="192" spans="1:5" ht="65.25" customHeight="1">
      <c r="A192" s="2"/>
      <c r="B192" s="32"/>
      <c r="C192" s="33"/>
      <c r="D192" s="33"/>
    </row>
  </sheetData>
  <mergeCells count="2">
    <mergeCell ref="A1:D1"/>
    <mergeCell ref="A2:D2"/>
  </mergeCells>
  <pageMargins left="0.23622047244094499" right="0.23622047244094499" top="0.98425196850393704" bottom="0.98425196850393704" header="0.511811023622047" footer="0.511811023622047"/>
  <pageSetup paperSize="9" orientation="portrait" horizontalDpi="1200" verticalDpi="1200" r:id="rId1"/>
  <headerFooter alignWithMargins="0"/>
  <rowBreaks count="6" manualBreakCount="6">
    <brk id="35" max="3" man="1"/>
    <brk id="68" max="3" man="1"/>
    <brk id="97" max="3" man="1"/>
    <brk id="129" max="3" man="1"/>
    <brk id="159" max="3" man="1"/>
    <brk id="190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76</vt:i4>
      </vt:variant>
      <vt:variant>
        <vt:lpstr>Named Ranges</vt:lpstr>
      </vt:variant>
      <vt:variant>
        <vt:i4>55</vt:i4>
      </vt:variant>
    </vt:vector>
  </HeadingPairs>
  <TitlesOfParts>
    <vt:vector size="131" baseType="lpstr">
      <vt:lpstr>FEB NEW PERM</vt:lpstr>
      <vt:lpstr>MEMO</vt:lpstr>
      <vt:lpstr>PAYE</vt:lpstr>
      <vt:lpstr>DEC NEW PERM</vt:lpstr>
      <vt:lpstr>2026 ENHANCED WELFARE</vt:lpstr>
      <vt:lpstr>Sheet7</vt:lpstr>
      <vt:lpstr>Sheet6</vt:lpstr>
      <vt:lpstr>Christmas 2024</vt:lpstr>
      <vt:lpstr>NEW STAFF BONUS</vt:lpstr>
      <vt:lpstr>Sheet5</vt:lpstr>
      <vt:lpstr>Placement</vt:lpstr>
      <vt:lpstr>New Staff PAYE</vt:lpstr>
      <vt:lpstr>Recovery</vt:lpstr>
      <vt:lpstr>New Enrolmt</vt:lpstr>
      <vt:lpstr>1ST 28 DAYS</vt:lpstr>
      <vt:lpstr>Conversion &amp; Enrol Effect</vt:lpstr>
      <vt:lpstr>Converted Staff PAYE</vt:lpstr>
      <vt:lpstr>Movt to Contract</vt:lpstr>
      <vt:lpstr>Sheet10</vt:lpstr>
      <vt:lpstr>Sheet8</vt:lpstr>
      <vt:lpstr>Welfare June</vt:lpstr>
      <vt:lpstr>Welfare Summary</vt:lpstr>
      <vt:lpstr>Arrears of Res. Allow</vt:lpstr>
      <vt:lpstr>Additional Leg Duty Allowance</vt:lpstr>
      <vt:lpstr>March New PAYE </vt:lpstr>
      <vt:lpstr>Upgrade in March</vt:lpstr>
      <vt:lpstr>New NHF Deduction</vt:lpstr>
      <vt:lpstr>Regularisation</vt:lpstr>
      <vt:lpstr>Sallah Welfare, April 2024</vt:lpstr>
      <vt:lpstr>Sheet4</vt:lpstr>
      <vt:lpstr>January Arrears</vt:lpstr>
      <vt:lpstr>Tax Reg Sch. </vt:lpstr>
      <vt:lpstr> Excess Ded Paid</vt:lpstr>
      <vt:lpstr>Changes in Gross &amp; PAYE </vt:lpstr>
      <vt:lpstr>May New PAYE </vt:lpstr>
      <vt:lpstr>Employee Pensions</vt:lpstr>
      <vt:lpstr>Upgrade in Feb.</vt:lpstr>
      <vt:lpstr>Coop. Ded for Feb.</vt:lpstr>
      <vt:lpstr>ENHANCED WELFARE 2024</vt:lpstr>
      <vt:lpstr>PROMOTIONS </vt:lpstr>
      <vt:lpstr>CHRISTMAS WELFARE</vt:lpstr>
      <vt:lpstr>CHRISTMAS WELFARE 1</vt:lpstr>
      <vt:lpstr>HALF 2023 (2)</vt:lpstr>
      <vt:lpstr>Sheet3</vt:lpstr>
      <vt:lpstr>NEW ENROLMENT IN NOVEMBER (2)</vt:lpstr>
      <vt:lpstr>Regularisation IN NOVEMBER (3)</vt:lpstr>
      <vt:lpstr>Sheet2</vt:lpstr>
      <vt:lpstr>PROMOTIONS</vt:lpstr>
      <vt:lpstr>SALARY STRUCTURE</vt:lpstr>
      <vt:lpstr>Wage Grant</vt:lpstr>
      <vt:lpstr>Wage Grant (2)</vt:lpstr>
      <vt:lpstr>1st 28 days in Nov</vt:lpstr>
      <vt:lpstr>Sallah Welfare April 2023</vt:lpstr>
      <vt:lpstr>Sallah Welfare June 2023</vt:lpstr>
      <vt:lpstr>Sallah Welfare June 2023 Latest</vt:lpstr>
      <vt:lpstr>Sheet1</vt:lpstr>
      <vt:lpstr>January 2023 PAYE</vt:lpstr>
      <vt:lpstr>January 2023 NHF)</vt:lpstr>
      <vt:lpstr>PAYE Computation</vt:lpstr>
      <vt:lpstr>Tax adj August, 2022</vt:lpstr>
      <vt:lpstr>Annual Increement</vt:lpstr>
      <vt:lpstr>Enhanced Welfare 2023 (2)</vt:lpstr>
      <vt:lpstr>Enhanced Welfare 2023 (3)</vt:lpstr>
      <vt:lpstr>17.9</vt:lpstr>
      <vt:lpstr>16.7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JUNE 2023 (2)</vt:lpstr>
      <vt:lpstr>'2026 ENHANCED WELFARE'!Print_Area</vt:lpstr>
      <vt:lpstr>'Additional Leg Duty Allowance'!Print_Area</vt:lpstr>
      <vt:lpstr>'Annual Increement'!Print_Area</vt:lpstr>
      <vt:lpstr>'Christmas 2024'!Print_Area</vt:lpstr>
      <vt:lpstr>'CHRISTMAS WELFARE'!Print_Area</vt:lpstr>
      <vt:lpstr>'DEC NEW PERM'!Print_Area</vt:lpstr>
      <vt:lpstr>'Enhanced Welfare 2023 (2)'!Print_Area</vt:lpstr>
      <vt:lpstr>'Enhanced Welfare 2023 (3)'!Print_Area</vt:lpstr>
      <vt:lpstr>'ENHANCED WELFARE 2024'!Print_Area</vt:lpstr>
      <vt:lpstr>'FEB NEW PERM'!Print_Area</vt:lpstr>
      <vt:lpstr>'HALF 2023 (2)'!Print_Area</vt:lpstr>
      <vt:lpstr>'January 2023 NHF)'!Print_Area</vt:lpstr>
      <vt:lpstr>'January 2023 PAYE'!Print_Area</vt:lpstr>
      <vt:lpstr>'JUNE 2023 (2)'!Print_Area</vt:lpstr>
      <vt:lpstr>MEMO!Print_Area</vt:lpstr>
      <vt:lpstr>'NEW ENROLMENT IN NOVEMBER (2)'!Print_Area</vt:lpstr>
      <vt:lpstr>'NEW STAFF BONUS'!Print_Area</vt:lpstr>
      <vt:lpstr>PROMOTIONS!Print_Area</vt:lpstr>
      <vt:lpstr>'PROMOTIONS '!Print_Area</vt:lpstr>
      <vt:lpstr>'Regularisation IN NOVEMBER (3)'!Print_Area</vt:lpstr>
      <vt:lpstr>'Sallah Welfare April 2023'!Print_Area</vt:lpstr>
      <vt:lpstr>'Sallah Welfare June 2023'!Print_Area</vt:lpstr>
      <vt:lpstr>'Sallah Welfare June 2023 Latest'!Print_Area</vt:lpstr>
      <vt:lpstr>'Sallah Welfare, April 2024'!Print_Area</vt:lpstr>
      <vt:lpstr>'Tax adj August, 2022'!Print_Area</vt:lpstr>
      <vt:lpstr>'Upgrade in March'!Print_Area</vt:lpstr>
      <vt:lpstr>'Wage Grant'!Print_Area</vt:lpstr>
      <vt:lpstr>'Wage Grant (2)'!Print_Area</vt:lpstr>
      <vt:lpstr>'Welfare June'!Print_Area</vt:lpstr>
      <vt:lpstr>'2026 ENHANCED WELFARE'!Print_Titles</vt:lpstr>
      <vt:lpstr>'Additional Leg Duty Allowance'!Print_Titles</vt:lpstr>
      <vt:lpstr>'Christmas 2024'!Print_Titles</vt:lpstr>
      <vt:lpstr>'CHRISTMAS WELFARE'!Print_Titles</vt:lpstr>
      <vt:lpstr>'DEC NEW PERM'!Print_Titles</vt:lpstr>
      <vt:lpstr>'Enhanced Welfare 2023 (2)'!Print_Titles</vt:lpstr>
      <vt:lpstr>'Enhanced Welfare 2023 (3)'!Print_Titles</vt:lpstr>
      <vt:lpstr>'ENHANCED WELFARE 2024'!Print_Titles</vt:lpstr>
      <vt:lpstr>'FEB NEW PERM'!Print_Titles</vt:lpstr>
      <vt:lpstr>'HALF 2023 (2)'!Print_Titles</vt:lpstr>
      <vt:lpstr>'January 2023 NHF)'!Print_Titles</vt:lpstr>
      <vt:lpstr>'January 2023 PAYE'!Print_Titles</vt:lpstr>
      <vt:lpstr>'JUNE 2023 (2)'!Print_Titles</vt:lpstr>
      <vt:lpstr>'NEW ENROLMENT IN NOVEMBER (2)'!Print_Titles</vt:lpstr>
      <vt:lpstr>'NEW STAFF BONUS'!Print_Titles</vt:lpstr>
      <vt:lpstr>PROMOTIONS!Print_Titles</vt:lpstr>
      <vt:lpstr>'PROMOTIONS '!Print_Titles</vt:lpstr>
      <vt:lpstr>'Regularisation IN NOVEMBER (3)'!Print_Titles</vt:lpstr>
      <vt:lpstr>'Sallah Welfare April 2023'!Print_Titles</vt:lpstr>
      <vt:lpstr>'Sallah Welfare June 2023'!Print_Titles</vt:lpstr>
      <vt:lpstr>'Sallah Welfare June 2023 Latest'!Print_Titles</vt:lpstr>
      <vt:lpstr>'Sallah Welfare, April 2024'!Print_Titles</vt:lpstr>
      <vt:lpstr>'Upgrade in March'!Print_Titles</vt:lpstr>
      <vt:lpstr>'Wage Grant'!Print_Titles</vt:lpstr>
      <vt:lpstr>'Wage Grant (2)'!Print_Titles</vt:lpstr>
      <vt:lpstr>'Welfare June'!Print_Titles</vt:lpstr>
    </vt:vector>
  </TitlesOfParts>
  <Company>Private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RAHILA</cp:lastModifiedBy>
  <cp:lastPrinted>2024-11-05T10:29:00Z</cp:lastPrinted>
  <dcterms:created xsi:type="dcterms:W3CDTF">2008-06-27T10:36:00Z</dcterms:created>
  <dcterms:modified xsi:type="dcterms:W3CDTF">2026-02-27T09:48:17Z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03ADDF2B053A4F998490FEF1E6FEAB66_13</vt:lpwstr>
  </property>
  <property fmtid="{D5CDD505-2E9C-101B-9397-08002B2CF9AE}" pid="3" name="KSOProductBuildVer">
    <vt:lpwstr>1033-12.2.0.23196</vt:lpwstr>
  </property>
</Properties>
</file>