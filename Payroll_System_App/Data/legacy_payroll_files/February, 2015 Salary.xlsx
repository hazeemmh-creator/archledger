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Old Pslp 2014 ^0 Abv/"/>
    </mc:Choice>
  </mc:AlternateContent>
  <xr:revisionPtr revIDLastSave="8" documentId="11_8F5F7B700D9CE379309C85AA9D8E85B01CB059F2" xr6:coauthVersionLast="47" xr6:coauthVersionMax="47" xr10:uidLastSave="{15DD4211-CFEF-4811-97BF-057643F934CD}"/>
  <bookViews>
    <workbookView xWindow="1860" yWindow="225" windowWidth="26790" windowHeight="15255" xr2:uid="{00000000-000D-0000-FFFF-FFFF00000000}"/>
  </bookViews>
  <sheets>
    <sheet name="Feb. 15" sheetId="1" r:id="rId1"/>
    <sheet name="Enhanced welfare" sheetId="22" r:id="rId2"/>
    <sheet name=" Welfare 2" sheetId="24" r:id="rId3"/>
    <sheet name="MEMO" sheetId="3" r:id="rId4"/>
    <sheet name="17.9" sheetId="4" r:id="rId5"/>
    <sheet name="16.9" sheetId="5" r:id="rId6"/>
    <sheet name="15.9" sheetId="6" r:id="rId7"/>
    <sheet name="13.7" sheetId="7" r:id="rId8"/>
    <sheet name="12.7" sheetId="8" r:id="rId9"/>
    <sheet name="10.7" sheetId="9" r:id="rId10"/>
    <sheet name="9.7" sheetId="10" r:id="rId11"/>
    <sheet name="8.7" sheetId="11" r:id="rId12"/>
    <sheet name="sUMMARY" sheetId="12" r:id="rId13"/>
    <sheet name="14.7" sheetId="13" r:id="rId14"/>
    <sheet name="Sheet2" sheetId="14" r:id="rId15"/>
    <sheet name="15.7" sheetId="23" r:id="rId16"/>
    <sheet name="5.7" sheetId="15" r:id="rId17"/>
    <sheet name="Noninal roll" sheetId="16" r:id="rId18"/>
    <sheet name="Welfare List Mgt Staff" sheetId="17" r:id="rId19"/>
    <sheet name="Welfare Support Staff" sheetId="18" r:id="rId20"/>
    <sheet name="Welfare Deployed Staff" sheetId="19" r:id="rId21"/>
    <sheet name="Sheet1" sheetId="20" r:id="rId22"/>
    <sheet name="Sheet3" sheetId="21" r:id="rId23"/>
  </sheets>
  <definedNames>
    <definedName name="_xlnm.Print_Area" localSheetId="0">'Feb. 15'!$A$2:$W$150</definedName>
    <definedName name="_xlnm.Print_Area" localSheetId="3">MEMO!$A$1:$H$53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U50" i="1"/>
  <c r="O50" i="1"/>
  <c r="M50" i="1"/>
  <c r="K50" i="1"/>
  <c r="J50" i="1"/>
  <c r="H50" i="1"/>
  <c r="G50" i="1"/>
  <c r="R50" i="1" s="1"/>
  <c r="W50" i="1" s="1"/>
  <c r="H47" i="3"/>
  <c r="R128" i="1"/>
  <c r="W128" i="1" s="1"/>
  <c r="R129" i="1"/>
  <c r="W129" i="1" s="1"/>
  <c r="W110" i="1"/>
  <c r="F110" i="1"/>
  <c r="U110" i="1"/>
  <c r="O110" i="1"/>
  <c r="M110" i="1"/>
  <c r="K110" i="1"/>
  <c r="J110" i="1"/>
  <c r="H110" i="1"/>
  <c r="G110" i="1"/>
  <c r="R110" i="1" l="1"/>
  <c r="N44" i="1"/>
  <c r="E137" i="1" l="1"/>
  <c r="U54" i="1" l="1"/>
  <c r="U55" i="1"/>
  <c r="O54" i="1"/>
  <c r="O55" i="1"/>
  <c r="M54" i="1"/>
  <c r="M55" i="1"/>
  <c r="K54" i="1"/>
  <c r="K55" i="1"/>
  <c r="J54" i="1"/>
  <c r="J55" i="1"/>
  <c r="H54" i="1"/>
  <c r="H55" i="1"/>
  <c r="G55" i="1"/>
  <c r="G54" i="1"/>
  <c r="R55" i="1" l="1"/>
  <c r="W55" i="1" s="1"/>
  <c r="R54" i="1"/>
  <c r="W54" i="1" s="1"/>
  <c r="F20" i="22"/>
  <c r="F24" i="22"/>
  <c r="F13" i="22"/>
  <c r="F8" i="22"/>
  <c r="F26" i="22" s="1"/>
  <c r="U45" i="1" l="1"/>
  <c r="O45" i="1"/>
  <c r="M45" i="1"/>
  <c r="K45" i="1"/>
  <c r="J45" i="1"/>
  <c r="H45" i="1"/>
  <c r="G45" i="1"/>
  <c r="T134" i="1" l="1"/>
  <c r="U134" i="1" s="1"/>
  <c r="E134" i="1"/>
  <c r="R134" i="1" s="1"/>
  <c r="W134" i="1" s="1"/>
  <c r="E67" i="1" l="1"/>
  <c r="E91" i="1" s="1"/>
  <c r="E66" i="1"/>
  <c r="E61" i="1"/>
  <c r="E62" i="1" s="1"/>
  <c r="E63" i="1" s="1"/>
  <c r="E64" i="1" s="1"/>
  <c r="E60" i="1"/>
  <c r="E59" i="1"/>
  <c r="E58" i="1"/>
  <c r="E22" i="1" s="1"/>
  <c r="E78" i="1" s="1"/>
  <c r="E79" i="1" s="1"/>
  <c r="E80" i="1" s="1"/>
  <c r="E81" i="1" s="1"/>
  <c r="E37" i="1"/>
  <c r="E36" i="1"/>
  <c r="E21" i="1"/>
  <c r="E20" i="1"/>
  <c r="E19" i="1"/>
  <c r="E18" i="1"/>
  <c r="E17" i="1"/>
  <c r="E16" i="1" s="1"/>
  <c r="E53" i="1"/>
  <c r="E51" i="1" s="1"/>
  <c r="E35" i="1" s="1"/>
  <c r="E14" i="1" l="1"/>
  <c r="E13" i="1"/>
  <c r="E12" i="1"/>
  <c r="E75" i="1"/>
  <c r="E74" i="1"/>
  <c r="E33" i="1"/>
  <c r="F131" i="1" l="1"/>
  <c r="U49" i="1" l="1"/>
  <c r="G49" i="1"/>
  <c r="H49" i="1"/>
  <c r="J49" i="1"/>
  <c r="K49" i="1"/>
  <c r="M49" i="1"/>
  <c r="O49" i="1"/>
  <c r="R49" i="1" l="1"/>
  <c r="W49" i="1" s="1"/>
  <c r="U52" i="1" l="1"/>
  <c r="U53" i="1"/>
  <c r="O52" i="1"/>
  <c r="O53" i="1"/>
  <c r="M52" i="1"/>
  <c r="M53" i="1"/>
  <c r="K52" i="1"/>
  <c r="J52" i="1"/>
  <c r="J53" i="1"/>
  <c r="H52" i="1"/>
  <c r="G52" i="1"/>
  <c r="R52" i="1" l="1"/>
  <c r="W52" i="1" s="1"/>
  <c r="B6" i="23" l="1"/>
  <c r="B10" i="23"/>
  <c r="B11" i="23"/>
  <c r="C13" i="23"/>
  <c r="B13" i="23" s="1"/>
  <c r="B12" i="23"/>
  <c r="B9" i="23"/>
  <c r="B8" i="23"/>
  <c r="B5" i="23"/>
  <c r="E4" i="6"/>
  <c r="B4" i="23" l="1"/>
  <c r="U48" i="1"/>
  <c r="G48" i="1"/>
  <c r="H48" i="1"/>
  <c r="J48" i="1"/>
  <c r="K48" i="1"/>
  <c r="M48" i="1"/>
  <c r="O48" i="1"/>
  <c r="R48" i="1" l="1"/>
  <c r="W48" i="1" s="1"/>
  <c r="U56" i="1" l="1"/>
  <c r="G56" i="1"/>
  <c r="H56" i="1"/>
  <c r="J56" i="1"/>
  <c r="K56" i="1"/>
  <c r="M56" i="1"/>
  <c r="O56" i="1"/>
  <c r="R56" i="1" l="1"/>
  <c r="W56" i="1" s="1"/>
  <c r="F112" i="1" l="1"/>
  <c r="T112" i="1"/>
  <c r="V112" i="1"/>
  <c r="U109" i="1"/>
  <c r="G109" i="1"/>
  <c r="H109" i="1"/>
  <c r="J109" i="1"/>
  <c r="K109" i="1"/>
  <c r="M109" i="1"/>
  <c r="O109" i="1"/>
  <c r="R109" i="1" l="1"/>
  <c r="W109" i="1" s="1"/>
  <c r="U84" i="1" l="1"/>
  <c r="O84" i="1"/>
  <c r="M84" i="1"/>
  <c r="K84" i="1"/>
  <c r="J84" i="1"/>
  <c r="H84" i="1"/>
  <c r="G84" i="1"/>
  <c r="R84" i="1" l="1"/>
  <c r="W84" i="1" s="1"/>
  <c r="Q53" i="1"/>
  <c r="F145" i="1" l="1"/>
  <c r="V145" i="1"/>
  <c r="R144" i="1"/>
  <c r="W144" i="1" s="1"/>
  <c r="V131" i="1"/>
  <c r="E131" i="1"/>
  <c r="R127" i="1"/>
  <c r="W127" i="1" s="1"/>
  <c r="T145" i="1" l="1"/>
  <c r="U145" i="1" l="1"/>
  <c r="M106" i="1"/>
  <c r="U107" i="1"/>
  <c r="O107" i="1"/>
  <c r="K107" i="1"/>
  <c r="J107" i="1"/>
  <c r="H107" i="1"/>
  <c r="G107" i="1"/>
  <c r="R124" i="1" l="1"/>
  <c r="W124" i="1" s="1"/>
  <c r="U93" i="1" l="1"/>
  <c r="G93" i="1"/>
  <c r="H93" i="1"/>
  <c r="J93" i="1"/>
  <c r="K93" i="1"/>
  <c r="M93" i="1"/>
  <c r="O93" i="1"/>
  <c r="R93" i="1" l="1"/>
  <c r="W93" i="1" s="1"/>
  <c r="O11" i="1"/>
  <c r="M11" i="1"/>
  <c r="K11" i="1"/>
  <c r="J11" i="1"/>
  <c r="H11" i="1"/>
  <c r="G11" i="1"/>
  <c r="E43" i="1"/>
  <c r="G43" i="1" s="1"/>
  <c r="O4" i="12"/>
  <c r="N4" i="12"/>
  <c r="L4" i="12"/>
  <c r="K4" i="12"/>
  <c r="I4" i="12"/>
  <c r="H4" i="12"/>
  <c r="H43" i="1" l="1"/>
  <c r="J43" i="1"/>
  <c r="E34" i="1"/>
  <c r="K43" i="1"/>
  <c r="R4" i="12"/>
  <c r="R135" i="1"/>
  <c r="W135" i="1" s="1"/>
  <c r="R138" i="1"/>
  <c r="W138" i="1" s="1"/>
  <c r="R140" i="1"/>
  <c r="W140" i="1" s="1"/>
  <c r="R141" i="1"/>
  <c r="W141" i="1" s="1"/>
  <c r="R116" i="1"/>
  <c r="W116" i="1" s="1"/>
  <c r="R117" i="1"/>
  <c r="W117" i="1" s="1"/>
  <c r="R118" i="1"/>
  <c r="W118" i="1" s="1"/>
  <c r="R119" i="1"/>
  <c r="W119" i="1" s="1"/>
  <c r="R120" i="1"/>
  <c r="W120" i="1" s="1"/>
  <c r="R121" i="1"/>
  <c r="W121" i="1" s="1"/>
  <c r="R122" i="1"/>
  <c r="W122" i="1" s="1"/>
  <c r="R123" i="1"/>
  <c r="W123" i="1" s="1"/>
  <c r="R126" i="1"/>
  <c r="W126" i="1" s="1"/>
  <c r="L112" i="1"/>
  <c r="N112" i="1"/>
  <c r="F39" i="1"/>
  <c r="L39" i="1"/>
  <c r="N39" i="1"/>
  <c r="P39" i="1"/>
  <c r="Q39" i="1"/>
  <c r="S39" i="1"/>
  <c r="T39" i="1"/>
  <c r="V39" i="1"/>
  <c r="F29" i="1"/>
  <c r="Q29" i="1"/>
  <c r="T29" i="1"/>
  <c r="G29" i="20"/>
  <c r="G132" i="20"/>
  <c r="G37" i="20" l="1"/>
  <c r="G56" i="20"/>
  <c r="G102" i="20"/>
  <c r="G118" i="20"/>
  <c r="G133" i="20" l="1"/>
  <c r="S112" i="1" l="1"/>
  <c r="U21" i="1" l="1"/>
  <c r="O21" i="1"/>
  <c r="M21" i="1"/>
  <c r="K21" i="1"/>
  <c r="J21" i="1"/>
  <c r="H21" i="1"/>
  <c r="G21" i="1"/>
  <c r="E12" i="19"/>
  <c r="G85" i="18"/>
  <c r="F23" i="17"/>
  <c r="G75" i="1"/>
  <c r="H75" i="1"/>
  <c r="J75" i="1"/>
  <c r="K75" i="1"/>
  <c r="M75" i="1"/>
  <c r="O75" i="1"/>
  <c r="U28" i="1"/>
  <c r="O28" i="1"/>
  <c r="M28" i="1"/>
  <c r="K28" i="1"/>
  <c r="J28" i="1"/>
  <c r="H28" i="1"/>
  <c r="G28" i="1"/>
  <c r="U11" i="1"/>
  <c r="F22" i="3"/>
  <c r="G145" i="1"/>
  <c r="H145" i="1"/>
  <c r="I145" i="1"/>
  <c r="J145" i="1"/>
  <c r="K145" i="1"/>
  <c r="L145" i="1"/>
  <c r="M145" i="1"/>
  <c r="N145" i="1"/>
  <c r="O145" i="1"/>
  <c r="P145" i="1"/>
  <c r="Q145" i="1"/>
  <c r="H131" i="1"/>
  <c r="I131" i="1"/>
  <c r="L131" i="1"/>
  <c r="N131" i="1"/>
  <c r="O131" i="1"/>
  <c r="P131" i="1"/>
  <c r="Q131" i="1"/>
  <c r="S145" i="1"/>
  <c r="F23" i="3"/>
  <c r="F21" i="3"/>
  <c r="U108" i="1"/>
  <c r="O108" i="1"/>
  <c r="M108" i="1"/>
  <c r="K108" i="1"/>
  <c r="J108" i="1"/>
  <c r="H108" i="1"/>
  <c r="G108" i="1"/>
  <c r="U20" i="1"/>
  <c r="O20" i="1"/>
  <c r="M20" i="1"/>
  <c r="K20" i="1"/>
  <c r="J20" i="1"/>
  <c r="H20" i="1"/>
  <c r="G20" i="1"/>
  <c r="U19" i="1"/>
  <c r="O19" i="1"/>
  <c r="M19" i="1"/>
  <c r="K19" i="1"/>
  <c r="J19" i="1"/>
  <c r="H19" i="1"/>
  <c r="G19" i="1"/>
  <c r="K53" i="1"/>
  <c r="H53" i="1"/>
  <c r="G53" i="1"/>
  <c r="U43" i="1"/>
  <c r="U44" i="1"/>
  <c r="U47" i="1"/>
  <c r="U15" i="1"/>
  <c r="U51" i="1"/>
  <c r="U57" i="1"/>
  <c r="U58" i="1"/>
  <c r="U59" i="1"/>
  <c r="U61" i="1"/>
  <c r="U62" i="1"/>
  <c r="U63" i="1"/>
  <c r="U64" i="1"/>
  <c r="U42" i="1"/>
  <c r="U72" i="1"/>
  <c r="U73" i="1"/>
  <c r="U74" i="1"/>
  <c r="U76" i="1"/>
  <c r="U77" i="1"/>
  <c r="U22" i="1"/>
  <c r="U78" i="1"/>
  <c r="U79" i="1"/>
  <c r="U80" i="1"/>
  <c r="V29" i="1" s="1"/>
  <c r="F18" i="3" s="1"/>
  <c r="U81" i="1"/>
  <c r="U83" i="1"/>
  <c r="U85" i="1"/>
  <c r="U86" i="1"/>
  <c r="U87" i="1"/>
  <c r="U88" i="1"/>
  <c r="U89" i="1"/>
  <c r="U90" i="1"/>
  <c r="U91" i="1"/>
  <c r="U92" i="1"/>
  <c r="U94" i="1"/>
  <c r="U95" i="1"/>
  <c r="U96" i="1"/>
  <c r="U97" i="1"/>
  <c r="U98" i="1"/>
  <c r="U99" i="1"/>
  <c r="U100" i="1"/>
  <c r="U101" i="1"/>
  <c r="U102" i="1"/>
  <c r="U103" i="1"/>
  <c r="U104" i="1"/>
  <c r="U105" i="1"/>
  <c r="U125" i="1"/>
  <c r="U106" i="1"/>
  <c r="U71" i="1"/>
  <c r="U34" i="1"/>
  <c r="U35" i="1"/>
  <c r="U36" i="1"/>
  <c r="U37" i="1"/>
  <c r="U38" i="1"/>
  <c r="U33" i="1"/>
  <c r="U10" i="1"/>
  <c r="U12" i="1"/>
  <c r="U13" i="1"/>
  <c r="U14" i="1"/>
  <c r="U75" i="1"/>
  <c r="U16" i="1"/>
  <c r="U17" i="1"/>
  <c r="U82" i="1"/>
  <c r="U18" i="1"/>
  <c r="U23" i="1"/>
  <c r="U24" i="1"/>
  <c r="U25" i="1"/>
  <c r="U26" i="1"/>
  <c r="U27" i="1"/>
  <c r="U9" i="1"/>
  <c r="E24" i="3"/>
  <c r="O60" i="1"/>
  <c r="M60" i="1"/>
  <c r="K60" i="1"/>
  <c r="J60" i="1"/>
  <c r="H60" i="1"/>
  <c r="G60" i="1"/>
  <c r="S131" i="1"/>
  <c r="E143" i="1"/>
  <c r="R143" i="1" s="1"/>
  <c r="W143" i="1" s="1"/>
  <c r="E142" i="1"/>
  <c r="R142" i="1" s="1"/>
  <c r="W142" i="1" s="1"/>
  <c r="G24" i="3"/>
  <c r="F19" i="3"/>
  <c r="U40" i="1"/>
  <c r="U41" i="1"/>
  <c r="U30" i="1"/>
  <c r="U31" i="1"/>
  <c r="U32" i="1"/>
  <c r="O87" i="1"/>
  <c r="M87" i="1"/>
  <c r="K87" i="1"/>
  <c r="J87" i="1"/>
  <c r="H87" i="1"/>
  <c r="G87" i="1"/>
  <c r="O86" i="1"/>
  <c r="M86" i="1"/>
  <c r="K86" i="1"/>
  <c r="J86" i="1"/>
  <c r="H86" i="1"/>
  <c r="G86" i="1"/>
  <c r="E11" i="11"/>
  <c r="D11" i="11" s="1"/>
  <c r="M131" i="1"/>
  <c r="K131" i="1"/>
  <c r="J131" i="1"/>
  <c r="G131" i="1"/>
  <c r="O27" i="1"/>
  <c r="M27" i="1"/>
  <c r="K27" i="1"/>
  <c r="J27" i="1"/>
  <c r="H27" i="1"/>
  <c r="G27" i="1"/>
  <c r="O37" i="1"/>
  <c r="M37" i="1"/>
  <c r="K37" i="1"/>
  <c r="J37" i="1"/>
  <c r="H37" i="1"/>
  <c r="G37" i="1"/>
  <c r="O64" i="1"/>
  <c r="M64" i="1"/>
  <c r="K64" i="1"/>
  <c r="J64" i="1"/>
  <c r="H64" i="1"/>
  <c r="G64" i="1"/>
  <c r="O106" i="1"/>
  <c r="M107" i="1"/>
  <c r="R107" i="1" s="1"/>
  <c r="W107" i="1" s="1"/>
  <c r="K106" i="1"/>
  <c r="J106" i="1"/>
  <c r="H106" i="1"/>
  <c r="G106" i="1"/>
  <c r="O105" i="1"/>
  <c r="M105" i="1"/>
  <c r="K105" i="1"/>
  <c r="J105" i="1"/>
  <c r="H105" i="1"/>
  <c r="G105" i="1"/>
  <c r="O104" i="1"/>
  <c r="M104" i="1"/>
  <c r="K104" i="1"/>
  <c r="J104" i="1"/>
  <c r="H104" i="1"/>
  <c r="G104" i="1"/>
  <c r="O51" i="1"/>
  <c r="M51" i="1"/>
  <c r="K51" i="1"/>
  <c r="J51" i="1"/>
  <c r="H51" i="1"/>
  <c r="G51" i="1"/>
  <c r="O18" i="1"/>
  <c r="M18" i="1"/>
  <c r="K18" i="1"/>
  <c r="J18" i="1"/>
  <c r="H18" i="1"/>
  <c r="G18" i="1"/>
  <c r="O103" i="1"/>
  <c r="M103" i="1"/>
  <c r="K103" i="1"/>
  <c r="J103" i="1"/>
  <c r="H103" i="1"/>
  <c r="G103" i="1"/>
  <c r="D18" i="16"/>
  <c r="F6" i="16"/>
  <c r="F9" i="16"/>
  <c r="F10" i="16"/>
  <c r="F13" i="16"/>
  <c r="E17" i="16"/>
  <c r="F17" i="16" s="1"/>
  <c r="E16" i="16"/>
  <c r="F16" i="16" s="1"/>
  <c r="E15" i="16"/>
  <c r="F15" i="16" s="1"/>
  <c r="E14" i="16"/>
  <c r="F14" i="16" s="1"/>
  <c r="E12" i="16"/>
  <c r="F12" i="16" s="1"/>
  <c r="E11" i="16"/>
  <c r="F11" i="16" s="1"/>
  <c r="E8" i="16"/>
  <c r="F8" i="16" s="1"/>
  <c r="E7" i="16"/>
  <c r="F7" i="16" s="1"/>
  <c r="E5" i="16"/>
  <c r="F5" i="16" s="1"/>
  <c r="D10" i="4"/>
  <c r="R115" i="1"/>
  <c r="E139" i="1"/>
  <c r="R139" i="1" s="1"/>
  <c r="W139" i="1" s="1"/>
  <c r="O17" i="1"/>
  <c r="M17" i="1"/>
  <c r="K17" i="1"/>
  <c r="J17" i="1"/>
  <c r="H17" i="1"/>
  <c r="G17" i="1"/>
  <c r="O15" i="1"/>
  <c r="M15" i="1"/>
  <c r="K15" i="1"/>
  <c r="J15" i="1"/>
  <c r="H15" i="1"/>
  <c r="G15" i="1"/>
  <c r="R137" i="1"/>
  <c r="W137" i="1" s="1"/>
  <c r="E136" i="1"/>
  <c r="O44" i="1"/>
  <c r="M44" i="1"/>
  <c r="K44" i="1"/>
  <c r="J44" i="1"/>
  <c r="H44" i="1"/>
  <c r="G44" i="1"/>
  <c r="E5" i="6" s="1"/>
  <c r="D5" i="6" s="1"/>
  <c r="O82" i="1"/>
  <c r="M82" i="1"/>
  <c r="K82" i="1"/>
  <c r="J82" i="1"/>
  <c r="H82" i="1"/>
  <c r="G82" i="1"/>
  <c r="O35" i="1"/>
  <c r="M35" i="1"/>
  <c r="K35" i="1"/>
  <c r="J35" i="1"/>
  <c r="I35" i="1"/>
  <c r="H35" i="1"/>
  <c r="G35" i="1"/>
  <c r="O13" i="1"/>
  <c r="M13" i="1"/>
  <c r="K13" i="1"/>
  <c r="J13" i="1"/>
  <c r="H13" i="1"/>
  <c r="G13" i="1"/>
  <c r="O62" i="1"/>
  <c r="M62" i="1"/>
  <c r="K62" i="1"/>
  <c r="J62" i="1"/>
  <c r="H62" i="1"/>
  <c r="G62" i="1"/>
  <c r="G36" i="1"/>
  <c r="H36" i="1"/>
  <c r="J36" i="1"/>
  <c r="K36" i="1"/>
  <c r="M36" i="1"/>
  <c r="O36" i="1"/>
  <c r="G63" i="1"/>
  <c r="H63" i="1"/>
  <c r="J63" i="1"/>
  <c r="K63" i="1"/>
  <c r="M63" i="1"/>
  <c r="O63" i="1"/>
  <c r="O38" i="1"/>
  <c r="M38" i="1"/>
  <c r="K38" i="1"/>
  <c r="J38" i="1"/>
  <c r="I38" i="1"/>
  <c r="H38" i="1"/>
  <c r="G38" i="1"/>
  <c r="O26" i="1"/>
  <c r="M26" i="1"/>
  <c r="K26" i="1"/>
  <c r="J26" i="1"/>
  <c r="H26" i="1"/>
  <c r="G26" i="1"/>
  <c r="O25" i="1"/>
  <c r="M25" i="1"/>
  <c r="K25" i="1"/>
  <c r="J25" i="1"/>
  <c r="H25" i="1"/>
  <c r="G25" i="1"/>
  <c r="O59" i="1"/>
  <c r="M59" i="1"/>
  <c r="K59" i="1"/>
  <c r="J59" i="1"/>
  <c r="H59" i="1"/>
  <c r="G59" i="1"/>
  <c r="O16" i="1"/>
  <c r="M16" i="1"/>
  <c r="K16" i="1"/>
  <c r="J16" i="1"/>
  <c r="H16" i="1"/>
  <c r="G16" i="1"/>
  <c r="E13" i="15"/>
  <c r="D13" i="15" s="1"/>
  <c r="E12" i="15"/>
  <c r="D12" i="15" s="1"/>
  <c r="E10" i="15"/>
  <c r="D10" i="15" s="1"/>
  <c r="E9" i="15"/>
  <c r="D9" i="15" s="1"/>
  <c r="E8" i="15"/>
  <c r="D8" i="15" s="1"/>
  <c r="E6" i="15"/>
  <c r="D6" i="15" s="1"/>
  <c r="E5" i="15"/>
  <c r="D5" i="15" s="1"/>
  <c r="E4" i="15"/>
  <c r="E14" i="15" s="1"/>
  <c r="D14" i="15" s="1"/>
  <c r="D11" i="15"/>
  <c r="E7" i="15"/>
  <c r="D7" i="15" s="1"/>
  <c r="O81" i="1"/>
  <c r="M81" i="1"/>
  <c r="K81" i="1"/>
  <c r="J81" i="1"/>
  <c r="H81" i="1"/>
  <c r="G81" i="1"/>
  <c r="O23" i="1"/>
  <c r="M23" i="1"/>
  <c r="K23" i="1"/>
  <c r="J23" i="1"/>
  <c r="H23" i="1"/>
  <c r="G23" i="1"/>
  <c r="O47" i="1"/>
  <c r="M47" i="1"/>
  <c r="K47" i="1"/>
  <c r="J47" i="1"/>
  <c r="H47" i="1"/>
  <c r="G47" i="1"/>
  <c r="O58" i="1"/>
  <c r="M58" i="1"/>
  <c r="K58" i="1"/>
  <c r="J58" i="1"/>
  <c r="H58" i="1"/>
  <c r="G58" i="1"/>
  <c r="O85" i="1"/>
  <c r="M85" i="1"/>
  <c r="E9" i="11" s="1"/>
  <c r="D9" i="11" s="1"/>
  <c r="K85" i="1"/>
  <c r="J85" i="1"/>
  <c r="E7" i="11" s="1"/>
  <c r="D7" i="11" s="1"/>
  <c r="H85" i="1"/>
  <c r="G85" i="1"/>
  <c r="O76" i="1"/>
  <c r="M76" i="1"/>
  <c r="K76" i="1"/>
  <c r="J76" i="1"/>
  <c r="H76" i="1"/>
  <c r="G76" i="1"/>
  <c r="O14" i="1"/>
  <c r="M14" i="1"/>
  <c r="K14" i="1"/>
  <c r="J14" i="1"/>
  <c r="H14" i="1"/>
  <c r="G14" i="1"/>
  <c r="E6" i="11"/>
  <c r="D6" i="11" s="1"/>
  <c r="O80" i="1"/>
  <c r="M80" i="1"/>
  <c r="N29" i="1" s="1"/>
  <c r="K80" i="1"/>
  <c r="L29" i="1" s="1"/>
  <c r="J80" i="1"/>
  <c r="H80" i="1"/>
  <c r="G80" i="1"/>
  <c r="O88" i="1"/>
  <c r="M88" i="1"/>
  <c r="K88" i="1"/>
  <c r="J88" i="1"/>
  <c r="H88" i="1"/>
  <c r="G88" i="1"/>
  <c r="O79" i="1"/>
  <c r="M79" i="1"/>
  <c r="K79" i="1"/>
  <c r="J79" i="1"/>
  <c r="H79" i="1"/>
  <c r="G79" i="1"/>
  <c r="O83" i="1"/>
  <c r="E10" i="11"/>
  <c r="D10" i="11" s="1"/>
  <c r="O65" i="1"/>
  <c r="M83" i="1"/>
  <c r="M65" i="1"/>
  <c r="K83" i="1"/>
  <c r="K65" i="1"/>
  <c r="J83" i="1"/>
  <c r="J65" i="1"/>
  <c r="H83" i="1"/>
  <c r="H65" i="1"/>
  <c r="G83" i="1"/>
  <c r="G65" i="1"/>
  <c r="G66" i="1"/>
  <c r="H66" i="1"/>
  <c r="J66" i="1"/>
  <c r="K66" i="1"/>
  <c r="M66" i="1"/>
  <c r="O66" i="1"/>
  <c r="O78" i="1"/>
  <c r="M78" i="1"/>
  <c r="K78" i="1"/>
  <c r="J78" i="1"/>
  <c r="H78" i="1"/>
  <c r="G78" i="1"/>
  <c r="O74" i="1"/>
  <c r="M74" i="1"/>
  <c r="K74" i="1"/>
  <c r="J74" i="1"/>
  <c r="H74" i="1"/>
  <c r="G74" i="1"/>
  <c r="O72" i="1"/>
  <c r="M72" i="1"/>
  <c r="K72" i="1"/>
  <c r="J72" i="1"/>
  <c r="H72" i="1"/>
  <c r="G72" i="1"/>
  <c r="D11" i="10"/>
  <c r="D11" i="9"/>
  <c r="D11" i="7"/>
  <c r="D11" i="13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E6" i="13" s="1"/>
  <c r="D6" i="13" s="1"/>
  <c r="H5" i="12"/>
  <c r="E5" i="13" s="1"/>
  <c r="D5" i="13" s="1"/>
  <c r="E13" i="13"/>
  <c r="D13" i="13" s="1"/>
  <c r="E4" i="13"/>
  <c r="D4" i="13" s="1"/>
  <c r="E7" i="13"/>
  <c r="D7" i="13" s="1"/>
  <c r="D11" i="6"/>
  <c r="H3" i="12"/>
  <c r="I3" i="12"/>
  <c r="E6" i="4" s="1"/>
  <c r="D6" i="4" s="1"/>
  <c r="K3" i="12"/>
  <c r="E8" i="4" s="1"/>
  <c r="D8" i="4" s="1"/>
  <c r="L3" i="12"/>
  <c r="E9" i="4" s="1"/>
  <c r="D9" i="4" s="1"/>
  <c r="N3" i="12"/>
  <c r="E11" i="4" s="1"/>
  <c r="D11" i="4" s="1"/>
  <c r="O3" i="12"/>
  <c r="E12" i="4" s="1"/>
  <c r="D12" i="4" s="1"/>
  <c r="H6" i="12"/>
  <c r="I6" i="12"/>
  <c r="E6" i="7" s="1"/>
  <c r="D6" i="7" s="1"/>
  <c r="K6" i="12"/>
  <c r="L6" i="12"/>
  <c r="N6" i="12"/>
  <c r="E10" i="7" s="1"/>
  <c r="D10" i="7" s="1"/>
  <c r="O6" i="12"/>
  <c r="E12" i="7" s="1"/>
  <c r="D12" i="7" s="1"/>
  <c r="H7" i="12"/>
  <c r="I7" i="12"/>
  <c r="K7" i="12"/>
  <c r="E8" i="8" s="1"/>
  <c r="D8" i="8" s="1"/>
  <c r="L7" i="12"/>
  <c r="E9" i="8" s="1"/>
  <c r="D9" i="8" s="1"/>
  <c r="N7" i="12"/>
  <c r="E10" i="8" s="1"/>
  <c r="D10" i="8" s="1"/>
  <c r="O7" i="12"/>
  <c r="E11" i="8" s="1"/>
  <c r="D11" i="8" s="1"/>
  <c r="H8" i="12"/>
  <c r="E5" i="9" s="1"/>
  <c r="D5" i="9" s="1"/>
  <c r="I8" i="12"/>
  <c r="E6" i="9" s="1"/>
  <c r="D6" i="9" s="1"/>
  <c r="K8" i="12"/>
  <c r="E8" i="9" s="1"/>
  <c r="D8" i="9" s="1"/>
  <c r="L8" i="12"/>
  <c r="E9" i="9" s="1"/>
  <c r="D9" i="9" s="1"/>
  <c r="N8" i="12"/>
  <c r="E10" i="9" s="1"/>
  <c r="D10" i="9" s="1"/>
  <c r="O8" i="12"/>
  <c r="H9" i="12"/>
  <c r="I9" i="12"/>
  <c r="K9" i="12"/>
  <c r="E8" i="10" s="1"/>
  <c r="D8" i="10" s="1"/>
  <c r="L9" i="12"/>
  <c r="E9" i="10" s="1"/>
  <c r="D9" i="10" s="1"/>
  <c r="N9" i="12"/>
  <c r="E10" i="10" s="1"/>
  <c r="D10" i="10" s="1"/>
  <c r="O9" i="12"/>
  <c r="E12" i="10" s="1"/>
  <c r="D12" i="10" s="1"/>
  <c r="H10" i="12"/>
  <c r="I10" i="12"/>
  <c r="K10" i="12"/>
  <c r="L10" i="12"/>
  <c r="N10" i="12"/>
  <c r="O10" i="12"/>
  <c r="O22" i="1"/>
  <c r="M22" i="1"/>
  <c r="K22" i="1"/>
  <c r="J22" i="1"/>
  <c r="H22" i="1"/>
  <c r="G22" i="1"/>
  <c r="E6" i="10"/>
  <c r="D6" i="10" s="1"/>
  <c r="E5" i="10"/>
  <c r="D5" i="10" s="1"/>
  <c r="E4" i="10"/>
  <c r="E13" i="10"/>
  <c r="D13" i="10" s="1"/>
  <c r="E7" i="10"/>
  <c r="D7" i="10" s="1"/>
  <c r="E12" i="9"/>
  <c r="D12" i="9" s="1"/>
  <c r="E4" i="9"/>
  <c r="D4" i="9" s="1"/>
  <c r="E13" i="9"/>
  <c r="D13" i="9" s="1"/>
  <c r="E7" i="9"/>
  <c r="D7" i="9" s="1"/>
  <c r="E12" i="8"/>
  <c r="D12" i="8" s="1"/>
  <c r="E4" i="8"/>
  <c r="E6" i="8"/>
  <c r="D6" i="8" s="1"/>
  <c r="E7" i="8"/>
  <c r="D7" i="8" s="1"/>
  <c r="E13" i="7"/>
  <c r="D13" i="7" s="1"/>
  <c r="E7" i="7"/>
  <c r="D7" i="7" s="1"/>
  <c r="E4" i="7"/>
  <c r="D4" i="7" s="1"/>
  <c r="E5" i="7"/>
  <c r="D13" i="6"/>
  <c r="D4" i="6"/>
  <c r="E12" i="5"/>
  <c r="D12" i="5" s="1"/>
  <c r="E13" i="4"/>
  <c r="D13" i="4" s="1"/>
  <c r="E7" i="4"/>
  <c r="D7" i="4" s="1"/>
  <c r="E5" i="4"/>
  <c r="D5" i="4" s="1"/>
  <c r="E4" i="4"/>
  <c r="E10" i="1"/>
  <c r="O102" i="1"/>
  <c r="M102" i="1"/>
  <c r="K102" i="1"/>
  <c r="J102" i="1"/>
  <c r="H102" i="1"/>
  <c r="G102" i="1"/>
  <c r="O101" i="1"/>
  <c r="M101" i="1"/>
  <c r="K101" i="1"/>
  <c r="J101" i="1"/>
  <c r="H101" i="1"/>
  <c r="G101" i="1"/>
  <c r="E4" i="11"/>
  <c r="D4" i="11" s="1"/>
  <c r="O77" i="1"/>
  <c r="M77" i="1"/>
  <c r="K77" i="1"/>
  <c r="J77" i="1"/>
  <c r="H77" i="1"/>
  <c r="G77" i="1"/>
  <c r="O73" i="1"/>
  <c r="M73" i="1"/>
  <c r="K73" i="1"/>
  <c r="J73" i="1"/>
  <c r="H73" i="1"/>
  <c r="G73" i="1"/>
  <c r="O100" i="1"/>
  <c r="M100" i="1"/>
  <c r="K100" i="1"/>
  <c r="J100" i="1"/>
  <c r="H100" i="1"/>
  <c r="G100" i="1"/>
  <c r="D12" i="6"/>
  <c r="D10" i="6"/>
  <c r="D9" i="6"/>
  <c r="D8" i="6"/>
  <c r="D6" i="6"/>
  <c r="Q112" i="1"/>
  <c r="P112" i="1"/>
  <c r="O34" i="1"/>
  <c r="M34" i="1"/>
  <c r="K34" i="1"/>
  <c r="J34" i="1"/>
  <c r="H34" i="1"/>
  <c r="G34" i="1"/>
  <c r="O95" i="1"/>
  <c r="M95" i="1"/>
  <c r="K95" i="1"/>
  <c r="J95" i="1"/>
  <c r="H95" i="1"/>
  <c r="G95" i="1"/>
  <c r="O94" i="1"/>
  <c r="M94" i="1"/>
  <c r="K94" i="1"/>
  <c r="J94" i="1"/>
  <c r="H94" i="1"/>
  <c r="G94" i="1"/>
  <c r="O91" i="1"/>
  <c r="M91" i="1"/>
  <c r="K91" i="1"/>
  <c r="J91" i="1"/>
  <c r="H91" i="1"/>
  <c r="G91" i="1"/>
  <c r="O12" i="1"/>
  <c r="M12" i="1"/>
  <c r="K12" i="1"/>
  <c r="J12" i="1"/>
  <c r="I12" i="1"/>
  <c r="I34" i="1" s="1"/>
  <c r="H12" i="1"/>
  <c r="G12" i="1"/>
  <c r="O24" i="1"/>
  <c r="M24" i="1"/>
  <c r="K24" i="1"/>
  <c r="J24" i="1"/>
  <c r="H24" i="1"/>
  <c r="G24" i="1"/>
  <c r="O57" i="1"/>
  <c r="M57" i="1"/>
  <c r="K57" i="1"/>
  <c r="J57" i="1"/>
  <c r="H57" i="1"/>
  <c r="G57" i="1"/>
  <c r="R9" i="1"/>
  <c r="E9" i="7"/>
  <c r="D9" i="7" s="1"/>
  <c r="E8" i="11"/>
  <c r="D8" i="11" s="1"/>
  <c r="H96" i="1"/>
  <c r="M96" i="1"/>
  <c r="D7" i="6"/>
  <c r="I74" i="1"/>
  <c r="I75" i="1" s="1"/>
  <c r="I14" i="1" s="1"/>
  <c r="I72" i="1"/>
  <c r="O96" i="1"/>
  <c r="D4" i="10"/>
  <c r="K96" i="1"/>
  <c r="J96" i="1"/>
  <c r="G96" i="1"/>
  <c r="G97" i="1"/>
  <c r="J97" i="1"/>
  <c r="K97" i="1"/>
  <c r="O97" i="1"/>
  <c r="H97" i="1"/>
  <c r="M97" i="1"/>
  <c r="H98" i="1"/>
  <c r="G98" i="1"/>
  <c r="M98" i="1"/>
  <c r="O98" i="1"/>
  <c r="J98" i="1"/>
  <c r="K98" i="1"/>
  <c r="G99" i="1"/>
  <c r="O99" i="1"/>
  <c r="J99" i="1"/>
  <c r="M99" i="1"/>
  <c r="K99" i="1"/>
  <c r="H99" i="1"/>
  <c r="U112" i="1" l="1"/>
  <c r="E39" i="1"/>
  <c r="E112" i="1"/>
  <c r="R136" i="1"/>
  <c r="E145" i="1"/>
  <c r="W115" i="1"/>
  <c r="I39" i="1"/>
  <c r="R100" i="1"/>
  <c r="W100" i="1" s="1"/>
  <c r="R15" i="1"/>
  <c r="W15" i="1" s="1"/>
  <c r="F18" i="16"/>
  <c r="R9" i="12"/>
  <c r="U29" i="1"/>
  <c r="R26" i="1"/>
  <c r="W26" i="1" s="1"/>
  <c r="R103" i="1"/>
  <c r="W103" i="1" s="1"/>
  <c r="R96" i="1"/>
  <c r="W96" i="1" s="1"/>
  <c r="R85" i="1"/>
  <c r="W85" i="1" s="1"/>
  <c r="R87" i="1"/>
  <c r="W87" i="1" s="1"/>
  <c r="R57" i="1"/>
  <c r="W57" i="1" s="1"/>
  <c r="R59" i="1"/>
  <c r="W59" i="1" s="1"/>
  <c r="R20" i="1"/>
  <c r="W20" i="1" s="1"/>
  <c r="R12" i="1"/>
  <c r="W12" i="1" s="1"/>
  <c r="M42" i="1"/>
  <c r="H10" i="1"/>
  <c r="E6" i="5" s="1"/>
  <c r="D6" i="5" s="1"/>
  <c r="D4" i="4"/>
  <c r="R3" i="12"/>
  <c r="R77" i="1"/>
  <c r="W77" i="1" s="1"/>
  <c r="R74" i="1"/>
  <c r="W74" i="1" s="1"/>
  <c r="E5" i="11"/>
  <c r="D5" i="11" s="1"/>
  <c r="R14" i="1"/>
  <c r="W14" i="1" s="1"/>
  <c r="R36" i="1"/>
  <c r="W36" i="1" s="1"/>
  <c r="R28" i="1"/>
  <c r="W28" i="1" s="1"/>
  <c r="R75" i="1"/>
  <c r="W75" i="1" s="1"/>
  <c r="R21" i="1"/>
  <c r="W21" i="1" s="1"/>
  <c r="R98" i="1"/>
  <c r="W98" i="1" s="1"/>
  <c r="R94" i="1"/>
  <c r="W94" i="1" s="1"/>
  <c r="R34" i="1"/>
  <c r="W34" i="1" s="1"/>
  <c r="R102" i="1"/>
  <c r="W102" i="1" s="1"/>
  <c r="R22" i="1"/>
  <c r="W22" i="1" s="1"/>
  <c r="R65" i="1"/>
  <c r="W65" i="1" s="1"/>
  <c r="R88" i="1"/>
  <c r="W88" i="1" s="1"/>
  <c r="R47" i="1"/>
  <c r="W47" i="1" s="1"/>
  <c r="R81" i="1"/>
  <c r="W81" i="1" s="1"/>
  <c r="R62" i="1"/>
  <c r="W62" i="1" s="1"/>
  <c r="R104" i="1"/>
  <c r="W104" i="1" s="1"/>
  <c r="R106" i="1"/>
  <c r="W106" i="1" s="1"/>
  <c r="R27" i="1"/>
  <c r="W27" i="1" s="1"/>
  <c r="R60" i="1"/>
  <c r="U39" i="1"/>
  <c r="R19" i="1"/>
  <c r="W19" i="1" s="1"/>
  <c r="R18" i="1"/>
  <c r="W18" i="1" s="1"/>
  <c r="R86" i="1"/>
  <c r="W86" i="1" s="1"/>
  <c r="R53" i="1"/>
  <c r="W53" i="1" s="1"/>
  <c r="P29" i="1"/>
  <c r="R24" i="1"/>
  <c r="W24" i="1" s="1"/>
  <c r="R73" i="1"/>
  <c r="W73" i="1" s="1"/>
  <c r="R72" i="1"/>
  <c r="W72" i="1" s="1"/>
  <c r="R16" i="1"/>
  <c r="W16" i="1" s="1"/>
  <c r="R25" i="1"/>
  <c r="W25" i="1" s="1"/>
  <c r="R38" i="1"/>
  <c r="W38" i="1" s="1"/>
  <c r="R63" i="1"/>
  <c r="W63" i="1" s="1"/>
  <c r="R82" i="1"/>
  <c r="W82" i="1" s="1"/>
  <c r="R17" i="1"/>
  <c r="W17" i="1" s="1"/>
  <c r="R99" i="1"/>
  <c r="W99" i="1" s="1"/>
  <c r="R97" i="1"/>
  <c r="W97" i="1" s="1"/>
  <c r="E14" i="10"/>
  <c r="D14" i="10" s="1"/>
  <c r="R91" i="1"/>
  <c r="W91" i="1" s="1"/>
  <c r="R95" i="1"/>
  <c r="W95" i="1" s="1"/>
  <c r="R101" i="1"/>
  <c r="W101" i="1" s="1"/>
  <c r="J10" i="1"/>
  <c r="R10" i="12"/>
  <c r="S5" i="12"/>
  <c r="U5" i="12" s="1"/>
  <c r="R78" i="1"/>
  <c r="W78" i="1" s="1"/>
  <c r="R66" i="1"/>
  <c r="W66" i="1" s="1"/>
  <c r="R83" i="1"/>
  <c r="W83" i="1" s="1"/>
  <c r="R79" i="1"/>
  <c r="W79" i="1" s="1"/>
  <c r="R80" i="1"/>
  <c r="R58" i="1"/>
  <c r="W58" i="1" s="1"/>
  <c r="R23" i="1"/>
  <c r="W23" i="1" s="1"/>
  <c r="R13" i="1"/>
  <c r="W13" i="1" s="1"/>
  <c r="R35" i="1"/>
  <c r="W35" i="1" s="1"/>
  <c r="R51" i="1"/>
  <c r="W51" i="1" s="1"/>
  <c r="R105" i="1"/>
  <c r="W105" i="1" s="1"/>
  <c r="R64" i="1"/>
  <c r="W64" i="1" s="1"/>
  <c r="R37" i="1"/>
  <c r="W37" i="1" s="1"/>
  <c r="R125" i="1"/>
  <c r="W125" i="1" s="1"/>
  <c r="R108" i="1"/>
  <c r="W108" i="1" s="1"/>
  <c r="H46" i="1"/>
  <c r="W9" i="1"/>
  <c r="H92" i="1"/>
  <c r="E14" i="6"/>
  <c r="D14" i="6" s="1"/>
  <c r="O10" i="1"/>
  <c r="K10" i="1"/>
  <c r="E4" i="5"/>
  <c r="D4" i="5" s="1"/>
  <c r="D4" i="15"/>
  <c r="M10" i="1"/>
  <c r="M67" i="1"/>
  <c r="K67" i="1"/>
  <c r="J67" i="1"/>
  <c r="G67" i="1"/>
  <c r="E14" i="9"/>
  <c r="D14" i="9" s="1"/>
  <c r="H67" i="1"/>
  <c r="R7" i="12"/>
  <c r="E5" i="8"/>
  <c r="D5" i="8" s="1"/>
  <c r="E8" i="7"/>
  <c r="D8" i="7" s="1"/>
  <c r="R6" i="12"/>
  <c r="I10" i="1"/>
  <c r="O43" i="1"/>
  <c r="M43" i="1"/>
  <c r="I43" i="1"/>
  <c r="O67" i="1"/>
  <c r="D5" i="7"/>
  <c r="D4" i="8"/>
  <c r="R8" i="12"/>
  <c r="G10" i="1"/>
  <c r="U60" i="1"/>
  <c r="E14" i="13"/>
  <c r="D14" i="13" s="1"/>
  <c r="H61" i="1"/>
  <c r="K61" i="1"/>
  <c r="J61" i="1"/>
  <c r="G61" i="1"/>
  <c r="O61" i="1"/>
  <c r="M61" i="1"/>
  <c r="E14" i="4"/>
  <c r="D14" i="4" s="1"/>
  <c r="O90" i="1"/>
  <c r="M90" i="1"/>
  <c r="K90" i="1"/>
  <c r="J90" i="1"/>
  <c r="G90" i="1"/>
  <c r="H90" i="1"/>
  <c r="I76" i="1"/>
  <c r="I112" i="1" s="1"/>
  <c r="K92" i="1"/>
  <c r="J46" i="1"/>
  <c r="K46" i="1"/>
  <c r="M46" i="1"/>
  <c r="K71" i="1"/>
  <c r="G71" i="1"/>
  <c r="J71" i="1"/>
  <c r="O71" i="1"/>
  <c r="H71" i="1"/>
  <c r="M71" i="1"/>
  <c r="G46" i="1"/>
  <c r="O46" i="1"/>
  <c r="I29" i="1" l="1"/>
  <c r="C7" i="23"/>
  <c r="W80" i="1"/>
  <c r="S29" i="1"/>
  <c r="G42" i="1"/>
  <c r="O42" i="1"/>
  <c r="K42" i="1"/>
  <c r="H42" i="1"/>
  <c r="J42" i="1"/>
  <c r="R131" i="1"/>
  <c r="W131" i="1"/>
  <c r="H22" i="3" s="1"/>
  <c r="J33" i="1"/>
  <c r="J39" i="1" s="1"/>
  <c r="W136" i="1"/>
  <c r="W145" i="1" s="1"/>
  <c r="H23" i="3" s="1"/>
  <c r="R145" i="1"/>
  <c r="O33" i="1"/>
  <c r="O39" i="1" s="1"/>
  <c r="H33" i="1"/>
  <c r="H39" i="1" s="1"/>
  <c r="M33" i="1"/>
  <c r="M39" i="1" s="1"/>
  <c r="G33" i="1"/>
  <c r="G39" i="1" s="1"/>
  <c r="K33" i="1"/>
  <c r="K39" i="1" s="1"/>
  <c r="E7" i="5"/>
  <c r="D7" i="5" s="1"/>
  <c r="E12" i="11"/>
  <c r="D12" i="11" s="1"/>
  <c r="K29" i="1"/>
  <c r="J29" i="1"/>
  <c r="O29" i="1"/>
  <c r="M29" i="1"/>
  <c r="W60" i="1"/>
  <c r="R67" i="1"/>
  <c r="W67" i="1" s="1"/>
  <c r="R61" i="1"/>
  <c r="W61" i="1" s="1"/>
  <c r="E13" i="8"/>
  <c r="D13" i="8" s="1"/>
  <c r="R43" i="1"/>
  <c r="W43" i="1" s="1"/>
  <c r="E9" i="5"/>
  <c r="D9" i="5" s="1"/>
  <c r="E14" i="7"/>
  <c r="D14" i="7" s="1"/>
  <c r="R76" i="1"/>
  <c r="W76" i="1" s="1"/>
  <c r="E10" i="5"/>
  <c r="D10" i="5" s="1"/>
  <c r="E11" i="5"/>
  <c r="D11" i="5" s="1"/>
  <c r="R90" i="1"/>
  <c r="W90" i="1" s="1"/>
  <c r="E8" i="5"/>
  <c r="D8" i="5" s="1"/>
  <c r="R10" i="1"/>
  <c r="W10" i="1" s="1"/>
  <c r="R46" i="1"/>
  <c r="G92" i="1"/>
  <c r="M92" i="1"/>
  <c r="J92" i="1"/>
  <c r="O92" i="1"/>
  <c r="I44" i="1"/>
  <c r="E5" i="5"/>
  <c r="D5" i="5" s="1"/>
  <c r="K89" i="1"/>
  <c r="K112" i="1" s="1"/>
  <c r="H89" i="1"/>
  <c r="H112" i="1" s="1"/>
  <c r="M89" i="1"/>
  <c r="O89" i="1"/>
  <c r="J89" i="1"/>
  <c r="J112" i="1" s="1"/>
  <c r="G89" i="1"/>
  <c r="R71" i="1"/>
  <c r="G112" i="1" l="1"/>
  <c r="R44" i="1"/>
  <c r="W44" i="1" s="1"/>
  <c r="I45" i="1"/>
  <c r="R45" i="1" s="1"/>
  <c r="W45" i="1" s="1"/>
  <c r="B7" i="23"/>
  <c r="B14" i="23" s="1"/>
  <c r="C14" i="23"/>
  <c r="R42" i="1"/>
  <c r="W42" i="1" s="1"/>
  <c r="M112" i="1"/>
  <c r="O112" i="1"/>
  <c r="R33" i="1"/>
  <c r="R39" i="1" s="1"/>
  <c r="R89" i="1"/>
  <c r="W89" i="1" s="1"/>
  <c r="H29" i="1"/>
  <c r="E29" i="1"/>
  <c r="R92" i="1"/>
  <c r="W92" i="1" s="1"/>
  <c r="W71" i="1"/>
  <c r="E13" i="5"/>
  <c r="D13" i="5" s="1"/>
  <c r="G29" i="1"/>
  <c r="W112" i="1" l="1"/>
  <c r="H21" i="3" s="1"/>
  <c r="W33" i="1"/>
  <c r="W39" i="1" s="1"/>
  <c r="H19" i="3" s="1"/>
  <c r="R112" i="1"/>
  <c r="R11" i="1"/>
  <c r="W11" i="1" l="1"/>
  <c r="W29" i="1" s="1"/>
  <c r="H18" i="3" s="1"/>
  <c r="R29" i="1"/>
  <c r="U46" i="1" l="1"/>
  <c r="W46" i="1" l="1"/>
  <c r="W68" i="1" s="1"/>
  <c r="J68" i="1"/>
  <c r="J147" i="1" s="1"/>
  <c r="O68" i="1"/>
  <c r="O147" i="1" s="1"/>
  <c r="G68" i="1"/>
  <c r="G147" i="1" s="1"/>
  <c r="P68" i="1"/>
  <c r="P147" i="1" s="1"/>
  <c r="I68" i="1"/>
  <c r="I147" i="1" s="1"/>
  <c r="F68" i="1"/>
  <c r="F147" i="1" s="1"/>
  <c r="M68" i="1"/>
  <c r="M147" i="1" s="1"/>
  <c r="T68" i="1"/>
  <c r="T147" i="1" s="1"/>
  <c r="Q68" i="1"/>
  <c r="Q147" i="1" s="1"/>
  <c r="S68" i="1"/>
  <c r="S147" i="1" s="1"/>
  <c r="N68" i="1"/>
  <c r="N147" i="1" s="1"/>
  <c r="E68" i="1"/>
  <c r="E147" i="1" s="1"/>
  <c r="R68" i="1"/>
  <c r="R147" i="1" s="1"/>
  <c r="H68" i="1"/>
  <c r="H147" i="1" s="1"/>
  <c r="L68" i="1"/>
  <c r="L147" i="1" s="1"/>
  <c r="U68" i="1"/>
  <c r="U147" i="1" s="1"/>
  <c r="K68" i="1"/>
  <c r="K147" i="1" s="1"/>
  <c r="V68" i="1"/>
  <c r="V147" i="1" s="1"/>
  <c r="F20" i="3" l="1"/>
  <c r="F24" i="3" s="1"/>
  <c r="H29" i="3" s="1"/>
  <c r="W147" i="1"/>
  <c r="H20" i="3"/>
  <c r="H24" i="3" s="1"/>
  <c r="H28" i="3" s="1"/>
  <c r="H30" i="3" l="1"/>
</calcChain>
</file>

<file path=xl/sharedStrings.xml><?xml version="1.0" encoding="utf-8"?>
<sst xmlns="http://schemas.openxmlformats.org/spreadsheetml/2006/main" count="1617" uniqueCount="440">
  <si>
    <t>STAFF PAYROLL FOR THE MONTH OF OCTOBER, 2014</t>
  </si>
  <si>
    <t>STAFF NAME</t>
  </si>
  <si>
    <t>DEDUCTIONS</t>
  </si>
  <si>
    <t>NET SALARY</t>
  </si>
  <si>
    <t>DESIGNATION</t>
  </si>
  <si>
    <t xml:space="preserve">SALARY </t>
  </si>
  <si>
    <t>BASIC</t>
  </si>
  <si>
    <t>SALARY AREARS</t>
  </si>
  <si>
    <t>PERSONAL</t>
  </si>
  <si>
    <t>MOTOR/</t>
  </si>
  <si>
    <t>RESEARCH</t>
  </si>
  <si>
    <t>LEAVE</t>
  </si>
  <si>
    <t>OUT FIT</t>
  </si>
  <si>
    <t>LEGISLATIVE</t>
  </si>
  <si>
    <t>GROSS</t>
  </si>
  <si>
    <t>JANUARY, 15</t>
  </si>
  <si>
    <t>FEBRUARY,15</t>
  </si>
  <si>
    <t>LEVEL</t>
  </si>
  <si>
    <t>SALARY</t>
  </si>
  <si>
    <t>ADVANCE</t>
  </si>
  <si>
    <t>RENT</t>
  </si>
  <si>
    <t>UTILITY</t>
  </si>
  <si>
    <t>DOMESTIC</t>
  </si>
  <si>
    <t>ENTERT.</t>
  </si>
  <si>
    <t>FURNIT.</t>
  </si>
  <si>
    <t>ASSISTANT</t>
  </si>
  <si>
    <t>FUEL</t>
  </si>
  <si>
    <t>ALLOWANCE</t>
  </si>
  <si>
    <t>ALLCE</t>
  </si>
  <si>
    <t>DUTY ALLCE</t>
  </si>
  <si>
    <t>SALARY ADV.</t>
  </si>
  <si>
    <t>PAYE</t>
  </si>
  <si>
    <t>TOTAL</t>
  </si>
  <si>
    <t>DG OFFICE</t>
  </si>
  <si>
    <t>N</t>
  </si>
  <si>
    <t>DR LADI HAMALAI</t>
  </si>
  <si>
    <t>DIRECTOR GENERAL</t>
  </si>
  <si>
    <t>CONSOL</t>
  </si>
  <si>
    <t>PROF. OFFORNZE AMUCHEAZI</t>
  </si>
  <si>
    <t>LEGAL ADVISER</t>
  </si>
  <si>
    <t>16(9)</t>
  </si>
  <si>
    <t>DR MOBOLAJI HAKEEM</t>
  </si>
  <si>
    <t>SPECIAL ASSISTANT</t>
  </si>
  <si>
    <t>16(8)</t>
  </si>
  <si>
    <t>RICHARD KWALMI</t>
  </si>
  <si>
    <t>MICT</t>
  </si>
  <si>
    <t>15(9)</t>
  </si>
  <si>
    <t>ADAMU ISA ABBA</t>
  </si>
  <si>
    <t>INFO. MANAGER</t>
  </si>
  <si>
    <t>NWOSU MATHEW EZE</t>
  </si>
  <si>
    <t>MANAGER INT. AUDIT</t>
  </si>
  <si>
    <t>CHIEDO AKALEU</t>
  </si>
  <si>
    <t>RESEARCH FELLOW II</t>
  </si>
  <si>
    <t>15(8)</t>
  </si>
  <si>
    <t>AKINSANMI ADEJOKE OLUKEMI</t>
  </si>
  <si>
    <t>AM INFORMATION</t>
  </si>
  <si>
    <t>13(9)</t>
  </si>
  <si>
    <t>FAROUK U. M ILLO</t>
  </si>
  <si>
    <t>PA DG</t>
  </si>
  <si>
    <t>BEDARI HARI</t>
  </si>
  <si>
    <t>LEGAL OFFICER</t>
  </si>
  <si>
    <t>10(9)</t>
  </si>
  <si>
    <t>NGARA CHRISTOPHER OCHANJA</t>
  </si>
  <si>
    <t>OFFICER, SPECIAL DUTIES</t>
  </si>
  <si>
    <t>JOY HARUNA MAKERI</t>
  </si>
  <si>
    <t>DONALD E. MKPANAM</t>
  </si>
  <si>
    <t>IT OFFICER</t>
  </si>
  <si>
    <t>HUSSEIN MUSA AGYE</t>
  </si>
  <si>
    <t>PROTOCOL OFFICER</t>
  </si>
  <si>
    <t>BASHIRU ABBA WALI</t>
  </si>
  <si>
    <t>ASSIT. INT. AUDIT</t>
  </si>
  <si>
    <t>8(9)</t>
  </si>
  <si>
    <t>ALI ABDULLAHI</t>
  </si>
  <si>
    <t>1CT ASSISTANT</t>
  </si>
  <si>
    <t>UZODINMA EMMANUEL EZENWA</t>
  </si>
  <si>
    <t>INFORMATION ASST</t>
  </si>
  <si>
    <t>IBRAHIM TASSNEEM</t>
  </si>
  <si>
    <t>GLORIA NDIDI HELG</t>
  </si>
  <si>
    <t>CONFIDENTIAL SECRETARY</t>
  </si>
  <si>
    <t>CHRISTIAN MADUABUCHI ODO</t>
  </si>
  <si>
    <t>ICT ASSISTANT</t>
  </si>
  <si>
    <t>LEG. SUPPORT SEVICES</t>
  </si>
  <si>
    <t>PROF OKECHUKWU OKO</t>
  </si>
  <si>
    <t>DIR. LEG. SP SERVICES</t>
  </si>
  <si>
    <t>17(9)</t>
  </si>
  <si>
    <t>DR SHUIBU DANWANKA</t>
  </si>
  <si>
    <t>DD LEG. SP SERVICES</t>
  </si>
  <si>
    <t>IBRAHIM USMAN</t>
  </si>
  <si>
    <t>OFORDEME ADAOBI JULIA</t>
  </si>
  <si>
    <t>RESEARCH OFFICER</t>
  </si>
  <si>
    <t>IKPEAZU CHINEDU ANITA</t>
  </si>
  <si>
    <t>ONYEAKU CHUKWUKA EDMOND</t>
  </si>
  <si>
    <t>RESEARCH ASSISTANT</t>
  </si>
  <si>
    <t>9(9)</t>
  </si>
  <si>
    <t>RESEARCH &amp; TRAINING</t>
  </si>
  <si>
    <t>RESEARCH AND TRAINING</t>
  </si>
  <si>
    <t>DR ADEYEMI AKEEB FAJINGBESI</t>
  </si>
  <si>
    <t>DIR. RES. &amp; TRAINING</t>
  </si>
  <si>
    <t>17(7)</t>
  </si>
  <si>
    <t>DR ASIMIYU G. ABIOLA</t>
  </si>
  <si>
    <t>DD RESEARCH</t>
  </si>
  <si>
    <t>DR KANAYO OGUJIUBA</t>
  </si>
  <si>
    <t>SRF SOCIAL SECTOR</t>
  </si>
  <si>
    <t>DR ADAM GAMBO SALEH</t>
  </si>
  <si>
    <t>INSTITUTE LIBRARIAN</t>
  </si>
  <si>
    <t>15(7)</t>
  </si>
  <si>
    <t>DR ANUMUDU CHARLES NNAMDI</t>
  </si>
  <si>
    <t>SRF I SOCIAL SECTOR</t>
  </si>
  <si>
    <t>14(9)</t>
  </si>
  <si>
    <t>CATHERINE E. IKOKOH</t>
  </si>
  <si>
    <t>RESEARCH FELLOW1 DOCU</t>
  </si>
  <si>
    <t>DR CLINTON JAJA</t>
  </si>
  <si>
    <t>RESEARCH FELLOW I</t>
  </si>
  <si>
    <t>14(7)</t>
  </si>
  <si>
    <t xml:space="preserve">ABDULKADIR </t>
  </si>
  <si>
    <t>ABDULKADIR I. AHMED</t>
  </si>
  <si>
    <t>CHIEF LIBRARIAN</t>
  </si>
  <si>
    <t>d</t>
  </si>
  <si>
    <t>DR ASEMOTA O. JOSEPH</t>
  </si>
  <si>
    <t>DR UMAR AMINU</t>
  </si>
  <si>
    <t>OGUCHE SAMUEL</t>
  </si>
  <si>
    <t>13(8)</t>
  </si>
  <si>
    <t>DR JAKE DABANG DAN AZUMI</t>
  </si>
  <si>
    <t>RESEARCH FELLOW II TRAINING</t>
  </si>
  <si>
    <t>TAIWO A. ADEREMI</t>
  </si>
  <si>
    <t>13(7)</t>
  </si>
  <si>
    <t xml:space="preserve">BETHEL UZOMA </t>
  </si>
  <si>
    <t>BETHEL UZOMA IHUGBA</t>
  </si>
  <si>
    <t>MUSTAPHA SAIDI ATANDA</t>
  </si>
  <si>
    <t>ABDULSALAM MUSTAFA</t>
  </si>
  <si>
    <t>OFFICER TRAINING</t>
  </si>
  <si>
    <t>10(12)</t>
  </si>
  <si>
    <t>ALIYU SANNI ABUBAKAR</t>
  </si>
  <si>
    <t>DATA &amp; DOCU. OFFICER</t>
  </si>
  <si>
    <t>JUMARE FADILA</t>
  </si>
  <si>
    <t>CHINAKO N. ASOGWA</t>
  </si>
  <si>
    <t>LIBRARY OFFICER</t>
  </si>
  <si>
    <t>EHIGIAMUSOE UYI KIZITO</t>
  </si>
  <si>
    <t>UDEFUNA NNADOZIE PATRICK</t>
  </si>
  <si>
    <t>OGBONNAYA UFIEM MAURICE</t>
  </si>
  <si>
    <t>CHARLES I. OBUTTE</t>
  </si>
  <si>
    <t>OGUNYOMI ROTIMI</t>
  </si>
  <si>
    <t>9(8)</t>
  </si>
  <si>
    <t>IBE EZECHI CYRIACUS</t>
  </si>
  <si>
    <t>ANTHONY EDET</t>
  </si>
  <si>
    <t>FINANCE &amp; ADMIN.</t>
  </si>
  <si>
    <t>DR KABIR AHMED</t>
  </si>
  <si>
    <t>DIR. FINANCE &amp; ADMIN</t>
  </si>
  <si>
    <t>IBRAHIM M. MSHELIA</t>
  </si>
  <si>
    <t>DD F&amp;A</t>
  </si>
  <si>
    <t>AMINU BELLO DUKKU</t>
  </si>
  <si>
    <t>DD ADMIN/HR</t>
  </si>
  <si>
    <t>KABIR MUHAMMAD SULAIMAN</t>
  </si>
  <si>
    <t>MANAGER ADMIN&amp;HR</t>
  </si>
  <si>
    <t>PRISCILLA CHUKWU</t>
  </si>
  <si>
    <t>MANAGER ADMIN &amp; HR</t>
  </si>
  <si>
    <t>MAGAJI BALA</t>
  </si>
  <si>
    <t>MANGER ACCOUNTS</t>
  </si>
  <si>
    <t>RAHILA NURUDEEN HABU</t>
  </si>
  <si>
    <t>ASST. MANAGER, ACCOUNTS</t>
  </si>
  <si>
    <t>ABDULLAHI YUNUSA</t>
  </si>
  <si>
    <t>PERSONNEL OFFICER</t>
  </si>
  <si>
    <t>MARUF ABDULSALAM</t>
  </si>
  <si>
    <t>ASSET&amp; MAINT. OFFICER</t>
  </si>
  <si>
    <t>SALIHU LIMAN MAIRAFI</t>
  </si>
  <si>
    <t>PROCUREMENT OFFICER</t>
  </si>
  <si>
    <t>ANDRAWUS MUSA</t>
  </si>
  <si>
    <t>STORE OFFICER</t>
  </si>
  <si>
    <t>TONDO IORWUESE EDWARD</t>
  </si>
  <si>
    <t>OFFICER ACCOUNTS</t>
  </si>
  <si>
    <t>MUHAMMED AGEDE YAHAYA</t>
  </si>
  <si>
    <t>PERSONNEL ASSISTANT</t>
  </si>
  <si>
    <t>EROMOSELE OMONIGBO</t>
  </si>
  <si>
    <t>SHEHU ABDULLAHI</t>
  </si>
  <si>
    <t>ACCOUNT ASSISTANT</t>
  </si>
  <si>
    <t>YUSUFF ABISOLA GANIYAT</t>
  </si>
  <si>
    <t>RAHILA SALIHU</t>
  </si>
  <si>
    <t>SIMON YAKUBU WAKAWA</t>
  </si>
  <si>
    <t>ASSET&amp; MAINT. ASST.</t>
  </si>
  <si>
    <t>USMAN WAZIRI</t>
  </si>
  <si>
    <t>SEC. FINANCE</t>
  </si>
  <si>
    <t>8(11)</t>
  </si>
  <si>
    <t>SALAMATU YAKUBU</t>
  </si>
  <si>
    <t>SECRETARY</t>
  </si>
  <si>
    <t>IDAHOSA JANE CECILIA</t>
  </si>
  <si>
    <t>MOHAMMED R. ADAMU</t>
  </si>
  <si>
    <t>OMOUDU QUEEN PRISCILLA</t>
  </si>
  <si>
    <t>8(10)</t>
  </si>
  <si>
    <t>OLATUNJI OYEDELE YUSUF</t>
  </si>
  <si>
    <t>DRIVER</t>
  </si>
  <si>
    <t>4(12)</t>
  </si>
  <si>
    <t>TASIU MOHAMMED</t>
  </si>
  <si>
    <t>NAMADI IDRIS UMAR</t>
  </si>
  <si>
    <t>DANJUMA KAGADAMA</t>
  </si>
  <si>
    <t>MOHAMMED SIAKA</t>
  </si>
  <si>
    <t>ALFRED ISABU</t>
  </si>
  <si>
    <t>USMAN YAHAYA</t>
  </si>
  <si>
    <t>ALIYU YAKUBU</t>
  </si>
  <si>
    <t>4(9)</t>
  </si>
  <si>
    <t>ABDULLAHI HARUNA</t>
  </si>
  <si>
    <t>EJEME PATRICK</t>
  </si>
  <si>
    <t>OGABO OGAH USMAN</t>
  </si>
  <si>
    <t>ETSU UMARU</t>
  </si>
  <si>
    <t xml:space="preserve">MURTALA LAWAL </t>
  </si>
  <si>
    <t>EDACHE  OGA</t>
  </si>
  <si>
    <t>YUGUDA S. IDRIS</t>
  </si>
  <si>
    <t>GARBA ADAMU</t>
  </si>
  <si>
    <t>4(8)</t>
  </si>
  <si>
    <t>ABUBAKAR MUSA DANLAMI</t>
  </si>
  <si>
    <t>39</t>
  </si>
  <si>
    <t>CASUAL STAFF/NYSC</t>
  </si>
  <si>
    <t>ABDULWAHAB DAHIRU</t>
  </si>
  <si>
    <t>DISPATCH CLERK</t>
  </si>
  <si>
    <t>-</t>
  </si>
  <si>
    <t>GIDEON B. LAMIDO</t>
  </si>
  <si>
    <t>JOHN JAMBU ASIGAN</t>
  </si>
  <si>
    <t>STEWARD</t>
  </si>
  <si>
    <t>AYUBA SULE</t>
  </si>
  <si>
    <t>EWELIKWA IJEOMA NKOLIKWA</t>
  </si>
  <si>
    <t>JUMMAI AJIYA</t>
  </si>
  <si>
    <t>HUSSAIN HAZEEM MOHAMMED</t>
  </si>
  <si>
    <t>ABOMAN INNOCENT</t>
  </si>
  <si>
    <t>CLEANER</t>
  </si>
  <si>
    <t>AKEUSOLA SEGUN</t>
  </si>
  <si>
    <t>VICTOR TILE</t>
  </si>
  <si>
    <t>BAKARI HUSSEINI</t>
  </si>
  <si>
    <t>ONCHE ENOKELA ONCHE</t>
  </si>
  <si>
    <t>ABAYOMI KOLAPO QUADRI</t>
  </si>
  <si>
    <t>NYSC</t>
  </si>
  <si>
    <t>NWOKEKWU C. ENYINNAYA</t>
  </si>
  <si>
    <t>HOOMKWAP SANDRA HOOMMI</t>
  </si>
  <si>
    <t>13</t>
  </si>
  <si>
    <t>DEPLOYED STAFF</t>
  </si>
  <si>
    <t>DR AREMU FATAI AYINDE</t>
  </si>
  <si>
    <t>SABATICAL</t>
  </si>
  <si>
    <t>TERFA W. ABRAHAM</t>
  </si>
  <si>
    <t>10(7)</t>
  </si>
  <si>
    <t>DAHIRU M. ABDULLAHI</t>
  </si>
  <si>
    <t>MOSHOOD M. OLARELE</t>
  </si>
  <si>
    <t>ADMIN OFFICER</t>
  </si>
  <si>
    <t>AMINCI THOMAS</t>
  </si>
  <si>
    <t>MANAGER LIB. &amp; DOCUM.</t>
  </si>
  <si>
    <t>AMINU F. HAMAJODA</t>
  </si>
  <si>
    <t>MANAGER INFORMATION</t>
  </si>
  <si>
    <t>IBRAHIM A. BABANGISHIRI</t>
  </si>
  <si>
    <t>OFFICER INFORMATION</t>
  </si>
  <si>
    <t>JIBRIN USHAMA AHMED</t>
  </si>
  <si>
    <t>OFFICER LEGAL</t>
  </si>
  <si>
    <t>ENGR. EBI THOMPSON</t>
  </si>
  <si>
    <t>ASSISTANT CHIEF ENGINEER</t>
  </si>
  <si>
    <t>ADEOGUN MORUF</t>
  </si>
  <si>
    <t>PRINCIPAL Q.S</t>
  </si>
  <si>
    <t>ABDULMALIK DAHIRU</t>
  </si>
  <si>
    <t>INFORMATION OFFICER</t>
  </si>
  <si>
    <t>11</t>
  </si>
  <si>
    <t>GRAND TOTAL</t>
  </si>
  <si>
    <t>PREPARED BY:</t>
  </si>
  <si>
    <t>SIGNATURE</t>
  </si>
  <si>
    <t>DATE</t>
  </si>
  <si>
    <t>NATIONAL INSTITUTE FOR LEGISLATIVE STUDIES</t>
  </si>
  <si>
    <t>ENHANCED WELFARE INCENTIVE TO STAFF TO ALLEVIATE COST OF LIVING IN ABUJA</t>
  </si>
  <si>
    <t>AMOUNT</t>
  </si>
  <si>
    <t>LEG. SUPPORT SERVICES</t>
  </si>
  <si>
    <t xml:space="preserve">RESEARCH OFFICER </t>
  </si>
  <si>
    <t>1</t>
  </si>
  <si>
    <t>7</t>
  </si>
  <si>
    <t>INTERNAL MEMO</t>
  </si>
  <si>
    <t>FROM : DDF</t>
  </si>
  <si>
    <t>THROUGH: DFA</t>
  </si>
  <si>
    <t>TO: DG</t>
  </si>
  <si>
    <t>23RD FEBRUARY, 2015</t>
  </si>
  <si>
    <t>Subject: Payroll for the month  of February , 2015</t>
  </si>
  <si>
    <t>Find below the details of  NILS Staff Payroll for the month of February, 2015:</t>
  </si>
  <si>
    <t>JANUARY, 2015</t>
  </si>
  <si>
    <t>FEBRUARY, 2015</t>
  </si>
  <si>
    <t>NO OF</t>
  </si>
  <si>
    <t>STAFF</t>
  </si>
  <si>
    <t>Director General's Office</t>
  </si>
  <si>
    <t>Leg. Support Services</t>
  </si>
  <si>
    <t>Research &amp; Training</t>
  </si>
  <si>
    <t>Finance/ Admin &amp; HR</t>
  </si>
  <si>
    <t>Casual Staff/NYSC</t>
  </si>
  <si>
    <t>Deployed Staff/Sabatical</t>
  </si>
  <si>
    <t>VARIATION IN FEBRUARY, 2015 OVER JANUARY, 2015 SALARIES</t>
  </si>
  <si>
    <t>NET PAY AS PER FEBRUARY, 2015 PAYROLL</t>
  </si>
  <si>
    <t>NET PAY AS PER JANUARY, 2015 PAYROLL</t>
  </si>
  <si>
    <t xml:space="preserve">NET INCREASE/ (DECREASE)  IN PAY FOR FEBRUARY, 2015   </t>
  </si>
  <si>
    <t>The net Salary Decrease is reconciled as follows:</t>
  </si>
  <si>
    <t>Effect of Payment of Full Salary to Dr Aderemi Adekunle Taiwo in February</t>
  </si>
  <si>
    <t>Effect of payment of full Salary to Dr Ihugba Uzoma Bethel in February</t>
  </si>
  <si>
    <t xml:space="preserve">Effect of payment of Full Allowance to  Dr Aremu F. Ayinde as a Sabatical Staff </t>
  </si>
  <si>
    <t>Effect of Completion of Salary Advance by Richard Kwalmi</t>
  </si>
  <si>
    <t>Refund of Salary Advance Over-Deduction to Richard Kwalmi in Jan, 2015</t>
  </si>
  <si>
    <t>Effet of Adjustment of Moshood Olalere Salary on Promotion to AM</t>
  </si>
  <si>
    <t>Effect of Allowance to Coordinate NJLA and NPSS to Dr Kanayo</t>
  </si>
  <si>
    <t>Enrolment of Research Fellow I Dr Asemota</t>
  </si>
  <si>
    <t>Payment of 28 days allowance in lieu of Hotel Accomodation to Dr Asemota</t>
  </si>
  <si>
    <t>Effect of status upgrade of Mustapha S. atanda to Research Fellow II</t>
  </si>
  <si>
    <t>Arears of Status upgrade of Mustapha S. Atanda</t>
  </si>
  <si>
    <t>Payment of Pro rated Salary to Nils-Cap Driver Abubakar M. Danlami</t>
  </si>
  <si>
    <t>Payment of 28 days allowance in lieu of Hotel Accomodation to Nils-cap Driver</t>
  </si>
  <si>
    <t>Enrolment of two new nysc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</si>
  <si>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N26,078,950.95  </t>
    </r>
    <r>
      <rPr>
        <sz val="14"/>
        <rFont val="Times New Roman"/>
        <family val="1"/>
      </rPr>
      <t>to FIRST BANK  being February, 2015 Salary and</t>
    </r>
    <r>
      <rPr>
        <b/>
        <sz val="14"/>
        <rFont val="Times New Roman"/>
        <family val="1"/>
      </rPr>
      <t xml:space="preserve"> N787,566.36 being</t>
    </r>
    <r>
      <rPr>
        <sz val="14"/>
        <rFont val="Times New Roman"/>
        <family val="1"/>
      </rPr>
      <t xml:space="preserve"> February, 2015 PAYE TAX Deductions from Staff Salary.</t>
    </r>
  </si>
  <si>
    <t xml:space="preserve"> </t>
  </si>
  <si>
    <t>Mshelia Madu Ibrahim</t>
  </si>
  <si>
    <t>Deputy Director, Finance &amp;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</si>
  <si>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</si>
  <si>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</si>
  <si>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</si>
  <si>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</si>
  <si>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</si>
  <si>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</si>
  <si>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</si>
  <si>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</si>
  <si>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</si>
  <si>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</si>
  <si>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</si>
  <si>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</si>
  <si>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</si>
  <si>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</si>
  <si>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</si>
  <si>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GROSS SALARY</t>
  </si>
  <si>
    <t>SALARY DETAILS OF NILS DEPUTY DIRECTORS</t>
  </si>
  <si>
    <t>GRADE LEVEL 16 STEP 7</t>
  </si>
  <si>
    <t>SALARY DETAILS OF NILS SENIOR RESEARCH FELLOWS</t>
  </si>
  <si>
    <t>GRADE LEVEL 15 STEP 9</t>
  </si>
  <si>
    <t>SALARY DETAILS OF NILS RESEARCH FELLOW II</t>
  </si>
  <si>
    <t>GRADE LEVEL 13 STEP 8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</si>
  <si>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</si>
  <si>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</si>
  <si>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</si>
  <si>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</si>
  <si>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</si>
  <si>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</si>
  <si>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</si>
  <si>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MAR.2012</t>
  </si>
  <si>
    <t>FEB. 2012</t>
  </si>
  <si>
    <t>IN LIEU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</si>
  <si>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</si>
  <si>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</si>
  <si>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</si>
  <si>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</si>
  <si>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</si>
  <si>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</si>
  <si>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</si>
  <si>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</si>
  <si>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</si>
  <si>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</si>
  <si>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</si>
  <si>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</si>
  <si>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</si>
  <si>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LIST OF STAFF THAT HAVE ASSUMED DUTY</t>
  </si>
  <si>
    <t>DG</t>
  </si>
  <si>
    <t>16(7)</t>
  </si>
  <si>
    <t>MOHAMMED ISIAKA YAKUBU</t>
  </si>
  <si>
    <t>DSM</t>
  </si>
  <si>
    <t>ICT OFFICER</t>
  </si>
  <si>
    <t>10(10)</t>
  </si>
  <si>
    <t>8(2)</t>
  </si>
  <si>
    <t>DD</t>
  </si>
  <si>
    <t>SOLOMON A. BENJAMIN</t>
  </si>
  <si>
    <t>DD TRAINING</t>
  </si>
  <si>
    <t>DR PATTERSON EKEOCHA</t>
  </si>
  <si>
    <t>SRF</t>
  </si>
  <si>
    <t>DFA</t>
  </si>
  <si>
    <t>RAHILA AMOS</t>
  </si>
  <si>
    <t>OFFICER ACCTS</t>
  </si>
  <si>
    <t>10(11)</t>
  </si>
  <si>
    <t>10(&amp;)</t>
  </si>
  <si>
    <t>8/(9)</t>
  </si>
  <si>
    <t>ESTHER WAMINAJE</t>
  </si>
  <si>
    <t>RECEPTIONIST</t>
  </si>
  <si>
    <t>4(10)</t>
  </si>
  <si>
    <t>JAFARU MUSA</t>
  </si>
  <si>
    <t>3(8)</t>
  </si>
  <si>
    <t>SALARY DETAILS OF NILS  LIBRARIAN</t>
  </si>
  <si>
    <t>GRADE LEVEL 15 STEP 7</t>
  </si>
  <si>
    <t>SALARY DETAILS OF NILS SENIOR MOTOR DRIVER-MECHANIC</t>
  </si>
  <si>
    <t>GRADE LEVEL 5 STEP 7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</si>
  <si>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</si>
  <si>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</si>
  <si>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</si>
  <si>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</si>
  <si>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</si>
  <si>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</si>
  <si>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</si>
  <si>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</si>
  <si>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2</t>
  </si>
  <si>
    <t>DEUTY DIRECTORS</t>
  </si>
  <si>
    <t>SENIOR RESEARCH FELLOWS</t>
  </si>
  <si>
    <t>MANAGERS</t>
  </si>
  <si>
    <t>ASSISTANT MANAGERS</t>
  </si>
  <si>
    <t>OFFICERS</t>
  </si>
  <si>
    <t>OFFICE ASSISTANTS</t>
  </si>
  <si>
    <t>8(7)</t>
  </si>
  <si>
    <t>20</t>
  </si>
  <si>
    <t>SECRETARIES</t>
  </si>
  <si>
    <t>DRIVERS</t>
  </si>
  <si>
    <t>GRADE</t>
  </si>
  <si>
    <t>DR BADAYI M. SANI</t>
  </si>
  <si>
    <t>HEAD PUBLICATION</t>
  </si>
  <si>
    <t>KABIR M. SULAIMAN</t>
  </si>
  <si>
    <t>MANAGER ADMIN/ HR</t>
  </si>
  <si>
    <t>MANAGER ACCOUNTS</t>
  </si>
  <si>
    <t>MANAGER PROCUREMENT</t>
  </si>
  <si>
    <t>DR ANAH O. PAMELA</t>
  </si>
  <si>
    <t>15((7)</t>
  </si>
  <si>
    <t xml:space="preserve">                                   </t>
  </si>
  <si>
    <t>EDET B. AKPAKPAN</t>
  </si>
  <si>
    <t>Sab.</t>
  </si>
  <si>
    <t>S/N</t>
  </si>
  <si>
    <t>NAMES</t>
  </si>
  <si>
    <t>UMOLU ADAEZE OBIAMAKA</t>
  </si>
  <si>
    <t>INFO OFFICER</t>
  </si>
  <si>
    <t>OFFICER INT AUDIT</t>
  </si>
  <si>
    <t>9(7)</t>
  </si>
  <si>
    <t>DR MADU MAGNUS EMEKA</t>
  </si>
  <si>
    <t>HARRISON O. OKAFOR</t>
  </si>
  <si>
    <t>PATIENCE AMUDA BOSAH</t>
  </si>
  <si>
    <t>CYNTHIA CHINENYE OKENMUO</t>
  </si>
  <si>
    <t>MARGARET LEONIE DUREKE</t>
  </si>
  <si>
    <t>PROCUREMENT ASSIST</t>
  </si>
  <si>
    <t>DONALD E. MKAPANAM</t>
  </si>
  <si>
    <t>4(7)</t>
  </si>
  <si>
    <t>SUNDAY IGHOFOMA</t>
  </si>
  <si>
    <t>EID EL KABIR TRANSPORT ALLOWANCE TO NILS DEPLOYED STAFF</t>
  </si>
  <si>
    <t>ARC OJO M.O</t>
  </si>
  <si>
    <t>DD &amp; HEAD OF BUILDING</t>
  </si>
  <si>
    <t>2013 END OF YEAR  STAFF WELFARE  TO ASSIST WITH TRANSPORTATION AND LOGISTICS.</t>
  </si>
  <si>
    <t>16(70</t>
  </si>
  <si>
    <t>TONDO IORWUESEEDWARD</t>
  </si>
  <si>
    <t>44</t>
  </si>
  <si>
    <t>OKOYE AUGUSTINA CHINENYE</t>
  </si>
  <si>
    <t>UKPONG INYANG ONOYOM</t>
  </si>
  <si>
    <t>AMARACHI NNAWUCHI</t>
  </si>
  <si>
    <t>14</t>
  </si>
  <si>
    <t>PROF. EDET AKPAKPAN</t>
  </si>
  <si>
    <t>IBRAHIM OKPE</t>
  </si>
  <si>
    <t>AM PROTOCOL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</si>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</sst>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3" x14ac:knownFonts="1">
    <font>
      <sz val="10"/>
      <name val="Arial"/>
    </font>
    <font>
      <sz val="10"/>
      <name val="Arial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u val="singleAccounting"/>
      <sz val="14"/>
      <name val="Times New Roman"/>
      <family val="1"/>
    </font>
    <font>
      <b/>
      <sz val="16"/>
      <name val="Arial"/>
      <family val="2"/>
    </font>
    <font>
      <b/>
      <sz val="16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b/>
      <sz val="14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6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4" fontId="2" fillId="0" borderId="0" xfId="0" applyNumberFormat="1" applyFont="1"/>
    <xf numFmtId="4" fontId="7" fillId="0" borderId="0" xfId="0" applyNumberFormat="1" applyFont="1"/>
    <xf numFmtId="164" fontId="8" fillId="0" borderId="0" xfId="1" applyFont="1" applyBorder="1" applyAlignment="1"/>
    <xf numFmtId="0" fontId="5" fillId="0" borderId="1" xfId="0" applyFont="1" applyBorder="1" applyAlignment="1">
      <alignment horizontal="center"/>
    </xf>
    <xf numFmtId="164" fontId="13" fillId="2" borderId="1" xfId="1" applyFont="1" applyFill="1" applyBorder="1" applyAlignment="1">
      <alignment horizontal="right"/>
    </xf>
    <xf numFmtId="0" fontId="16" fillId="0" borderId="0" xfId="0" applyFont="1"/>
    <xf numFmtId="164" fontId="5" fillId="0" borderId="0" xfId="0" applyNumberFormat="1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49" fontId="13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1" applyFont="1"/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13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7" fillId="0" borderId="0" xfId="0" applyFont="1" applyAlignment="1">
      <alignment horizontal="left"/>
    </xf>
    <xf numFmtId="0" fontId="18" fillId="0" borderId="0" xfId="0" applyFont="1"/>
    <xf numFmtId="4" fontId="18" fillId="0" borderId="0" xfId="0" applyNumberFormat="1" applyFont="1"/>
    <xf numFmtId="0" fontId="20" fillId="0" borderId="0" xfId="0" applyFont="1" applyAlignment="1">
      <alignment horizontal="left"/>
    </xf>
    <xf numFmtId="17" fontId="20" fillId="0" borderId="0" xfId="0" applyNumberFormat="1" applyFont="1" applyAlignment="1">
      <alignment horizontal="left"/>
    </xf>
    <xf numFmtId="4" fontId="21" fillId="0" borderId="0" xfId="0" applyNumberFormat="1" applyFont="1"/>
    <xf numFmtId="0" fontId="21" fillId="0" borderId="0" xfId="0" applyFont="1"/>
    <xf numFmtId="0" fontId="20" fillId="0" borderId="0" xfId="0" applyFont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49" fontId="25" fillId="0" borderId="1" xfId="0" applyNumberFormat="1" applyFont="1" applyBorder="1" applyAlignment="1">
      <alignment horizontal="left"/>
    </xf>
    <xf numFmtId="164" fontId="18" fillId="0" borderId="1" xfId="1" quotePrefix="1" applyFont="1" applyBorder="1" applyAlignment="1">
      <alignment horizontal="right"/>
    </xf>
    <xf numFmtId="0" fontId="18" fillId="0" borderId="1" xfId="0" applyFont="1" applyBorder="1"/>
    <xf numFmtId="20" fontId="18" fillId="0" borderId="1" xfId="0" applyNumberFormat="1" applyFont="1" applyBorder="1"/>
    <xf numFmtId="0" fontId="19" fillId="0" borderId="1" xfId="0" applyFont="1" applyBorder="1"/>
    <xf numFmtId="0" fontId="20" fillId="0" borderId="1" xfId="0" applyFont="1" applyBorder="1" applyAlignment="1">
      <alignment horizontal="left"/>
    </xf>
    <xf numFmtId="49" fontId="25" fillId="0" borderId="1" xfId="0" applyNumberFormat="1" applyFont="1" applyBorder="1"/>
    <xf numFmtId="49" fontId="23" fillId="0" borderId="1" xfId="0" applyNumberFormat="1" applyFont="1" applyBorder="1"/>
    <xf numFmtId="16" fontId="18" fillId="0" borderId="1" xfId="0" applyNumberFormat="1" applyFont="1" applyBorder="1"/>
    <xf numFmtId="49" fontId="23" fillId="0" borderId="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25" fillId="0" borderId="1" xfId="0" applyNumberFormat="1" applyFont="1" applyBorder="1" applyAlignment="1">
      <alignment horizontal="center"/>
    </xf>
    <xf numFmtId="0" fontId="18" fillId="4" borderId="1" xfId="0" applyFont="1" applyFill="1" applyBorder="1"/>
    <xf numFmtId="0" fontId="18" fillId="4" borderId="1" xfId="0" applyFont="1" applyFill="1" applyBorder="1" applyAlignment="1">
      <alignment horizontal="center"/>
    </xf>
    <xf numFmtId="164" fontId="18" fillId="4" borderId="1" xfId="1" quotePrefix="1" applyFont="1" applyFill="1" applyBorder="1" applyAlignment="1">
      <alignment horizontal="right"/>
    </xf>
    <xf numFmtId="164" fontId="18" fillId="4" borderId="1" xfId="1" applyFont="1" applyFill="1" applyBorder="1" applyAlignment="1">
      <alignment horizontal="right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center"/>
    </xf>
    <xf numFmtId="20" fontId="18" fillId="4" borderId="1" xfId="0" applyNumberFormat="1" applyFont="1" applyFill="1" applyBorder="1" applyAlignment="1">
      <alignment horizontal="center"/>
    </xf>
    <xf numFmtId="49" fontId="25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center"/>
    </xf>
    <xf numFmtId="164" fontId="20" fillId="4" borderId="1" xfId="1" applyFont="1" applyFill="1" applyBorder="1" applyAlignment="1">
      <alignment horizontal="right"/>
    </xf>
    <xf numFmtId="0" fontId="20" fillId="4" borderId="1" xfId="0" applyFont="1" applyFill="1" applyBorder="1" applyAlignment="1">
      <alignment horizontal="left"/>
    </xf>
    <xf numFmtId="0" fontId="20" fillId="4" borderId="1" xfId="0" applyFont="1" applyFill="1" applyBorder="1" applyAlignment="1">
      <alignment horizontal="center"/>
    </xf>
    <xf numFmtId="164" fontId="21" fillId="4" borderId="1" xfId="1" applyFont="1" applyFill="1" applyBorder="1" applyAlignment="1">
      <alignment horizontal="right"/>
    </xf>
    <xf numFmtId="164" fontId="19" fillId="4" borderId="1" xfId="1" quotePrefix="1" applyFont="1" applyFill="1" applyBorder="1" applyAlignment="1">
      <alignment horizontal="right"/>
    </xf>
    <xf numFmtId="164" fontId="19" fillId="4" borderId="1" xfId="1" applyFont="1" applyFill="1" applyBorder="1" applyAlignment="1">
      <alignment horizontal="right"/>
    </xf>
    <xf numFmtId="49" fontId="23" fillId="4" borderId="1" xfId="0" applyNumberFormat="1" applyFont="1" applyFill="1" applyBorder="1"/>
    <xf numFmtId="49" fontId="23" fillId="4" borderId="2" xfId="0" applyNumberFormat="1" applyFont="1" applyFill="1" applyBorder="1" applyAlignment="1">
      <alignment horizontal="left"/>
    </xf>
    <xf numFmtId="49" fontId="23" fillId="4" borderId="3" xfId="0" applyNumberFormat="1" applyFont="1" applyFill="1" applyBorder="1" applyAlignment="1">
      <alignment horizontal="left"/>
    </xf>
    <xf numFmtId="164" fontId="18" fillId="4" borderId="1" xfId="1" applyFont="1" applyFill="1" applyBorder="1"/>
    <xf numFmtId="49" fontId="23" fillId="4" borderId="1" xfId="0" applyNumberFormat="1" applyFont="1" applyFill="1" applyBorder="1" applyAlignment="1">
      <alignment horizontal="center"/>
    </xf>
    <xf numFmtId="4" fontId="19" fillId="4" borderId="1" xfId="0" applyNumberFormat="1" applyFont="1" applyFill="1" applyBorder="1" applyAlignment="1">
      <alignment horizontal="left"/>
    </xf>
    <xf numFmtId="4" fontId="19" fillId="4" borderId="1" xfId="0" applyNumberFormat="1" applyFont="1" applyFill="1" applyBorder="1" applyAlignment="1">
      <alignment horizontal="center"/>
    </xf>
    <xf numFmtId="164" fontId="17" fillId="4" borderId="1" xfId="1" applyFont="1" applyFill="1" applyBorder="1" applyAlignment="1">
      <alignment horizontal="right"/>
    </xf>
    <xf numFmtId="4" fontId="17" fillId="4" borderId="1" xfId="0" applyNumberFormat="1" applyFont="1" applyFill="1" applyBorder="1" applyAlignment="1">
      <alignment horizontal="left"/>
    </xf>
    <xf numFmtId="4" fontId="17" fillId="4" borderId="1" xfId="0" applyNumberFormat="1" applyFont="1" applyFill="1" applyBorder="1" applyAlignment="1">
      <alignment horizontal="center"/>
    </xf>
    <xf numFmtId="4" fontId="17" fillId="4" borderId="1" xfId="0" applyNumberFormat="1" applyFont="1" applyFill="1" applyBorder="1" applyAlignment="1">
      <alignment horizontal="right"/>
    </xf>
    <xf numFmtId="4" fontId="11" fillId="4" borderId="1" xfId="0" applyNumberFormat="1" applyFont="1" applyFill="1" applyBorder="1" applyAlignment="1">
      <alignment horizontal="center"/>
    </xf>
    <xf numFmtId="4" fontId="8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2" fillId="4" borderId="1" xfId="0" applyFont="1" applyFill="1" applyBorder="1"/>
    <xf numFmtId="0" fontId="5" fillId="0" borderId="1" xfId="0" applyFont="1" applyBorder="1"/>
    <xf numFmtId="49" fontId="13" fillId="4" borderId="1" xfId="0" applyNumberFormat="1" applyFont="1" applyFill="1" applyBorder="1" applyAlignment="1">
      <alignment horizontal="left"/>
    </xf>
    <xf numFmtId="49" fontId="13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5" fillId="0" borderId="1" xfId="1" applyFont="1" applyBorder="1"/>
    <xf numFmtId="0" fontId="2" fillId="4" borderId="1" xfId="0" applyFont="1" applyFill="1" applyBorder="1" applyAlignment="1">
      <alignment horizontal="center"/>
    </xf>
    <xf numFmtId="0" fontId="15" fillId="0" borderId="0" xfId="0" applyFont="1"/>
    <xf numFmtId="164" fontId="27" fillId="0" borderId="0" xfId="1" applyFont="1"/>
    <xf numFmtId="0" fontId="6" fillId="0" borderId="1" xfId="0" applyFont="1" applyBorder="1" applyAlignment="1">
      <alignment horizontal="center"/>
    </xf>
    <xf numFmtId="49" fontId="23" fillId="4" borderId="1" xfId="0" applyNumberFormat="1" applyFont="1" applyFill="1" applyBorder="1" applyAlignment="1">
      <alignment horizontal="left"/>
    </xf>
    <xf numFmtId="4" fontId="8" fillId="4" borderId="2" xfId="0" applyNumberFormat="1" applyFont="1" applyFill="1" applyBorder="1" applyAlignment="1">
      <alignment horizontal="right"/>
    </xf>
    <xf numFmtId="4" fontId="17" fillId="4" borderId="0" xfId="0" applyNumberFormat="1" applyFont="1" applyFill="1" applyAlignment="1">
      <alignment horizontal="right"/>
    </xf>
    <xf numFmtId="0" fontId="18" fillId="4" borderId="2" xfId="0" applyFont="1" applyFill="1" applyBorder="1" applyAlignment="1">
      <alignment horizontal="left"/>
    </xf>
    <xf numFmtId="164" fontId="19" fillId="4" borderId="1" xfId="1" quotePrefix="1" applyFont="1" applyFill="1" applyBorder="1" applyAlignment="1">
      <alignment horizontal="center"/>
    </xf>
    <xf numFmtId="0" fontId="18" fillId="4" borderId="3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164" fontId="18" fillId="0" borderId="1" xfId="1" applyFont="1" applyBorder="1"/>
    <xf numFmtId="0" fontId="0" fillId="0" borderId="1" xfId="0" applyBorder="1"/>
    <xf numFmtId="49" fontId="25" fillId="4" borderId="1" xfId="0" applyNumberFormat="1" applyFont="1" applyFill="1" applyBorder="1"/>
    <xf numFmtId="164" fontId="19" fillId="0" borderId="1" xfId="1" applyFont="1" applyBorder="1"/>
    <xf numFmtId="164" fontId="28" fillId="0" borderId="1" xfId="0" applyNumberFormat="1" applyFont="1" applyBorder="1"/>
    <xf numFmtId="0" fontId="30" fillId="0" borderId="1" xfId="0" applyFont="1" applyBorder="1"/>
    <xf numFmtId="164" fontId="19" fillId="0" borderId="1" xfId="0" applyNumberFormat="1" applyFont="1" applyBorder="1"/>
    <xf numFmtId="0" fontId="18" fillId="4" borderId="2" xfId="0" applyFont="1" applyFill="1" applyBorder="1"/>
    <xf numFmtId="0" fontId="18" fillId="4" borderId="4" xfId="0" applyFont="1" applyFill="1" applyBorder="1"/>
    <xf numFmtId="0" fontId="19" fillId="0" borderId="0" xfId="0" applyFont="1"/>
    <xf numFmtId="0" fontId="18" fillId="0" borderId="0" xfId="0" applyFont="1" applyAlignment="1">
      <alignment horizontal="center"/>
    </xf>
    <xf numFmtId="0" fontId="19" fillId="0" borderId="5" xfId="0" applyFont="1" applyBorder="1" applyAlignment="1">
      <alignment horizontal="left"/>
    </xf>
    <xf numFmtId="0" fontId="19" fillId="0" borderId="5" xfId="0" applyFont="1" applyBorder="1"/>
    <xf numFmtId="0" fontId="18" fillId="0" borderId="1" xfId="0" applyFont="1" applyBorder="1" applyAlignment="1">
      <alignment horizontal="center"/>
    </xf>
    <xf numFmtId="0" fontId="31" fillId="0" borderId="1" xfId="0" applyFont="1" applyBorder="1"/>
    <xf numFmtId="164" fontId="31" fillId="0" borderId="1" xfId="0" applyNumberFormat="1" applyFont="1" applyBorder="1"/>
    <xf numFmtId="0" fontId="5" fillId="0" borderId="1" xfId="0" applyFont="1" applyBorder="1" applyAlignment="1">
      <alignment horizontal="left"/>
    </xf>
    <xf numFmtId="49" fontId="3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4" borderId="2" xfId="0" applyNumberFormat="1" applyFont="1" applyFill="1" applyBorder="1"/>
    <xf numFmtId="49" fontId="13" fillId="4" borderId="3" xfId="0" applyNumberFormat="1" applyFont="1" applyFill="1" applyBorder="1"/>
    <xf numFmtId="49" fontId="13" fillId="4" borderId="4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49" fontId="13" fillId="4" borderId="2" xfId="0" applyNumberFormat="1" applyFont="1" applyFill="1" applyBorder="1" applyAlignment="1">
      <alignment horizontal="left"/>
    </xf>
    <xf numFmtId="49" fontId="13" fillId="4" borderId="3" xfId="0" applyNumberFormat="1" applyFont="1" applyFill="1" applyBorder="1" applyAlignment="1">
      <alignment horizontal="left"/>
    </xf>
    <xf numFmtId="49" fontId="32" fillId="4" borderId="1" xfId="0" applyNumberFormat="1" applyFont="1" applyFill="1" applyBorder="1" applyAlignment="1">
      <alignment horizontal="center"/>
    </xf>
    <xf numFmtId="49" fontId="32" fillId="4" borderId="4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center"/>
    </xf>
    <xf numFmtId="164" fontId="5" fillId="4" borderId="1" xfId="1" quotePrefix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9" fontId="32" fillId="4" borderId="2" xfId="0" applyNumberFormat="1" applyFont="1" applyFill="1" applyBorder="1" applyAlignment="1">
      <alignment horizontal="left"/>
    </xf>
    <xf numFmtId="49" fontId="32" fillId="4" borderId="3" xfId="0" applyNumberFormat="1" applyFont="1" applyFill="1" applyBorder="1" applyAlignment="1">
      <alignment horizontal="left"/>
    </xf>
    <xf numFmtId="164" fontId="5" fillId="4" borderId="1" xfId="1" applyFont="1" applyFill="1" applyBorder="1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4" fillId="0" borderId="2" xfId="0" applyFont="1" applyBorder="1" applyAlignment="1">
      <alignment horizontal="center"/>
    </xf>
    <xf numFmtId="164" fontId="18" fillId="4" borderId="2" xfId="1" applyFont="1" applyFill="1" applyBorder="1" applyAlignment="1">
      <alignment horizontal="right"/>
    </xf>
    <xf numFmtId="164" fontId="20" fillId="4" borderId="2" xfId="1" applyFont="1" applyFill="1" applyBorder="1" applyAlignment="1">
      <alignment horizontal="right"/>
    </xf>
    <xf numFmtId="164" fontId="19" fillId="4" borderId="2" xfId="1" quotePrefix="1" applyFont="1" applyFill="1" applyBorder="1" applyAlignment="1">
      <alignment horizontal="right"/>
    </xf>
    <xf numFmtId="164" fontId="17" fillId="4" borderId="2" xfId="1" applyFont="1" applyFill="1" applyBorder="1" applyAlignment="1">
      <alignment horizontal="right"/>
    </xf>
    <xf numFmtId="4" fontId="17" fillId="4" borderId="2" xfId="0" applyNumberFormat="1" applyFont="1" applyFill="1" applyBorder="1" applyAlignment="1">
      <alignment horizontal="right"/>
    </xf>
    <xf numFmtId="164" fontId="18" fillId="0" borderId="2" xfId="1" quotePrefix="1" applyFont="1" applyBorder="1" applyAlignment="1">
      <alignment horizontal="right"/>
    </xf>
    <xf numFmtId="0" fontId="2" fillId="0" borderId="1" xfId="0" applyFont="1" applyBorder="1"/>
    <xf numFmtId="164" fontId="25" fillId="4" borderId="1" xfId="1" applyFont="1" applyFill="1" applyBorder="1" applyAlignment="1">
      <alignment horizontal="center"/>
    </xf>
    <xf numFmtId="164" fontId="18" fillId="4" borderId="0" xfId="1" quotePrefix="1" applyFont="1" applyFill="1" applyBorder="1" applyAlignment="1">
      <alignment horizontal="right"/>
    </xf>
    <xf numFmtId="164" fontId="5" fillId="0" borderId="9" xfId="1" applyFont="1" applyBorder="1" applyAlignment="1"/>
    <xf numFmtId="164" fontId="2" fillId="0" borderId="0" xfId="1" applyFont="1" applyAlignment="1"/>
    <xf numFmtId="0" fontId="20" fillId="0" borderId="0" xfId="0" applyFont="1"/>
    <xf numFmtId="49" fontId="25" fillId="4" borderId="2" xfId="0" applyNumberFormat="1" applyFont="1" applyFill="1" applyBorder="1"/>
    <xf numFmtId="49" fontId="25" fillId="4" borderId="3" xfId="0" applyNumberFormat="1" applyFont="1" applyFill="1" applyBorder="1"/>
    <xf numFmtId="0" fontId="16" fillId="0" borderId="1" xfId="0" applyFont="1" applyBorder="1"/>
    <xf numFmtId="49" fontId="32" fillId="4" borderId="1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49" fontId="32" fillId="0" borderId="2" xfId="0" applyNumberFormat="1" applyFont="1" applyBorder="1" applyAlignment="1">
      <alignment horizontal="left"/>
    </xf>
    <xf numFmtId="49" fontId="13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9" fontId="32" fillId="4" borderId="1" xfId="0" applyNumberFormat="1" applyFont="1" applyFill="1" applyBorder="1"/>
    <xf numFmtId="0" fontId="26" fillId="0" borderId="1" xfId="0" applyFont="1" applyBorder="1"/>
    <xf numFmtId="164" fontId="26" fillId="0" borderId="1" xfId="0" applyNumberFormat="1" applyFont="1" applyBorder="1"/>
    <xf numFmtId="49" fontId="26" fillId="0" borderId="1" xfId="0" applyNumberFormat="1" applyFont="1" applyBorder="1" applyAlignment="1">
      <alignment horizontal="center"/>
    </xf>
    <xf numFmtId="0" fontId="18" fillId="4" borderId="1" xfId="0" applyFont="1" applyFill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0" fontId="18" fillId="4" borderId="1" xfId="0" applyFont="1" applyFill="1" applyBorder="1"/>
    <xf numFmtId="0" fontId="20" fillId="4" borderId="1" xfId="0" applyFont="1" applyFill="1" applyBorder="1" applyAlignment="1">
      <alignment horizontal="left"/>
    </xf>
    <xf numFmtId="0" fontId="20" fillId="0" borderId="6" xfId="0" applyFont="1" applyBorder="1" applyAlignment="1">
      <alignment horizontal="center"/>
    </xf>
    <xf numFmtId="49" fontId="25" fillId="4" borderId="2" xfId="0" applyNumberFormat="1" applyFont="1" applyFill="1" applyBorder="1"/>
    <xf numFmtId="49" fontId="25" fillId="4" borderId="3" xfId="0" applyNumberFormat="1" applyFont="1" applyFill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0" fillId="0" borderId="0" xfId="0" applyFont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9" fontId="22" fillId="0" borderId="1" xfId="0" applyNumberFormat="1" applyFont="1" applyBorder="1" applyAlignment="1">
      <alignment horizontal="left"/>
    </xf>
    <xf numFmtId="49" fontId="23" fillId="4" borderId="2" xfId="0" applyNumberFormat="1" applyFont="1" applyFill="1" applyBorder="1" applyAlignment="1">
      <alignment horizontal="center"/>
    </xf>
    <xf numFmtId="49" fontId="23" fillId="4" borderId="3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9" fillId="4" borderId="1" xfId="0" applyFont="1" applyFill="1" applyBorder="1"/>
    <xf numFmtId="49" fontId="23" fillId="4" borderId="1" xfId="0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3" fillId="4" borderId="2" xfId="0" applyNumberFormat="1" applyFont="1" applyFill="1" applyBorder="1" applyAlignment="1">
      <alignment horizontal="left"/>
    </xf>
    <xf numFmtId="49" fontId="23" fillId="4" borderId="3" xfId="0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4" fontId="11" fillId="4" borderId="1" xfId="0" applyNumberFormat="1" applyFont="1" applyFill="1" applyBorder="1" applyAlignment="1">
      <alignment horizontal="left"/>
    </xf>
    <xf numFmtId="4" fontId="11" fillId="4" borderId="1" xfId="0" applyNumberFormat="1" applyFont="1" applyFill="1" applyBorder="1" applyAlignment="1">
      <alignment horizontal="center"/>
    </xf>
    <xf numFmtId="4" fontId="17" fillId="4" borderId="2" xfId="0" applyNumberFormat="1" applyFont="1" applyFill="1" applyBorder="1" applyAlignment="1">
      <alignment horizontal="center"/>
    </xf>
    <xf numFmtId="4" fontId="17" fillId="4" borderId="3" xfId="0" applyNumberFormat="1" applyFont="1" applyFill="1" applyBorder="1" applyAlignment="1">
      <alignment horizontal="center"/>
    </xf>
    <xf numFmtId="4" fontId="8" fillId="4" borderId="2" xfId="0" applyNumberFormat="1" applyFont="1" applyFill="1" applyBorder="1" applyAlignment="1">
      <alignment horizontal="center"/>
    </xf>
    <xf numFmtId="4" fontId="8" fillId="4" borderId="3" xfId="0" applyNumberFormat="1" applyFont="1" applyFill="1" applyBorder="1" applyAlignment="1">
      <alignment horizontal="center"/>
    </xf>
    <xf numFmtId="4" fontId="17" fillId="4" borderId="1" xfId="0" applyNumberFormat="1" applyFont="1" applyFill="1" applyBorder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16" fillId="0" borderId="6" xfId="0" applyFont="1" applyBorder="1" applyAlignment="1">
      <alignment horizontal="center"/>
    </xf>
    <xf numFmtId="49" fontId="13" fillId="4" borderId="2" xfId="0" applyNumberFormat="1" applyFont="1" applyFill="1" applyBorder="1" applyAlignment="1">
      <alignment horizontal="left"/>
    </xf>
    <xf numFmtId="49" fontId="13" fillId="4" borderId="3" xfId="0" applyNumberFormat="1" applyFont="1" applyFill="1" applyBorder="1" applyAlignment="1">
      <alignment horizontal="left"/>
    </xf>
    <xf numFmtId="49" fontId="13" fillId="4" borderId="4" xfId="0" applyNumberFormat="1" applyFont="1" applyFill="1" applyBorder="1" applyAlignment="1">
      <alignment horizontal="left"/>
    </xf>
    <xf numFmtId="49" fontId="32" fillId="4" borderId="2" xfId="0" applyNumberFormat="1" applyFont="1" applyFill="1" applyBorder="1" applyAlignment="1">
      <alignment horizontal="left"/>
    </xf>
    <xf numFmtId="49" fontId="32" fillId="4" borderId="3" xfId="0" applyNumberFormat="1" applyFont="1" applyFill="1" applyBorder="1" applyAlignment="1">
      <alignment horizontal="left"/>
    </xf>
    <xf numFmtId="49" fontId="32" fillId="4" borderId="4" xfId="0" applyNumberFormat="1" applyFont="1" applyFill="1" applyBorder="1" applyAlignment="1">
      <alignment horizontal="left"/>
    </xf>
    <xf numFmtId="49" fontId="32" fillId="4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49" fontId="13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0" fontId="26" fillId="0" borderId="1" xfId="0" applyFont="1" applyBorder="1" applyAlignment="1">
      <alignment horizontal="left"/>
    </xf>
    <xf numFmtId="0" fontId="2" fillId="4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49" fontId="32" fillId="4" borderId="2" xfId="0" applyNumberFormat="1" applyFont="1" applyFill="1" applyBorder="1" applyAlignment="1">
      <alignment horizontal="center"/>
    </xf>
    <xf numFmtId="49" fontId="32" fillId="4" borderId="3" xfId="0" applyNumberFormat="1" applyFont="1" applyFill="1" applyBorder="1" applyAlignment="1">
      <alignment horizontal="center"/>
    </xf>
    <xf numFmtId="49" fontId="32" fillId="4" borderId="4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6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49" fontId="13" fillId="3" borderId="2" xfId="0" applyNumberFormat="1" applyFont="1" applyFill="1" applyBorder="1" applyAlignment="1">
      <alignment horizontal="left"/>
    </xf>
    <xf numFmtId="49" fontId="13" fillId="3" borderId="3" xfId="0" applyNumberFormat="1" applyFont="1" applyFill="1" applyBorder="1" applyAlignment="1">
      <alignment horizontal="left"/>
    </xf>
    <xf numFmtId="49" fontId="13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49" fontId="25" fillId="0" borderId="1" xfId="0" applyNumberFormat="1" applyFont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49" fontId="23" fillId="0" borderId="2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23" fillId="0" borderId="4" xfId="0" applyNumberFormat="1" applyFont="1" applyBorder="1" applyAlignment="1">
      <alignment horizontal="center"/>
    </xf>
    <xf numFmtId="0" fontId="18" fillId="0" borderId="1" xfId="0" applyFont="1" applyBorder="1"/>
    <xf numFmtId="164" fontId="5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49" fontId="25" fillId="4" borderId="1" xfId="0" applyNumberFormat="1" applyFont="1" applyFill="1" applyBorder="1"/>
    <xf numFmtId="0" fontId="18" fillId="4" borderId="4" xfId="0" applyFont="1" applyFill="1" applyBorder="1" applyAlignment="1">
      <alignment horizontal="left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3" fillId="4" borderId="2" xfId="0" applyNumberFormat="1" applyFont="1" applyFill="1" applyBorder="1"/>
    <xf numFmtId="49" fontId="13" fillId="4" borderId="3" xfId="0" applyNumberFormat="1" applyFont="1" applyFill="1" applyBorder="1"/>
    <xf numFmtId="49" fontId="13" fillId="4" borderId="4" xfId="0" applyNumberFormat="1" applyFont="1" applyFill="1" applyBorder="1"/>
    <xf numFmtId="4" fontId="8" fillId="4" borderId="1" xfId="0" applyNumberFormat="1" applyFont="1" applyFill="1" applyBorder="1" applyAlignment="1">
      <alignment horizontal="left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4"/>
  <sheetViews>
    <sheetView tabSelected="1" view="pageBreakPreview" topLeftCell="B79" zoomScale="60" workbookViewId="0">
      <selection activeCell="J17" sqref="J17"/>
    </sheetView>
  </sheetViews>
  <sheetFormatPr defaultColWidth="9.140625" defaultRowHeight="20.100000000000001" customHeight="1" x14ac:dyDescent="0.3"/>
  <cols>
    <col min="1" max="1" width="4.85546875" style="1" hidden="1" customWidth="1"/>
    <col min="2" max="2" width="38.28515625" style="1" customWidth="1"/>
    <col min="3" max="3" width="32.5703125" style="1" customWidth="1"/>
    <col min="4" max="4" width="22.42578125" style="1" customWidth="1"/>
    <col min="5" max="5" width="21.28515625" style="1" customWidth="1"/>
    <col min="6" max="6" width="21.7109375" style="1" customWidth="1"/>
    <col min="7" max="7" width="21.42578125" style="1" customWidth="1"/>
    <col min="8" max="8" width="18.7109375" style="1" customWidth="1"/>
    <col min="9" max="9" width="18.42578125" style="1" customWidth="1"/>
    <col min="10" max="10" width="20.5703125" style="1" customWidth="1"/>
    <col min="11" max="11" width="20.7109375" style="1" customWidth="1"/>
    <col min="12" max="12" width="17.42578125" style="1" customWidth="1"/>
    <col min="13" max="13" width="20.7109375" style="1" customWidth="1"/>
    <col min="14" max="14" width="22" style="1" customWidth="1"/>
    <col min="15" max="15" width="18.5703125" style="1" customWidth="1"/>
    <col min="16" max="16" width="21" style="1" customWidth="1"/>
    <col min="17" max="17" width="18.42578125" style="1" customWidth="1"/>
    <col min="18" max="18" width="22.7109375" style="1" customWidth="1"/>
    <col min="19" max="19" width="19.7109375" style="1" customWidth="1"/>
    <col min="20" max="20" width="19.5703125" style="1" customWidth="1"/>
    <col min="21" max="21" width="20.85546875" style="1" customWidth="1"/>
    <col min="22" max="22" width="23.5703125" style="1" customWidth="1"/>
    <col min="23" max="23" width="23.42578125" style="1" customWidth="1"/>
    <col min="24" max="24" width="28.42578125" style="1" customWidth="1"/>
    <col min="25" max="16384" width="9.140625" style="1"/>
  </cols>
  <sheetData>
    <row r="1" spans="1:23" ht="29.2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  <c r="S1" s="28"/>
      <c r="T1" s="28"/>
      <c r="U1" s="28"/>
      <c r="V1" s="28"/>
      <c r="W1" s="28"/>
    </row>
    <row r="2" spans="1:23" ht="5.2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9"/>
      <c r="T2" s="29"/>
      <c r="U2" s="29"/>
      <c r="V2" s="29"/>
      <c r="W2" s="29"/>
    </row>
    <row r="3" spans="1:23" ht="20.100000000000001" customHeight="1" x14ac:dyDescent="0.3">
      <c r="A3" s="184" t="s">
        <v>0</v>
      </c>
      <c r="B3" s="184"/>
      <c r="C3" s="184"/>
      <c r="D3" s="184"/>
      <c r="E3" s="30"/>
      <c r="F3" s="30"/>
      <c r="G3" s="30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32"/>
      <c r="T3" s="32"/>
      <c r="U3" s="32"/>
      <c r="V3" s="32"/>
      <c r="W3" s="32"/>
    </row>
    <row r="4" spans="1:23" ht="2.25" customHeight="1" x14ac:dyDescent="0.3">
      <c r="A4" s="28"/>
      <c r="B4" s="28"/>
      <c r="C4" s="28"/>
      <c r="D4" s="28"/>
      <c r="E4" s="33">
        <v>0.22</v>
      </c>
      <c r="F4" s="33"/>
      <c r="G4" s="33"/>
      <c r="H4" s="33">
        <v>0.3</v>
      </c>
      <c r="I4" s="33"/>
      <c r="J4" s="33"/>
      <c r="K4" s="33"/>
      <c r="L4" s="33"/>
      <c r="M4" s="33"/>
      <c r="N4" s="33"/>
      <c r="O4" s="33"/>
      <c r="P4" s="33"/>
      <c r="Q4" s="33"/>
      <c r="R4" s="28"/>
      <c r="S4" s="28"/>
      <c r="T4" s="28"/>
      <c r="U4" s="28"/>
      <c r="V4" s="28"/>
      <c r="W4" s="28"/>
    </row>
    <row r="5" spans="1:23" ht="20.100000000000001" customHeight="1" x14ac:dyDescent="0.3">
      <c r="A5" s="182" t="s">
        <v>1</v>
      </c>
      <c r="B5" s="183"/>
      <c r="C5" s="34"/>
      <c r="D5" s="34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79" t="s">
        <v>2</v>
      </c>
      <c r="T5" s="179"/>
      <c r="U5" s="179"/>
      <c r="V5" s="34"/>
      <c r="W5" s="34" t="s">
        <v>3</v>
      </c>
    </row>
    <row r="6" spans="1:23" s="303" customFormat="1" ht="75.75" customHeight="1" x14ac:dyDescent="0.2">
      <c r="A6" s="298"/>
      <c r="B6" s="298"/>
      <c r="C6" s="299" t="s">
        <v>4</v>
      </c>
      <c r="D6" s="299" t="s">
        <v>5</v>
      </c>
      <c r="E6" s="300" t="s">
        <v>6</v>
      </c>
      <c r="F6" s="300" t="s">
        <v>7</v>
      </c>
      <c r="G6" s="300"/>
      <c r="H6" s="300"/>
      <c r="I6" s="300"/>
      <c r="J6" s="300"/>
      <c r="K6" s="300"/>
      <c r="L6" s="300" t="s">
        <v>8</v>
      </c>
      <c r="M6" s="300" t="s">
        <v>9</v>
      </c>
      <c r="N6" s="300" t="s">
        <v>10</v>
      </c>
      <c r="O6" s="300" t="s">
        <v>11</v>
      </c>
      <c r="P6" s="300" t="s">
        <v>12</v>
      </c>
      <c r="Q6" s="300" t="s">
        <v>13</v>
      </c>
      <c r="R6" s="300" t="s">
        <v>14</v>
      </c>
      <c r="S6" s="300"/>
      <c r="T6" s="301"/>
      <c r="U6" s="301"/>
      <c r="V6" s="301" t="s">
        <v>15</v>
      </c>
      <c r="W6" s="302" t="s">
        <v>16</v>
      </c>
    </row>
    <row r="7" spans="1:23" s="303" customFormat="1" ht="66.75" customHeight="1" x14ac:dyDescent="0.2">
      <c r="A7" s="304"/>
      <c r="B7" s="304"/>
      <c r="C7" s="299"/>
      <c r="D7" s="299" t="s">
        <v>17</v>
      </c>
      <c r="E7" s="300" t="s">
        <v>18</v>
      </c>
      <c r="F7" s="300" t="s">
        <v>19</v>
      </c>
      <c r="G7" s="300" t="s">
        <v>20</v>
      </c>
      <c r="H7" s="300" t="s">
        <v>21</v>
      </c>
      <c r="I7" s="300" t="s">
        <v>22</v>
      </c>
      <c r="J7" s="300" t="s">
        <v>23</v>
      </c>
      <c r="K7" s="300" t="s">
        <v>24</v>
      </c>
      <c r="L7" s="300" t="s">
        <v>25</v>
      </c>
      <c r="M7" s="300" t="s">
        <v>26</v>
      </c>
      <c r="N7" s="300" t="s">
        <v>27</v>
      </c>
      <c r="O7" s="300" t="s">
        <v>28</v>
      </c>
      <c r="P7" s="300" t="s">
        <v>28</v>
      </c>
      <c r="Q7" s="300" t="s">
        <v>29</v>
      </c>
      <c r="R7" s="300" t="s">
        <v>18</v>
      </c>
      <c r="S7" s="300" t="s">
        <v>30</v>
      </c>
      <c r="T7" s="300" t="s">
        <v>31</v>
      </c>
      <c r="U7" s="300" t="s">
        <v>32</v>
      </c>
      <c r="V7" s="300"/>
      <c r="W7" s="305"/>
    </row>
    <row r="8" spans="1:23" ht="20.100000000000001" customHeight="1" x14ac:dyDescent="0.3">
      <c r="A8" s="186" t="s">
        <v>33</v>
      </c>
      <c r="B8" s="186"/>
      <c r="C8" s="37"/>
      <c r="D8" s="37"/>
      <c r="E8" s="38" t="s">
        <v>34</v>
      </c>
      <c r="F8" s="36"/>
      <c r="G8" s="38"/>
      <c r="H8" s="38" t="s">
        <v>34</v>
      </c>
      <c r="I8" s="38"/>
      <c r="J8" s="38"/>
      <c r="K8" s="38"/>
      <c r="L8" s="38"/>
      <c r="M8" s="38"/>
      <c r="N8" s="38"/>
      <c r="O8" s="38"/>
      <c r="P8" s="38"/>
      <c r="Q8" s="38"/>
      <c r="R8" s="38" t="s">
        <v>34</v>
      </c>
      <c r="S8" s="38"/>
      <c r="T8" s="38" t="s">
        <v>34</v>
      </c>
      <c r="U8" s="38"/>
      <c r="V8" s="38"/>
      <c r="W8" s="147"/>
    </row>
    <row r="9" spans="1:23" ht="20.100000000000001" customHeight="1" x14ac:dyDescent="0.3">
      <c r="A9" s="185" t="s">
        <v>35</v>
      </c>
      <c r="B9" s="185"/>
      <c r="C9" s="56" t="s">
        <v>36</v>
      </c>
      <c r="D9" s="56" t="s">
        <v>37</v>
      </c>
      <c r="E9" s="55">
        <v>160488.75</v>
      </c>
      <c r="F9" s="88"/>
      <c r="G9" s="55">
        <v>320977.5</v>
      </c>
      <c r="H9" s="55">
        <v>48146.63</v>
      </c>
      <c r="I9" s="55">
        <v>120366.57</v>
      </c>
      <c r="J9" s="55">
        <v>72219.94</v>
      </c>
      <c r="K9" s="55">
        <v>481466.25</v>
      </c>
      <c r="L9" s="55">
        <v>40122.19</v>
      </c>
      <c r="M9" s="55">
        <v>120366.57</v>
      </c>
      <c r="N9" s="55">
        <v>150000</v>
      </c>
      <c r="O9" s="55">
        <v>16048.88</v>
      </c>
      <c r="P9" s="55">
        <v>25000</v>
      </c>
      <c r="Q9" s="55">
        <v>25235</v>
      </c>
      <c r="R9" s="55">
        <f>SUM(E9:Q9)</f>
        <v>1580438.2799999998</v>
      </c>
      <c r="S9" s="55"/>
      <c r="T9" s="55">
        <v>113176.97</v>
      </c>
      <c r="U9" s="55">
        <f>S9+T9</f>
        <v>113176.97</v>
      </c>
      <c r="V9" s="55">
        <v>1467261.31</v>
      </c>
      <c r="W9" s="148">
        <f t="shared" ref="W9:W28" si="0">R9-U9</f>
        <v>1467261.3099999998</v>
      </c>
    </row>
    <row r="10" spans="1:23" ht="20.100000000000001" customHeight="1" x14ac:dyDescent="0.3">
      <c r="A10" s="185" t="s">
        <v>38</v>
      </c>
      <c r="B10" s="185"/>
      <c r="C10" s="56" t="s">
        <v>39</v>
      </c>
      <c r="D10" s="57" t="s">
        <v>40</v>
      </c>
      <c r="E10" s="54">
        <f>E34</f>
        <v>42653.17</v>
      </c>
      <c r="F10" s="90"/>
      <c r="G10" s="54">
        <f>G34</f>
        <v>127959.51</v>
      </c>
      <c r="H10" s="54">
        <f>H34</f>
        <v>3198.9877499999998</v>
      </c>
      <c r="I10" s="54">
        <f>I34</f>
        <v>40122.19</v>
      </c>
      <c r="J10" s="54">
        <f>E10*50%</f>
        <v>21326.584999999999</v>
      </c>
      <c r="K10" s="54">
        <f>E10*350%</f>
        <v>149286.095</v>
      </c>
      <c r="L10" s="54">
        <v>0</v>
      </c>
      <c r="M10" s="54">
        <f>E10*100%</f>
        <v>42653.17</v>
      </c>
      <c r="N10" s="54">
        <v>0</v>
      </c>
      <c r="O10" s="54">
        <f>E10*10%</f>
        <v>4265.317</v>
      </c>
      <c r="P10" s="54">
        <v>20000</v>
      </c>
      <c r="Q10" s="54">
        <v>100000</v>
      </c>
      <c r="R10" s="55">
        <f t="shared" ref="R10:R28" si="1">SUM(E10:Q10)</f>
        <v>551465.02474999998</v>
      </c>
      <c r="S10" s="55"/>
      <c r="T10" s="55">
        <v>21618.09</v>
      </c>
      <c r="U10" s="55">
        <f t="shared" ref="U10:U28" si="2">S10+T10</f>
        <v>21618.09</v>
      </c>
      <c r="V10" s="55">
        <v>529846.93000000005</v>
      </c>
      <c r="W10" s="148">
        <f t="shared" si="0"/>
        <v>529846.93475000001</v>
      </c>
    </row>
    <row r="11" spans="1:23" ht="20.100000000000001" customHeight="1" x14ac:dyDescent="0.3">
      <c r="A11" s="175" t="s">
        <v>41</v>
      </c>
      <c r="B11" s="195"/>
      <c r="C11" s="56" t="s">
        <v>42</v>
      </c>
      <c r="D11" s="57" t="s">
        <v>43</v>
      </c>
      <c r="E11" s="54">
        <v>41157.69</v>
      </c>
      <c r="F11" s="90"/>
      <c r="G11" s="54">
        <f>E11*300%</f>
        <v>123473.07</v>
      </c>
      <c r="H11" s="54">
        <f>E11*7.5%</f>
        <v>3086.8267500000002</v>
      </c>
      <c r="I11" s="54">
        <v>40122.19</v>
      </c>
      <c r="J11" s="54">
        <f>E11*50%</f>
        <v>20578.845000000001</v>
      </c>
      <c r="K11" s="54">
        <f>E11*350%</f>
        <v>144051.91500000001</v>
      </c>
      <c r="L11" s="54"/>
      <c r="M11" s="54">
        <f>E11*100%</f>
        <v>41157.69</v>
      </c>
      <c r="N11" s="54">
        <v>100000</v>
      </c>
      <c r="O11" s="54">
        <f>E11*10%</f>
        <v>4115.7690000000002</v>
      </c>
      <c r="P11" s="54">
        <v>20000</v>
      </c>
      <c r="Q11" s="54"/>
      <c r="R11" s="55">
        <f t="shared" si="1"/>
        <v>537743.99575</v>
      </c>
      <c r="S11" s="54"/>
      <c r="T11" s="55">
        <v>21618.09</v>
      </c>
      <c r="U11" s="55">
        <f t="shared" si="2"/>
        <v>21618.09</v>
      </c>
      <c r="V11" s="55">
        <v>516125.91</v>
      </c>
      <c r="W11" s="148">
        <f t="shared" si="0"/>
        <v>516125.90574999998</v>
      </c>
    </row>
    <row r="12" spans="1:23" ht="20.100000000000001" customHeight="1" x14ac:dyDescent="0.3">
      <c r="A12" s="174" t="s">
        <v>44</v>
      </c>
      <c r="B12" s="174"/>
      <c r="C12" s="52" t="s">
        <v>45</v>
      </c>
      <c r="D12" s="58" t="s">
        <v>46</v>
      </c>
      <c r="E12" s="54">
        <f>E76</f>
        <v>33507.5</v>
      </c>
      <c r="F12" s="90">
        <v>113529.57</v>
      </c>
      <c r="G12" s="54">
        <f t="shared" ref="G12:G28" si="3">E12*300%</f>
        <v>100522.5</v>
      </c>
      <c r="H12" s="54">
        <f t="shared" ref="H12:H28" si="4">E12*7.5%</f>
        <v>2513.0625</v>
      </c>
      <c r="I12" s="54">
        <f>I9/3</f>
        <v>40122.19</v>
      </c>
      <c r="J12" s="54">
        <f t="shared" ref="J12:J28" si="5">E12*50%</f>
        <v>16753.75</v>
      </c>
      <c r="K12" s="54">
        <f t="shared" ref="K12:K28" si="6">E12*350%</f>
        <v>117276.25</v>
      </c>
      <c r="L12" s="54">
        <v>0</v>
      </c>
      <c r="M12" s="54">
        <f t="shared" ref="M12:M28" si="7">E12*100%</f>
        <v>33507.5</v>
      </c>
      <c r="N12" s="54">
        <v>0</v>
      </c>
      <c r="O12" s="54">
        <f t="shared" ref="O12:O28" si="8">E12*10%</f>
        <v>3350.75</v>
      </c>
      <c r="P12" s="54">
        <v>20000</v>
      </c>
      <c r="Q12" s="54">
        <v>0</v>
      </c>
      <c r="R12" s="55">
        <f t="shared" si="1"/>
        <v>481083.07250000001</v>
      </c>
      <c r="S12" s="55"/>
      <c r="T12" s="55">
        <v>15548.33</v>
      </c>
      <c r="U12" s="55">
        <f t="shared" si="2"/>
        <v>15548.33</v>
      </c>
      <c r="V12" s="55">
        <v>238475.6</v>
      </c>
      <c r="W12" s="148">
        <f t="shared" si="0"/>
        <v>465534.74249999999</v>
      </c>
    </row>
    <row r="13" spans="1:23" ht="20.100000000000001" customHeight="1" x14ac:dyDescent="0.3">
      <c r="A13" s="193" t="s">
        <v>47</v>
      </c>
      <c r="B13" s="194"/>
      <c r="C13" s="52" t="s">
        <v>48</v>
      </c>
      <c r="D13" s="58" t="s">
        <v>46</v>
      </c>
      <c r="E13" s="54">
        <f>E76</f>
        <v>33507.5</v>
      </c>
      <c r="F13" s="90"/>
      <c r="G13" s="54">
        <f t="shared" si="3"/>
        <v>100522.5</v>
      </c>
      <c r="H13" s="54">
        <f t="shared" si="4"/>
        <v>2513.0625</v>
      </c>
      <c r="I13" s="54">
        <v>40122.19</v>
      </c>
      <c r="J13" s="54">
        <f t="shared" si="5"/>
        <v>16753.75</v>
      </c>
      <c r="K13" s="54">
        <f t="shared" si="6"/>
        <v>117276.25</v>
      </c>
      <c r="L13" s="54">
        <v>0</v>
      </c>
      <c r="M13" s="54">
        <f t="shared" si="7"/>
        <v>33507.5</v>
      </c>
      <c r="N13" s="54">
        <v>0</v>
      </c>
      <c r="O13" s="54">
        <f t="shared" si="8"/>
        <v>3350.75</v>
      </c>
      <c r="P13" s="54">
        <v>20000</v>
      </c>
      <c r="Q13" s="54">
        <v>0</v>
      </c>
      <c r="R13" s="55">
        <f t="shared" si="1"/>
        <v>367553.5025</v>
      </c>
      <c r="S13" s="55"/>
      <c r="T13" s="55">
        <v>15548.33</v>
      </c>
      <c r="U13" s="55">
        <f t="shared" si="2"/>
        <v>15548.33</v>
      </c>
      <c r="V13" s="55">
        <v>352005.17</v>
      </c>
      <c r="W13" s="148">
        <f t="shared" si="0"/>
        <v>352005.17249999999</v>
      </c>
    </row>
    <row r="14" spans="1:23" ht="20.100000000000001" customHeight="1" x14ac:dyDescent="0.3">
      <c r="A14" s="180" t="s">
        <v>49</v>
      </c>
      <c r="B14" s="181"/>
      <c r="C14" s="56" t="s">
        <v>50</v>
      </c>
      <c r="D14" s="58" t="s">
        <v>46</v>
      </c>
      <c r="E14" s="54">
        <f>E76</f>
        <v>33507.5</v>
      </c>
      <c r="F14" s="90"/>
      <c r="G14" s="54">
        <f>E14*300%</f>
        <v>100522.5</v>
      </c>
      <c r="H14" s="54">
        <f>E14*7.5%</f>
        <v>2513.0625</v>
      </c>
      <c r="I14" s="54">
        <f>I75</f>
        <v>40122.19</v>
      </c>
      <c r="J14" s="54">
        <f>E14*50%</f>
        <v>16753.75</v>
      </c>
      <c r="K14" s="54">
        <f>E14*350%</f>
        <v>117276.25</v>
      </c>
      <c r="L14" s="54">
        <v>0</v>
      </c>
      <c r="M14" s="54">
        <f>E14*100%</f>
        <v>33507.5</v>
      </c>
      <c r="N14" s="54">
        <v>0</v>
      </c>
      <c r="O14" s="54">
        <f>E14*10%</f>
        <v>3350.75</v>
      </c>
      <c r="P14" s="54">
        <v>20000</v>
      </c>
      <c r="Q14" s="54">
        <v>0</v>
      </c>
      <c r="R14" s="55">
        <f t="shared" si="1"/>
        <v>367553.5025</v>
      </c>
      <c r="S14" s="54"/>
      <c r="T14" s="55">
        <v>15548.33</v>
      </c>
      <c r="U14" s="55">
        <f t="shared" si="2"/>
        <v>15548.33</v>
      </c>
      <c r="V14" s="55">
        <v>352005.17</v>
      </c>
      <c r="W14" s="148">
        <f t="shared" si="0"/>
        <v>352005.17249999999</v>
      </c>
    </row>
    <row r="15" spans="1:23" ht="20.100000000000001" customHeight="1" x14ac:dyDescent="0.3">
      <c r="A15" s="175" t="s">
        <v>51</v>
      </c>
      <c r="B15" s="176"/>
      <c r="C15" s="52" t="s">
        <v>52</v>
      </c>
      <c r="D15" s="53" t="s">
        <v>53</v>
      </c>
      <c r="E15" s="54">
        <v>32263.200000000001</v>
      </c>
      <c r="F15" s="90"/>
      <c r="G15" s="54">
        <f>E15*300%</f>
        <v>96789.6</v>
      </c>
      <c r="H15" s="54">
        <f>E15*7.5%</f>
        <v>2419.7399999999998</v>
      </c>
      <c r="I15" s="54">
        <v>40122.19</v>
      </c>
      <c r="J15" s="54">
        <f>E15*50%</f>
        <v>16131.6</v>
      </c>
      <c r="K15" s="54">
        <f>E15*350%</f>
        <v>112921.2</v>
      </c>
      <c r="L15" s="54">
        <v>0</v>
      </c>
      <c r="M15" s="54">
        <f>E15*100%</f>
        <v>32263.200000000001</v>
      </c>
      <c r="N15" s="54">
        <v>0</v>
      </c>
      <c r="O15" s="54">
        <f>E15*10%</f>
        <v>3226.32</v>
      </c>
      <c r="P15" s="54">
        <v>15000</v>
      </c>
      <c r="Q15" s="54">
        <v>0</v>
      </c>
      <c r="R15" s="55">
        <f>SUM(E15:Q15)</f>
        <v>351137.05000000005</v>
      </c>
      <c r="S15" s="55"/>
      <c r="T15" s="54">
        <v>15548.33</v>
      </c>
      <c r="U15" s="55">
        <f>T15+S15</f>
        <v>15548.33</v>
      </c>
      <c r="V15" s="55">
        <v>335588.72</v>
      </c>
      <c r="W15" s="148">
        <f>R15-U15</f>
        <v>335588.72000000003</v>
      </c>
    </row>
    <row r="16" spans="1:23" ht="20.100000000000001" customHeight="1" x14ac:dyDescent="0.3">
      <c r="A16" s="193" t="s">
        <v>54</v>
      </c>
      <c r="B16" s="194"/>
      <c r="C16" s="52" t="s">
        <v>55</v>
      </c>
      <c r="D16" s="58" t="s">
        <v>56</v>
      </c>
      <c r="E16" s="54">
        <f>E17</f>
        <v>24741.26</v>
      </c>
      <c r="F16" s="90"/>
      <c r="G16" s="54">
        <f t="shared" si="3"/>
        <v>74223.78</v>
      </c>
      <c r="H16" s="54">
        <f t="shared" si="4"/>
        <v>1855.5944999999997</v>
      </c>
      <c r="I16" s="54">
        <v>0</v>
      </c>
      <c r="J16" s="54">
        <f t="shared" si="5"/>
        <v>12370.63</v>
      </c>
      <c r="K16" s="54">
        <f t="shared" si="6"/>
        <v>86594.409999999989</v>
      </c>
      <c r="L16" s="54">
        <v>0</v>
      </c>
      <c r="M16" s="54">
        <f t="shared" si="7"/>
        <v>24741.26</v>
      </c>
      <c r="N16" s="54">
        <v>100000</v>
      </c>
      <c r="O16" s="54">
        <f t="shared" si="8"/>
        <v>2474.1260000000002</v>
      </c>
      <c r="P16" s="54">
        <v>15000</v>
      </c>
      <c r="Q16" s="54">
        <v>0</v>
      </c>
      <c r="R16" s="55">
        <f t="shared" si="1"/>
        <v>342001.06049999996</v>
      </c>
      <c r="S16" s="55"/>
      <c r="T16" s="55">
        <v>7709</v>
      </c>
      <c r="U16" s="55">
        <f t="shared" si="2"/>
        <v>7709</v>
      </c>
      <c r="V16" s="55">
        <v>334292.06</v>
      </c>
      <c r="W16" s="148">
        <f t="shared" si="0"/>
        <v>334292.06049999996</v>
      </c>
    </row>
    <row r="17" spans="1:23" ht="20.100000000000001" customHeight="1" x14ac:dyDescent="0.3">
      <c r="A17" s="174" t="s">
        <v>57</v>
      </c>
      <c r="B17" s="174"/>
      <c r="C17" s="52" t="s">
        <v>58</v>
      </c>
      <c r="D17" s="58" t="s">
        <v>56</v>
      </c>
      <c r="E17" s="54">
        <f>E77</f>
        <v>24741.26</v>
      </c>
      <c r="F17" s="90"/>
      <c r="G17" s="54">
        <f t="shared" si="3"/>
        <v>74223.78</v>
      </c>
      <c r="H17" s="54">
        <f t="shared" si="4"/>
        <v>1855.5944999999997</v>
      </c>
      <c r="I17" s="54">
        <v>0</v>
      </c>
      <c r="J17" s="54">
        <f t="shared" si="5"/>
        <v>12370.63</v>
      </c>
      <c r="K17" s="54">
        <f t="shared" si="6"/>
        <v>86594.409999999989</v>
      </c>
      <c r="L17" s="54">
        <v>0</v>
      </c>
      <c r="M17" s="54">
        <f t="shared" si="7"/>
        <v>24741.26</v>
      </c>
      <c r="N17" s="54">
        <v>0</v>
      </c>
      <c r="O17" s="54">
        <f t="shared" si="8"/>
        <v>2474.1260000000002</v>
      </c>
      <c r="P17" s="54">
        <v>15000</v>
      </c>
      <c r="Q17" s="54">
        <v>0</v>
      </c>
      <c r="R17" s="55">
        <f t="shared" si="1"/>
        <v>242001.06049999999</v>
      </c>
      <c r="S17" s="55"/>
      <c r="T17" s="55">
        <v>7709</v>
      </c>
      <c r="U17" s="55">
        <f t="shared" si="2"/>
        <v>7709</v>
      </c>
      <c r="V17" s="55">
        <v>234292.06</v>
      </c>
      <c r="W17" s="148">
        <f t="shared" si="0"/>
        <v>234292.06049999999</v>
      </c>
    </row>
    <row r="18" spans="1:23" ht="19.5" customHeight="1" x14ac:dyDescent="0.3">
      <c r="A18" s="193" t="s">
        <v>59</v>
      </c>
      <c r="B18" s="194"/>
      <c r="C18" s="52" t="s">
        <v>60</v>
      </c>
      <c r="D18" s="53" t="s">
        <v>61</v>
      </c>
      <c r="E18" s="54">
        <f>E82</f>
        <v>18281.64</v>
      </c>
      <c r="F18" s="90"/>
      <c r="G18" s="54">
        <f t="shared" si="3"/>
        <v>54844.92</v>
      </c>
      <c r="H18" s="54">
        <f t="shared" si="4"/>
        <v>1371.1229999999998</v>
      </c>
      <c r="I18" s="54">
        <v>0</v>
      </c>
      <c r="J18" s="54">
        <f t="shared" si="5"/>
        <v>9140.82</v>
      </c>
      <c r="K18" s="55">
        <f t="shared" si="6"/>
        <v>63985.74</v>
      </c>
      <c r="L18" s="54">
        <v>0</v>
      </c>
      <c r="M18" s="54">
        <f t="shared" si="7"/>
        <v>18281.64</v>
      </c>
      <c r="N18" s="54">
        <v>0</v>
      </c>
      <c r="O18" s="54">
        <f t="shared" si="8"/>
        <v>1828.164</v>
      </c>
      <c r="P18" s="54">
        <v>10000</v>
      </c>
      <c r="Q18" s="54">
        <v>0</v>
      </c>
      <c r="R18" s="55">
        <f t="shared" si="1"/>
        <v>177734.04699999996</v>
      </c>
      <c r="S18" s="55"/>
      <c r="T18" s="55">
        <v>3369.51</v>
      </c>
      <c r="U18" s="55">
        <f t="shared" si="2"/>
        <v>3369.51</v>
      </c>
      <c r="V18" s="55">
        <v>174364.54</v>
      </c>
      <c r="W18" s="148">
        <f t="shared" si="0"/>
        <v>174364.53699999995</v>
      </c>
    </row>
    <row r="19" spans="1:23" ht="19.5" customHeight="1" x14ac:dyDescent="0.3">
      <c r="A19" s="100" t="s">
        <v>62</v>
      </c>
      <c r="B19" s="102" t="s">
        <v>62</v>
      </c>
      <c r="C19" s="52" t="s">
        <v>63</v>
      </c>
      <c r="D19" s="53" t="s">
        <v>61</v>
      </c>
      <c r="E19" s="54">
        <f>E82</f>
        <v>18281.64</v>
      </c>
      <c r="F19" s="90"/>
      <c r="G19" s="54">
        <f t="shared" si="3"/>
        <v>54844.92</v>
      </c>
      <c r="H19" s="54">
        <f t="shared" si="4"/>
        <v>1371.1229999999998</v>
      </c>
      <c r="I19" s="54"/>
      <c r="J19" s="54">
        <f t="shared" si="5"/>
        <v>9140.82</v>
      </c>
      <c r="K19" s="55">
        <f t="shared" si="6"/>
        <v>63985.74</v>
      </c>
      <c r="L19" s="54"/>
      <c r="M19" s="54">
        <f t="shared" si="7"/>
        <v>18281.64</v>
      </c>
      <c r="N19" s="54">
        <v>0</v>
      </c>
      <c r="O19" s="54">
        <f t="shared" si="8"/>
        <v>1828.164</v>
      </c>
      <c r="P19" s="54">
        <v>10000</v>
      </c>
      <c r="Q19" s="54">
        <v>40000</v>
      </c>
      <c r="R19" s="55">
        <f t="shared" si="1"/>
        <v>217734.04699999996</v>
      </c>
      <c r="S19" s="55">
        <v>0</v>
      </c>
      <c r="T19" s="55">
        <v>3369.51</v>
      </c>
      <c r="U19" s="55">
        <f t="shared" si="2"/>
        <v>3369.51</v>
      </c>
      <c r="V19" s="55">
        <v>214364.54</v>
      </c>
      <c r="W19" s="148">
        <f t="shared" si="0"/>
        <v>214364.53699999995</v>
      </c>
    </row>
    <row r="20" spans="1:23" ht="19.5" customHeight="1" x14ac:dyDescent="0.3">
      <c r="A20" s="100" t="s">
        <v>64</v>
      </c>
      <c r="B20" s="102" t="s">
        <v>64</v>
      </c>
      <c r="C20" s="52" t="s">
        <v>58</v>
      </c>
      <c r="D20" s="53" t="s">
        <v>61</v>
      </c>
      <c r="E20" s="54">
        <f>E82</f>
        <v>18281.64</v>
      </c>
      <c r="F20" s="90"/>
      <c r="G20" s="54">
        <f t="shared" si="3"/>
        <v>54844.92</v>
      </c>
      <c r="H20" s="54">
        <f t="shared" si="4"/>
        <v>1371.1229999999998</v>
      </c>
      <c r="I20" s="54"/>
      <c r="J20" s="54">
        <f t="shared" si="5"/>
        <v>9140.82</v>
      </c>
      <c r="K20" s="55">
        <f t="shared" si="6"/>
        <v>63985.74</v>
      </c>
      <c r="L20" s="54"/>
      <c r="M20" s="54">
        <f t="shared" si="7"/>
        <v>18281.64</v>
      </c>
      <c r="N20" s="54"/>
      <c r="O20" s="54">
        <f t="shared" si="8"/>
        <v>1828.164</v>
      </c>
      <c r="P20" s="54">
        <v>10000</v>
      </c>
      <c r="Q20" s="54"/>
      <c r="R20" s="55">
        <f t="shared" si="1"/>
        <v>177734.04699999996</v>
      </c>
      <c r="S20" s="55"/>
      <c r="T20" s="55">
        <v>3369.51</v>
      </c>
      <c r="U20" s="55">
        <f t="shared" si="2"/>
        <v>3369.51</v>
      </c>
      <c r="V20" s="55">
        <v>174364.54</v>
      </c>
      <c r="W20" s="148">
        <f t="shared" si="0"/>
        <v>174364.53699999995</v>
      </c>
    </row>
    <row r="21" spans="1:23" ht="19.5" customHeight="1" x14ac:dyDescent="0.3">
      <c r="A21" s="100"/>
      <c r="B21" s="102" t="s">
        <v>65</v>
      </c>
      <c r="C21" s="52" t="s">
        <v>66</v>
      </c>
      <c r="D21" s="53" t="s">
        <v>61</v>
      </c>
      <c r="E21" s="54">
        <f>E82</f>
        <v>18281.64</v>
      </c>
      <c r="F21" s="90"/>
      <c r="G21" s="54">
        <f t="shared" si="3"/>
        <v>54844.92</v>
      </c>
      <c r="H21" s="54">
        <f t="shared" si="4"/>
        <v>1371.1229999999998</v>
      </c>
      <c r="I21" s="54"/>
      <c r="J21" s="54">
        <f t="shared" si="5"/>
        <v>9140.82</v>
      </c>
      <c r="K21" s="55">
        <f t="shared" si="6"/>
        <v>63985.74</v>
      </c>
      <c r="L21" s="54"/>
      <c r="M21" s="54">
        <f t="shared" si="7"/>
        <v>18281.64</v>
      </c>
      <c r="N21" s="54"/>
      <c r="O21" s="54">
        <f t="shared" si="8"/>
        <v>1828.164</v>
      </c>
      <c r="P21" s="54">
        <v>10000</v>
      </c>
      <c r="Q21" s="54"/>
      <c r="R21" s="55">
        <f t="shared" si="1"/>
        <v>177734.04699999996</v>
      </c>
      <c r="S21" s="55"/>
      <c r="T21" s="55">
        <v>3369.51</v>
      </c>
      <c r="U21" s="55">
        <f t="shared" si="2"/>
        <v>3369.51</v>
      </c>
      <c r="V21" s="55">
        <v>174364.54</v>
      </c>
      <c r="W21" s="148">
        <f t="shared" si="0"/>
        <v>174364.53699999995</v>
      </c>
    </row>
    <row r="22" spans="1:23" ht="19.5" customHeight="1" x14ac:dyDescent="0.3">
      <c r="A22" s="175" t="s">
        <v>67</v>
      </c>
      <c r="B22" s="176"/>
      <c r="C22" s="56" t="s">
        <v>68</v>
      </c>
      <c r="D22" s="57" t="s">
        <v>61</v>
      </c>
      <c r="E22" s="54">
        <f>E58</f>
        <v>18281.64</v>
      </c>
      <c r="F22" s="90"/>
      <c r="G22" s="54">
        <f>E22*300%</f>
        <v>54844.92</v>
      </c>
      <c r="H22" s="54">
        <f>E22*7.5%</f>
        <v>1371.1229999999998</v>
      </c>
      <c r="I22" s="54">
        <v>0</v>
      </c>
      <c r="J22" s="54">
        <f>E22*50%</f>
        <v>9140.82</v>
      </c>
      <c r="K22" s="55">
        <f>E22*350%</f>
        <v>63985.74</v>
      </c>
      <c r="L22" s="54">
        <v>0</v>
      </c>
      <c r="M22" s="54">
        <f>E22*100%</f>
        <v>18281.64</v>
      </c>
      <c r="N22" s="54">
        <v>0</v>
      </c>
      <c r="O22" s="54">
        <f>E22*10%</f>
        <v>1828.164</v>
      </c>
      <c r="P22" s="54">
        <v>10000</v>
      </c>
      <c r="Q22" s="54">
        <v>0</v>
      </c>
      <c r="R22" s="55">
        <f>SUM(E22:Q22)</f>
        <v>177734.04699999996</v>
      </c>
      <c r="S22" s="55"/>
      <c r="T22" s="54">
        <v>3369.51</v>
      </c>
      <c r="U22" s="55">
        <f>T22+S22</f>
        <v>3369.51</v>
      </c>
      <c r="V22" s="55">
        <v>174364.54</v>
      </c>
      <c r="W22" s="148">
        <f>R22-U22</f>
        <v>174364.53699999995</v>
      </c>
    </row>
    <row r="23" spans="1:23" ht="20.100000000000001" customHeight="1" x14ac:dyDescent="0.3">
      <c r="A23" s="180" t="s">
        <v>69</v>
      </c>
      <c r="B23" s="181"/>
      <c r="C23" s="56" t="s">
        <v>70</v>
      </c>
      <c r="D23" s="57" t="s">
        <v>71</v>
      </c>
      <c r="E23" s="54">
        <v>13112.16</v>
      </c>
      <c r="F23" s="90"/>
      <c r="G23" s="54">
        <f>E23*300%</f>
        <v>39336.479999999996</v>
      </c>
      <c r="H23" s="54">
        <f>E23*7.5%</f>
        <v>983.41199999999992</v>
      </c>
      <c r="I23" s="54">
        <v>0</v>
      </c>
      <c r="J23" s="54">
        <f>E23*50%</f>
        <v>6556.08</v>
      </c>
      <c r="K23" s="55">
        <f>E23*350%</f>
        <v>45892.56</v>
      </c>
      <c r="L23" s="54">
        <v>0</v>
      </c>
      <c r="M23" s="54">
        <f>E23*100%</f>
        <v>13112.16</v>
      </c>
      <c r="N23" s="54">
        <v>0</v>
      </c>
      <c r="O23" s="54">
        <f>E23*10%</f>
        <v>1311.2160000000001</v>
      </c>
      <c r="P23" s="54">
        <v>10000</v>
      </c>
      <c r="Q23" s="54">
        <v>0</v>
      </c>
      <c r="R23" s="55">
        <f t="shared" si="1"/>
        <v>130304.068</v>
      </c>
      <c r="S23" s="55">
        <v>0</v>
      </c>
      <c r="T23" s="54">
        <v>1484.37</v>
      </c>
      <c r="U23" s="55">
        <f t="shared" si="2"/>
        <v>1484.37</v>
      </c>
      <c r="V23" s="55">
        <v>128819.7</v>
      </c>
      <c r="W23" s="148">
        <f t="shared" si="0"/>
        <v>128819.698</v>
      </c>
    </row>
    <row r="24" spans="1:23" ht="20.100000000000001" customHeight="1" x14ac:dyDescent="0.3">
      <c r="A24" s="185" t="s">
        <v>72</v>
      </c>
      <c r="B24" s="185"/>
      <c r="C24" s="56" t="s">
        <v>73</v>
      </c>
      <c r="D24" s="57" t="s">
        <v>71</v>
      </c>
      <c r="E24" s="54">
        <v>13112.16</v>
      </c>
      <c r="F24" s="90"/>
      <c r="G24" s="54">
        <f t="shared" si="3"/>
        <v>39336.479999999996</v>
      </c>
      <c r="H24" s="54">
        <f t="shared" si="4"/>
        <v>983.41199999999992</v>
      </c>
      <c r="I24" s="55">
        <v>0</v>
      </c>
      <c r="J24" s="54">
        <f t="shared" si="5"/>
        <v>6556.08</v>
      </c>
      <c r="K24" s="55">
        <f t="shared" si="6"/>
        <v>45892.56</v>
      </c>
      <c r="L24" s="54">
        <v>0</v>
      </c>
      <c r="M24" s="54">
        <f t="shared" si="7"/>
        <v>13112.16</v>
      </c>
      <c r="N24" s="54">
        <v>0</v>
      </c>
      <c r="O24" s="54">
        <f t="shared" si="8"/>
        <v>1311.2160000000001</v>
      </c>
      <c r="P24" s="54">
        <v>10000</v>
      </c>
      <c r="Q24" s="54">
        <v>0</v>
      </c>
      <c r="R24" s="55">
        <f t="shared" si="1"/>
        <v>130304.068</v>
      </c>
      <c r="S24" s="55"/>
      <c r="T24" s="54">
        <v>1484.37</v>
      </c>
      <c r="U24" s="55">
        <f t="shared" si="2"/>
        <v>1484.37</v>
      </c>
      <c r="V24" s="55">
        <v>128819.7</v>
      </c>
      <c r="W24" s="148">
        <f t="shared" si="0"/>
        <v>128819.698</v>
      </c>
    </row>
    <row r="25" spans="1:23" ht="20.100000000000001" customHeight="1" x14ac:dyDescent="0.3">
      <c r="A25" s="175" t="s">
        <v>74</v>
      </c>
      <c r="B25" s="176"/>
      <c r="C25" s="56" t="s">
        <v>75</v>
      </c>
      <c r="D25" s="57" t="s">
        <v>71</v>
      </c>
      <c r="E25" s="54">
        <v>13112.16</v>
      </c>
      <c r="F25" s="90"/>
      <c r="G25" s="54">
        <f t="shared" si="3"/>
        <v>39336.479999999996</v>
      </c>
      <c r="H25" s="54">
        <f t="shared" si="4"/>
        <v>983.41199999999992</v>
      </c>
      <c r="I25" s="55">
        <v>0</v>
      </c>
      <c r="J25" s="54">
        <f t="shared" si="5"/>
        <v>6556.08</v>
      </c>
      <c r="K25" s="55">
        <f t="shared" si="6"/>
        <v>45892.56</v>
      </c>
      <c r="L25" s="54">
        <v>0</v>
      </c>
      <c r="M25" s="54">
        <f t="shared" si="7"/>
        <v>13112.16</v>
      </c>
      <c r="N25" s="54">
        <v>0</v>
      </c>
      <c r="O25" s="54">
        <f t="shared" si="8"/>
        <v>1311.2160000000001</v>
      </c>
      <c r="P25" s="54">
        <v>10000</v>
      </c>
      <c r="Q25" s="54">
        <v>0</v>
      </c>
      <c r="R25" s="55">
        <f t="shared" si="1"/>
        <v>130304.068</v>
      </c>
      <c r="S25" s="55"/>
      <c r="T25" s="54">
        <v>1484.37</v>
      </c>
      <c r="U25" s="55">
        <f t="shared" si="2"/>
        <v>1484.37</v>
      </c>
      <c r="V25" s="55">
        <v>128819.7</v>
      </c>
      <c r="W25" s="148">
        <f t="shared" si="0"/>
        <v>128819.698</v>
      </c>
    </row>
    <row r="26" spans="1:23" ht="20.100000000000001" customHeight="1" x14ac:dyDescent="0.3">
      <c r="A26" s="175" t="s">
        <v>76</v>
      </c>
      <c r="B26" s="176"/>
      <c r="C26" s="56" t="s">
        <v>75</v>
      </c>
      <c r="D26" s="57" t="s">
        <v>71</v>
      </c>
      <c r="E26" s="54">
        <v>13112.16</v>
      </c>
      <c r="F26" s="90"/>
      <c r="G26" s="54">
        <f t="shared" si="3"/>
        <v>39336.479999999996</v>
      </c>
      <c r="H26" s="54">
        <f t="shared" si="4"/>
        <v>983.41199999999992</v>
      </c>
      <c r="I26" s="55">
        <v>0</v>
      </c>
      <c r="J26" s="54">
        <f t="shared" si="5"/>
        <v>6556.08</v>
      </c>
      <c r="K26" s="55">
        <f t="shared" si="6"/>
        <v>45892.56</v>
      </c>
      <c r="L26" s="54">
        <v>0</v>
      </c>
      <c r="M26" s="54">
        <f t="shared" si="7"/>
        <v>13112.16</v>
      </c>
      <c r="N26" s="54">
        <v>0</v>
      </c>
      <c r="O26" s="54">
        <f t="shared" si="8"/>
        <v>1311.2160000000001</v>
      </c>
      <c r="P26" s="54">
        <v>10000</v>
      </c>
      <c r="Q26" s="54">
        <v>0</v>
      </c>
      <c r="R26" s="55">
        <f t="shared" si="1"/>
        <v>130304.068</v>
      </c>
      <c r="S26" s="55"/>
      <c r="T26" s="54">
        <v>1484.37</v>
      </c>
      <c r="U26" s="55">
        <f t="shared" si="2"/>
        <v>1484.37</v>
      </c>
      <c r="V26" s="55">
        <v>128819.7</v>
      </c>
      <c r="W26" s="148">
        <f t="shared" si="0"/>
        <v>128819.698</v>
      </c>
    </row>
    <row r="27" spans="1:23" ht="20.100000000000001" customHeight="1" x14ac:dyDescent="0.3">
      <c r="A27" s="175" t="s">
        <v>77</v>
      </c>
      <c r="B27" s="176"/>
      <c r="C27" s="56" t="s">
        <v>78</v>
      </c>
      <c r="D27" s="57" t="s">
        <v>71</v>
      </c>
      <c r="E27" s="54">
        <v>13112.16</v>
      </c>
      <c r="F27" s="90"/>
      <c r="G27" s="54">
        <f t="shared" si="3"/>
        <v>39336.479999999996</v>
      </c>
      <c r="H27" s="54">
        <f t="shared" si="4"/>
        <v>983.41199999999992</v>
      </c>
      <c r="I27" s="55">
        <v>0</v>
      </c>
      <c r="J27" s="54">
        <f t="shared" si="5"/>
        <v>6556.08</v>
      </c>
      <c r="K27" s="55">
        <f t="shared" si="6"/>
        <v>45892.56</v>
      </c>
      <c r="L27" s="54">
        <v>0</v>
      </c>
      <c r="M27" s="54">
        <f t="shared" si="7"/>
        <v>13112.16</v>
      </c>
      <c r="N27" s="54">
        <v>0</v>
      </c>
      <c r="O27" s="54">
        <f t="shared" si="8"/>
        <v>1311.2160000000001</v>
      </c>
      <c r="P27" s="54">
        <v>10000</v>
      </c>
      <c r="Q27" s="54">
        <v>0</v>
      </c>
      <c r="R27" s="55">
        <f t="shared" si="1"/>
        <v>130304.068</v>
      </c>
      <c r="S27" s="55">
        <v>0</v>
      </c>
      <c r="T27" s="54">
        <v>1484.37</v>
      </c>
      <c r="U27" s="55">
        <f t="shared" si="2"/>
        <v>1484.37</v>
      </c>
      <c r="V27" s="55">
        <v>128819.7</v>
      </c>
      <c r="W27" s="148">
        <f t="shared" si="0"/>
        <v>128819.698</v>
      </c>
    </row>
    <row r="28" spans="1:23" ht="20.100000000000001" customHeight="1" x14ac:dyDescent="0.3">
      <c r="A28" s="175" t="s">
        <v>79</v>
      </c>
      <c r="B28" s="176"/>
      <c r="C28" s="56" t="s">
        <v>80</v>
      </c>
      <c r="D28" s="57" t="s">
        <v>71</v>
      </c>
      <c r="E28" s="54">
        <v>13112.16</v>
      </c>
      <c r="F28" s="90"/>
      <c r="G28" s="54">
        <f t="shared" si="3"/>
        <v>39336.479999999996</v>
      </c>
      <c r="H28" s="54">
        <f t="shared" si="4"/>
        <v>983.41199999999992</v>
      </c>
      <c r="I28" s="55"/>
      <c r="J28" s="54">
        <f t="shared" si="5"/>
        <v>6556.08</v>
      </c>
      <c r="K28" s="55">
        <f t="shared" si="6"/>
        <v>45892.56</v>
      </c>
      <c r="L28" s="54"/>
      <c r="M28" s="54">
        <f t="shared" si="7"/>
        <v>13112.16</v>
      </c>
      <c r="N28" s="54"/>
      <c r="O28" s="54">
        <f t="shared" si="8"/>
        <v>1311.2160000000001</v>
      </c>
      <c r="P28" s="54">
        <v>10000</v>
      </c>
      <c r="Q28" s="54"/>
      <c r="R28" s="55">
        <f t="shared" si="1"/>
        <v>130304.068</v>
      </c>
      <c r="S28" s="55"/>
      <c r="T28" s="54">
        <v>1484.37</v>
      </c>
      <c r="U28" s="55">
        <f t="shared" si="2"/>
        <v>1484.37</v>
      </c>
      <c r="V28" s="55">
        <v>128819.7</v>
      </c>
      <c r="W28" s="148">
        <f t="shared" si="0"/>
        <v>128819.698</v>
      </c>
    </row>
    <row r="29" spans="1:23" ht="18.75" customHeight="1" x14ac:dyDescent="0.3">
      <c r="A29" s="191" t="s">
        <v>32</v>
      </c>
      <c r="B29" s="191"/>
      <c r="C29" s="63">
        <v>20</v>
      </c>
      <c r="D29" s="53"/>
      <c r="E29" s="64">
        <f t="shared" ref="E29:W29" si="9">SUM(E9:E28)</f>
        <v>596648.99000000022</v>
      </c>
      <c r="F29" s="64">
        <f t="shared" si="9"/>
        <v>113529.57</v>
      </c>
      <c r="G29" s="64">
        <f t="shared" si="9"/>
        <v>1629458.2199999995</v>
      </c>
      <c r="H29" s="64">
        <f t="shared" si="9"/>
        <v>80858.648000000016</v>
      </c>
      <c r="I29" s="64">
        <f t="shared" si="9"/>
        <v>361099.71</v>
      </c>
      <c r="J29" s="64">
        <f t="shared" si="9"/>
        <v>290300.06000000011</v>
      </c>
      <c r="K29" s="64">
        <f t="shared" si="9"/>
        <v>2008027.09</v>
      </c>
      <c r="L29" s="64">
        <f t="shared" si="9"/>
        <v>40122.19</v>
      </c>
      <c r="M29" s="64">
        <f t="shared" si="9"/>
        <v>556526.81000000006</v>
      </c>
      <c r="N29" s="64">
        <f t="shared" si="9"/>
        <v>350000</v>
      </c>
      <c r="O29" s="64">
        <f t="shared" si="9"/>
        <v>59664.903999999988</v>
      </c>
      <c r="P29" s="64">
        <f t="shared" si="9"/>
        <v>280000</v>
      </c>
      <c r="Q29" s="64">
        <f t="shared" si="9"/>
        <v>165235</v>
      </c>
      <c r="R29" s="64">
        <f t="shared" si="9"/>
        <v>6531471.1919999998</v>
      </c>
      <c r="S29" s="64">
        <f t="shared" si="9"/>
        <v>0</v>
      </c>
      <c r="T29" s="64">
        <f t="shared" si="9"/>
        <v>259778.23999999996</v>
      </c>
      <c r="U29" s="64">
        <f t="shared" si="9"/>
        <v>259778.23999999996</v>
      </c>
      <c r="V29" s="64">
        <f t="shared" si="9"/>
        <v>6044633.8300000019</v>
      </c>
      <c r="W29" s="149">
        <f t="shared" si="9"/>
        <v>6271692.9519999968</v>
      </c>
    </row>
    <row r="30" spans="1:23" ht="19.5" hidden="1" customHeight="1" x14ac:dyDescent="0.3">
      <c r="A30" s="177"/>
      <c r="B30" s="177"/>
      <c r="C30" s="52"/>
      <c r="D30" s="53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55">
        <f>SUM(S30:T30)*0.075</f>
        <v>0</v>
      </c>
      <c r="V30" s="55"/>
      <c r="W30" s="148"/>
    </row>
    <row r="31" spans="1:23" ht="19.5" customHeight="1" x14ac:dyDescent="0.3">
      <c r="A31" s="198"/>
      <c r="B31" s="199"/>
      <c r="C31" s="52"/>
      <c r="D31" s="53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55">
        <f>SUM(S31:T31)*0.075</f>
        <v>0</v>
      </c>
      <c r="V31" s="55"/>
      <c r="W31" s="148"/>
    </row>
    <row r="32" spans="1:23" ht="20.100000000000001" customHeight="1" x14ac:dyDescent="0.3">
      <c r="A32" s="178" t="s">
        <v>81</v>
      </c>
      <c r="B32" s="178"/>
      <c r="C32" s="65"/>
      <c r="D32" s="66"/>
      <c r="E32" s="64"/>
      <c r="F32" s="64"/>
      <c r="G32" s="64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67"/>
      <c r="S32" s="67"/>
      <c r="T32" s="67"/>
      <c r="U32" s="55">
        <f>SUM(S32:T32)*0.075</f>
        <v>0</v>
      </c>
      <c r="V32" s="55"/>
      <c r="W32" s="148"/>
    </row>
    <row r="33" spans="1:23" ht="20.100000000000001" customHeight="1" x14ac:dyDescent="0.3">
      <c r="A33" s="175" t="s">
        <v>82</v>
      </c>
      <c r="B33" s="176"/>
      <c r="C33" s="56" t="s">
        <v>83</v>
      </c>
      <c r="D33" s="57" t="s">
        <v>84</v>
      </c>
      <c r="E33" s="54">
        <f>E71</f>
        <v>81740.02</v>
      </c>
      <c r="F33" s="88"/>
      <c r="G33" s="54">
        <f t="shared" ref="G33:G38" si="10">E33*300%</f>
        <v>245220.06</v>
      </c>
      <c r="H33" s="54">
        <f t="shared" ref="H33:H38" si="11">E33*7.5%</f>
        <v>6130.5015000000003</v>
      </c>
      <c r="I33" s="54">
        <v>80244.38</v>
      </c>
      <c r="J33" s="54">
        <f t="shared" ref="J33:J38" si="12">E33*50%</f>
        <v>40870.01</v>
      </c>
      <c r="K33" s="54">
        <f t="shared" ref="K33:K38" si="13">E33*350%</f>
        <v>286090.07</v>
      </c>
      <c r="L33" s="54">
        <v>0</v>
      </c>
      <c r="M33" s="54">
        <f t="shared" ref="M33:M38" si="14">E33*100%</f>
        <v>81740.02</v>
      </c>
      <c r="N33" s="54">
        <v>150000</v>
      </c>
      <c r="O33" s="54">
        <f t="shared" ref="O33:O38" si="15">E33*10%</f>
        <v>8174.0020000000004</v>
      </c>
      <c r="P33" s="54">
        <v>20000</v>
      </c>
      <c r="Q33" s="54">
        <v>0</v>
      </c>
      <c r="R33" s="55">
        <f t="shared" ref="R33:R38" si="16">SUM(E33:Q33)</f>
        <v>1000209.0635</v>
      </c>
      <c r="S33" s="55"/>
      <c r="T33" s="54">
        <v>52776.63</v>
      </c>
      <c r="U33" s="55">
        <f t="shared" ref="U33:U38" si="17">T33+S33</f>
        <v>52776.63</v>
      </c>
      <c r="V33" s="55">
        <v>947432.43</v>
      </c>
      <c r="W33" s="148">
        <f t="shared" ref="W33:W38" si="18">R33-U33</f>
        <v>947432.43350000004</v>
      </c>
    </row>
    <row r="34" spans="1:23" ht="20.100000000000001" customHeight="1" x14ac:dyDescent="0.3">
      <c r="A34" s="175" t="s">
        <v>85</v>
      </c>
      <c r="B34" s="176"/>
      <c r="C34" s="56" t="s">
        <v>86</v>
      </c>
      <c r="D34" s="57" t="s">
        <v>40</v>
      </c>
      <c r="E34" s="54">
        <f>E43</f>
        <v>42653.17</v>
      </c>
      <c r="F34" s="90"/>
      <c r="G34" s="54">
        <f t="shared" si="10"/>
        <v>127959.51</v>
      </c>
      <c r="H34" s="54">
        <f t="shared" si="11"/>
        <v>3198.9877499999998</v>
      </c>
      <c r="I34" s="54">
        <f>I12</f>
        <v>40122.19</v>
      </c>
      <c r="J34" s="54">
        <f t="shared" si="12"/>
        <v>21326.584999999999</v>
      </c>
      <c r="K34" s="54">
        <f t="shared" si="13"/>
        <v>149286.095</v>
      </c>
      <c r="L34" s="54">
        <v>0</v>
      </c>
      <c r="M34" s="54">
        <f t="shared" si="14"/>
        <v>42653.17</v>
      </c>
      <c r="N34" s="54">
        <v>100000</v>
      </c>
      <c r="O34" s="54">
        <f t="shared" si="15"/>
        <v>4265.317</v>
      </c>
      <c r="P34" s="54">
        <v>20000</v>
      </c>
      <c r="Q34" s="54">
        <v>0</v>
      </c>
      <c r="R34" s="55">
        <f t="shared" si="16"/>
        <v>551465.0247500001</v>
      </c>
      <c r="S34" s="55"/>
      <c r="T34" s="54">
        <v>21618.09</v>
      </c>
      <c r="U34" s="55">
        <f t="shared" si="17"/>
        <v>21618.09</v>
      </c>
      <c r="V34" s="55">
        <v>529846.93000000005</v>
      </c>
      <c r="W34" s="148">
        <f t="shared" si="18"/>
        <v>529846.93475000013</v>
      </c>
    </row>
    <row r="35" spans="1:23" ht="20.100000000000001" customHeight="1" x14ac:dyDescent="0.3">
      <c r="A35" s="175" t="s">
        <v>87</v>
      </c>
      <c r="B35" s="176"/>
      <c r="C35" s="52" t="s">
        <v>52</v>
      </c>
      <c r="D35" s="53" t="s">
        <v>56</v>
      </c>
      <c r="E35" s="54">
        <f>E51</f>
        <v>24741.26</v>
      </c>
      <c r="F35" s="90"/>
      <c r="G35" s="54">
        <f t="shared" si="10"/>
        <v>74223.78</v>
      </c>
      <c r="H35" s="54">
        <f t="shared" si="11"/>
        <v>1855.5944999999997</v>
      </c>
      <c r="I35" s="54">
        <f>I57</f>
        <v>0</v>
      </c>
      <c r="J35" s="54">
        <f t="shared" si="12"/>
        <v>12370.63</v>
      </c>
      <c r="K35" s="54">
        <f t="shared" si="13"/>
        <v>86594.409999999989</v>
      </c>
      <c r="L35" s="54">
        <v>0</v>
      </c>
      <c r="M35" s="54">
        <f t="shared" si="14"/>
        <v>24741.26</v>
      </c>
      <c r="N35" s="54">
        <v>80000</v>
      </c>
      <c r="O35" s="54">
        <f t="shared" si="15"/>
        <v>2474.1260000000002</v>
      </c>
      <c r="P35" s="54">
        <v>15000</v>
      </c>
      <c r="Q35" s="54">
        <v>0</v>
      </c>
      <c r="R35" s="55">
        <f t="shared" si="16"/>
        <v>322001.06049999996</v>
      </c>
      <c r="S35" s="55"/>
      <c r="T35" s="54">
        <v>7709.76</v>
      </c>
      <c r="U35" s="55">
        <f t="shared" si="17"/>
        <v>7709.76</v>
      </c>
      <c r="V35" s="55">
        <v>314291.3</v>
      </c>
      <c r="W35" s="148">
        <f t="shared" si="18"/>
        <v>314291.30049999995</v>
      </c>
    </row>
    <row r="36" spans="1:23" ht="20.100000000000001" customHeight="1" x14ac:dyDescent="0.3">
      <c r="A36" s="175" t="s">
        <v>88</v>
      </c>
      <c r="B36" s="176"/>
      <c r="C36" s="52" t="s">
        <v>89</v>
      </c>
      <c r="D36" s="53" t="s">
        <v>61</v>
      </c>
      <c r="E36" s="54">
        <f>E82</f>
        <v>18281.64</v>
      </c>
      <c r="F36" s="90"/>
      <c r="G36" s="54">
        <f t="shared" si="10"/>
        <v>54844.92</v>
      </c>
      <c r="H36" s="54">
        <f t="shared" si="11"/>
        <v>1371.1229999999998</v>
      </c>
      <c r="I36" s="54">
        <v>0</v>
      </c>
      <c r="J36" s="54">
        <f t="shared" si="12"/>
        <v>9140.82</v>
      </c>
      <c r="K36" s="54">
        <f t="shared" si="13"/>
        <v>63985.74</v>
      </c>
      <c r="L36" s="54">
        <v>0</v>
      </c>
      <c r="M36" s="54">
        <f t="shared" si="14"/>
        <v>18281.64</v>
      </c>
      <c r="N36" s="54">
        <v>40000</v>
      </c>
      <c r="O36" s="54">
        <f t="shared" si="15"/>
        <v>1828.164</v>
      </c>
      <c r="P36" s="54">
        <v>10000</v>
      </c>
      <c r="Q36" s="54">
        <v>0</v>
      </c>
      <c r="R36" s="55">
        <f t="shared" si="16"/>
        <v>217734.04699999996</v>
      </c>
      <c r="S36" s="55"/>
      <c r="T36" s="54">
        <v>3369.51</v>
      </c>
      <c r="U36" s="55">
        <f t="shared" si="17"/>
        <v>3369.51</v>
      </c>
      <c r="V36" s="55">
        <v>214364.54</v>
      </c>
      <c r="W36" s="148">
        <f t="shared" si="18"/>
        <v>214364.53699999995</v>
      </c>
    </row>
    <row r="37" spans="1:23" ht="20.100000000000001" customHeight="1" x14ac:dyDescent="0.3">
      <c r="A37" s="61" t="s">
        <v>90</v>
      </c>
      <c r="B37" s="62" t="s">
        <v>90</v>
      </c>
      <c r="C37" s="52" t="s">
        <v>89</v>
      </c>
      <c r="D37" s="53" t="s">
        <v>61</v>
      </c>
      <c r="E37" s="54">
        <f>E82</f>
        <v>18281.64</v>
      </c>
      <c r="F37" s="90"/>
      <c r="G37" s="54">
        <f t="shared" si="10"/>
        <v>54844.92</v>
      </c>
      <c r="H37" s="54">
        <f t="shared" si="11"/>
        <v>1371.1229999999998</v>
      </c>
      <c r="I37" s="54">
        <v>0</v>
      </c>
      <c r="J37" s="54">
        <f t="shared" si="12"/>
        <v>9140.82</v>
      </c>
      <c r="K37" s="54">
        <f t="shared" si="13"/>
        <v>63985.74</v>
      </c>
      <c r="L37" s="54">
        <v>0</v>
      </c>
      <c r="M37" s="54">
        <f t="shared" si="14"/>
        <v>18281.64</v>
      </c>
      <c r="N37" s="54">
        <v>40000</v>
      </c>
      <c r="O37" s="54">
        <f t="shared" si="15"/>
        <v>1828.164</v>
      </c>
      <c r="P37" s="54">
        <v>10000</v>
      </c>
      <c r="Q37" s="54">
        <v>0</v>
      </c>
      <c r="R37" s="55">
        <f t="shared" si="16"/>
        <v>217734.04699999996</v>
      </c>
      <c r="S37" s="55"/>
      <c r="T37" s="54">
        <v>3369.51</v>
      </c>
      <c r="U37" s="55">
        <f t="shared" si="17"/>
        <v>3369.51</v>
      </c>
      <c r="V37" s="55">
        <v>214364.54</v>
      </c>
      <c r="W37" s="148">
        <f t="shared" si="18"/>
        <v>214364.53699999995</v>
      </c>
    </row>
    <row r="38" spans="1:23" ht="20.100000000000001" customHeight="1" x14ac:dyDescent="0.3">
      <c r="A38" s="175" t="s">
        <v>91</v>
      </c>
      <c r="B38" s="176"/>
      <c r="C38" s="52" t="s">
        <v>92</v>
      </c>
      <c r="D38" s="53" t="s">
        <v>93</v>
      </c>
      <c r="E38" s="54">
        <v>15641.2</v>
      </c>
      <c r="F38" s="90"/>
      <c r="G38" s="54">
        <f t="shared" si="10"/>
        <v>46923.600000000006</v>
      </c>
      <c r="H38" s="54">
        <f t="shared" si="11"/>
        <v>1173.0899999999999</v>
      </c>
      <c r="I38" s="54">
        <f>I24</f>
        <v>0</v>
      </c>
      <c r="J38" s="54">
        <f t="shared" si="12"/>
        <v>7820.6</v>
      </c>
      <c r="K38" s="54">
        <f t="shared" si="13"/>
        <v>54744.200000000004</v>
      </c>
      <c r="L38" s="54">
        <v>0</v>
      </c>
      <c r="M38" s="54">
        <f t="shared" si="14"/>
        <v>15641.2</v>
      </c>
      <c r="N38" s="54">
        <v>40000</v>
      </c>
      <c r="O38" s="54">
        <f t="shared" si="15"/>
        <v>1564.1200000000001</v>
      </c>
      <c r="P38" s="54">
        <v>10000</v>
      </c>
      <c r="Q38" s="54">
        <v>0</v>
      </c>
      <c r="R38" s="55">
        <f t="shared" si="16"/>
        <v>193508.01</v>
      </c>
      <c r="S38" s="55">
        <v>0</v>
      </c>
      <c r="T38" s="54">
        <v>2443.88</v>
      </c>
      <c r="U38" s="55">
        <f t="shared" si="17"/>
        <v>2443.88</v>
      </c>
      <c r="V38" s="55">
        <v>191064.13</v>
      </c>
      <c r="W38" s="148">
        <f t="shared" si="18"/>
        <v>191064.13</v>
      </c>
    </row>
    <row r="39" spans="1:23" ht="20.100000000000001" customHeight="1" x14ac:dyDescent="0.3">
      <c r="A39" s="192" t="s">
        <v>32</v>
      </c>
      <c r="B39" s="192"/>
      <c r="C39" s="63">
        <v>6</v>
      </c>
      <c r="D39" s="63"/>
      <c r="E39" s="68">
        <f>SUM(E33:E38)</f>
        <v>201338.93000000005</v>
      </c>
      <c r="F39" s="68">
        <f t="shared" ref="F39:W39" si="19">SUM(F33:F38)</f>
        <v>0</v>
      </c>
      <c r="G39" s="68">
        <f t="shared" si="19"/>
        <v>604016.78999999992</v>
      </c>
      <c r="H39" s="68">
        <f t="shared" si="19"/>
        <v>15100.419749999999</v>
      </c>
      <c r="I39" s="68">
        <f t="shared" si="19"/>
        <v>120366.57</v>
      </c>
      <c r="J39" s="68">
        <f t="shared" si="19"/>
        <v>100669.46500000003</v>
      </c>
      <c r="K39" s="68">
        <f t="shared" si="19"/>
        <v>704686.255</v>
      </c>
      <c r="L39" s="68">
        <f t="shared" si="19"/>
        <v>0</v>
      </c>
      <c r="M39" s="68">
        <f t="shared" si="19"/>
        <v>201338.93000000005</v>
      </c>
      <c r="N39" s="68">
        <f t="shared" si="19"/>
        <v>450000</v>
      </c>
      <c r="O39" s="68">
        <f t="shared" si="19"/>
        <v>20133.893</v>
      </c>
      <c r="P39" s="68">
        <f t="shared" si="19"/>
        <v>85000</v>
      </c>
      <c r="Q39" s="68">
        <f t="shared" si="19"/>
        <v>0</v>
      </c>
      <c r="R39" s="68">
        <f t="shared" si="19"/>
        <v>2502651.25275</v>
      </c>
      <c r="S39" s="68">
        <f t="shared" si="19"/>
        <v>0</v>
      </c>
      <c r="T39" s="68">
        <f t="shared" si="19"/>
        <v>91287.37999999999</v>
      </c>
      <c r="U39" s="68">
        <f t="shared" si="19"/>
        <v>91287.37999999999</v>
      </c>
      <c r="V39" s="68">
        <f t="shared" si="19"/>
        <v>2411363.87</v>
      </c>
      <c r="W39" s="150">
        <f t="shared" si="19"/>
        <v>2411363.8727500001</v>
      </c>
    </row>
    <row r="40" spans="1:23" ht="20.100000000000001" customHeight="1" x14ac:dyDescent="0.3">
      <c r="A40" s="187"/>
      <c r="B40" s="188"/>
      <c r="C40" s="63"/>
      <c r="D40" s="63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9"/>
      <c r="S40" s="69"/>
      <c r="T40" s="68"/>
      <c r="U40" s="55">
        <f>SUM(S40:T40)*0.075</f>
        <v>0</v>
      </c>
      <c r="V40" s="55"/>
      <c r="W40" s="148"/>
    </row>
    <row r="41" spans="1:23" ht="20.100000000000001" customHeight="1" x14ac:dyDescent="0.3">
      <c r="A41" s="97" t="s">
        <v>94</v>
      </c>
      <c r="B41" s="71" t="s">
        <v>95</v>
      </c>
      <c r="C41" s="70"/>
      <c r="D41" s="63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9"/>
      <c r="S41" s="69"/>
      <c r="T41" s="68"/>
      <c r="U41" s="55">
        <f>SUM(S41:T41)*0.075</f>
        <v>0</v>
      </c>
      <c r="V41" s="55"/>
      <c r="W41" s="148"/>
    </row>
    <row r="42" spans="1:23" ht="20.100000000000001" customHeight="1" x14ac:dyDescent="0.3">
      <c r="A42" s="175" t="s">
        <v>96</v>
      </c>
      <c r="B42" s="176"/>
      <c r="C42" s="56" t="s">
        <v>97</v>
      </c>
      <c r="D42" s="57" t="s">
        <v>98</v>
      </c>
      <c r="E42" s="54">
        <v>76339.3</v>
      </c>
      <c r="F42" s="90"/>
      <c r="G42" s="54">
        <f>E42*300%</f>
        <v>229017.90000000002</v>
      </c>
      <c r="H42" s="54">
        <f>E42*7.5%</f>
        <v>5725.4475000000002</v>
      </c>
      <c r="I42" s="54">
        <v>80244.38</v>
      </c>
      <c r="J42" s="54">
        <f>E42*50%</f>
        <v>38169.65</v>
      </c>
      <c r="K42" s="54">
        <f>E42*350%</f>
        <v>267187.55</v>
      </c>
      <c r="L42" s="54">
        <v>0</v>
      </c>
      <c r="M42" s="54">
        <f>E42*100%</f>
        <v>76339.3</v>
      </c>
      <c r="N42" s="54">
        <v>150000</v>
      </c>
      <c r="O42" s="54">
        <f>E42*10%</f>
        <v>7633.93</v>
      </c>
      <c r="P42" s="54">
        <v>20000</v>
      </c>
      <c r="Q42" s="54">
        <v>0</v>
      </c>
      <c r="R42" s="55">
        <f>SUM(E42:Q42)</f>
        <v>950657.45750000014</v>
      </c>
      <c r="S42" s="55"/>
      <c r="T42" s="54">
        <v>52776.63</v>
      </c>
      <c r="U42" s="55">
        <f>T42+S42</f>
        <v>52776.63</v>
      </c>
      <c r="V42" s="55">
        <v>897880.83</v>
      </c>
      <c r="W42" s="148">
        <f>R42-U42</f>
        <v>897880.82750000013</v>
      </c>
    </row>
    <row r="43" spans="1:23" ht="20.100000000000001" customHeight="1" x14ac:dyDescent="0.3">
      <c r="A43" s="185" t="s">
        <v>99</v>
      </c>
      <c r="B43" s="185"/>
      <c r="C43" s="52" t="s">
        <v>100</v>
      </c>
      <c r="D43" s="53" t="s">
        <v>40</v>
      </c>
      <c r="E43" s="54">
        <f>E72</f>
        <v>42653.17</v>
      </c>
      <c r="F43" s="90"/>
      <c r="G43" s="54">
        <f>E43*300%</f>
        <v>127959.51</v>
      </c>
      <c r="H43" s="54">
        <f>E43*7.5%</f>
        <v>3198.9877499999998</v>
      </c>
      <c r="I43" s="54">
        <f>I34</f>
        <v>40122.19</v>
      </c>
      <c r="J43" s="54">
        <f>E43*50%</f>
        <v>21326.584999999999</v>
      </c>
      <c r="K43" s="54">
        <f>E43*350%</f>
        <v>149286.095</v>
      </c>
      <c r="L43" s="54">
        <v>0</v>
      </c>
      <c r="M43" s="54">
        <f t="shared" ref="M43:M63" si="20">E43*100%</f>
        <v>42653.17</v>
      </c>
      <c r="N43" s="54">
        <v>150000</v>
      </c>
      <c r="O43" s="54">
        <f t="shared" ref="O43:O63" si="21">E43*10%</f>
        <v>4265.317</v>
      </c>
      <c r="P43" s="54">
        <v>20000</v>
      </c>
      <c r="Q43" s="54">
        <v>0</v>
      </c>
      <c r="R43" s="55">
        <f t="shared" ref="R43:R64" si="22">SUM(E43:Q43)</f>
        <v>601465.0247500001</v>
      </c>
      <c r="S43" s="55"/>
      <c r="T43" s="54">
        <v>21618.09</v>
      </c>
      <c r="U43" s="55">
        <f t="shared" ref="U43:U64" si="23">T43+S43</f>
        <v>21618.09</v>
      </c>
      <c r="V43" s="55">
        <v>579846.93000000005</v>
      </c>
      <c r="W43" s="148">
        <f t="shared" ref="W43:W64" si="24">R43-U43</f>
        <v>579846.93475000013</v>
      </c>
    </row>
    <row r="44" spans="1:23" ht="20.100000000000001" customHeight="1" x14ac:dyDescent="0.3">
      <c r="A44" s="175" t="s">
        <v>101</v>
      </c>
      <c r="B44" s="176"/>
      <c r="C44" s="52" t="s">
        <v>102</v>
      </c>
      <c r="D44" s="53" t="s">
        <v>46</v>
      </c>
      <c r="E44" s="54">
        <v>33507.5</v>
      </c>
      <c r="F44" s="90"/>
      <c r="G44" s="54">
        <f t="shared" ref="G44:G63" si="25">E44*300%</f>
        <v>100522.5</v>
      </c>
      <c r="H44" s="54">
        <f t="shared" ref="H44:H63" si="26">E44*7.5%</f>
        <v>2513.0625</v>
      </c>
      <c r="I44" s="54">
        <f>I43</f>
        <v>40122.19</v>
      </c>
      <c r="J44" s="54">
        <f t="shared" ref="J44:J63" si="27">E44*50%</f>
        <v>16753.75</v>
      </c>
      <c r="K44" s="54">
        <f t="shared" ref="K44:K63" si="28">E44*350%</f>
        <v>117276.25</v>
      </c>
      <c r="L44" s="54">
        <v>0</v>
      </c>
      <c r="M44" s="54">
        <f t="shared" si="20"/>
        <v>33507.5</v>
      </c>
      <c r="N44" s="54">
        <f>100000+50000</f>
        <v>150000</v>
      </c>
      <c r="O44" s="54">
        <f t="shared" si="21"/>
        <v>3350.75</v>
      </c>
      <c r="P44" s="54">
        <v>20000</v>
      </c>
      <c r="Q44" s="54">
        <v>0</v>
      </c>
      <c r="R44" s="55">
        <f t="shared" si="22"/>
        <v>517553.5025</v>
      </c>
      <c r="S44" s="55"/>
      <c r="T44" s="54">
        <v>15548.33</v>
      </c>
      <c r="U44" s="55">
        <f t="shared" si="23"/>
        <v>15548.33</v>
      </c>
      <c r="V44" s="55">
        <v>452005.17</v>
      </c>
      <c r="W44" s="148">
        <f t="shared" si="24"/>
        <v>502005.17249999999</v>
      </c>
    </row>
    <row r="45" spans="1:23" ht="20.100000000000001" customHeight="1" x14ac:dyDescent="0.3">
      <c r="A45" s="61" t="s">
        <v>103</v>
      </c>
      <c r="B45" s="62" t="s">
        <v>103</v>
      </c>
      <c r="C45" s="52" t="s">
        <v>104</v>
      </c>
      <c r="D45" s="53" t="s">
        <v>105</v>
      </c>
      <c r="E45" s="54">
        <v>31018.84</v>
      </c>
      <c r="F45" s="90"/>
      <c r="G45" s="54">
        <f t="shared" si="25"/>
        <v>93056.52</v>
      </c>
      <c r="H45" s="54">
        <f t="shared" si="26"/>
        <v>2326.413</v>
      </c>
      <c r="I45" s="54">
        <f>I44</f>
        <v>40122.19</v>
      </c>
      <c r="J45" s="54">
        <f t="shared" si="27"/>
        <v>15509.42</v>
      </c>
      <c r="K45" s="54">
        <f t="shared" si="28"/>
        <v>108565.94</v>
      </c>
      <c r="L45" s="54"/>
      <c r="M45" s="54">
        <f t="shared" si="20"/>
        <v>31018.84</v>
      </c>
      <c r="N45" s="54">
        <v>100000</v>
      </c>
      <c r="O45" s="54">
        <f t="shared" si="21"/>
        <v>3101.884</v>
      </c>
      <c r="P45" s="54">
        <v>20000</v>
      </c>
      <c r="Q45" s="54"/>
      <c r="R45" s="55">
        <f t="shared" si="22"/>
        <v>444720.04700000002</v>
      </c>
      <c r="S45" s="55"/>
      <c r="T45" s="54">
        <v>15548.33</v>
      </c>
      <c r="U45" s="55">
        <f t="shared" si="23"/>
        <v>15548.33</v>
      </c>
      <c r="V45" s="55">
        <v>429171.72</v>
      </c>
      <c r="W45" s="148">
        <f t="shared" si="24"/>
        <v>429171.717</v>
      </c>
    </row>
    <row r="46" spans="1:23" ht="20.100000000000001" customHeight="1" x14ac:dyDescent="0.3">
      <c r="A46" s="175" t="s">
        <v>106</v>
      </c>
      <c r="B46" s="176"/>
      <c r="C46" s="52" t="s">
        <v>107</v>
      </c>
      <c r="D46" s="53" t="s">
        <v>108</v>
      </c>
      <c r="E46" s="54">
        <v>26732.65</v>
      </c>
      <c r="F46" s="90"/>
      <c r="G46" s="54">
        <f t="shared" si="25"/>
        <v>80197.950000000012</v>
      </c>
      <c r="H46" s="54">
        <f t="shared" si="26"/>
        <v>2004.94875</v>
      </c>
      <c r="I46" s="54">
        <v>0</v>
      </c>
      <c r="J46" s="54">
        <f t="shared" si="27"/>
        <v>13366.325000000001</v>
      </c>
      <c r="K46" s="54">
        <f t="shared" si="28"/>
        <v>93564.275000000009</v>
      </c>
      <c r="L46" s="54">
        <v>0</v>
      </c>
      <c r="M46" s="54">
        <f t="shared" si="20"/>
        <v>26732.65</v>
      </c>
      <c r="N46" s="54">
        <v>100000</v>
      </c>
      <c r="O46" s="54">
        <f t="shared" si="21"/>
        <v>2673.2650000000003</v>
      </c>
      <c r="P46" s="54">
        <v>20000</v>
      </c>
      <c r="Q46" s="54">
        <v>0</v>
      </c>
      <c r="R46" s="55">
        <f t="shared" si="22"/>
        <v>365272.06374999997</v>
      </c>
      <c r="S46" s="55">
        <v>0</v>
      </c>
      <c r="T46" s="54">
        <v>8998.33</v>
      </c>
      <c r="U46" s="55">
        <f t="shared" si="23"/>
        <v>8998.33</v>
      </c>
      <c r="V46" s="55">
        <v>356273.73</v>
      </c>
      <c r="W46" s="148">
        <f t="shared" si="24"/>
        <v>356273.73374999996</v>
      </c>
    </row>
    <row r="47" spans="1:23" ht="19.5" customHeight="1" x14ac:dyDescent="0.3">
      <c r="A47" s="180" t="s">
        <v>109</v>
      </c>
      <c r="B47" s="181"/>
      <c r="C47" s="52" t="s">
        <v>110</v>
      </c>
      <c r="D47" s="53" t="s">
        <v>108</v>
      </c>
      <c r="E47" s="54">
        <v>26732.65</v>
      </c>
      <c r="F47" s="90"/>
      <c r="G47" s="54">
        <f t="shared" si="25"/>
        <v>80197.950000000012</v>
      </c>
      <c r="H47" s="54">
        <f t="shared" si="26"/>
        <v>2004.94875</v>
      </c>
      <c r="I47" s="54">
        <v>0</v>
      </c>
      <c r="J47" s="54">
        <f t="shared" si="27"/>
        <v>13366.325000000001</v>
      </c>
      <c r="K47" s="54">
        <f t="shared" si="28"/>
        <v>93564.275000000009</v>
      </c>
      <c r="L47" s="54">
        <v>0</v>
      </c>
      <c r="M47" s="54">
        <f t="shared" si="20"/>
        <v>26732.65</v>
      </c>
      <c r="N47" s="54">
        <v>100000</v>
      </c>
      <c r="O47" s="54">
        <f t="shared" si="21"/>
        <v>2673.2650000000003</v>
      </c>
      <c r="P47" s="54">
        <v>20000</v>
      </c>
      <c r="Q47" s="54">
        <v>0</v>
      </c>
      <c r="R47" s="55">
        <f t="shared" si="22"/>
        <v>365272.06374999997</v>
      </c>
      <c r="S47" s="55"/>
      <c r="T47" s="54">
        <v>8998.33</v>
      </c>
      <c r="U47" s="55">
        <f t="shared" si="23"/>
        <v>8998.33</v>
      </c>
      <c r="V47" s="55">
        <v>356273.73</v>
      </c>
      <c r="W47" s="148">
        <f t="shared" si="24"/>
        <v>356273.73374999996</v>
      </c>
    </row>
    <row r="48" spans="1:23" ht="19.5" customHeight="1" x14ac:dyDescent="0.3">
      <c r="A48" s="160"/>
      <c r="B48" s="161" t="s">
        <v>111</v>
      </c>
      <c r="C48" s="52" t="s">
        <v>112</v>
      </c>
      <c r="D48" s="53" t="s">
        <v>113</v>
      </c>
      <c r="E48" s="54">
        <v>24975.81</v>
      </c>
      <c r="F48" s="90"/>
      <c r="G48" s="54">
        <f t="shared" si="25"/>
        <v>74927.430000000008</v>
      </c>
      <c r="H48" s="54">
        <f t="shared" si="26"/>
        <v>1873.1857500000001</v>
      </c>
      <c r="I48" s="54"/>
      <c r="J48" s="54">
        <f t="shared" si="27"/>
        <v>12487.905000000001</v>
      </c>
      <c r="K48" s="54">
        <f t="shared" si="28"/>
        <v>87415.335000000006</v>
      </c>
      <c r="L48" s="54"/>
      <c r="M48" s="54">
        <f t="shared" si="20"/>
        <v>24975.81</v>
      </c>
      <c r="N48" s="54">
        <v>100000</v>
      </c>
      <c r="O48" s="54">
        <f t="shared" si="21"/>
        <v>2497.5810000000001</v>
      </c>
      <c r="P48" s="54">
        <v>20000</v>
      </c>
      <c r="Q48" s="54">
        <v>0</v>
      </c>
      <c r="R48" s="55">
        <f t="shared" si="22"/>
        <v>349153.05674999999</v>
      </c>
      <c r="S48" s="55"/>
      <c r="T48" s="54">
        <v>8998.33</v>
      </c>
      <c r="U48" s="55">
        <f t="shared" si="23"/>
        <v>8998.33</v>
      </c>
      <c r="V48" s="55">
        <v>340154.73</v>
      </c>
      <c r="W48" s="148">
        <f t="shared" si="24"/>
        <v>340154.72674999997</v>
      </c>
    </row>
    <row r="49" spans="1:23" ht="19.5" customHeight="1" x14ac:dyDescent="0.3">
      <c r="A49" s="160" t="s">
        <v>114</v>
      </c>
      <c r="B49" s="161" t="s">
        <v>115</v>
      </c>
      <c r="C49" s="52" t="s">
        <v>116</v>
      </c>
      <c r="D49" s="53" t="s">
        <v>113</v>
      </c>
      <c r="E49" s="54">
        <v>24975.81</v>
      </c>
      <c r="F49" s="90"/>
      <c r="G49" s="54">
        <f t="shared" si="25"/>
        <v>74927.430000000008</v>
      </c>
      <c r="H49" s="54">
        <f t="shared" si="26"/>
        <v>1873.1857500000001</v>
      </c>
      <c r="I49" s="54"/>
      <c r="J49" s="54">
        <f t="shared" si="27"/>
        <v>12487.905000000001</v>
      </c>
      <c r="K49" s="54">
        <f t="shared" si="28"/>
        <v>87415.335000000006</v>
      </c>
      <c r="L49" s="54"/>
      <c r="M49" s="54">
        <f t="shared" si="20"/>
        <v>24975.81</v>
      </c>
      <c r="N49" s="54">
        <v>100000</v>
      </c>
      <c r="O49" s="54">
        <f t="shared" si="21"/>
        <v>2497.5810000000001</v>
      </c>
      <c r="P49" s="54">
        <v>20000</v>
      </c>
      <c r="Q49" s="54"/>
      <c r="R49" s="55">
        <f t="shared" si="22"/>
        <v>349153.05674999999</v>
      </c>
      <c r="S49" s="55"/>
      <c r="T49" s="54">
        <v>8998.33</v>
      </c>
      <c r="U49" s="55">
        <f t="shared" si="23"/>
        <v>8998.33</v>
      </c>
      <c r="V49" s="55">
        <v>340154.73</v>
      </c>
      <c r="W49" s="148">
        <f t="shared" si="24"/>
        <v>340154.72674999997</v>
      </c>
    </row>
    <row r="50" spans="1:23" ht="19.5" customHeight="1" x14ac:dyDescent="0.3">
      <c r="A50" s="160" t="s">
        <v>117</v>
      </c>
      <c r="B50" s="161" t="s">
        <v>118</v>
      </c>
      <c r="C50" s="52" t="s">
        <v>112</v>
      </c>
      <c r="D50" s="53" t="s">
        <v>113</v>
      </c>
      <c r="E50" s="54">
        <v>24975.81</v>
      </c>
      <c r="F50" s="90">
        <f>9000*28</f>
        <v>252000</v>
      </c>
      <c r="G50" s="54">
        <f t="shared" si="25"/>
        <v>74927.430000000008</v>
      </c>
      <c r="H50" s="54">
        <f t="shared" si="26"/>
        <v>1873.1857500000001</v>
      </c>
      <c r="I50" s="54"/>
      <c r="J50" s="54">
        <f t="shared" si="27"/>
        <v>12487.905000000001</v>
      </c>
      <c r="K50" s="54">
        <f t="shared" si="28"/>
        <v>87415.335000000006</v>
      </c>
      <c r="L50" s="54"/>
      <c r="M50" s="54">
        <f t="shared" si="20"/>
        <v>24975.81</v>
      </c>
      <c r="N50" s="54">
        <v>100000</v>
      </c>
      <c r="O50" s="54">
        <f t="shared" si="21"/>
        <v>2497.5810000000001</v>
      </c>
      <c r="P50" s="54">
        <v>20000</v>
      </c>
      <c r="Q50" s="54"/>
      <c r="R50" s="55">
        <f t="shared" si="22"/>
        <v>601153.05674999999</v>
      </c>
      <c r="S50" s="55"/>
      <c r="T50" s="54">
        <v>8998.33</v>
      </c>
      <c r="U50" s="55">
        <f t="shared" si="23"/>
        <v>8998.33</v>
      </c>
      <c r="V50" s="55">
        <v>0</v>
      </c>
      <c r="W50" s="148">
        <f t="shared" si="24"/>
        <v>592154.72675000003</v>
      </c>
    </row>
    <row r="51" spans="1:23" ht="20.100000000000001" customHeight="1" x14ac:dyDescent="0.3">
      <c r="A51" s="175" t="s">
        <v>119</v>
      </c>
      <c r="B51" s="176"/>
      <c r="C51" s="52" t="s">
        <v>52</v>
      </c>
      <c r="D51" s="53" t="s">
        <v>56</v>
      </c>
      <c r="E51" s="54">
        <f>E53</f>
        <v>24741.26</v>
      </c>
      <c r="F51" s="90"/>
      <c r="G51" s="54">
        <f t="shared" ref="G51:G57" si="29">E51*300%</f>
        <v>74223.78</v>
      </c>
      <c r="H51" s="54">
        <f>E51*7.5%</f>
        <v>1855.5944999999997</v>
      </c>
      <c r="I51" s="54">
        <v>0</v>
      </c>
      <c r="J51" s="54">
        <f>E51*50%</f>
        <v>12370.63</v>
      </c>
      <c r="K51" s="54">
        <f>E51*350%</f>
        <v>86594.409999999989</v>
      </c>
      <c r="L51" s="54">
        <v>0</v>
      </c>
      <c r="M51" s="54">
        <f>E51*100%</f>
        <v>24741.26</v>
      </c>
      <c r="N51" s="54">
        <v>80000</v>
      </c>
      <c r="O51" s="54">
        <f>E51*10%</f>
        <v>2474.1260000000002</v>
      </c>
      <c r="P51" s="54">
        <v>15000</v>
      </c>
      <c r="Q51" s="54">
        <v>0</v>
      </c>
      <c r="R51" s="55">
        <f t="shared" si="22"/>
        <v>322001.06049999996</v>
      </c>
      <c r="S51" s="55"/>
      <c r="T51" s="54">
        <v>7709.76</v>
      </c>
      <c r="U51" s="55">
        <f t="shared" si="23"/>
        <v>7709.76</v>
      </c>
      <c r="V51" s="55">
        <v>314291.3</v>
      </c>
      <c r="W51" s="148">
        <f t="shared" si="24"/>
        <v>314291.30049999995</v>
      </c>
    </row>
    <row r="52" spans="1:23" ht="20.100000000000001" customHeight="1" x14ac:dyDescent="0.3">
      <c r="A52" s="61"/>
      <c r="B52" s="62" t="s">
        <v>120</v>
      </c>
      <c r="C52" s="52" t="s">
        <v>52</v>
      </c>
      <c r="D52" s="53" t="s">
        <v>121</v>
      </c>
      <c r="E52" s="54">
        <v>23891.119999999999</v>
      </c>
      <c r="F52" s="90"/>
      <c r="G52" s="54">
        <f t="shared" si="29"/>
        <v>71673.36</v>
      </c>
      <c r="H52" s="54">
        <f>E52*7.5%</f>
        <v>1791.8339999999998</v>
      </c>
      <c r="I52" s="54"/>
      <c r="J52" s="54">
        <f t="shared" ref="J52:J55" si="30">E52*50%</f>
        <v>11945.56</v>
      </c>
      <c r="K52" s="54">
        <f>E52*350%</f>
        <v>83618.92</v>
      </c>
      <c r="L52" s="54"/>
      <c r="M52" s="54">
        <f t="shared" ref="M52:M55" si="31">E52*100%</f>
        <v>23891.119999999999</v>
      </c>
      <c r="N52" s="54">
        <v>80000</v>
      </c>
      <c r="O52" s="54">
        <f t="shared" ref="O52:O55" si="32">E52*10%</f>
        <v>2389.1120000000001</v>
      </c>
      <c r="P52" s="54">
        <v>15000</v>
      </c>
      <c r="Q52" s="54"/>
      <c r="R52" s="55">
        <f t="shared" si="22"/>
        <v>314201.02600000001</v>
      </c>
      <c r="S52" s="55"/>
      <c r="T52" s="54">
        <v>7709.76</v>
      </c>
      <c r="U52" s="55">
        <f t="shared" si="23"/>
        <v>7709.76</v>
      </c>
      <c r="V52" s="55">
        <v>306491.27</v>
      </c>
      <c r="W52" s="148">
        <f t="shared" si="24"/>
        <v>306491.266</v>
      </c>
    </row>
    <row r="53" spans="1:23" ht="19.5" customHeight="1" x14ac:dyDescent="0.3">
      <c r="A53" s="175" t="s">
        <v>122</v>
      </c>
      <c r="B53" s="176"/>
      <c r="C53" s="52" t="s">
        <v>123</v>
      </c>
      <c r="D53" s="53" t="s">
        <v>56</v>
      </c>
      <c r="E53" s="54">
        <f>E77</f>
        <v>24741.26</v>
      </c>
      <c r="F53" s="90"/>
      <c r="G53" s="54">
        <f t="shared" si="29"/>
        <v>74223.78</v>
      </c>
      <c r="H53" s="54">
        <f>E53*7.5%</f>
        <v>1855.5944999999997</v>
      </c>
      <c r="I53" s="54">
        <v>0</v>
      </c>
      <c r="J53" s="54">
        <f t="shared" si="30"/>
        <v>12370.63</v>
      </c>
      <c r="K53" s="54">
        <f>E53*350%</f>
        <v>86594.409999999989</v>
      </c>
      <c r="L53" s="54"/>
      <c r="M53" s="54">
        <f t="shared" si="31"/>
        <v>24741.26</v>
      </c>
      <c r="N53" s="54">
        <v>80000</v>
      </c>
      <c r="O53" s="54">
        <f t="shared" si="32"/>
        <v>2474.1260000000002</v>
      </c>
      <c r="P53" s="54">
        <v>15000</v>
      </c>
      <c r="Q53" s="54">
        <f>50000+50000</f>
        <v>100000</v>
      </c>
      <c r="R53" s="55">
        <f t="shared" si="22"/>
        <v>422001.06049999996</v>
      </c>
      <c r="S53" s="55"/>
      <c r="T53" s="54">
        <v>7709.76</v>
      </c>
      <c r="U53" s="55">
        <f t="shared" si="23"/>
        <v>7709.76</v>
      </c>
      <c r="V53" s="55">
        <v>414291.3</v>
      </c>
      <c r="W53" s="148">
        <f t="shared" si="24"/>
        <v>414291.30049999995</v>
      </c>
    </row>
    <row r="54" spans="1:23" ht="19.5" customHeight="1" x14ac:dyDescent="0.3">
      <c r="A54" s="61" t="s">
        <v>124</v>
      </c>
      <c r="B54" s="62" t="s">
        <v>124</v>
      </c>
      <c r="C54" s="52" t="s">
        <v>52</v>
      </c>
      <c r="D54" s="53" t="s">
        <v>125</v>
      </c>
      <c r="E54" s="54">
        <v>23891.119999999999</v>
      </c>
      <c r="F54" s="90"/>
      <c r="G54" s="54">
        <f t="shared" si="29"/>
        <v>71673.36</v>
      </c>
      <c r="H54" s="54">
        <f t="shared" ref="H54:H55" si="33">E54*7.5%</f>
        <v>1791.8339999999998</v>
      </c>
      <c r="I54" s="54"/>
      <c r="J54" s="54">
        <f t="shared" si="30"/>
        <v>11945.56</v>
      </c>
      <c r="K54" s="54">
        <f t="shared" ref="K54:K55" si="34">E54*350%</f>
        <v>83618.92</v>
      </c>
      <c r="L54" s="54"/>
      <c r="M54" s="54">
        <f t="shared" si="31"/>
        <v>23891.119999999999</v>
      </c>
      <c r="N54" s="54">
        <v>80000</v>
      </c>
      <c r="O54" s="54">
        <f t="shared" si="32"/>
        <v>2389.1120000000001</v>
      </c>
      <c r="P54" s="54">
        <v>15000</v>
      </c>
      <c r="Q54" s="54"/>
      <c r="R54" s="55">
        <f t="shared" si="22"/>
        <v>314201.02600000001</v>
      </c>
      <c r="S54" s="55"/>
      <c r="T54" s="54">
        <v>7709.76</v>
      </c>
      <c r="U54" s="55">
        <f t="shared" si="23"/>
        <v>7709.76</v>
      </c>
      <c r="V54" s="55">
        <v>192574.82</v>
      </c>
      <c r="W54" s="148">
        <f t="shared" si="24"/>
        <v>306491.266</v>
      </c>
    </row>
    <row r="55" spans="1:23" ht="19.5" customHeight="1" x14ac:dyDescent="0.3">
      <c r="A55" s="61" t="s">
        <v>126</v>
      </c>
      <c r="B55" s="62" t="s">
        <v>127</v>
      </c>
      <c r="C55" s="52" t="s">
        <v>52</v>
      </c>
      <c r="D55" s="53" t="s">
        <v>125</v>
      </c>
      <c r="E55" s="54">
        <v>23891.119999999999</v>
      </c>
      <c r="F55" s="90"/>
      <c r="G55" s="54">
        <f t="shared" si="29"/>
        <v>71673.36</v>
      </c>
      <c r="H55" s="54">
        <f t="shared" si="33"/>
        <v>1791.8339999999998</v>
      </c>
      <c r="I55" s="54"/>
      <c r="J55" s="54">
        <f t="shared" si="30"/>
        <v>11945.56</v>
      </c>
      <c r="K55" s="54">
        <f t="shared" si="34"/>
        <v>83618.92</v>
      </c>
      <c r="L55" s="54"/>
      <c r="M55" s="54">
        <f t="shared" si="31"/>
        <v>23891.119999999999</v>
      </c>
      <c r="N55" s="54">
        <v>80000</v>
      </c>
      <c r="O55" s="54">
        <f t="shared" si="32"/>
        <v>2389.1120000000001</v>
      </c>
      <c r="P55" s="54">
        <v>15000</v>
      </c>
      <c r="Q55" s="54"/>
      <c r="R55" s="55">
        <f t="shared" si="22"/>
        <v>314201.02600000001</v>
      </c>
      <c r="S55" s="55"/>
      <c r="T55" s="54">
        <v>7709.76</v>
      </c>
      <c r="U55" s="55">
        <f t="shared" si="23"/>
        <v>7709.76</v>
      </c>
      <c r="V55" s="55">
        <v>172303.79</v>
      </c>
      <c r="W55" s="148">
        <f t="shared" si="24"/>
        <v>306491.266</v>
      </c>
    </row>
    <row r="56" spans="1:23" ht="19.5" customHeight="1" x14ac:dyDescent="0.3">
      <c r="A56" s="61"/>
      <c r="B56" s="62" t="s">
        <v>128</v>
      </c>
      <c r="C56" s="52" t="s">
        <v>89</v>
      </c>
      <c r="D56" s="53" t="s">
        <v>125</v>
      </c>
      <c r="E56" s="54">
        <v>23891.119999999999</v>
      </c>
      <c r="F56" s="90">
        <v>101258.7</v>
      </c>
      <c r="G56" s="54">
        <f>E56*300%</f>
        <v>71673.36</v>
      </c>
      <c r="H56" s="54">
        <f>E56*7.5%</f>
        <v>1791.8339999999998</v>
      </c>
      <c r="I56" s="54"/>
      <c r="J56" s="54">
        <f>E56*50%</f>
        <v>11945.56</v>
      </c>
      <c r="K56" s="54">
        <f>E56*350%</f>
        <v>83618.92</v>
      </c>
      <c r="L56" s="54"/>
      <c r="M56" s="54">
        <f>E56*100%</f>
        <v>23891.119999999999</v>
      </c>
      <c r="N56" s="54">
        <v>80000</v>
      </c>
      <c r="O56" s="54">
        <f>E56*10%</f>
        <v>2389.1120000000001</v>
      </c>
      <c r="P56" s="54">
        <v>15000</v>
      </c>
      <c r="Q56" s="54"/>
      <c r="R56" s="55">
        <f>SUM(E56:Q56)</f>
        <v>415459.72600000002</v>
      </c>
      <c r="S56" s="55"/>
      <c r="T56" s="54">
        <v>7709.76</v>
      </c>
      <c r="U56" s="55">
        <f>T56+S56</f>
        <v>7709.76</v>
      </c>
      <c r="V56" s="55">
        <v>205232.57</v>
      </c>
      <c r="W56" s="148">
        <f>R56-U56</f>
        <v>407749.96600000001</v>
      </c>
    </row>
    <row r="57" spans="1:23" ht="20.100000000000001" customHeight="1" x14ac:dyDescent="0.3">
      <c r="A57" s="174" t="s">
        <v>129</v>
      </c>
      <c r="B57" s="174"/>
      <c r="C57" s="52" t="s">
        <v>130</v>
      </c>
      <c r="D57" s="53" t="s">
        <v>131</v>
      </c>
      <c r="E57" s="54">
        <v>19229.650000000001</v>
      </c>
      <c r="F57" s="90"/>
      <c r="G57" s="54">
        <f t="shared" si="29"/>
        <v>57688.950000000004</v>
      </c>
      <c r="H57" s="54">
        <f>E57*7.5%</f>
        <v>1442.2237500000001</v>
      </c>
      <c r="I57" s="54">
        <v>0</v>
      </c>
      <c r="J57" s="54">
        <f>E57*50%</f>
        <v>9614.8250000000007</v>
      </c>
      <c r="K57" s="55">
        <f>E57*350%</f>
        <v>67303.775000000009</v>
      </c>
      <c r="L57" s="54">
        <v>0</v>
      </c>
      <c r="M57" s="54">
        <f>E57*100%</f>
        <v>19229.650000000001</v>
      </c>
      <c r="N57" s="54">
        <v>40000</v>
      </c>
      <c r="O57" s="54">
        <f>E57*10%</f>
        <v>1922.9650000000001</v>
      </c>
      <c r="P57" s="54">
        <v>15000</v>
      </c>
      <c r="Q57" s="54">
        <v>0</v>
      </c>
      <c r="R57" s="55">
        <f t="shared" si="22"/>
        <v>231432.03875000001</v>
      </c>
      <c r="S57" s="55"/>
      <c r="T57" s="55">
        <v>3369.51</v>
      </c>
      <c r="U57" s="55">
        <f t="shared" si="23"/>
        <v>3369.51</v>
      </c>
      <c r="V57" s="55">
        <v>228062.53</v>
      </c>
      <c r="W57" s="148">
        <f t="shared" si="24"/>
        <v>228062.52875</v>
      </c>
    </row>
    <row r="58" spans="1:23" ht="20.100000000000001" customHeight="1" x14ac:dyDescent="0.3">
      <c r="A58" s="61" t="s">
        <v>132</v>
      </c>
      <c r="B58" s="62" t="s">
        <v>132</v>
      </c>
      <c r="C58" s="52" t="s">
        <v>133</v>
      </c>
      <c r="D58" s="53" t="s">
        <v>61</v>
      </c>
      <c r="E58" s="54">
        <f>E82</f>
        <v>18281.64</v>
      </c>
      <c r="F58" s="90"/>
      <c r="G58" s="54">
        <f t="shared" si="25"/>
        <v>54844.92</v>
      </c>
      <c r="H58" s="54">
        <f t="shared" si="26"/>
        <v>1371.1229999999998</v>
      </c>
      <c r="I58" s="54">
        <v>0</v>
      </c>
      <c r="J58" s="54">
        <f t="shared" si="27"/>
        <v>9140.82</v>
      </c>
      <c r="K58" s="54">
        <f t="shared" si="28"/>
        <v>63985.74</v>
      </c>
      <c r="L58" s="54">
        <v>0</v>
      </c>
      <c r="M58" s="54">
        <f t="shared" si="20"/>
        <v>18281.64</v>
      </c>
      <c r="N58" s="54">
        <v>40000</v>
      </c>
      <c r="O58" s="54">
        <f t="shared" si="21"/>
        <v>1828.164</v>
      </c>
      <c r="P58" s="54">
        <v>10000</v>
      </c>
      <c r="Q58" s="54">
        <v>0</v>
      </c>
      <c r="R58" s="55">
        <f t="shared" si="22"/>
        <v>217734.04699999996</v>
      </c>
      <c r="S58" s="55"/>
      <c r="T58" s="55">
        <v>3369.51</v>
      </c>
      <c r="U58" s="55">
        <f t="shared" si="23"/>
        <v>3369.51</v>
      </c>
      <c r="V58" s="55">
        <v>214364.54</v>
      </c>
      <c r="W58" s="148">
        <f t="shared" si="24"/>
        <v>214364.53699999995</v>
      </c>
    </row>
    <row r="59" spans="1:23" ht="20.100000000000001" customHeight="1" x14ac:dyDescent="0.3">
      <c r="A59" s="175" t="s">
        <v>134</v>
      </c>
      <c r="B59" s="176"/>
      <c r="C59" s="52" t="s">
        <v>89</v>
      </c>
      <c r="D59" s="53" t="s">
        <v>61</v>
      </c>
      <c r="E59" s="54">
        <f>E82</f>
        <v>18281.64</v>
      </c>
      <c r="F59" s="90"/>
      <c r="G59" s="54">
        <f t="shared" si="25"/>
        <v>54844.92</v>
      </c>
      <c r="H59" s="54">
        <f t="shared" si="26"/>
        <v>1371.1229999999998</v>
      </c>
      <c r="I59" s="54">
        <v>0</v>
      </c>
      <c r="J59" s="54">
        <f t="shared" si="27"/>
        <v>9140.82</v>
      </c>
      <c r="K59" s="54">
        <f t="shared" si="28"/>
        <v>63985.74</v>
      </c>
      <c r="L59" s="54">
        <v>0</v>
      </c>
      <c r="M59" s="54">
        <f t="shared" si="20"/>
        <v>18281.64</v>
      </c>
      <c r="N59" s="54">
        <v>40000</v>
      </c>
      <c r="O59" s="54">
        <f t="shared" si="21"/>
        <v>1828.164</v>
      </c>
      <c r="P59" s="54">
        <v>10000</v>
      </c>
      <c r="Q59" s="54">
        <v>0</v>
      </c>
      <c r="R59" s="55">
        <f t="shared" si="22"/>
        <v>217734.04699999996</v>
      </c>
      <c r="S59" s="55"/>
      <c r="T59" s="55">
        <v>3369.51</v>
      </c>
      <c r="U59" s="55">
        <f t="shared" si="23"/>
        <v>3369.51</v>
      </c>
      <c r="V59" s="55">
        <v>214364.54</v>
      </c>
      <c r="W59" s="148">
        <f t="shared" si="24"/>
        <v>214364.53699999995</v>
      </c>
    </row>
    <row r="60" spans="1:23" ht="20.100000000000001" customHeight="1" x14ac:dyDescent="0.3">
      <c r="A60" s="61" t="s">
        <v>135</v>
      </c>
      <c r="B60" s="62" t="s">
        <v>135</v>
      </c>
      <c r="C60" s="52" t="s">
        <v>136</v>
      </c>
      <c r="D60" s="53" t="s">
        <v>61</v>
      </c>
      <c r="E60" s="54">
        <f>E82</f>
        <v>18281.64</v>
      </c>
      <c r="F60" s="90"/>
      <c r="G60" s="54">
        <f>E60*300%</f>
        <v>54844.92</v>
      </c>
      <c r="H60" s="54">
        <f>E60*7.5%</f>
        <v>1371.1229999999998</v>
      </c>
      <c r="I60" s="54">
        <v>0</v>
      </c>
      <c r="J60" s="54">
        <f>E60*50%</f>
        <v>9140.82</v>
      </c>
      <c r="K60" s="54">
        <f>E60*350%</f>
        <v>63985.74</v>
      </c>
      <c r="L60" s="54"/>
      <c r="M60" s="54">
        <f>E60*100%</f>
        <v>18281.64</v>
      </c>
      <c r="N60" s="54">
        <v>40000</v>
      </c>
      <c r="O60" s="54">
        <f>E60*10%</f>
        <v>1828.164</v>
      </c>
      <c r="P60" s="54">
        <v>10000</v>
      </c>
      <c r="Q60" s="54"/>
      <c r="R60" s="55">
        <f t="shared" si="22"/>
        <v>217734.04699999996</v>
      </c>
      <c r="S60" s="55"/>
      <c r="T60" s="55">
        <v>3369.51</v>
      </c>
      <c r="U60" s="55">
        <f t="shared" si="23"/>
        <v>3369.51</v>
      </c>
      <c r="V60" s="55">
        <v>214364.54</v>
      </c>
      <c r="W60" s="148">
        <f t="shared" si="24"/>
        <v>214364.53699999995</v>
      </c>
    </row>
    <row r="61" spans="1:23" ht="20.100000000000001" customHeight="1" x14ac:dyDescent="0.3">
      <c r="A61" s="175" t="s">
        <v>137</v>
      </c>
      <c r="B61" s="176"/>
      <c r="C61" s="52" t="s">
        <v>92</v>
      </c>
      <c r="D61" s="53" t="s">
        <v>93</v>
      </c>
      <c r="E61" s="54">
        <f>E38</f>
        <v>15641.2</v>
      </c>
      <c r="F61" s="90"/>
      <c r="G61" s="54">
        <f t="shared" si="25"/>
        <v>46923.600000000006</v>
      </c>
      <c r="H61" s="54">
        <f t="shared" si="26"/>
        <v>1173.0899999999999</v>
      </c>
      <c r="I61" s="54">
        <v>0</v>
      </c>
      <c r="J61" s="54">
        <f t="shared" si="27"/>
        <v>7820.6</v>
      </c>
      <c r="K61" s="54">
        <f t="shared" si="28"/>
        <v>54744.200000000004</v>
      </c>
      <c r="L61" s="54">
        <v>0</v>
      </c>
      <c r="M61" s="54">
        <f t="shared" si="20"/>
        <v>15641.2</v>
      </c>
      <c r="N61" s="54">
        <v>40000</v>
      </c>
      <c r="O61" s="54">
        <f t="shared" si="21"/>
        <v>1564.1200000000001</v>
      </c>
      <c r="P61" s="54">
        <v>10000</v>
      </c>
      <c r="Q61" s="54">
        <v>0</v>
      </c>
      <c r="R61" s="55">
        <f t="shared" si="22"/>
        <v>193508.01</v>
      </c>
      <c r="S61" s="55"/>
      <c r="T61" s="54">
        <v>2443.88</v>
      </c>
      <c r="U61" s="55">
        <f t="shared" si="23"/>
        <v>2443.88</v>
      </c>
      <c r="V61" s="55">
        <v>191064.13</v>
      </c>
      <c r="W61" s="148">
        <f t="shared" si="24"/>
        <v>191064.13</v>
      </c>
    </row>
    <row r="62" spans="1:23" ht="20.100000000000001" customHeight="1" x14ac:dyDescent="0.3">
      <c r="A62" s="175" t="s">
        <v>138</v>
      </c>
      <c r="B62" s="176"/>
      <c r="C62" s="52" t="s">
        <v>92</v>
      </c>
      <c r="D62" s="53" t="s">
        <v>93</v>
      </c>
      <c r="E62" s="54">
        <f>E61</f>
        <v>15641.2</v>
      </c>
      <c r="F62" s="90"/>
      <c r="G62" s="54">
        <f t="shared" si="25"/>
        <v>46923.600000000006</v>
      </c>
      <c r="H62" s="54">
        <f t="shared" si="26"/>
        <v>1173.0899999999999</v>
      </c>
      <c r="I62" s="54">
        <v>0</v>
      </c>
      <c r="J62" s="54">
        <f t="shared" si="27"/>
        <v>7820.6</v>
      </c>
      <c r="K62" s="54">
        <f t="shared" si="28"/>
        <v>54744.200000000004</v>
      </c>
      <c r="L62" s="54">
        <v>0</v>
      </c>
      <c r="M62" s="54">
        <f t="shared" si="20"/>
        <v>15641.2</v>
      </c>
      <c r="N62" s="54">
        <v>40000</v>
      </c>
      <c r="O62" s="54">
        <f t="shared" si="21"/>
        <v>1564.1200000000001</v>
      </c>
      <c r="P62" s="54">
        <v>10000</v>
      </c>
      <c r="Q62" s="54">
        <v>0</v>
      </c>
      <c r="R62" s="55">
        <f t="shared" si="22"/>
        <v>193508.01</v>
      </c>
      <c r="S62" s="55"/>
      <c r="T62" s="54">
        <v>2443.88</v>
      </c>
      <c r="U62" s="55">
        <f t="shared" si="23"/>
        <v>2443.88</v>
      </c>
      <c r="V62" s="55">
        <v>191064.13</v>
      </c>
      <c r="W62" s="148">
        <f t="shared" si="24"/>
        <v>191064.13</v>
      </c>
    </row>
    <row r="63" spans="1:23" ht="20.100000000000001" customHeight="1" x14ac:dyDescent="0.3">
      <c r="A63" s="175" t="s">
        <v>139</v>
      </c>
      <c r="B63" s="176"/>
      <c r="C63" s="52" t="s">
        <v>92</v>
      </c>
      <c r="D63" s="53" t="s">
        <v>93</v>
      </c>
      <c r="E63" s="54">
        <f>E62</f>
        <v>15641.2</v>
      </c>
      <c r="F63" s="90"/>
      <c r="G63" s="54">
        <f t="shared" si="25"/>
        <v>46923.600000000006</v>
      </c>
      <c r="H63" s="54">
        <f t="shared" si="26"/>
        <v>1173.0899999999999</v>
      </c>
      <c r="I63" s="54">
        <v>0</v>
      </c>
      <c r="J63" s="54">
        <f t="shared" si="27"/>
        <v>7820.6</v>
      </c>
      <c r="K63" s="54">
        <f t="shared" si="28"/>
        <v>54744.200000000004</v>
      </c>
      <c r="L63" s="54"/>
      <c r="M63" s="54">
        <f t="shared" si="20"/>
        <v>15641.2</v>
      </c>
      <c r="N63" s="54">
        <v>40000</v>
      </c>
      <c r="O63" s="54">
        <f t="shared" si="21"/>
        <v>1564.1200000000001</v>
      </c>
      <c r="P63" s="54">
        <v>10000</v>
      </c>
      <c r="Q63" s="54">
        <v>0</v>
      </c>
      <c r="R63" s="55">
        <f t="shared" si="22"/>
        <v>193508.01</v>
      </c>
      <c r="S63" s="55"/>
      <c r="T63" s="54">
        <v>2443.88</v>
      </c>
      <c r="U63" s="55">
        <f t="shared" si="23"/>
        <v>2443.88</v>
      </c>
      <c r="V63" s="55">
        <v>191064.13</v>
      </c>
      <c r="W63" s="148">
        <f t="shared" si="24"/>
        <v>191064.13</v>
      </c>
    </row>
    <row r="64" spans="1:23" ht="20.100000000000001" customHeight="1" x14ac:dyDescent="0.3">
      <c r="A64" s="175" t="s">
        <v>140</v>
      </c>
      <c r="B64" s="176"/>
      <c r="C64" s="52" t="s">
        <v>92</v>
      </c>
      <c r="D64" s="53" t="s">
        <v>93</v>
      </c>
      <c r="E64" s="54">
        <f>E63</f>
        <v>15641.2</v>
      </c>
      <c r="F64" s="90"/>
      <c r="G64" s="54">
        <f>E64*300%</f>
        <v>46923.600000000006</v>
      </c>
      <c r="H64" s="54">
        <f>E64*7.5%</f>
        <v>1173.0899999999999</v>
      </c>
      <c r="I64" s="54">
        <v>0</v>
      </c>
      <c r="J64" s="54">
        <f>E64*50%</f>
        <v>7820.6</v>
      </c>
      <c r="K64" s="54">
        <f>E64*350%</f>
        <v>54744.200000000004</v>
      </c>
      <c r="L64" s="54"/>
      <c r="M64" s="54">
        <f>E64*100%</f>
        <v>15641.2</v>
      </c>
      <c r="N64" s="54">
        <v>40000</v>
      </c>
      <c r="O64" s="54">
        <f>E64*10%</f>
        <v>1564.1200000000001</v>
      </c>
      <c r="P64" s="54">
        <v>10000</v>
      </c>
      <c r="Q64" s="54"/>
      <c r="R64" s="55">
        <f t="shared" si="22"/>
        <v>193508.01</v>
      </c>
      <c r="S64" s="55"/>
      <c r="T64" s="54">
        <v>2443.88</v>
      </c>
      <c r="U64" s="55">
        <f t="shared" si="23"/>
        <v>2443.88</v>
      </c>
      <c r="V64" s="55">
        <v>191064.13</v>
      </c>
      <c r="W64" s="148">
        <f t="shared" si="24"/>
        <v>191064.13</v>
      </c>
    </row>
    <row r="65" spans="1:23" ht="20.100000000000001" customHeight="1" x14ac:dyDescent="0.3">
      <c r="A65" s="175" t="s">
        <v>141</v>
      </c>
      <c r="B65" s="176"/>
      <c r="C65" s="52" t="s">
        <v>92</v>
      </c>
      <c r="D65" s="57" t="s">
        <v>142</v>
      </c>
      <c r="E65" s="54">
        <v>15188.67</v>
      </c>
      <c r="F65" s="90"/>
      <c r="G65" s="54">
        <f>E65*300%</f>
        <v>45566.01</v>
      </c>
      <c r="H65" s="54">
        <f>E65*7.5%</f>
        <v>1139.1502499999999</v>
      </c>
      <c r="I65" s="54">
        <v>0</v>
      </c>
      <c r="J65" s="54">
        <f>E65*50%</f>
        <v>7594.335</v>
      </c>
      <c r="K65" s="55">
        <f>E65*350%</f>
        <v>53160.345000000001</v>
      </c>
      <c r="L65" s="54">
        <v>0</v>
      </c>
      <c r="M65" s="54">
        <f>E65*100%</f>
        <v>15188.67</v>
      </c>
      <c r="N65" s="54">
        <v>40000</v>
      </c>
      <c r="O65" s="54">
        <f>E65*10%</f>
        <v>1518.8670000000002</v>
      </c>
      <c r="P65" s="54">
        <v>10000</v>
      </c>
      <c r="Q65" s="54">
        <v>0</v>
      </c>
      <c r="R65" s="55">
        <f>SUM(E65:Q65)</f>
        <v>189356.04725</v>
      </c>
      <c r="S65" s="55"/>
      <c r="T65" s="54">
        <v>2443.88</v>
      </c>
      <c r="U65" s="55">
        <v>2443.88</v>
      </c>
      <c r="V65" s="55">
        <v>186912.17</v>
      </c>
      <c r="W65" s="148">
        <f>R65-U65</f>
        <v>186912.16725</v>
      </c>
    </row>
    <row r="66" spans="1:23" ht="20.100000000000001" customHeight="1" x14ac:dyDescent="0.3">
      <c r="A66" s="175" t="s">
        <v>143</v>
      </c>
      <c r="B66" s="176"/>
      <c r="C66" s="52" t="s">
        <v>92</v>
      </c>
      <c r="D66" s="57" t="s">
        <v>142</v>
      </c>
      <c r="E66" s="54">
        <f>E65</f>
        <v>15188.67</v>
      </c>
      <c r="F66" s="90"/>
      <c r="G66" s="54">
        <f>E66*300%</f>
        <v>45566.01</v>
      </c>
      <c r="H66" s="54">
        <f>E66*7.5%</f>
        <v>1139.1502499999999</v>
      </c>
      <c r="I66" s="54">
        <v>0</v>
      </c>
      <c r="J66" s="54">
        <f>E66*50%</f>
        <v>7594.335</v>
      </c>
      <c r="K66" s="55">
        <f>E66*350%</f>
        <v>53160.345000000001</v>
      </c>
      <c r="L66" s="54">
        <v>0</v>
      </c>
      <c r="M66" s="54">
        <f>E66*100%</f>
        <v>15188.67</v>
      </c>
      <c r="N66" s="54">
        <v>40000</v>
      </c>
      <c r="O66" s="54">
        <f>E66*10%</f>
        <v>1518.8670000000002</v>
      </c>
      <c r="P66" s="54">
        <v>10000</v>
      </c>
      <c r="Q66" s="54">
        <v>0</v>
      </c>
      <c r="R66" s="55">
        <f>SUM(E66:Q66)</f>
        <v>189356.04725</v>
      </c>
      <c r="S66" s="55"/>
      <c r="T66" s="54">
        <v>2443.88</v>
      </c>
      <c r="U66" s="55">
        <v>2443.88</v>
      </c>
      <c r="V66" s="55">
        <v>186912.17</v>
      </c>
      <c r="W66" s="148">
        <f>R66-U66</f>
        <v>186912.16725</v>
      </c>
    </row>
    <row r="67" spans="1:23" ht="20.100000000000001" customHeight="1" x14ac:dyDescent="0.3">
      <c r="A67" s="185" t="s">
        <v>144</v>
      </c>
      <c r="B67" s="185"/>
      <c r="C67" s="52" t="s">
        <v>92</v>
      </c>
      <c r="D67" s="57" t="s">
        <v>142</v>
      </c>
      <c r="E67" s="54">
        <f>E65</f>
        <v>15188.67</v>
      </c>
      <c r="F67" s="90"/>
      <c r="G67" s="54">
        <f>E67*300%</f>
        <v>45566.01</v>
      </c>
      <c r="H67" s="54">
        <f>E67*7.5%</f>
        <v>1139.1502499999999</v>
      </c>
      <c r="I67" s="54">
        <v>0</v>
      </c>
      <c r="J67" s="54">
        <f>E67*50%</f>
        <v>7594.335</v>
      </c>
      <c r="K67" s="55">
        <f>E67*350%</f>
        <v>53160.345000000001</v>
      </c>
      <c r="L67" s="54">
        <v>0</v>
      </c>
      <c r="M67" s="54">
        <f>E67*100%</f>
        <v>15188.67</v>
      </c>
      <c r="N67" s="54">
        <v>40000</v>
      </c>
      <c r="O67" s="54">
        <f>E67*10%</f>
        <v>1518.8670000000002</v>
      </c>
      <c r="P67" s="54">
        <v>10000</v>
      </c>
      <c r="Q67" s="54">
        <v>0</v>
      </c>
      <c r="R67" s="55">
        <f>SUM(E67:Q67)</f>
        <v>189356.04725</v>
      </c>
      <c r="S67" s="55"/>
      <c r="T67" s="54">
        <v>2443.88</v>
      </c>
      <c r="U67" s="55">
        <v>2443.88</v>
      </c>
      <c r="V67" s="55">
        <v>186912.17</v>
      </c>
      <c r="W67" s="148">
        <f>R67-U67</f>
        <v>186912.16725</v>
      </c>
    </row>
    <row r="68" spans="1:23" ht="20.100000000000001" customHeight="1" x14ac:dyDescent="0.3">
      <c r="A68" s="192" t="s">
        <v>32</v>
      </c>
      <c r="B68" s="192"/>
      <c r="C68" s="63">
        <v>25</v>
      </c>
      <c r="D68" s="63"/>
      <c r="E68" s="68">
        <f t="shared" ref="E68:W68" si="35">SUM(E42:E67)</f>
        <v>639163.91999999993</v>
      </c>
      <c r="F68" s="68">
        <f t="shared" si="35"/>
        <v>353258.7</v>
      </c>
      <c r="G68" s="68">
        <f t="shared" si="35"/>
        <v>1917491.7600000007</v>
      </c>
      <c r="H68" s="68">
        <f t="shared" si="35"/>
        <v>47937.29399999998</v>
      </c>
      <c r="I68" s="68">
        <f t="shared" si="35"/>
        <v>200610.95</v>
      </c>
      <c r="J68" s="68">
        <f t="shared" si="35"/>
        <v>319581.95999999996</v>
      </c>
      <c r="K68" s="68">
        <f t="shared" si="35"/>
        <v>2237073.7199999997</v>
      </c>
      <c r="L68" s="68">
        <f t="shared" si="35"/>
        <v>0</v>
      </c>
      <c r="M68" s="68">
        <f t="shared" si="35"/>
        <v>639163.91999999993</v>
      </c>
      <c r="N68" s="68">
        <f t="shared" si="35"/>
        <v>1970000</v>
      </c>
      <c r="O68" s="68">
        <f t="shared" si="35"/>
        <v>63916.392</v>
      </c>
      <c r="P68" s="68">
        <f t="shared" si="35"/>
        <v>385000</v>
      </c>
      <c r="Q68" s="68">
        <f t="shared" si="35"/>
        <v>100000</v>
      </c>
      <c r="R68" s="68">
        <f t="shared" si="35"/>
        <v>8873198.6159999985</v>
      </c>
      <c r="S68" s="68">
        <f t="shared" si="35"/>
        <v>0</v>
      </c>
      <c r="T68" s="68">
        <f t="shared" si="35"/>
        <v>227326.7900000001</v>
      </c>
      <c r="U68" s="68">
        <f t="shared" si="35"/>
        <v>227326.7900000001</v>
      </c>
      <c r="V68" s="68">
        <f t="shared" si="35"/>
        <v>7553095.7999999998</v>
      </c>
      <c r="W68" s="68">
        <f t="shared" si="35"/>
        <v>8645871.8259999976</v>
      </c>
    </row>
    <row r="70" spans="1:23" ht="20.100000000000001" customHeight="1" x14ac:dyDescent="0.3">
      <c r="A70" s="196" t="s">
        <v>145</v>
      </c>
      <c r="B70" s="197"/>
      <c r="C70" s="63"/>
      <c r="D70" s="63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9"/>
      <c r="S70" s="69"/>
      <c r="T70" s="68"/>
      <c r="U70" s="55"/>
      <c r="V70" s="55"/>
      <c r="W70" s="148"/>
    </row>
    <row r="71" spans="1:23" ht="20.100000000000001" customHeight="1" x14ac:dyDescent="0.3">
      <c r="A71" s="175" t="s">
        <v>146</v>
      </c>
      <c r="B71" s="176"/>
      <c r="C71" s="56" t="s">
        <v>147</v>
      </c>
      <c r="D71" s="57" t="s">
        <v>84</v>
      </c>
      <c r="E71" s="54">
        <v>81740.02</v>
      </c>
      <c r="F71" s="90"/>
      <c r="G71" s="54">
        <f t="shared" ref="G71:G90" si="36">E71*300%</f>
        <v>245220.06</v>
      </c>
      <c r="H71" s="54">
        <f t="shared" ref="H71:H77" si="37">E71*7.5%</f>
        <v>6130.5015000000003</v>
      </c>
      <c r="I71" s="54">
        <v>80244.38</v>
      </c>
      <c r="J71" s="54">
        <f t="shared" ref="J71:J90" si="38">E71*50%</f>
        <v>40870.01</v>
      </c>
      <c r="K71" s="54">
        <f t="shared" ref="K71:K90" si="39">E71*350%</f>
        <v>286090.07</v>
      </c>
      <c r="L71" s="54">
        <v>0</v>
      </c>
      <c r="M71" s="54">
        <f t="shared" ref="M71:M90" si="40">E71*100%</f>
        <v>81740.02</v>
      </c>
      <c r="N71" s="54">
        <v>0</v>
      </c>
      <c r="O71" s="54">
        <f t="shared" ref="O71:O90" si="41">E71*10%</f>
        <v>8174.0020000000004</v>
      </c>
      <c r="P71" s="54">
        <v>20000</v>
      </c>
      <c r="Q71" s="54">
        <v>0</v>
      </c>
      <c r="R71" s="55">
        <f t="shared" ref="R71:R126" si="42">SUM(E71:Q71)</f>
        <v>850209.06350000005</v>
      </c>
      <c r="S71" s="55"/>
      <c r="T71" s="54">
        <v>52776.63</v>
      </c>
      <c r="U71" s="55">
        <f>T71+S71</f>
        <v>52776.63</v>
      </c>
      <c r="V71" s="55">
        <v>797432.43</v>
      </c>
      <c r="W71" s="148">
        <f t="shared" ref="W71:W108" si="43">R71-U71</f>
        <v>797432.43350000004</v>
      </c>
    </row>
    <row r="72" spans="1:23" ht="20.100000000000001" customHeight="1" x14ac:dyDescent="0.3">
      <c r="A72" s="185" t="s">
        <v>148</v>
      </c>
      <c r="B72" s="185"/>
      <c r="C72" s="56" t="s">
        <v>149</v>
      </c>
      <c r="D72" s="57" t="s">
        <v>40</v>
      </c>
      <c r="E72" s="54">
        <v>42653.17</v>
      </c>
      <c r="F72" s="90"/>
      <c r="G72" s="54">
        <f>E72*300%</f>
        <v>127959.51</v>
      </c>
      <c r="H72" s="54">
        <f t="shared" si="37"/>
        <v>3198.9877499999998</v>
      </c>
      <c r="I72" s="54">
        <f>I73</f>
        <v>40122.19</v>
      </c>
      <c r="J72" s="54">
        <f>E72*50%</f>
        <v>21326.584999999999</v>
      </c>
      <c r="K72" s="54">
        <f>E72*350%</f>
        <v>149286.095</v>
      </c>
      <c r="L72" s="54">
        <v>0</v>
      </c>
      <c r="M72" s="54">
        <f>E72*100%</f>
        <v>42653.17</v>
      </c>
      <c r="N72" s="54">
        <v>0</v>
      </c>
      <c r="O72" s="54">
        <f>E72*10%</f>
        <v>4265.317</v>
      </c>
      <c r="P72" s="54">
        <v>20000</v>
      </c>
      <c r="Q72" s="54">
        <v>0</v>
      </c>
      <c r="R72" s="55">
        <f t="shared" si="42"/>
        <v>451465.02474999998</v>
      </c>
      <c r="S72" s="55"/>
      <c r="T72" s="54">
        <v>21618.09</v>
      </c>
      <c r="U72" s="55">
        <f t="shared" ref="U72:U108" si="44">T72+S72</f>
        <v>21618.09</v>
      </c>
      <c r="V72" s="55">
        <v>429846.93</v>
      </c>
      <c r="W72" s="148">
        <f t="shared" si="43"/>
        <v>429846.93474999996</v>
      </c>
    </row>
    <row r="73" spans="1:23" ht="20.100000000000001" customHeight="1" x14ac:dyDescent="0.3">
      <c r="A73" s="185" t="s">
        <v>150</v>
      </c>
      <c r="B73" s="185"/>
      <c r="C73" s="56" t="s">
        <v>151</v>
      </c>
      <c r="D73" s="57" t="s">
        <v>40</v>
      </c>
      <c r="E73" s="54">
        <v>42653.17</v>
      </c>
      <c r="F73" s="90"/>
      <c r="G73" s="54">
        <f t="shared" si="36"/>
        <v>127959.51</v>
      </c>
      <c r="H73" s="54">
        <f t="shared" si="37"/>
        <v>3198.9877499999998</v>
      </c>
      <c r="I73" s="54">
        <v>40122.19</v>
      </c>
      <c r="J73" s="54">
        <f t="shared" si="38"/>
        <v>21326.584999999999</v>
      </c>
      <c r="K73" s="54">
        <f t="shared" si="39"/>
        <v>149286.095</v>
      </c>
      <c r="L73" s="54">
        <v>0</v>
      </c>
      <c r="M73" s="54">
        <f t="shared" si="40"/>
        <v>42653.17</v>
      </c>
      <c r="N73" s="54">
        <v>0</v>
      </c>
      <c r="O73" s="54">
        <f t="shared" si="41"/>
        <v>4265.317</v>
      </c>
      <c r="P73" s="54">
        <v>20000</v>
      </c>
      <c r="Q73" s="54">
        <v>0</v>
      </c>
      <c r="R73" s="55">
        <f t="shared" si="42"/>
        <v>451465.02474999998</v>
      </c>
      <c r="S73" s="55"/>
      <c r="T73" s="54">
        <v>21618.09</v>
      </c>
      <c r="U73" s="55">
        <f t="shared" si="44"/>
        <v>21618.09</v>
      </c>
      <c r="V73" s="55">
        <v>429846.93</v>
      </c>
      <c r="W73" s="148">
        <f t="shared" si="43"/>
        <v>429846.93474999996</v>
      </c>
    </row>
    <row r="74" spans="1:23" ht="20.100000000000001" customHeight="1" x14ac:dyDescent="0.3">
      <c r="A74" s="175" t="s">
        <v>152</v>
      </c>
      <c r="B74" s="176"/>
      <c r="C74" s="56" t="s">
        <v>153</v>
      </c>
      <c r="D74" s="57" t="s">
        <v>46</v>
      </c>
      <c r="E74" s="54">
        <f>E76</f>
        <v>33507.5</v>
      </c>
      <c r="F74" s="90"/>
      <c r="G74" s="54">
        <f t="shared" si="36"/>
        <v>100522.5</v>
      </c>
      <c r="H74" s="54">
        <f t="shared" si="37"/>
        <v>2513.0625</v>
      </c>
      <c r="I74" s="54">
        <f>I73</f>
        <v>40122.19</v>
      </c>
      <c r="J74" s="54">
        <f t="shared" si="38"/>
        <v>16753.75</v>
      </c>
      <c r="K74" s="54">
        <f>E74*350%</f>
        <v>117276.25</v>
      </c>
      <c r="L74" s="54">
        <v>0</v>
      </c>
      <c r="M74" s="54">
        <f t="shared" si="40"/>
        <v>33507.5</v>
      </c>
      <c r="N74" s="54">
        <v>0</v>
      </c>
      <c r="O74" s="54">
        <f t="shared" si="41"/>
        <v>3350.75</v>
      </c>
      <c r="P74" s="54">
        <v>20000</v>
      </c>
      <c r="Q74" s="54">
        <v>0</v>
      </c>
      <c r="R74" s="55">
        <f t="shared" si="42"/>
        <v>367553.5025</v>
      </c>
      <c r="S74" s="55"/>
      <c r="T74" s="54">
        <v>15548.33</v>
      </c>
      <c r="U74" s="55">
        <f t="shared" si="44"/>
        <v>15548.33</v>
      </c>
      <c r="V74" s="55">
        <v>352005.17</v>
      </c>
      <c r="W74" s="148">
        <f t="shared" si="43"/>
        <v>352005.17249999999</v>
      </c>
    </row>
    <row r="75" spans="1:23" ht="20.100000000000001" customHeight="1" x14ac:dyDescent="0.3">
      <c r="A75" s="175" t="s">
        <v>154</v>
      </c>
      <c r="B75" s="176"/>
      <c r="C75" s="56" t="s">
        <v>155</v>
      </c>
      <c r="D75" s="58" t="s">
        <v>46</v>
      </c>
      <c r="E75" s="54">
        <f>E76</f>
        <v>33507.5</v>
      </c>
      <c r="F75" s="90"/>
      <c r="G75" s="54">
        <f>E75*300%</f>
        <v>100522.5</v>
      </c>
      <c r="H75" s="54">
        <f>E75*7.5%</f>
        <v>2513.0625</v>
      </c>
      <c r="I75" s="54">
        <f>I74</f>
        <v>40122.19</v>
      </c>
      <c r="J75" s="54">
        <f>E75*50%</f>
        <v>16753.75</v>
      </c>
      <c r="K75" s="54">
        <f>E75*350%</f>
        <v>117276.25</v>
      </c>
      <c r="L75" s="54">
        <v>0</v>
      </c>
      <c r="M75" s="54">
        <f>E75*100%</f>
        <v>33507.5</v>
      </c>
      <c r="N75" s="54">
        <v>0</v>
      </c>
      <c r="O75" s="54">
        <f>E75*10%</f>
        <v>3350.75</v>
      </c>
      <c r="P75" s="54">
        <v>20000</v>
      </c>
      <c r="Q75" s="54">
        <v>0</v>
      </c>
      <c r="R75" s="55">
        <f>SUM(E75:Q75)</f>
        <v>367553.5025</v>
      </c>
      <c r="S75" s="55"/>
      <c r="T75" s="55">
        <v>15548.33</v>
      </c>
      <c r="U75" s="55">
        <f>S75+T75</f>
        <v>15548.33</v>
      </c>
      <c r="V75" s="55">
        <v>352005.17</v>
      </c>
      <c r="W75" s="148">
        <f>R75-U75</f>
        <v>352005.17249999999</v>
      </c>
    </row>
    <row r="76" spans="1:23" ht="20.100000000000001" customHeight="1" x14ac:dyDescent="0.3">
      <c r="A76" s="180" t="s">
        <v>156</v>
      </c>
      <c r="B76" s="181"/>
      <c r="C76" s="56" t="s">
        <v>157</v>
      </c>
      <c r="D76" s="57" t="s">
        <v>46</v>
      </c>
      <c r="E76" s="54">
        <v>33507.5</v>
      </c>
      <c r="F76" s="90"/>
      <c r="G76" s="54">
        <f t="shared" si="36"/>
        <v>100522.5</v>
      </c>
      <c r="H76" s="54">
        <f t="shared" si="37"/>
        <v>2513.0625</v>
      </c>
      <c r="I76" s="54">
        <f>I14</f>
        <v>40122.19</v>
      </c>
      <c r="J76" s="54">
        <f t="shared" si="38"/>
        <v>16753.75</v>
      </c>
      <c r="K76" s="54">
        <f>E76*350%</f>
        <v>117276.25</v>
      </c>
      <c r="L76" s="54">
        <v>0</v>
      </c>
      <c r="M76" s="54">
        <f t="shared" si="40"/>
        <v>33507.5</v>
      </c>
      <c r="N76" s="54">
        <v>0</v>
      </c>
      <c r="O76" s="54">
        <f t="shared" si="41"/>
        <v>3350.75</v>
      </c>
      <c r="P76" s="54">
        <v>20000</v>
      </c>
      <c r="Q76" s="54">
        <v>0</v>
      </c>
      <c r="R76" s="55">
        <f t="shared" si="42"/>
        <v>367553.5025</v>
      </c>
      <c r="S76" s="55"/>
      <c r="T76" s="54">
        <v>15548.33</v>
      </c>
      <c r="U76" s="55">
        <f t="shared" si="44"/>
        <v>15548.33</v>
      </c>
      <c r="V76" s="55">
        <v>352005.17</v>
      </c>
      <c r="W76" s="148">
        <f t="shared" si="43"/>
        <v>352005.17249999999</v>
      </c>
    </row>
    <row r="77" spans="1:23" ht="20.100000000000001" customHeight="1" x14ac:dyDescent="0.3">
      <c r="A77" s="185" t="s">
        <v>158</v>
      </c>
      <c r="B77" s="185"/>
      <c r="C77" s="56" t="s">
        <v>159</v>
      </c>
      <c r="D77" s="57" t="s">
        <v>56</v>
      </c>
      <c r="E77" s="54">
        <v>24741.26</v>
      </c>
      <c r="F77" s="90"/>
      <c r="G77" s="54">
        <f t="shared" si="36"/>
        <v>74223.78</v>
      </c>
      <c r="H77" s="54">
        <f t="shared" si="37"/>
        <v>1855.5944999999997</v>
      </c>
      <c r="I77" s="54">
        <v>0</v>
      </c>
      <c r="J77" s="54">
        <f t="shared" si="38"/>
        <v>12370.63</v>
      </c>
      <c r="K77" s="55">
        <f t="shared" si="39"/>
        <v>86594.409999999989</v>
      </c>
      <c r="L77" s="54">
        <v>0</v>
      </c>
      <c r="M77" s="54">
        <f t="shared" si="40"/>
        <v>24741.26</v>
      </c>
      <c r="N77" s="54">
        <v>30000</v>
      </c>
      <c r="O77" s="54">
        <f t="shared" si="41"/>
        <v>2474.1260000000002</v>
      </c>
      <c r="P77" s="54">
        <v>15000</v>
      </c>
      <c r="Q77" s="54">
        <v>0</v>
      </c>
      <c r="R77" s="55">
        <f t="shared" si="42"/>
        <v>272001.06050000002</v>
      </c>
      <c r="S77" s="55"/>
      <c r="T77" s="54">
        <v>7709.76</v>
      </c>
      <c r="U77" s="55">
        <f t="shared" si="44"/>
        <v>7709.76</v>
      </c>
      <c r="V77" s="55">
        <v>264291.3</v>
      </c>
      <c r="W77" s="148">
        <f t="shared" si="43"/>
        <v>264291.30050000001</v>
      </c>
    </row>
    <row r="78" spans="1:23" ht="20.100000000000001" customHeight="1" x14ac:dyDescent="0.3">
      <c r="A78" s="175" t="s">
        <v>160</v>
      </c>
      <c r="B78" s="176"/>
      <c r="C78" s="56" t="s">
        <v>161</v>
      </c>
      <c r="D78" s="57" t="s">
        <v>61</v>
      </c>
      <c r="E78" s="54">
        <f>E22</f>
        <v>18281.64</v>
      </c>
      <c r="F78" s="90"/>
      <c r="G78" s="54">
        <f t="shared" si="36"/>
        <v>54844.92</v>
      </c>
      <c r="H78" s="54">
        <f t="shared" ref="H78:H88" si="45">E78*7.5%</f>
        <v>1371.1229999999998</v>
      </c>
      <c r="I78" s="54">
        <v>0</v>
      </c>
      <c r="J78" s="54">
        <f t="shared" si="38"/>
        <v>9140.82</v>
      </c>
      <c r="K78" s="55">
        <f t="shared" si="39"/>
        <v>63985.74</v>
      </c>
      <c r="L78" s="54">
        <v>0</v>
      </c>
      <c r="M78" s="54">
        <f t="shared" si="40"/>
        <v>18281.64</v>
      </c>
      <c r="N78" s="54">
        <v>0</v>
      </c>
      <c r="O78" s="54">
        <f t="shared" si="41"/>
        <v>1828.164</v>
      </c>
      <c r="P78" s="54">
        <v>10000</v>
      </c>
      <c r="Q78" s="54">
        <v>0</v>
      </c>
      <c r="R78" s="55">
        <f t="shared" si="42"/>
        <v>177734.04699999996</v>
      </c>
      <c r="S78" s="55">
        <v>0</v>
      </c>
      <c r="T78" s="54">
        <v>3369.51</v>
      </c>
      <c r="U78" s="55">
        <f t="shared" si="44"/>
        <v>3369.51</v>
      </c>
      <c r="V78" s="55">
        <v>174364.54</v>
      </c>
      <c r="W78" s="148">
        <f t="shared" si="43"/>
        <v>174364.53699999995</v>
      </c>
    </row>
    <row r="79" spans="1:23" ht="20.100000000000001" customHeight="1" x14ac:dyDescent="0.3">
      <c r="A79" s="175" t="s">
        <v>162</v>
      </c>
      <c r="B79" s="176"/>
      <c r="C79" s="56" t="s">
        <v>163</v>
      </c>
      <c r="D79" s="57" t="s">
        <v>61</v>
      </c>
      <c r="E79" s="54">
        <f>E78</f>
        <v>18281.64</v>
      </c>
      <c r="F79" s="90"/>
      <c r="G79" s="54">
        <f t="shared" si="36"/>
        <v>54844.92</v>
      </c>
      <c r="H79" s="54">
        <f t="shared" si="45"/>
        <v>1371.1229999999998</v>
      </c>
      <c r="I79" s="54">
        <v>0</v>
      </c>
      <c r="J79" s="54">
        <f t="shared" si="38"/>
        <v>9140.82</v>
      </c>
      <c r="K79" s="55">
        <f t="shared" si="39"/>
        <v>63985.74</v>
      </c>
      <c r="L79" s="54">
        <v>0</v>
      </c>
      <c r="M79" s="54">
        <f t="shared" si="40"/>
        <v>18281.64</v>
      </c>
      <c r="N79" s="54">
        <v>0</v>
      </c>
      <c r="O79" s="54">
        <f t="shared" si="41"/>
        <v>1828.164</v>
      </c>
      <c r="P79" s="54">
        <v>10000</v>
      </c>
      <c r="Q79" s="54">
        <v>0</v>
      </c>
      <c r="R79" s="55">
        <f t="shared" si="42"/>
        <v>177734.04699999996</v>
      </c>
      <c r="S79" s="55"/>
      <c r="T79" s="54">
        <v>3369.51</v>
      </c>
      <c r="U79" s="55">
        <f t="shared" si="44"/>
        <v>3369.51</v>
      </c>
      <c r="V79" s="55">
        <v>174364.54</v>
      </c>
      <c r="W79" s="148">
        <f t="shared" si="43"/>
        <v>174364.53699999995</v>
      </c>
    </row>
    <row r="80" spans="1:23" ht="19.5" customHeight="1" x14ac:dyDescent="0.3">
      <c r="A80" s="175" t="s">
        <v>164</v>
      </c>
      <c r="B80" s="176"/>
      <c r="C80" s="56" t="s">
        <v>165</v>
      </c>
      <c r="D80" s="57" t="s">
        <v>61</v>
      </c>
      <c r="E80" s="54">
        <f>E79</f>
        <v>18281.64</v>
      </c>
      <c r="F80" s="90"/>
      <c r="G80" s="54">
        <f>E80*300%</f>
        <v>54844.92</v>
      </c>
      <c r="H80" s="54">
        <f>E80*7.5%</f>
        <v>1371.1229999999998</v>
      </c>
      <c r="I80" s="54">
        <v>0</v>
      </c>
      <c r="J80" s="54">
        <f>E80*50%</f>
        <v>9140.82</v>
      </c>
      <c r="K80" s="55">
        <f>E80*350%</f>
        <v>63985.74</v>
      </c>
      <c r="L80" s="54">
        <v>0</v>
      </c>
      <c r="M80" s="54">
        <f>E80*100%</f>
        <v>18281.64</v>
      </c>
      <c r="N80" s="54">
        <v>0</v>
      </c>
      <c r="O80" s="54">
        <f>E80*10%</f>
        <v>1828.164</v>
      </c>
      <c r="P80" s="54">
        <v>10000</v>
      </c>
      <c r="Q80" s="54">
        <v>0</v>
      </c>
      <c r="R80" s="55">
        <f>SUM(E80:Q80)</f>
        <v>177734.04699999996</v>
      </c>
      <c r="S80" s="55">
        <v>0</v>
      </c>
      <c r="T80" s="54">
        <v>3369.51</v>
      </c>
      <c r="U80" s="55">
        <f>T80+S80</f>
        <v>3369.51</v>
      </c>
      <c r="V80" s="55">
        <v>174364.54</v>
      </c>
      <c r="W80" s="148">
        <f>R80-U80</f>
        <v>174364.53699999995</v>
      </c>
    </row>
    <row r="81" spans="1:23" ht="20.100000000000001" customHeight="1" x14ac:dyDescent="0.3">
      <c r="A81" s="175" t="s">
        <v>166</v>
      </c>
      <c r="B81" s="176"/>
      <c r="C81" s="56" t="s">
        <v>167</v>
      </c>
      <c r="D81" s="57" t="s">
        <v>61</v>
      </c>
      <c r="E81" s="54">
        <f>E80</f>
        <v>18281.64</v>
      </c>
      <c r="F81" s="90"/>
      <c r="G81" s="54">
        <f t="shared" si="36"/>
        <v>54844.92</v>
      </c>
      <c r="H81" s="54">
        <f t="shared" si="45"/>
        <v>1371.1229999999998</v>
      </c>
      <c r="I81" s="54">
        <v>0</v>
      </c>
      <c r="J81" s="54">
        <f t="shared" si="38"/>
        <v>9140.82</v>
      </c>
      <c r="K81" s="55">
        <f t="shared" si="39"/>
        <v>63985.74</v>
      </c>
      <c r="L81" s="54">
        <v>0</v>
      </c>
      <c r="M81" s="54">
        <f t="shared" si="40"/>
        <v>18281.64</v>
      </c>
      <c r="N81" s="54">
        <v>0</v>
      </c>
      <c r="O81" s="54">
        <f t="shared" si="41"/>
        <v>1828.164</v>
      </c>
      <c r="P81" s="54">
        <v>10000</v>
      </c>
      <c r="Q81" s="54">
        <v>0</v>
      </c>
      <c r="R81" s="55">
        <f t="shared" si="42"/>
        <v>177734.04699999996</v>
      </c>
      <c r="S81" s="55"/>
      <c r="T81" s="54">
        <v>3369.51</v>
      </c>
      <c r="U81" s="55">
        <f t="shared" si="44"/>
        <v>3369.51</v>
      </c>
      <c r="V81" s="55">
        <v>174364.54</v>
      </c>
      <c r="W81" s="148">
        <f t="shared" si="43"/>
        <v>174364.53699999995</v>
      </c>
    </row>
    <row r="82" spans="1:23" ht="20.100000000000001" customHeight="1" x14ac:dyDescent="0.3">
      <c r="A82" s="193" t="s">
        <v>168</v>
      </c>
      <c r="B82" s="194"/>
      <c r="C82" s="52" t="s">
        <v>169</v>
      </c>
      <c r="D82" s="53" t="s">
        <v>61</v>
      </c>
      <c r="E82" s="54">
        <v>18281.64</v>
      </c>
      <c r="F82" s="90"/>
      <c r="G82" s="54">
        <f>E82*300%</f>
        <v>54844.92</v>
      </c>
      <c r="H82" s="54">
        <f>E82*7.5%</f>
        <v>1371.1229999999998</v>
      </c>
      <c r="I82" s="54">
        <v>0</v>
      </c>
      <c r="J82" s="54">
        <f>E82*50%</f>
        <v>9140.82</v>
      </c>
      <c r="K82" s="55">
        <f>E82*350%</f>
        <v>63985.74</v>
      </c>
      <c r="L82" s="54">
        <v>0</v>
      </c>
      <c r="M82" s="54">
        <f>E82*100%</f>
        <v>18281.64</v>
      </c>
      <c r="N82" s="54">
        <v>0</v>
      </c>
      <c r="O82" s="54">
        <f>E82*10%</f>
        <v>1828.164</v>
      </c>
      <c r="P82" s="54">
        <v>10000</v>
      </c>
      <c r="Q82" s="54">
        <v>0</v>
      </c>
      <c r="R82" s="55">
        <f>SUM(E82:Q82)</f>
        <v>177734.04699999996</v>
      </c>
      <c r="S82" s="55"/>
      <c r="T82" s="55">
        <v>3369.51</v>
      </c>
      <c r="U82" s="55">
        <f>S82+T82</f>
        <v>3369.51</v>
      </c>
      <c r="V82" s="55">
        <v>174364.54</v>
      </c>
      <c r="W82" s="148">
        <f>R82-U82</f>
        <v>174364.53699999995</v>
      </c>
    </row>
    <row r="83" spans="1:23" ht="20.100000000000001" customHeight="1" x14ac:dyDescent="0.3">
      <c r="A83" s="175" t="s">
        <v>170</v>
      </c>
      <c r="B83" s="176"/>
      <c r="C83" s="56" t="s">
        <v>171</v>
      </c>
      <c r="D83" s="57" t="s">
        <v>71</v>
      </c>
      <c r="E83" s="54">
        <v>13112.16</v>
      </c>
      <c r="F83" s="90"/>
      <c r="G83" s="54">
        <f t="shared" si="36"/>
        <v>39336.479999999996</v>
      </c>
      <c r="H83" s="54">
        <f t="shared" si="45"/>
        <v>983.41199999999992</v>
      </c>
      <c r="I83" s="54">
        <v>0</v>
      </c>
      <c r="J83" s="54">
        <f t="shared" si="38"/>
        <v>6556.08</v>
      </c>
      <c r="K83" s="55">
        <f t="shared" si="39"/>
        <v>45892.56</v>
      </c>
      <c r="L83" s="54">
        <v>0</v>
      </c>
      <c r="M83" s="54">
        <f t="shared" si="40"/>
        <v>13112.16</v>
      </c>
      <c r="N83" s="54">
        <v>0</v>
      </c>
      <c r="O83" s="54">
        <f t="shared" si="41"/>
        <v>1311.2160000000001</v>
      </c>
      <c r="P83" s="54">
        <v>10000</v>
      </c>
      <c r="Q83" s="54">
        <v>0</v>
      </c>
      <c r="R83" s="55">
        <f t="shared" si="42"/>
        <v>130304.068</v>
      </c>
      <c r="S83" s="55"/>
      <c r="T83" s="54">
        <v>1484.37</v>
      </c>
      <c r="U83" s="55">
        <f t="shared" si="44"/>
        <v>1484.37</v>
      </c>
      <c r="V83" s="55">
        <v>128819.7</v>
      </c>
      <c r="W83" s="148">
        <f t="shared" si="43"/>
        <v>128819.698</v>
      </c>
    </row>
    <row r="84" spans="1:23" ht="20.100000000000001" customHeight="1" x14ac:dyDescent="0.3">
      <c r="A84" s="61"/>
      <c r="B84" s="62" t="s">
        <v>172</v>
      </c>
      <c r="C84" s="56" t="s">
        <v>171</v>
      </c>
      <c r="D84" s="57" t="s">
        <v>71</v>
      </c>
      <c r="E84" s="54">
        <v>13112.16</v>
      </c>
      <c r="F84" s="90"/>
      <c r="G84" s="54">
        <f t="shared" si="36"/>
        <v>39336.479999999996</v>
      </c>
      <c r="H84" s="54">
        <f t="shared" si="45"/>
        <v>983.41199999999992</v>
      </c>
      <c r="I84" s="54">
        <v>0</v>
      </c>
      <c r="J84" s="54">
        <f t="shared" si="38"/>
        <v>6556.08</v>
      </c>
      <c r="K84" s="55">
        <f t="shared" si="39"/>
        <v>45892.56</v>
      </c>
      <c r="L84" s="54">
        <v>0</v>
      </c>
      <c r="M84" s="54">
        <f t="shared" si="40"/>
        <v>13112.16</v>
      </c>
      <c r="N84" s="54">
        <v>0</v>
      </c>
      <c r="O84" s="54">
        <f t="shared" si="41"/>
        <v>1311.2160000000001</v>
      </c>
      <c r="P84" s="54">
        <v>10000</v>
      </c>
      <c r="Q84" s="54">
        <v>0</v>
      </c>
      <c r="R84" s="55">
        <f t="shared" si="42"/>
        <v>130304.068</v>
      </c>
      <c r="S84" s="55">
        <v>0</v>
      </c>
      <c r="T84" s="54">
        <v>1484.37</v>
      </c>
      <c r="U84" s="55">
        <f t="shared" si="44"/>
        <v>1484.37</v>
      </c>
      <c r="V84" s="55">
        <v>128819.7</v>
      </c>
      <c r="W84" s="148">
        <f t="shared" si="43"/>
        <v>128819.698</v>
      </c>
    </row>
    <row r="85" spans="1:23" ht="20.100000000000001" customHeight="1" x14ac:dyDescent="0.3">
      <c r="A85" s="180" t="s">
        <v>173</v>
      </c>
      <c r="B85" s="181"/>
      <c r="C85" s="56" t="s">
        <v>174</v>
      </c>
      <c r="D85" s="57" t="s">
        <v>71</v>
      </c>
      <c r="E85" s="54">
        <v>13112.16</v>
      </c>
      <c r="F85" s="90"/>
      <c r="G85" s="54">
        <f t="shared" si="36"/>
        <v>39336.479999999996</v>
      </c>
      <c r="H85" s="54">
        <f t="shared" si="45"/>
        <v>983.41199999999992</v>
      </c>
      <c r="I85" s="54">
        <v>0</v>
      </c>
      <c r="J85" s="54">
        <f t="shared" si="38"/>
        <v>6556.08</v>
      </c>
      <c r="K85" s="55">
        <f t="shared" si="39"/>
        <v>45892.56</v>
      </c>
      <c r="L85" s="54">
        <v>0</v>
      </c>
      <c r="M85" s="54">
        <f t="shared" si="40"/>
        <v>13112.16</v>
      </c>
      <c r="N85" s="54">
        <v>0</v>
      </c>
      <c r="O85" s="54">
        <f t="shared" ref="O85:O88" si="46">E85*10%</f>
        <v>1311.2160000000001</v>
      </c>
      <c r="P85" s="54">
        <v>10000</v>
      </c>
      <c r="Q85" s="54">
        <v>0</v>
      </c>
      <c r="R85" s="55">
        <f t="shared" si="42"/>
        <v>130304.068</v>
      </c>
      <c r="S85" s="55">
        <v>0</v>
      </c>
      <c r="T85" s="54">
        <v>1484.37</v>
      </c>
      <c r="U85" s="55">
        <f t="shared" si="44"/>
        <v>1484.37</v>
      </c>
      <c r="V85" s="55">
        <v>128819.7</v>
      </c>
      <c r="W85" s="148">
        <f t="shared" si="43"/>
        <v>128819.698</v>
      </c>
    </row>
    <row r="86" spans="1:23" ht="20.100000000000001" customHeight="1" x14ac:dyDescent="0.3">
      <c r="A86" s="175" t="s">
        <v>175</v>
      </c>
      <c r="B86" s="176"/>
      <c r="C86" s="56" t="s">
        <v>174</v>
      </c>
      <c r="D86" s="57" t="s">
        <v>71</v>
      </c>
      <c r="E86" s="54">
        <v>13112.16</v>
      </c>
      <c r="F86" s="90"/>
      <c r="G86" s="54">
        <f t="shared" si="36"/>
        <v>39336.479999999996</v>
      </c>
      <c r="H86" s="54">
        <f t="shared" si="45"/>
        <v>983.41199999999992</v>
      </c>
      <c r="I86" s="54"/>
      <c r="J86" s="54">
        <f t="shared" si="38"/>
        <v>6556.08</v>
      </c>
      <c r="K86" s="55">
        <f t="shared" si="39"/>
        <v>45892.56</v>
      </c>
      <c r="L86" s="54"/>
      <c r="M86" s="54">
        <f t="shared" si="40"/>
        <v>13112.16</v>
      </c>
      <c r="N86" s="54"/>
      <c r="O86" s="54">
        <f t="shared" si="46"/>
        <v>1311.2160000000001</v>
      </c>
      <c r="P86" s="54">
        <v>10000</v>
      </c>
      <c r="Q86" s="54"/>
      <c r="R86" s="55">
        <f t="shared" si="42"/>
        <v>130304.068</v>
      </c>
      <c r="S86" s="55"/>
      <c r="T86" s="54">
        <v>1484.37</v>
      </c>
      <c r="U86" s="55">
        <f t="shared" si="44"/>
        <v>1484.37</v>
      </c>
      <c r="V86" s="55">
        <v>128819.7</v>
      </c>
      <c r="W86" s="148">
        <f t="shared" si="43"/>
        <v>128819.698</v>
      </c>
    </row>
    <row r="87" spans="1:23" ht="20.100000000000001" customHeight="1" x14ac:dyDescent="0.3">
      <c r="A87" s="175" t="s">
        <v>176</v>
      </c>
      <c r="B87" s="176"/>
      <c r="C87" s="56" t="s">
        <v>174</v>
      </c>
      <c r="D87" s="57" t="s">
        <v>71</v>
      </c>
      <c r="E87" s="54">
        <v>13112.16</v>
      </c>
      <c r="F87" s="90"/>
      <c r="G87" s="54">
        <f t="shared" si="36"/>
        <v>39336.479999999996</v>
      </c>
      <c r="H87" s="54">
        <f t="shared" si="45"/>
        <v>983.41199999999992</v>
      </c>
      <c r="I87" s="54"/>
      <c r="J87" s="54">
        <f t="shared" si="38"/>
        <v>6556.08</v>
      </c>
      <c r="K87" s="55">
        <f t="shared" si="39"/>
        <v>45892.56</v>
      </c>
      <c r="L87" s="54"/>
      <c r="M87" s="54">
        <f t="shared" si="40"/>
        <v>13112.16</v>
      </c>
      <c r="N87" s="54"/>
      <c r="O87" s="54">
        <f t="shared" si="46"/>
        <v>1311.2160000000001</v>
      </c>
      <c r="P87" s="54">
        <v>10000</v>
      </c>
      <c r="Q87" s="54"/>
      <c r="R87" s="55">
        <f t="shared" si="42"/>
        <v>130304.068</v>
      </c>
      <c r="S87" s="55"/>
      <c r="T87" s="54">
        <v>1484.37</v>
      </c>
      <c r="U87" s="55">
        <f t="shared" si="44"/>
        <v>1484.37</v>
      </c>
      <c r="V87" s="55">
        <v>128819.7</v>
      </c>
      <c r="W87" s="148">
        <f t="shared" si="43"/>
        <v>128819.698</v>
      </c>
    </row>
    <row r="88" spans="1:23" ht="20.100000000000001" customHeight="1" x14ac:dyDescent="0.3">
      <c r="A88" s="175" t="s">
        <v>177</v>
      </c>
      <c r="B88" s="176"/>
      <c r="C88" s="56" t="s">
        <v>178</v>
      </c>
      <c r="D88" s="57" t="s">
        <v>71</v>
      </c>
      <c r="E88" s="54">
        <v>13112.16</v>
      </c>
      <c r="F88" s="90"/>
      <c r="G88" s="54">
        <f t="shared" si="36"/>
        <v>39336.479999999996</v>
      </c>
      <c r="H88" s="54">
        <f t="shared" si="45"/>
        <v>983.41199999999992</v>
      </c>
      <c r="I88" s="54">
        <v>0</v>
      </c>
      <c r="J88" s="54">
        <f t="shared" si="38"/>
        <v>6556.08</v>
      </c>
      <c r="K88" s="55">
        <f t="shared" si="39"/>
        <v>45892.56</v>
      </c>
      <c r="L88" s="54">
        <v>0</v>
      </c>
      <c r="M88" s="54">
        <f t="shared" si="40"/>
        <v>13112.16</v>
      </c>
      <c r="N88" s="54">
        <v>0</v>
      </c>
      <c r="O88" s="54">
        <f t="shared" si="46"/>
        <v>1311.2160000000001</v>
      </c>
      <c r="P88" s="54">
        <v>10000</v>
      </c>
      <c r="Q88" s="54">
        <v>0</v>
      </c>
      <c r="R88" s="55">
        <f t="shared" si="42"/>
        <v>130304.068</v>
      </c>
      <c r="S88" s="55"/>
      <c r="T88" s="54">
        <v>1484.37</v>
      </c>
      <c r="U88" s="55">
        <f t="shared" si="44"/>
        <v>1484.37</v>
      </c>
      <c r="V88" s="55">
        <v>128819.7</v>
      </c>
      <c r="W88" s="148">
        <f t="shared" si="43"/>
        <v>128819.698</v>
      </c>
    </row>
    <row r="89" spans="1:23" ht="20.100000000000001" customHeight="1" x14ac:dyDescent="0.3">
      <c r="A89" s="185" t="s">
        <v>179</v>
      </c>
      <c r="B89" s="185"/>
      <c r="C89" s="56" t="s">
        <v>180</v>
      </c>
      <c r="D89" s="57" t="s">
        <v>181</v>
      </c>
      <c r="E89" s="54">
        <v>13872.4</v>
      </c>
      <c r="F89" s="90"/>
      <c r="G89" s="54">
        <f t="shared" si="36"/>
        <v>41617.199999999997</v>
      </c>
      <c r="H89" s="54">
        <f>E89*7.5%</f>
        <v>1040.4299999999998</v>
      </c>
      <c r="I89" s="54">
        <v>0</v>
      </c>
      <c r="J89" s="54">
        <f t="shared" si="38"/>
        <v>6936.2</v>
      </c>
      <c r="K89" s="55">
        <f t="shared" si="39"/>
        <v>48553.4</v>
      </c>
      <c r="L89" s="54">
        <v>0</v>
      </c>
      <c r="M89" s="54">
        <f t="shared" si="40"/>
        <v>13872.4</v>
      </c>
      <c r="N89" s="54">
        <v>0</v>
      </c>
      <c r="O89" s="54">
        <f t="shared" si="41"/>
        <v>1387.24</v>
      </c>
      <c r="P89" s="54">
        <v>10000</v>
      </c>
      <c r="Q89" s="54">
        <v>0</v>
      </c>
      <c r="R89" s="55">
        <f t="shared" si="42"/>
        <v>137279.27000000002</v>
      </c>
      <c r="S89" s="55"/>
      <c r="T89" s="54">
        <v>1484.37</v>
      </c>
      <c r="U89" s="55">
        <f t="shared" si="44"/>
        <v>1484.37</v>
      </c>
      <c r="V89" s="55">
        <v>135794.9</v>
      </c>
      <c r="W89" s="148">
        <f t="shared" si="43"/>
        <v>135794.90000000002</v>
      </c>
    </row>
    <row r="90" spans="1:23" ht="20.100000000000001" customHeight="1" x14ac:dyDescent="0.3">
      <c r="A90" s="175" t="s">
        <v>182</v>
      </c>
      <c r="B90" s="176"/>
      <c r="C90" s="52" t="s">
        <v>183</v>
      </c>
      <c r="D90" s="57" t="s">
        <v>181</v>
      </c>
      <c r="E90" s="54">
        <v>13872.4</v>
      </c>
      <c r="F90" s="90"/>
      <c r="G90" s="54">
        <f t="shared" si="36"/>
        <v>41617.199999999997</v>
      </c>
      <c r="H90" s="54">
        <f>E90*7.5%</f>
        <v>1040.4299999999998</v>
      </c>
      <c r="I90" s="54">
        <v>0</v>
      </c>
      <c r="J90" s="54">
        <f t="shared" si="38"/>
        <v>6936.2</v>
      </c>
      <c r="K90" s="55">
        <f t="shared" si="39"/>
        <v>48553.4</v>
      </c>
      <c r="L90" s="54">
        <v>0</v>
      </c>
      <c r="M90" s="54">
        <f t="shared" si="40"/>
        <v>13872.4</v>
      </c>
      <c r="N90" s="54">
        <v>0</v>
      </c>
      <c r="O90" s="54">
        <f t="shared" si="41"/>
        <v>1387.24</v>
      </c>
      <c r="P90" s="54">
        <v>10000</v>
      </c>
      <c r="Q90" s="54">
        <v>0</v>
      </c>
      <c r="R90" s="55">
        <f t="shared" si="42"/>
        <v>137279.27000000002</v>
      </c>
      <c r="S90" s="55"/>
      <c r="T90" s="54">
        <v>1484.37</v>
      </c>
      <c r="U90" s="55">
        <f t="shared" si="44"/>
        <v>1484.37</v>
      </c>
      <c r="V90" s="55">
        <v>135794.9</v>
      </c>
      <c r="W90" s="148">
        <f t="shared" si="43"/>
        <v>135794.90000000002</v>
      </c>
    </row>
    <row r="91" spans="1:23" ht="20.100000000000001" customHeight="1" x14ac:dyDescent="0.3">
      <c r="A91" s="185" t="s">
        <v>184</v>
      </c>
      <c r="B91" s="185"/>
      <c r="C91" s="56" t="s">
        <v>183</v>
      </c>
      <c r="D91" s="57" t="s">
        <v>142</v>
      </c>
      <c r="E91" s="55">
        <f>E67</f>
        <v>15188.67</v>
      </c>
      <c r="F91" s="90"/>
      <c r="G91" s="54">
        <f t="shared" ref="G91:G95" si="47">E91*300%</f>
        <v>45566.01</v>
      </c>
      <c r="H91" s="54">
        <f t="shared" ref="H91:H95" si="48">E91*7.5%</f>
        <v>1139.1502499999999</v>
      </c>
      <c r="I91" s="55">
        <v>0</v>
      </c>
      <c r="J91" s="54">
        <f t="shared" ref="J91:J95" si="49">E91*50%</f>
        <v>7594.335</v>
      </c>
      <c r="K91" s="55">
        <f t="shared" ref="K91:K95" si="50">E91*350%</f>
        <v>53160.345000000001</v>
      </c>
      <c r="L91" s="54">
        <v>0</v>
      </c>
      <c r="M91" s="54">
        <f t="shared" ref="M91:M95" si="51">E91*100%</f>
        <v>15188.67</v>
      </c>
      <c r="N91" s="54">
        <v>0</v>
      </c>
      <c r="O91" s="54">
        <f t="shared" ref="O91:O95" si="52">E91*10%</f>
        <v>1518.8670000000002</v>
      </c>
      <c r="P91" s="54">
        <v>10000</v>
      </c>
      <c r="Q91" s="54">
        <v>0</v>
      </c>
      <c r="R91" s="55">
        <f t="shared" si="42"/>
        <v>149356.04725</v>
      </c>
      <c r="S91" s="55"/>
      <c r="T91" s="54">
        <v>1484.37</v>
      </c>
      <c r="U91" s="55">
        <f t="shared" si="44"/>
        <v>1484.37</v>
      </c>
      <c r="V91" s="55">
        <v>147871.67999999999</v>
      </c>
      <c r="W91" s="148">
        <f t="shared" si="43"/>
        <v>147871.67725000001</v>
      </c>
    </row>
    <row r="92" spans="1:23" ht="20.100000000000001" customHeight="1" x14ac:dyDescent="0.3">
      <c r="A92" s="175" t="s">
        <v>185</v>
      </c>
      <c r="B92" s="176"/>
      <c r="C92" s="56" t="s">
        <v>183</v>
      </c>
      <c r="D92" s="57" t="s">
        <v>181</v>
      </c>
      <c r="E92" s="55">
        <v>13872.4</v>
      </c>
      <c r="F92" s="90"/>
      <c r="G92" s="54">
        <f t="shared" si="47"/>
        <v>41617.199999999997</v>
      </c>
      <c r="H92" s="54">
        <f t="shared" si="48"/>
        <v>1040.4299999999998</v>
      </c>
      <c r="I92" s="55">
        <v>0</v>
      </c>
      <c r="J92" s="54">
        <f t="shared" si="49"/>
        <v>6936.2</v>
      </c>
      <c r="K92" s="55">
        <f t="shared" si="50"/>
        <v>48553.4</v>
      </c>
      <c r="L92" s="54">
        <v>0</v>
      </c>
      <c r="M92" s="54">
        <f t="shared" si="51"/>
        <v>13872.4</v>
      </c>
      <c r="N92" s="54">
        <v>0</v>
      </c>
      <c r="O92" s="54">
        <f t="shared" si="52"/>
        <v>1387.24</v>
      </c>
      <c r="P92" s="54">
        <v>10000</v>
      </c>
      <c r="Q92" s="54">
        <v>0</v>
      </c>
      <c r="R92" s="55">
        <f t="shared" si="42"/>
        <v>137279.27000000002</v>
      </c>
      <c r="S92" s="55"/>
      <c r="T92" s="54">
        <v>1484.37</v>
      </c>
      <c r="U92" s="55">
        <f t="shared" si="44"/>
        <v>1484.37</v>
      </c>
      <c r="V92" s="55">
        <v>135794.9</v>
      </c>
      <c r="W92" s="148">
        <f t="shared" si="43"/>
        <v>135794.90000000002</v>
      </c>
    </row>
    <row r="93" spans="1:23" ht="20.100000000000001" customHeight="1" x14ac:dyDescent="0.3">
      <c r="A93" s="61"/>
      <c r="B93" s="62" t="s">
        <v>186</v>
      </c>
      <c r="C93" s="56" t="s">
        <v>183</v>
      </c>
      <c r="D93" s="57" t="s">
        <v>187</v>
      </c>
      <c r="E93" s="55">
        <v>13492.21</v>
      </c>
      <c r="F93" s="90"/>
      <c r="G93" s="54">
        <f t="shared" si="47"/>
        <v>40476.629999999997</v>
      </c>
      <c r="H93" s="54">
        <f t="shared" si="48"/>
        <v>1011.9157499999999</v>
      </c>
      <c r="I93" s="55"/>
      <c r="J93" s="54">
        <f t="shared" si="49"/>
        <v>6746.1049999999996</v>
      </c>
      <c r="K93" s="55">
        <f t="shared" si="50"/>
        <v>47222.735000000001</v>
      </c>
      <c r="L93" s="54"/>
      <c r="M93" s="54">
        <f t="shared" si="51"/>
        <v>13492.21</v>
      </c>
      <c r="N93" s="54"/>
      <c r="O93" s="54">
        <f t="shared" si="52"/>
        <v>1349.221</v>
      </c>
      <c r="P93" s="54">
        <v>10000</v>
      </c>
      <c r="Q93" s="54"/>
      <c r="R93" s="55">
        <f t="shared" si="42"/>
        <v>133791.02675000002</v>
      </c>
      <c r="S93" s="55"/>
      <c r="T93" s="54">
        <v>1484.37</v>
      </c>
      <c r="U93" s="55">
        <f t="shared" si="44"/>
        <v>1484.37</v>
      </c>
      <c r="V93" s="55">
        <v>132306.66</v>
      </c>
      <c r="W93" s="148">
        <f t="shared" si="43"/>
        <v>132306.65675000002</v>
      </c>
    </row>
    <row r="94" spans="1:23" ht="20.100000000000001" customHeight="1" x14ac:dyDescent="0.3">
      <c r="A94" s="175" t="s">
        <v>188</v>
      </c>
      <c r="B94" s="176"/>
      <c r="C94" s="56" t="s">
        <v>189</v>
      </c>
      <c r="D94" s="57" t="s">
        <v>190</v>
      </c>
      <c r="E94" s="73">
        <v>4836.3</v>
      </c>
      <c r="F94" s="88"/>
      <c r="G94" s="54">
        <f t="shared" si="47"/>
        <v>14508.900000000001</v>
      </c>
      <c r="H94" s="54">
        <f t="shared" si="48"/>
        <v>362.72250000000003</v>
      </c>
      <c r="I94" s="73">
        <v>0</v>
      </c>
      <c r="J94" s="54">
        <f t="shared" si="49"/>
        <v>2418.15</v>
      </c>
      <c r="K94" s="55">
        <f t="shared" si="50"/>
        <v>16927.05</v>
      </c>
      <c r="L94" s="54">
        <v>0</v>
      </c>
      <c r="M94" s="54">
        <f t="shared" si="51"/>
        <v>4836.3</v>
      </c>
      <c r="N94" s="54">
        <v>0</v>
      </c>
      <c r="O94" s="54">
        <f t="shared" si="52"/>
        <v>483.63000000000005</v>
      </c>
      <c r="P94" s="73">
        <v>5000</v>
      </c>
      <c r="Q94" s="54">
        <v>0</v>
      </c>
      <c r="R94" s="55">
        <f t="shared" si="42"/>
        <v>49373.052499999998</v>
      </c>
      <c r="S94" s="55">
        <v>0</v>
      </c>
      <c r="T94" s="55">
        <v>236.04</v>
      </c>
      <c r="U94" s="55">
        <f t="shared" si="44"/>
        <v>236.04</v>
      </c>
      <c r="V94" s="55">
        <v>49137.01</v>
      </c>
      <c r="W94" s="148">
        <f t="shared" si="43"/>
        <v>49137.012499999997</v>
      </c>
    </row>
    <row r="95" spans="1:23" ht="20.100000000000001" customHeight="1" x14ac:dyDescent="0.3">
      <c r="A95" s="185" t="s">
        <v>191</v>
      </c>
      <c r="B95" s="185"/>
      <c r="C95" s="56" t="s">
        <v>189</v>
      </c>
      <c r="D95" s="57" t="s">
        <v>190</v>
      </c>
      <c r="E95" s="73">
        <v>4836.3</v>
      </c>
      <c r="F95" s="88"/>
      <c r="G95" s="54">
        <f t="shared" si="47"/>
        <v>14508.900000000001</v>
      </c>
      <c r="H95" s="54">
        <f t="shared" si="48"/>
        <v>362.72250000000003</v>
      </c>
      <c r="I95" s="73">
        <v>0</v>
      </c>
      <c r="J95" s="54">
        <f t="shared" si="49"/>
        <v>2418.15</v>
      </c>
      <c r="K95" s="55">
        <f t="shared" si="50"/>
        <v>16927.05</v>
      </c>
      <c r="L95" s="54">
        <v>0</v>
      </c>
      <c r="M95" s="54">
        <f t="shared" si="51"/>
        <v>4836.3</v>
      </c>
      <c r="N95" s="54">
        <v>0</v>
      </c>
      <c r="O95" s="54">
        <f t="shared" si="52"/>
        <v>483.63000000000005</v>
      </c>
      <c r="P95" s="73">
        <v>5000</v>
      </c>
      <c r="Q95" s="54">
        <v>0</v>
      </c>
      <c r="R95" s="55">
        <f t="shared" si="42"/>
        <v>49373.052499999998</v>
      </c>
      <c r="S95" s="55"/>
      <c r="T95" s="55">
        <v>236.04</v>
      </c>
      <c r="U95" s="55">
        <f t="shared" si="44"/>
        <v>236.04</v>
      </c>
      <c r="V95" s="55">
        <v>49137.01</v>
      </c>
      <c r="W95" s="148">
        <f t="shared" si="43"/>
        <v>49137.012499999997</v>
      </c>
    </row>
    <row r="96" spans="1:23" ht="20.100000000000001" customHeight="1" x14ac:dyDescent="0.3">
      <c r="A96" s="185" t="s">
        <v>192</v>
      </c>
      <c r="B96" s="185"/>
      <c r="C96" s="56" t="s">
        <v>189</v>
      </c>
      <c r="D96" s="57" t="s">
        <v>190</v>
      </c>
      <c r="E96" s="73">
        <v>4836.3</v>
      </c>
      <c r="F96" s="88"/>
      <c r="G96" s="54">
        <f t="shared" ref="G96:G103" si="53">E96*300%</f>
        <v>14508.900000000001</v>
      </c>
      <c r="H96" s="54">
        <f t="shared" ref="H96:H103" si="54">E96*7.5%</f>
        <v>362.72250000000003</v>
      </c>
      <c r="I96" s="54">
        <v>0</v>
      </c>
      <c r="J96" s="54">
        <f t="shared" ref="J96:J103" si="55">E96*50%</f>
        <v>2418.15</v>
      </c>
      <c r="K96" s="55">
        <f t="shared" ref="K96:K103" si="56">E96*350%</f>
        <v>16927.05</v>
      </c>
      <c r="L96" s="54">
        <v>0</v>
      </c>
      <c r="M96" s="54">
        <f t="shared" ref="M96:M103" si="57">E96*100%</f>
        <v>4836.3</v>
      </c>
      <c r="N96" s="54">
        <v>0</v>
      </c>
      <c r="O96" s="54">
        <f t="shared" ref="O96:O103" si="58">E96*10%</f>
        <v>483.63000000000005</v>
      </c>
      <c r="P96" s="54">
        <v>5000</v>
      </c>
      <c r="Q96" s="54">
        <v>0</v>
      </c>
      <c r="R96" s="55">
        <f t="shared" si="42"/>
        <v>49373.052499999998</v>
      </c>
      <c r="S96" s="55"/>
      <c r="T96" s="55">
        <v>236.04</v>
      </c>
      <c r="U96" s="55">
        <f t="shared" si="44"/>
        <v>236.04</v>
      </c>
      <c r="V96" s="55">
        <v>49137.01</v>
      </c>
      <c r="W96" s="148">
        <f t="shared" si="43"/>
        <v>49137.012499999997</v>
      </c>
    </row>
    <row r="97" spans="1:23" ht="20.100000000000001" customHeight="1" x14ac:dyDescent="0.3">
      <c r="A97" s="185" t="s">
        <v>193</v>
      </c>
      <c r="B97" s="185"/>
      <c r="C97" s="56" t="s">
        <v>189</v>
      </c>
      <c r="D97" s="57" t="s">
        <v>190</v>
      </c>
      <c r="E97" s="73">
        <v>4836.3</v>
      </c>
      <c r="F97" s="88"/>
      <c r="G97" s="54">
        <f t="shared" si="53"/>
        <v>14508.900000000001</v>
      </c>
      <c r="H97" s="54">
        <f t="shared" si="54"/>
        <v>362.72250000000003</v>
      </c>
      <c r="I97" s="54">
        <v>0</v>
      </c>
      <c r="J97" s="54">
        <f t="shared" si="55"/>
        <v>2418.15</v>
      </c>
      <c r="K97" s="55">
        <f t="shared" si="56"/>
        <v>16927.05</v>
      </c>
      <c r="L97" s="54">
        <v>0</v>
      </c>
      <c r="M97" s="54">
        <f t="shared" si="57"/>
        <v>4836.3</v>
      </c>
      <c r="N97" s="54">
        <v>0</v>
      </c>
      <c r="O97" s="54">
        <f t="shared" si="58"/>
        <v>483.63000000000005</v>
      </c>
      <c r="P97" s="54">
        <v>5000</v>
      </c>
      <c r="Q97" s="54">
        <v>0</v>
      </c>
      <c r="R97" s="55">
        <f t="shared" si="42"/>
        <v>49373.052499999998</v>
      </c>
      <c r="S97" s="55"/>
      <c r="T97" s="55">
        <v>236.04</v>
      </c>
      <c r="U97" s="55">
        <f t="shared" si="44"/>
        <v>236.04</v>
      </c>
      <c r="V97" s="55">
        <v>49137.01</v>
      </c>
      <c r="W97" s="148">
        <f t="shared" si="43"/>
        <v>49137.012499999997</v>
      </c>
    </row>
    <row r="98" spans="1:23" ht="20.100000000000001" customHeight="1" x14ac:dyDescent="0.3">
      <c r="A98" s="185" t="s">
        <v>194</v>
      </c>
      <c r="B98" s="185"/>
      <c r="C98" s="56" t="s">
        <v>189</v>
      </c>
      <c r="D98" s="57" t="s">
        <v>190</v>
      </c>
      <c r="E98" s="73">
        <v>4836.3</v>
      </c>
      <c r="F98" s="88"/>
      <c r="G98" s="54">
        <f t="shared" si="53"/>
        <v>14508.900000000001</v>
      </c>
      <c r="H98" s="54">
        <f t="shared" si="54"/>
        <v>362.72250000000003</v>
      </c>
      <c r="I98" s="54">
        <v>0</v>
      </c>
      <c r="J98" s="54">
        <f t="shared" si="55"/>
        <v>2418.15</v>
      </c>
      <c r="K98" s="55">
        <f t="shared" si="56"/>
        <v>16927.05</v>
      </c>
      <c r="L98" s="54">
        <v>0</v>
      </c>
      <c r="M98" s="54">
        <f t="shared" si="57"/>
        <v>4836.3</v>
      </c>
      <c r="N98" s="54">
        <v>0</v>
      </c>
      <c r="O98" s="54">
        <f t="shared" si="58"/>
        <v>483.63000000000005</v>
      </c>
      <c r="P98" s="54">
        <v>5000</v>
      </c>
      <c r="Q98" s="54">
        <v>0</v>
      </c>
      <c r="R98" s="55">
        <f t="shared" si="42"/>
        <v>49373.052499999998</v>
      </c>
      <c r="S98" s="55"/>
      <c r="T98" s="55">
        <v>236.04</v>
      </c>
      <c r="U98" s="55">
        <f t="shared" si="44"/>
        <v>236.04</v>
      </c>
      <c r="V98" s="55">
        <v>49137.01</v>
      </c>
      <c r="W98" s="148">
        <f t="shared" si="43"/>
        <v>49137.012499999997</v>
      </c>
    </row>
    <row r="99" spans="1:23" ht="20.100000000000001" customHeight="1" x14ac:dyDescent="0.3">
      <c r="A99" s="185" t="s">
        <v>195</v>
      </c>
      <c r="B99" s="185"/>
      <c r="C99" s="56" t="s">
        <v>189</v>
      </c>
      <c r="D99" s="57" t="s">
        <v>190</v>
      </c>
      <c r="E99" s="73">
        <v>4836.3</v>
      </c>
      <c r="F99" s="88"/>
      <c r="G99" s="54">
        <f t="shared" si="53"/>
        <v>14508.900000000001</v>
      </c>
      <c r="H99" s="54">
        <f t="shared" si="54"/>
        <v>362.72250000000003</v>
      </c>
      <c r="I99" s="54">
        <v>0</v>
      </c>
      <c r="J99" s="54">
        <f t="shared" si="55"/>
        <v>2418.15</v>
      </c>
      <c r="K99" s="55">
        <f t="shared" si="56"/>
        <v>16927.05</v>
      </c>
      <c r="L99" s="54">
        <v>0</v>
      </c>
      <c r="M99" s="54">
        <f t="shared" si="57"/>
        <v>4836.3</v>
      </c>
      <c r="N99" s="54">
        <v>0</v>
      </c>
      <c r="O99" s="54">
        <f t="shared" si="58"/>
        <v>483.63000000000005</v>
      </c>
      <c r="P99" s="54">
        <v>5000</v>
      </c>
      <c r="Q99" s="54">
        <v>0</v>
      </c>
      <c r="R99" s="55">
        <f t="shared" si="42"/>
        <v>49373.052499999998</v>
      </c>
      <c r="S99" s="55"/>
      <c r="T99" s="55">
        <v>236.04</v>
      </c>
      <c r="U99" s="55">
        <f t="shared" si="44"/>
        <v>236.04</v>
      </c>
      <c r="V99" s="55">
        <v>49137.01</v>
      </c>
      <c r="W99" s="148">
        <f t="shared" si="43"/>
        <v>49137.012499999997</v>
      </c>
    </row>
    <row r="100" spans="1:23" ht="20.100000000000001" customHeight="1" x14ac:dyDescent="0.3">
      <c r="A100" s="175" t="s">
        <v>196</v>
      </c>
      <c r="B100" s="176"/>
      <c r="C100" s="52" t="s">
        <v>189</v>
      </c>
      <c r="D100" s="57" t="s">
        <v>190</v>
      </c>
      <c r="E100" s="73">
        <v>4836.3</v>
      </c>
      <c r="F100" s="88"/>
      <c r="G100" s="54">
        <f>E100*300%</f>
        <v>14508.900000000001</v>
      </c>
      <c r="H100" s="54">
        <f>E100*7.5%</f>
        <v>362.72250000000003</v>
      </c>
      <c r="I100" s="73">
        <v>0</v>
      </c>
      <c r="J100" s="54">
        <f>E100*50%</f>
        <v>2418.15</v>
      </c>
      <c r="K100" s="55">
        <f>E100*350%</f>
        <v>16927.05</v>
      </c>
      <c r="L100" s="54">
        <v>0</v>
      </c>
      <c r="M100" s="54">
        <f>E100*100%</f>
        <v>4836.3</v>
      </c>
      <c r="N100" s="54">
        <v>0</v>
      </c>
      <c r="O100" s="54">
        <f>E100*10%</f>
        <v>483.63000000000005</v>
      </c>
      <c r="P100" s="73">
        <v>5000</v>
      </c>
      <c r="Q100" s="54">
        <v>0</v>
      </c>
      <c r="R100" s="55">
        <f t="shared" si="42"/>
        <v>49373.052499999998</v>
      </c>
      <c r="S100" s="55"/>
      <c r="T100" s="55">
        <v>236.04</v>
      </c>
      <c r="U100" s="55">
        <f t="shared" si="44"/>
        <v>236.04</v>
      </c>
      <c r="V100" s="55">
        <v>49137.01</v>
      </c>
      <c r="W100" s="148">
        <f t="shared" si="43"/>
        <v>49137.012499999997</v>
      </c>
    </row>
    <row r="101" spans="1:23" ht="20.100000000000001" customHeight="1" x14ac:dyDescent="0.3">
      <c r="A101" s="185" t="s">
        <v>197</v>
      </c>
      <c r="B101" s="185"/>
      <c r="C101" s="56" t="s">
        <v>189</v>
      </c>
      <c r="D101" s="57" t="s">
        <v>198</v>
      </c>
      <c r="E101" s="54">
        <v>4395.43</v>
      </c>
      <c r="F101" s="88"/>
      <c r="G101" s="54">
        <f t="shared" si="53"/>
        <v>13186.29</v>
      </c>
      <c r="H101" s="54">
        <f t="shared" si="54"/>
        <v>329.65725000000003</v>
      </c>
      <c r="I101" s="54">
        <v>0</v>
      </c>
      <c r="J101" s="54">
        <f t="shared" si="55"/>
        <v>2197.7150000000001</v>
      </c>
      <c r="K101" s="55">
        <f t="shared" si="56"/>
        <v>15384.005000000001</v>
      </c>
      <c r="L101" s="54">
        <v>0</v>
      </c>
      <c r="M101" s="54">
        <f t="shared" si="57"/>
        <v>4395.43</v>
      </c>
      <c r="N101" s="54">
        <v>0</v>
      </c>
      <c r="O101" s="54">
        <f t="shared" si="58"/>
        <v>439.54300000000006</v>
      </c>
      <c r="P101" s="54">
        <v>5000</v>
      </c>
      <c r="Q101" s="54">
        <v>0</v>
      </c>
      <c r="R101" s="55">
        <f t="shared" si="42"/>
        <v>45328.070250000004</v>
      </c>
      <c r="S101" s="55"/>
      <c r="T101" s="55">
        <v>236.04</v>
      </c>
      <c r="U101" s="55">
        <f t="shared" si="44"/>
        <v>236.04</v>
      </c>
      <c r="V101" s="55">
        <v>45092.03</v>
      </c>
      <c r="W101" s="148">
        <f t="shared" si="43"/>
        <v>45092.030250000003</v>
      </c>
    </row>
    <row r="102" spans="1:23" ht="20.100000000000001" customHeight="1" x14ac:dyDescent="0.3">
      <c r="A102" s="185" t="s">
        <v>199</v>
      </c>
      <c r="B102" s="185"/>
      <c r="C102" s="56" t="s">
        <v>189</v>
      </c>
      <c r="D102" s="57" t="s">
        <v>198</v>
      </c>
      <c r="E102" s="54">
        <v>4395.43</v>
      </c>
      <c r="F102" s="88"/>
      <c r="G102" s="54">
        <f t="shared" si="53"/>
        <v>13186.29</v>
      </c>
      <c r="H102" s="54">
        <f t="shared" si="54"/>
        <v>329.65725000000003</v>
      </c>
      <c r="I102" s="54">
        <v>0</v>
      </c>
      <c r="J102" s="54">
        <f t="shared" si="55"/>
        <v>2197.7150000000001</v>
      </c>
      <c r="K102" s="55">
        <f t="shared" si="56"/>
        <v>15384.005000000001</v>
      </c>
      <c r="L102" s="54">
        <v>0</v>
      </c>
      <c r="M102" s="54">
        <f t="shared" si="57"/>
        <v>4395.43</v>
      </c>
      <c r="N102" s="54">
        <v>0</v>
      </c>
      <c r="O102" s="54">
        <f t="shared" si="58"/>
        <v>439.54300000000006</v>
      </c>
      <c r="P102" s="54">
        <v>5000</v>
      </c>
      <c r="Q102" s="54">
        <v>0</v>
      </c>
      <c r="R102" s="55">
        <f t="shared" si="42"/>
        <v>45328.070250000004</v>
      </c>
      <c r="S102" s="55"/>
      <c r="T102" s="55">
        <v>236.04</v>
      </c>
      <c r="U102" s="55">
        <f t="shared" si="44"/>
        <v>236.04</v>
      </c>
      <c r="V102" s="55">
        <v>45092.03</v>
      </c>
      <c r="W102" s="148">
        <f t="shared" si="43"/>
        <v>45092.030250000003</v>
      </c>
    </row>
    <row r="103" spans="1:23" ht="20.100000000000001" customHeight="1" x14ac:dyDescent="0.3">
      <c r="A103" s="175" t="s">
        <v>200</v>
      </c>
      <c r="B103" s="176"/>
      <c r="C103" s="56" t="s">
        <v>189</v>
      </c>
      <c r="D103" s="57" t="s">
        <v>198</v>
      </c>
      <c r="E103" s="54">
        <v>4395.43</v>
      </c>
      <c r="F103" s="88"/>
      <c r="G103" s="54">
        <f t="shared" si="53"/>
        <v>13186.29</v>
      </c>
      <c r="H103" s="54">
        <f t="shared" si="54"/>
        <v>329.65725000000003</v>
      </c>
      <c r="I103" s="54">
        <v>0</v>
      </c>
      <c r="J103" s="54">
        <f t="shared" si="55"/>
        <v>2197.7150000000001</v>
      </c>
      <c r="K103" s="55">
        <f t="shared" si="56"/>
        <v>15384.005000000001</v>
      </c>
      <c r="L103" s="54">
        <v>0</v>
      </c>
      <c r="M103" s="54">
        <f t="shared" si="57"/>
        <v>4395.43</v>
      </c>
      <c r="N103" s="54">
        <v>0</v>
      </c>
      <c r="O103" s="54">
        <f t="shared" si="58"/>
        <v>439.54300000000006</v>
      </c>
      <c r="P103" s="54">
        <v>5000</v>
      </c>
      <c r="Q103" s="54">
        <v>0</v>
      </c>
      <c r="R103" s="55">
        <f t="shared" si="42"/>
        <v>45328.070250000004</v>
      </c>
      <c r="S103" s="55"/>
      <c r="T103" s="55">
        <v>236.04</v>
      </c>
      <c r="U103" s="55">
        <f t="shared" si="44"/>
        <v>236.04</v>
      </c>
      <c r="V103" s="55">
        <v>45092.03</v>
      </c>
      <c r="W103" s="148">
        <f t="shared" si="43"/>
        <v>45092.030250000003</v>
      </c>
    </row>
    <row r="104" spans="1:23" ht="20.100000000000001" customHeight="1" x14ac:dyDescent="0.3">
      <c r="A104" s="175" t="s">
        <v>201</v>
      </c>
      <c r="B104" s="176"/>
      <c r="C104" s="56" t="s">
        <v>189</v>
      </c>
      <c r="D104" s="57" t="s">
        <v>198</v>
      </c>
      <c r="E104" s="54">
        <v>4395.43</v>
      </c>
      <c r="F104" s="88"/>
      <c r="G104" s="54">
        <f t="shared" ref="G104:G108" si="59">E104*300%</f>
        <v>13186.29</v>
      </c>
      <c r="H104" s="54">
        <f t="shared" ref="H104:H108" si="60">E104*7.5%</f>
        <v>329.65725000000003</v>
      </c>
      <c r="I104" s="54">
        <v>0</v>
      </c>
      <c r="J104" s="54">
        <f t="shared" ref="J104:J108" si="61">E104*50%</f>
        <v>2197.7150000000001</v>
      </c>
      <c r="K104" s="55">
        <f t="shared" ref="K104:K108" si="62">E104*350%</f>
        <v>15384.005000000001</v>
      </c>
      <c r="L104" s="54">
        <v>0</v>
      </c>
      <c r="M104" s="54">
        <f>E104*100%</f>
        <v>4395.43</v>
      </c>
      <c r="N104" s="54">
        <v>0</v>
      </c>
      <c r="O104" s="54">
        <f t="shared" ref="O104:O108" si="63">E104*10%</f>
        <v>439.54300000000006</v>
      </c>
      <c r="P104" s="54">
        <v>5000</v>
      </c>
      <c r="Q104" s="54">
        <v>0</v>
      </c>
      <c r="R104" s="55">
        <f t="shared" si="42"/>
        <v>45328.070250000004</v>
      </c>
      <c r="S104" s="55"/>
      <c r="T104" s="55">
        <v>236.04</v>
      </c>
      <c r="U104" s="55">
        <f t="shared" si="44"/>
        <v>236.04</v>
      </c>
      <c r="V104" s="55">
        <v>45092.03</v>
      </c>
      <c r="W104" s="148">
        <f t="shared" si="43"/>
        <v>45092.030250000003</v>
      </c>
    </row>
    <row r="105" spans="1:23" ht="20.100000000000001" customHeight="1" x14ac:dyDescent="0.3">
      <c r="A105" s="175" t="s">
        <v>202</v>
      </c>
      <c r="B105" s="176"/>
      <c r="C105" s="56" t="s">
        <v>189</v>
      </c>
      <c r="D105" s="57" t="s">
        <v>198</v>
      </c>
      <c r="E105" s="54">
        <v>4395.43</v>
      </c>
      <c r="F105" s="88"/>
      <c r="G105" s="54">
        <f t="shared" si="59"/>
        <v>13186.29</v>
      </c>
      <c r="H105" s="54">
        <f t="shared" si="60"/>
        <v>329.65725000000003</v>
      </c>
      <c r="I105" s="54">
        <v>0</v>
      </c>
      <c r="J105" s="54">
        <f t="shared" si="61"/>
        <v>2197.7150000000001</v>
      </c>
      <c r="K105" s="55">
        <f t="shared" si="62"/>
        <v>15384.005000000001</v>
      </c>
      <c r="L105" s="54">
        <v>0</v>
      </c>
      <c r="M105" s="54">
        <f>E105*100%</f>
        <v>4395.43</v>
      </c>
      <c r="N105" s="54">
        <v>0</v>
      </c>
      <c r="O105" s="54">
        <f t="shared" si="63"/>
        <v>439.54300000000006</v>
      </c>
      <c r="P105" s="54">
        <v>5000</v>
      </c>
      <c r="R105" s="55">
        <f t="shared" si="42"/>
        <v>45328.070250000004</v>
      </c>
      <c r="S105" s="55"/>
      <c r="T105" s="55">
        <v>236.04</v>
      </c>
      <c r="U105" s="55">
        <f t="shared" si="44"/>
        <v>236.04</v>
      </c>
      <c r="V105" s="55">
        <v>45092.03</v>
      </c>
      <c r="W105" s="148">
        <f t="shared" si="43"/>
        <v>45092.030250000003</v>
      </c>
    </row>
    <row r="106" spans="1:23" ht="20.100000000000001" customHeight="1" x14ac:dyDescent="0.3">
      <c r="A106" s="175" t="s">
        <v>203</v>
      </c>
      <c r="B106" s="176"/>
      <c r="C106" s="56" t="s">
        <v>189</v>
      </c>
      <c r="D106" s="57" t="s">
        <v>198</v>
      </c>
      <c r="E106" s="54">
        <v>4395.43</v>
      </c>
      <c r="F106" s="88"/>
      <c r="G106" s="54">
        <f t="shared" si="59"/>
        <v>13186.29</v>
      </c>
      <c r="H106" s="54">
        <f t="shared" si="60"/>
        <v>329.65725000000003</v>
      </c>
      <c r="I106" s="54">
        <v>0</v>
      </c>
      <c r="J106" s="54">
        <f t="shared" si="61"/>
        <v>2197.7150000000001</v>
      </c>
      <c r="K106" s="55">
        <f t="shared" si="62"/>
        <v>15384.005000000001</v>
      </c>
      <c r="L106" s="54">
        <v>0</v>
      </c>
      <c r="M106" s="54">
        <f>E106*100%</f>
        <v>4395.43</v>
      </c>
      <c r="N106" s="54">
        <v>0</v>
      </c>
      <c r="O106" s="54">
        <f t="shared" si="63"/>
        <v>439.54300000000006</v>
      </c>
      <c r="P106" s="54">
        <v>5000</v>
      </c>
      <c r="Q106" s="54">
        <v>0</v>
      </c>
      <c r="R106" s="55">
        <f t="shared" si="42"/>
        <v>45328.070250000004</v>
      </c>
      <c r="S106" s="55"/>
      <c r="T106" s="55">
        <v>236.04</v>
      </c>
      <c r="U106" s="55">
        <f t="shared" si="44"/>
        <v>236.04</v>
      </c>
      <c r="V106" s="55">
        <v>45092.03</v>
      </c>
      <c r="W106" s="148">
        <f t="shared" si="43"/>
        <v>45092.030250000003</v>
      </c>
    </row>
    <row r="107" spans="1:23" ht="20.100000000000001" customHeight="1" x14ac:dyDescent="0.3">
      <c r="A107" s="193" t="s">
        <v>204</v>
      </c>
      <c r="B107" s="194"/>
      <c r="C107" s="56" t="s">
        <v>189</v>
      </c>
      <c r="D107" s="57" t="s">
        <v>198</v>
      </c>
      <c r="E107" s="54">
        <v>4395.43</v>
      </c>
      <c r="F107" s="88"/>
      <c r="G107" s="54">
        <f t="shared" si="59"/>
        <v>13186.29</v>
      </c>
      <c r="H107" s="54">
        <f t="shared" si="60"/>
        <v>329.65725000000003</v>
      </c>
      <c r="I107" s="54">
        <v>0</v>
      </c>
      <c r="J107" s="54">
        <f t="shared" si="61"/>
        <v>2197.7150000000001</v>
      </c>
      <c r="K107" s="55">
        <f t="shared" si="62"/>
        <v>15384.005000000001</v>
      </c>
      <c r="L107" s="54">
        <v>0</v>
      </c>
      <c r="M107" s="54">
        <f>E106*100%</f>
        <v>4395.43</v>
      </c>
      <c r="N107" s="54"/>
      <c r="O107" s="54">
        <f t="shared" si="63"/>
        <v>439.54300000000006</v>
      </c>
      <c r="P107" s="54">
        <v>5000</v>
      </c>
      <c r="Q107" s="54"/>
      <c r="R107" s="55">
        <f t="shared" si="42"/>
        <v>45328.070250000004</v>
      </c>
      <c r="S107" s="55"/>
      <c r="T107" s="55">
        <v>236.04</v>
      </c>
      <c r="U107" s="55">
        <f t="shared" si="44"/>
        <v>236.04</v>
      </c>
      <c r="V107" s="55">
        <v>45092.03</v>
      </c>
      <c r="W107" s="148">
        <f t="shared" si="43"/>
        <v>45092.030250000003</v>
      </c>
    </row>
    <row r="108" spans="1:23" ht="20.100000000000001" customHeight="1" x14ac:dyDescent="0.3">
      <c r="A108" s="61" t="s">
        <v>205</v>
      </c>
      <c r="B108" s="62" t="s">
        <v>205</v>
      </c>
      <c r="C108" s="56" t="s">
        <v>189</v>
      </c>
      <c r="D108" s="57" t="s">
        <v>198</v>
      </c>
      <c r="E108" s="54">
        <v>4395.43</v>
      </c>
      <c r="F108" s="88"/>
      <c r="G108" s="54">
        <f t="shared" si="59"/>
        <v>13186.29</v>
      </c>
      <c r="H108" s="54">
        <f t="shared" si="60"/>
        <v>329.65725000000003</v>
      </c>
      <c r="I108" s="54"/>
      <c r="J108" s="54">
        <f t="shared" si="61"/>
        <v>2197.7150000000001</v>
      </c>
      <c r="K108" s="55">
        <f t="shared" si="62"/>
        <v>15384.005000000001</v>
      </c>
      <c r="L108" s="54"/>
      <c r="M108" s="54">
        <f>E108*100%</f>
        <v>4395.43</v>
      </c>
      <c r="N108" s="54"/>
      <c r="O108" s="54">
        <f t="shared" si="63"/>
        <v>439.54300000000006</v>
      </c>
      <c r="P108" s="54">
        <v>5000</v>
      </c>
      <c r="Q108" s="54"/>
      <c r="R108" s="55">
        <f t="shared" si="42"/>
        <v>45328.070250000004</v>
      </c>
      <c r="S108" s="55"/>
      <c r="T108" s="55">
        <v>236.04</v>
      </c>
      <c r="U108" s="55">
        <f t="shared" si="44"/>
        <v>236.04</v>
      </c>
      <c r="V108" s="55">
        <v>45092.03</v>
      </c>
      <c r="W108" s="148">
        <f t="shared" si="43"/>
        <v>45092.030250000003</v>
      </c>
    </row>
    <row r="109" spans="1:23" ht="20.100000000000001" customHeight="1" x14ac:dyDescent="0.3">
      <c r="A109" s="61"/>
      <c r="B109" s="62" t="s">
        <v>206</v>
      </c>
      <c r="C109" s="56" t="s">
        <v>189</v>
      </c>
      <c r="D109" s="57" t="s">
        <v>207</v>
      </c>
      <c r="E109" s="54">
        <v>4248.51</v>
      </c>
      <c r="F109" s="88"/>
      <c r="G109" s="54">
        <f>E109*300%</f>
        <v>12745.53</v>
      </c>
      <c r="H109" s="54">
        <f>E109*7.5%</f>
        <v>318.63825000000003</v>
      </c>
      <c r="I109" s="54"/>
      <c r="J109" s="54">
        <f>E109*50%</f>
        <v>2124.2550000000001</v>
      </c>
      <c r="K109" s="55">
        <f>E109*350%</f>
        <v>14869.785</v>
      </c>
      <c r="L109" s="54"/>
      <c r="M109" s="54">
        <f>E109*100%</f>
        <v>4248.51</v>
      </c>
      <c r="N109" s="54"/>
      <c r="O109" s="54">
        <f>E109*10%</f>
        <v>424.85100000000006</v>
      </c>
      <c r="P109" s="54">
        <v>5000</v>
      </c>
      <c r="Q109" s="54"/>
      <c r="R109" s="55">
        <f>SUM(E109:Q109)</f>
        <v>43980.07925000001</v>
      </c>
      <c r="S109" s="55"/>
      <c r="T109" s="55">
        <v>236.04</v>
      </c>
      <c r="U109" s="55">
        <f>T109+S109</f>
        <v>236.04</v>
      </c>
      <c r="V109" s="55">
        <v>43744.04</v>
      </c>
      <c r="W109" s="148">
        <f>R109-U109</f>
        <v>43744.039250000009</v>
      </c>
    </row>
    <row r="110" spans="1:23" ht="20.100000000000001" customHeight="1" x14ac:dyDescent="0.3">
      <c r="A110" s="61"/>
      <c r="B110" s="62" t="s">
        <v>208</v>
      </c>
      <c r="C110" s="56" t="s">
        <v>189</v>
      </c>
      <c r="D110" s="57" t="s">
        <v>207</v>
      </c>
      <c r="E110" s="54">
        <v>4248.51</v>
      </c>
      <c r="F110" s="88">
        <f>3000*28</f>
        <v>84000</v>
      </c>
      <c r="G110" s="54">
        <f>E110*300%</f>
        <v>12745.53</v>
      </c>
      <c r="H110" s="54">
        <f>E110*7.5%</f>
        <v>318.63825000000003</v>
      </c>
      <c r="I110" s="54"/>
      <c r="J110" s="54">
        <f>E110*50%</f>
        <v>2124.2550000000001</v>
      </c>
      <c r="K110" s="55">
        <f>E110*350%</f>
        <v>14869.785</v>
      </c>
      <c r="L110" s="54"/>
      <c r="M110" s="54">
        <f>E110*100%</f>
        <v>4248.51</v>
      </c>
      <c r="N110" s="54"/>
      <c r="O110" s="54">
        <f>E110*10%</f>
        <v>424.85100000000006</v>
      </c>
      <c r="P110" s="54">
        <v>5000</v>
      </c>
      <c r="Q110" s="54"/>
      <c r="R110" s="55">
        <f>SUM(E110:Q110)</f>
        <v>127980.07925</v>
      </c>
      <c r="S110" s="55"/>
      <c r="T110" s="55">
        <v>236.04</v>
      </c>
      <c r="U110" s="55">
        <f>T110+S110</f>
        <v>236.04</v>
      </c>
      <c r="V110" s="55">
        <v>0</v>
      </c>
      <c r="W110" s="148">
        <f>18848.57+84000</f>
        <v>102848.57</v>
      </c>
    </row>
    <row r="111" spans="1:23" ht="20.100000000000001" customHeight="1" x14ac:dyDescent="0.3">
      <c r="A111" s="61"/>
    </row>
    <row r="112" spans="1:23" ht="20.100000000000001" customHeight="1" x14ac:dyDescent="0.3">
      <c r="A112" s="61"/>
      <c r="B112" s="62"/>
      <c r="C112" s="74" t="s">
        <v>209</v>
      </c>
      <c r="D112" s="57"/>
      <c r="E112" s="68">
        <f>SUM(E71:E110)</f>
        <v>610203.92000000074</v>
      </c>
      <c r="F112" s="68">
        <f>SUM(F71:F110)</f>
        <v>84000</v>
      </c>
      <c r="G112" s="68">
        <f>SUM(G71:G110)</f>
        <v>1830611.7599999995</v>
      </c>
      <c r="H112" s="68">
        <f>SUM(H71:H110)</f>
        <v>45765.293999999994</v>
      </c>
      <c r="I112" s="68">
        <f>SUM(I71:I108)</f>
        <v>280855.33</v>
      </c>
      <c r="J112" s="68">
        <f>SUM(J71:J110)</f>
        <v>305101.96000000037</v>
      </c>
      <c r="K112" s="68">
        <f>SUM(K71:K110)</f>
        <v>2135713.7200000002</v>
      </c>
      <c r="L112" s="68">
        <f>SUM(L71:L108)</f>
        <v>0</v>
      </c>
      <c r="M112" s="68">
        <f>SUM(M71:M110)</f>
        <v>610203.92000000074</v>
      </c>
      <c r="N112" s="68">
        <f>SUM(N71:N108)</f>
        <v>30000</v>
      </c>
      <c r="O112" s="68">
        <f>SUM(O71:O110)</f>
        <v>61020.391999999949</v>
      </c>
      <c r="P112" s="68">
        <f>SUM(P71:P108)</f>
        <v>370000</v>
      </c>
      <c r="Q112" s="68">
        <f>SUM(Q71:Q108)</f>
        <v>0</v>
      </c>
      <c r="R112" s="68">
        <f>SUM(R71:R108)</f>
        <v>6201516.1374999993</v>
      </c>
      <c r="S112" s="68">
        <f>SUM(S71:S108)</f>
        <v>0</v>
      </c>
      <c r="T112" s="68">
        <f>SUM(T71:T110)</f>
        <v>187555.86000000013</v>
      </c>
      <c r="U112" s="68">
        <f>SUM(U71:U110)</f>
        <v>187555.86000000013</v>
      </c>
      <c r="V112" s="68">
        <f>SUM(V71:V110)</f>
        <v>6058176.3900000025</v>
      </c>
      <c r="W112" s="150">
        <f>SUM(W71:W110)</f>
        <v>6161024.9667500006</v>
      </c>
    </row>
    <row r="113" spans="1:23" ht="20.100000000000001" customHeight="1" x14ac:dyDescent="0.3">
      <c r="A113" s="61"/>
      <c r="B113" s="62"/>
      <c r="C113" s="56"/>
      <c r="D113" s="57"/>
      <c r="E113" s="54"/>
      <c r="F113" s="54"/>
      <c r="G113" s="54"/>
      <c r="H113" s="54"/>
      <c r="I113" s="54"/>
      <c r="J113" s="54"/>
      <c r="K113" s="55"/>
      <c r="L113" s="54"/>
      <c r="M113" s="54"/>
      <c r="N113" s="54"/>
      <c r="O113" s="54"/>
      <c r="P113" s="54"/>
      <c r="Q113" s="54"/>
      <c r="R113" s="55"/>
      <c r="S113" s="55"/>
      <c r="T113" s="54"/>
      <c r="U113" s="55"/>
      <c r="V113" s="55"/>
      <c r="W113" s="148"/>
    </row>
    <row r="114" spans="1:23" ht="20.100000000000001" customHeight="1" x14ac:dyDescent="0.3">
      <c r="A114" s="196" t="s">
        <v>210</v>
      </c>
      <c r="B114" s="197"/>
      <c r="C114" s="56"/>
      <c r="D114" s="57"/>
      <c r="E114" s="54"/>
      <c r="F114" s="54"/>
      <c r="G114" s="54"/>
      <c r="H114" s="54"/>
      <c r="I114" s="54"/>
      <c r="J114" s="54"/>
      <c r="K114" s="55"/>
      <c r="L114" s="54"/>
      <c r="M114" s="54"/>
      <c r="N114" s="54"/>
      <c r="O114" s="54"/>
      <c r="P114" s="54"/>
      <c r="Q114" s="54"/>
      <c r="R114" s="55"/>
      <c r="S114" s="55"/>
      <c r="T114" s="54"/>
      <c r="U114" s="55"/>
      <c r="V114" s="55"/>
      <c r="W114" s="148"/>
    </row>
    <row r="115" spans="1:23" ht="20.100000000000001" customHeight="1" x14ac:dyDescent="0.3">
      <c r="A115" s="174" t="s">
        <v>211</v>
      </c>
      <c r="B115" s="174"/>
      <c r="C115" s="56" t="s">
        <v>212</v>
      </c>
      <c r="D115" s="57" t="s">
        <v>213</v>
      </c>
      <c r="E115" s="54">
        <v>90000</v>
      </c>
      <c r="F115" s="90"/>
      <c r="G115" s="54">
        <v>0</v>
      </c>
      <c r="H115" s="54">
        <v>0</v>
      </c>
      <c r="I115" s="54">
        <v>0</v>
      </c>
      <c r="J115" s="54">
        <v>0</v>
      </c>
      <c r="K115" s="54">
        <v>0</v>
      </c>
      <c r="L115" s="54">
        <v>0</v>
      </c>
      <c r="M115" s="54">
        <v>0</v>
      </c>
      <c r="N115" s="54">
        <v>0</v>
      </c>
      <c r="O115" s="54">
        <v>0</v>
      </c>
      <c r="P115" s="54">
        <v>0</v>
      </c>
      <c r="Q115" s="54">
        <v>0</v>
      </c>
      <c r="R115" s="55">
        <f t="shared" si="42"/>
        <v>90000</v>
      </c>
      <c r="S115" s="55"/>
      <c r="T115" s="54">
        <v>0</v>
      </c>
      <c r="U115" s="55">
        <v>0</v>
      </c>
      <c r="V115" s="55">
        <v>90000</v>
      </c>
      <c r="W115" s="148">
        <f t="shared" ref="W115:W126" si="64">R115-U115</f>
        <v>90000</v>
      </c>
    </row>
    <row r="116" spans="1:23" ht="20.100000000000001" customHeight="1" x14ac:dyDescent="0.3">
      <c r="A116" s="174" t="s">
        <v>214</v>
      </c>
      <c r="B116" s="174"/>
      <c r="C116" s="56" t="s">
        <v>212</v>
      </c>
      <c r="D116" s="57" t="s">
        <v>213</v>
      </c>
      <c r="E116" s="54">
        <v>90000</v>
      </c>
      <c r="F116" s="90"/>
      <c r="G116" s="54">
        <v>0</v>
      </c>
      <c r="H116" s="54">
        <v>0</v>
      </c>
      <c r="I116" s="54">
        <v>0</v>
      </c>
      <c r="J116" s="54">
        <v>0</v>
      </c>
      <c r="K116" s="54">
        <v>0</v>
      </c>
      <c r="L116" s="54">
        <v>0</v>
      </c>
      <c r="M116" s="54">
        <v>0</v>
      </c>
      <c r="N116" s="54">
        <v>0</v>
      </c>
      <c r="O116" s="54">
        <v>0</v>
      </c>
      <c r="P116" s="54">
        <v>0</v>
      </c>
      <c r="Q116" s="54">
        <v>0</v>
      </c>
      <c r="R116" s="55">
        <f t="shared" si="42"/>
        <v>90000</v>
      </c>
      <c r="S116" s="55"/>
      <c r="T116" s="54">
        <v>0</v>
      </c>
      <c r="U116" s="55">
        <v>0</v>
      </c>
      <c r="V116" s="55">
        <v>90000</v>
      </c>
      <c r="W116" s="148">
        <f t="shared" si="64"/>
        <v>90000</v>
      </c>
    </row>
    <row r="117" spans="1:23" ht="20.100000000000001" customHeight="1" x14ac:dyDescent="0.3">
      <c r="A117" s="174" t="s">
        <v>215</v>
      </c>
      <c r="B117" s="174"/>
      <c r="C117" s="56" t="s">
        <v>216</v>
      </c>
      <c r="D117" s="57" t="s">
        <v>213</v>
      </c>
      <c r="E117" s="54">
        <v>45000</v>
      </c>
      <c r="F117" s="90"/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4">
        <v>0</v>
      </c>
      <c r="P117" s="54">
        <v>0</v>
      </c>
      <c r="Q117" s="54">
        <v>0</v>
      </c>
      <c r="R117" s="55">
        <f t="shared" si="42"/>
        <v>45000</v>
      </c>
      <c r="S117" s="55"/>
      <c r="T117" s="54">
        <v>0</v>
      </c>
      <c r="U117" s="55">
        <v>0</v>
      </c>
      <c r="V117" s="55">
        <v>45000</v>
      </c>
      <c r="W117" s="148">
        <f t="shared" si="64"/>
        <v>45000</v>
      </c>
    </row>
    <row r="118" spans="1:23" ht="20.100000000000001" customHeight="1" x14ac:dyDescent="0.3">
      <c r="A118" s="174" t="s">
        <v>217</v>
      </c>
      <c r="B118" s="174"/>
      <c r="C118" s="56" t="s">
        <v>216</v>
      </c>
      <c r="D118" s="57" t="s">
        <v>213</v>
      </c>
      <c r="E118" s="54">
        <v>45000</v>
      </c>
      <c r="F118" s="90"/>
      <c r="G118" s="54">
        <v>0</v>
      </c>
      <c r="H118" s="54">
        <v>0</v>
      </c>
      <c r="I118" s="54">
        <v>0</v>
      </c>
      <c r="J118" s="54">
        <v>0</v>
      </c>
      <c r="K118" s="54">
        <v>0</v>
      </c>
      <c r="L118" s="54">
        <v>0</v>
      </c>
      <c r="M118" s="54">
        <v>0</v>
      </c>
      <c r="N118" s="54">
        <v>0</v>
      </c>
      <c r="O118" s="54">
        <v>0</v>
      </c>
      <c r="P118" s="54">
        <v>0</v>
      </c>
      <c r="Q118" s="54">
        <v>0</v>
      </c>
      <c r="R118" s="55">
        <f t="shared" si="42"/>
        <v>45000</v>
      </c>
      <c r="S118" s="55"/>
      <c r="T118" s="54">
        <v>0</v>
      </c>
      <c r="U118" s="55">
        <v>0</v>
      </c>
      <c r="V118" s="55">
        <v>45000</v>
      </c>
      <c r="W118" s="148">
        <f t="shared" si="64"/>
        <v>45000</v>
      </c>
    </row>
    <row r="119" spans="1:23" ht="20.100000000000001" customHeight="1" x14ac:dyDescent="0.3">
      <c r="A119" s="174" t="s">
        <v>218</v>
      </c>
      <c r="B119" s="174"/>
      <c r="C119" s="56" t="s">
        <v>212</v>
      </c>
      <c r="D119" s="91">
        <v>0</v>
      </c>
      <c r="E119" s="54">
        <v>90000</v>
      </c>
      <c r="F119" s="90"/>
      <c r="G119" s="54">
        <v>0</v>
      </c>
      <c r="H119" s="54">
        <v>0</v>
      </c>
      <c r="I119" s="54">
        <v>0</v>
      </c>
      <c r="J119" s="54">
        <v>0</v>
      </c>
      <c r="K119" s="54">
        <v>0</v>
      </c>
      <c r="L119" s="54">
        <v>0</v>
      </c>
      <c r="M119" s="54">
        <v>0</v>
      </c>
      <c r="N119" s="54">
        <v>0</v>
      </c>
      <c r="O119" s="54">
        <v>0</v>
      </c>
      <c r="P119" s="54">
        <v>0</v>
      </c>
      <c r="Q119" s="54">
        <v>0</v>
      </c>
      <c r="R119" s="55">
        <f t="shared" si="42"/>
        <v>90000</v>
      </c>
      <c r="S119" s="55"/>
      <c r="T119" s="54">
        <v>0</v>
      </c>
      <c r="U119" s="55">
        <v>0</v>
      </c>
      <c r="V119" s="55">
        <v>90000</v>
      </c>
      <c r="W119" s="148">
        <f t="shared" si="64"/>
        <v>90000</v>
      </c>
    </row>
    <row r="120" spans="1:23" ht="20.100000000000001" customHeight="1" x14ac:dyDescent="0.3">
      <c r="A120" s="193" t="s">
        <v>219</v>
      </c>
      <c r="B120" s="194"/>
      <c r="C120" s="56" t="s">
        <v>216</v>
      </c>
      <c r="D120" s="91">
        <v>0</v>
      </c>
      <c r="E120" s="54">
        <v>45000</v>
      </c>
      <c r="F120" s="90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5">
        <f t="shared" si="42"/>
        <v>45000</v>
      </c>
      <c r="S120" s="55"/>
      <c r="T120" s="54">
        <v>0</v>
      </c>
      <c r="U120" s="55">
        <v>0</v>
      </c>
      <c r="V120" s="55">
        <v>45000</v>
      </c>
      <c r="W120" s="148">
        <f t="shared" si="64"/>
        <v>45000</v>
      </c>
    </row>
    <row r="121" spans="1:23" ht="20.100000000000001" customHeight="1" x14ac:dyDescent="0.3">
      <c r="A121" s="193" t="s">
        <v>220</v>
      </c>
      <c r="B121" s="194"/>
      <c r="C121" s="56" t="s">
        <v>212</v>
      </c>
      <c r="D121" s="57" t="s">
        <v>213</v>
      </c>
      <c r="E121" s="54">
        <v>90000</v>
      </c>
      <c r="F121" s="90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5">
        <f t="shared" si="42"/>
        <v>90000</v>
      </c>
      <c r="S121" s="55"/>
      <c r="T121" s="54">
        <v>0</v>
      </c>
      <c r="U121" s="55">
        <v>0</v>
      </c>
      <c r="V121" s="55">
        <v>90000</v>
      </c>
      <c r="W121" s="148">
        <f t="shared" si="64"/>
        <v>90000</v>
      </c>
    </row>
    <row r="122" spans="1:23" ht="20.100000000000001" customHeight="1" x14ac:dyDescent="0.3">
      <c r="A122" s="193" t="s">
        <v>221</v>
      </c>
      <c r="B122" s="194"/>
      <c r="C122" s="56" t="s">
        <v>222</v>
      </c>
      <c r="D122" s="57"/>
      <c r="E122" s="54">
        <v>45000</v>
      </c>
      <c r="F122" s="90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5">
        <f t="shared" si="42"/>
        <v>45000</v>
      </c>
      <c r="S122" s="55"/>
      <c r="T122" s="54">
        <v>0</v>
      </c>
      <c r="U122" s="55">
        <v>0</v>
      </c>
      <c r="V122" s="55">
        <v>45000</v>
      </c>
      <c r="W122" s="148">
        <f t="shared" si="64"/>
        <v>45000</v>
      </c>
    </row>
    <row r="123" spans="1:23" ht="20.100000000000001" customHeight="1" x14ac:dyDescent="0.3">
      <c r="A123" s="193" t="s">
        <v>223</v>
      </c>
      <c r="B123" s="194"/>
      <c r="C123" s="56" t="s">
        <v>222</v>
      </c>
      <c r="D123" s="57"/>
      <c r="E123" s="54">
        <v>45000</v>
      </c>
      <c r="F123" s="90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5">
        <f t="shared" si="42"/>
        <v>45000</v>
      </c>
      <c r="S123" s="55"/>
      <c r="T123" s="54">
        <v>0</v>
      </c>
      <c r="U123" s="55">
        <v>0</v>
      </c>
      <c r="V123" s="55">
        <v>45000</v>
      </c>
      <c r="W123" s="148">
        <f t="shared" si="64"/>
        <v>45000</v>
      </c>
    </row>
    <row r="124" spans="1:23" ht="20.100000000000001" customHeight="1" x14ac:dyDescent="0.3">
      <c r="A124" s="100"/>
      <c r="B124" s="102" t="s">
        <v>224</v>
      </c>
      <c r="C124" s="56" t="s">
        <v>222</v>
      </c>
      <c r="D124" s="57"/>
      <c r="E124" s="54">
        <v>45000</v>
      </c>
      <c r="F124" s="90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156"/>
      <c r="R124" s="55">
        <f t="shared" si="42"/>
        <v>45000</v>
      </c>
      <c r="S124" s="55"/>
      <c r="T124" s="54"/>
      <c r="U124" s="55"/>
      <c r="V124" s="55">
        <v>45000</v>
      </c>
      <c r="W124" s="148">
        <f t="shared" si="64"/>
        <v>45000</v>
      </c>
    </row>
    <row r="125" spans="1:23" ht="20.100000000000001" customHeight="1" x14ac:dyDescent="0.3">
      <c r="A125" s="175" t="s">
        <v>225</v>
      </c>
      <c r="B125" s="176"/>
      <c r="C125" s="56" t="s">
        <v>189</v>
      </c>
      <c r="D125" s="155">
        <v>0</v>
      </c>
      <c r="E125" s="54">
        <v>45000</v>
      </c>
      <c r="F125" s="90"/>
      <c r="G125" s="54">
        <v>0</v>
      </c>
      <c r="H125" s="54">
        <v>0</v>
      </c>
      <c r="I125" s="54">
        <v>0</v>
      </c>
      <c r="J125" s="54">
        <v>0</v>
      </c>
      <c r="K125" s="55">
        <v>0</v>
      </c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R125" s="55">
        <f>SUM(E125:Q125)</f>
        <v>45000</v>
      </c>
      <c r="S125" s="55"/>
      <c r="T125" s="55">
        <v>0</v>
      </c>
      <c r="U125" s="55">
        <f>T125+S125</f>
        <v>0</v>
      </c>
      <c r="V125" s="55">
        <v>45000</v>
      </c>
      <c r="W125" s="148">
        <f>R125-U125</f>
        <v>45000</v>
      </c>
    </row>
    <row r="126" spans="1:23" ht="20.100000000000001" customHeight="1" x14ac:dyDescent="0.3">
      <c r="A126" s="100" t="s">
        <v>226</v>
      </c>
      <c r="B126" s="102" t="s">
        <v>226</v>
      </c>
      <c r="C126" s="56" t="s">
        <v>216</v>
      </c>
      <c r="D126" s="57"/>
      <c r="E126" s="54">
        <v>45000</v>
      </c>
      <c r="F126" s="90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5">
        <f t="shared" si="42"/>
        <v>45000</v>
      </c>
      <c r="S126" s="55"/>
      <c r="T126" s="54">
        <v>0</v>
      </c>
      <c r="U126" s="55">
        <v>0</v>
      </c>
      <c r="V126" s="55">
        <v>45000</v>
      </c>
      <c r="W126" s="148">
        <f t="shared" si="64"/>
        <v>45000</v>
      </c>
    </row>
    <row r="127" spans="1:23" ht="24.75" customHeight="1" x14ac:dyDescent="0.3">
      <c r="A127" s="100"/>
      <c r="B127" s="102" t="s">
        <v>227</v>
      </c>
      <c r="C127" s="56" t="s">
        <v>228</v>
      </c>
      <c r="D127" s="57"/>
      <c r="E127" s="54">
        <v>15000</v>
      </c>
      <c r="F127" s="90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5">
        <f>SUM(E127:Q127)</f>
        <v>15000</v>
      </c>
      <c r="S127" s="55"/>
      <c r="T127" s="54"/>
      <c r="U127" s="55"/>
      <c r="V127" s="55">
        <v>15000</v>
      </c>
      <c r="W127" s="148">
        <f>R127</f>
        <v>15000</v>
      </c>
    </row>
    <row r="128" spans="1:23" ht="20.100000000000001" customHeight="1" x14ac:dyDescent="0.3">
      <c r="A128" s="100"/>
      <c r="B128" s="102" t="s">
        <v>229</v>
      </c>
      <c r="C128" s="56" t="s">
        <v>228</v>
      </c>
      <c r="D128" s="57"/>
      <c r="E128" s="54">
        <v>15000</v>
      </c>
      <c r="F128" s="90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5">
        <f t="shared" ref="R128:R129" si="65">SUM(E128:Q128)</f>
        <v>15000</v>
      </c>
      <c r="S128" s="55"/>
      <c r="T128" s="54"/>
      <c r="U128" s="55"/>
      <c r="V128" s="55">
        <v>0</v>
      </c>
      <c r="W128" s="148">
        <f t="shared" ref="W128:W129" si="66">R128</f>
        <v>15000</v>
      </c>
    </row>
    <row r="129" spans="1:23" ht="20.100000000000001" customHeight="1" x14ac:dyDescent="0.3">
      <c r="A129" s="100"/>
      <c r="B129" s="102" t="s">
        <v>230</v>
      </c>
      <c r="C129" s="56" t="s">
        <v>228</v>
      </c>
      <c r="D129" s="57"/>
      <c r="E129" s="54">
        <v>15000</v>
      </c>
      <c r="F129" s="90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5">
        <f t="shared" si="65"/>
        <v>15000</v>
      </c>
      <c r="S129" s="55"/>
      <c r="T129" s="54"/>
      <c r="U129" s="55"/>
      <c r="V129" s="55">
        <v>0</v>
      </c>
      <c r="W129" s="148">
        <f t="shared" si="66"/>
        <v>15000</v>
      </c>
    </row>
    <row r="130" spans="1:23" ht="20.100000000000001" customHeight="1" x14ac:dyDescent="0.3">
      <c r="A130" s="100"/>
    </row>
    <row r="131" spans="1:23" ht="20.100000000000001" customHeight="1" x14ac:dyDescent="0.3">
      <c r="A131" s="196" t="s">
        <v>32</v>
      </c>
      <c r="B131" s="197"/>
      <c r="C131" s="74" t="s">
        <v>231</v>
      </c>
      <c r="D131" s="74"/>
      <c r="E131" s="68">
        <f>SUM(E115:E129)</f>
        <v>765000</v>
      </c>
      <c r="F131" s="68">
        <f>SUM(F115:F129)</f>
        <v>0</v>
      </c>
      <c r="G131" s="68">
        <f t="shared" ref="G131:Q131" si="67">SUM(G115:G126)</f>
        <v>0</v>
      </c>
      <c r="H131" s="68">
        <f t="shared" si="67"/>
        <v>0</v>
      </c>
      <c r="I131" s="68">
        <f t="shared" si="67"/>
        <v>0</v>
      </c>
      <c r="J131" s="68">
        <f t="shared" si="67"/>
        <v>0</v>
      </c>
      <c r="K131" s="68">
        <f t="shared" si="67"/>
        <v>0</v>
      </c>
      <c r="L131" s="68">
        <f t="shared" si="67"/>
        <v>0</v>
      </c>
      <c r="M131" s="68">
        <f t="shared" si="67"/>
        <v>0</v>
      </c>
      <c r="N131" s="68">
        <f t="shared" si="67"/>
        <v>0</v>
      </c>
      <c r="O131" s="68">
        <f t="shared" si="67"/>
        <v>0</v>
      </c>
      <c r="P131" s="68">
        <f t="shared" si="67"/>
        <v>0</v>
      </c>
      <c r="Q131" s="68">
        <f t="shared" si="67"/>
        <v>0</v>
      </c>
      <c r="R131" s="68">
        <f>SUM(R115:R129)</f>
        <v>765000</v>
      </c>
      <c r="S131" s="68">
        <f>SUM(S115:S121)</f>
        <v>0</v>
      </c>
      <c r="T131" s="54">
        <v>0</v>
      </c>
      <c r="U131" s="55">
        <v>0</v>
      </c>
      <c r="V131" s="68">
        <f>SUM(V115:V129)</f>
        <v>735000</v>
      </c>
      <c r="W131" s="150">
        <f>SUM(W115:W129)</f>
        <v>765000</v>
      </c>
    </row>
    <row r="132" spans="1:23" ht="20.100000000000001" customHeight="1" x14ac:dyDescent="0.3">
      <c r="A132" s="71"/>
      <c r="B132" s="72"/>
      <c r="C132" s="74"/>
      <c r="D132" s="74"/>
      <c r="E132" s="68"/>
      <c r="F132" s="68"/>
      <c r="G132" s="68"/>
      <c r="H132" s="68"/>
      <c r="I132" s="68"/>
      <c r="J132" s="68"/>
      <c r="K132" s="68"/>
      <c r="L132" s="68"/>
      <c r="M132" s="68"/>
      <c r="N132" s="54"/>
      <c r="O132" s="68"/>
      <c r="P132" s="68"/>
      <c r="Q132" s="68"/>
      <c r="R132" s="68"/>
      <c r="S132" s="68"/>
      <c r="T132" s="54"/>
      <c r="U132" s="55"/>
      <c r="V132" s="55"/>
      <c r="W132" s="148"/>
    </row>
    <row r="133" spans="1:23" ht="20.100000000000001" customHeight="1" x14ac:dyDescent="0.3">
      <c r="A133" s="196" t="s">
        <v>232</v>
      </c>
      <c r="B133" s="197"/>
      <c r="C133" s="56"/>
      <c r="D133" s="57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>
        <v>0</v>
      </c>
      <c r="U133" s="55">
        <v>0</v>
      </c>
      <c r="V133" s="55"/>
      <c r="W133" s="148"/>
    </row>
    <row r="134" spans="1:23" ht="20.100000000000001" customHeight="1" x14ac:dyDescent="0.3">
      <c r="A134" s="61"/>
      <c r="B134" s="62" t="s">
        <v>233</v>
      </c>
      <c r="C134" s="56" t="s">
        <v>234</v>
      </c>
      <c r="D134" s="57"/>
      <c r="E134" s="54">
        <f>278303.16+150000</f>
        <v>428303.16</v>
      </c>
      <c r="F134" s="90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>
        <f>SUM(E134:Q134)</f>
        <v>428303.16</v>
      </c>
      <c r="S134" s="54"/>
      <c r="T134" s="54">
        <f>T43</f>
        <v>21618.09</v>
      </c>
      <c r="U134" s="55">
        <f>T134+S134</f>
        <v>21618.09</v>
      </c>
      <c r="V134" s="55">
        <v>276324.62</v>
      </c>
      <c r="W134" s="148">
        <f>R134-U134</f>
        <v>406685.06999999995</v>
      </c>
    </row>
    <row r="135" spans="1:23" ht="20.100000000000001" customHeight="1" x14ac:dyDescent="0.3">
      <c r="A135" s="61"/>
      <c r="B135" s="62" t="s">
        <v>235</v>
      </c>
      <c r="C135" s="56" t="s">
        <v>89</v>
      </c>
      <c r="D135" s="57" t="s">
        <v>236</v>
      </c>
      <c r="E135" s="54">
        <v>124800</v>
      </c>
      <c r="F135" s="90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>
        <f t="shared" ref="R135:R144" si="68">SUM(E135:Q135)</f>
        <v>124800</v>
      </c>
      <c r="S135" s="54"/>
      <c r="T135" s="54"/>
      <c r="U135" s="55"/>
      <c r="V135" s="55">
        <v>124800</v>
      </c>
      <c r="W135" s="148">
        <f t="shared" ref="W135:W144" si="69">R135-U135</f>
        <v>124800</v>
      </c>
    </row>
    <row r="136" spans="1:23" ht="20.100000000000001" customHeight="1" x14ac:dyDescent="0.3">
      <c r="A136" s="175" t="s">
        <v>237</v>
      </c>
      <c r="B136" s="176"/>
      <c r="C136" s="56" t="s">
        <v>68</v>
      </c>
      <c r="D136" s="57" t="s">
        <v>236</v>
      </c>
      <c r="E136" s="54">
        <f>168602.08*60%</f>
        <v>101161.24799999999</v>
      </c>
      <c r="F136" s="90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>
        <f t="shared" si="68"/>
        <v>101161.24799999999</v>
      </c>
      <c r="S136" s="54"/>
      <c r="T136" s="54">
        <v>0</v>
      </c>
      <c r="U136" s="55"/>
      <c r="V136" s="55">
        <v>101161.25</v>
      </c>
      <c r="W136" s="148">
        <f t="shared" si="69"/>
        <v>101161.24799999999</v>
      </c>
    </row>
    <row r="137" spans="1:23" ht="20.100000000000001" customHeight="1" x14ac:dyDescent="0.3">
      <c r="A137" s="175" t="s">
        <v>238</v>
      </c>
      <c r="B137" s="176"/>
      <c r="C137" s="56" t="s">
        <v>239</v>
      </c>
      <c r="D137" s="57" t="s">
        <v>125</v>
      </c>
      <c r="E137" s="54">
        <f>234201.03*60%</f>
        <v>140520.61799999999</v>
      </c>
      <c r="F137" s="90"/>
      <c r="G137" s="54"/>
      <c r="H137" s="54"/>
      <c r="I137" s="54"/>
      <c r="J137" s="54"/>
      <c r="K137" s="54"/>
      <c r="L137" s="54"/>
      <c r="M137" s="54"/>
      <c r="N137" s="54"/>
      <c r="O137" s="54"/>
      <c r="P137" s="54">
        <v>20000</v>
      </c>
      <c r="Q137" s="54"/>
      <c r="R137" s="54">
        <f t="shared" si="68"/>
        <v>160520.61799999999</v>
      </c>
      <c r="S137" s="54"/>
      <c r="T137" s="54">
        <v>0</v>
      </c>
      <c r="U137" s="55"/>
      <c r="V137" s="55">
        <v>121161.25</v>
      </c>
      <c r="W137" s="148">
        <f t="shared" si="69"/>
        <v>160520.61799999999</v>
      </c>
    </row>
    <row r="138" spans="1:23" ht="20.100000000000001" customHeight="1" x14ac:dyDescent="0.3">
      <c r="A138" s="175" t="s">
        <v>240</v>
      </c>
      <c r="B138" s="176"/>
      <c r="C138" s="56" t="s">
        <v>241</v>
      </c>
      <c r="D138" s="57" t="s">
        <v>105</v>
      </c>
      <c r="E138" s="54">
        <v>206832.42</v>
      </c>
      <c r="F138" s="90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>
        <f t="shared" si="68"/>
        <v>206832.42</v>
      </c>
      <c r="S138" s="54"/>
      <c r="T138" s="54">
        <v>0</v>
      </c>
      <c r="U138" s="55"/>
      <c r="V138" s="55">
        <v>206832.42</v>
      </c>
      <c r="W138" s="148">
        <f t="shared" si="69"/>
        <v>206832.42</v>
      </c>
    </row>
    <row r="139" spans="1:23" ht="20.100000000000001" customHeight="1" x14ac:dyDescent="0.3">
      <c r="A139" s="175" t="s">
        <v>242</v>
      </c>
      <c r="B139" s="176"/>
      <c r="C139" s="56" t="s">
        <v>243</v>
      </c>
      <c r="D139" s="57" t="s">
        <v>105</v>
      </c>
      <c r="E139" s="54">
        <f>344720.6*60%</f>
        <v>206832.36</v>
      </c>
      <c r="F139" s="90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>
        <f t="shared" si="68"/>
        <v>206832.36</v>
      </c>
      <c r="S139" s="54"/>
      <c r="T139" s="54">
        <v>0</v>
      </c>
      <c r="U139" s="55"/>
      <c r="V139" s="55">
        <v>206832.42</v>
      </c>
      <c r="W139" s="148">
        <f t="shared" si="69"/>
        <v>206832.36</v>
      </c>
    </row>
    <row r="140" spans="1:23" ht="20.100000000000001" customHeight="1" x14ac:dyDescent="0.3">
      <c r="A140" s="175" t="s">
        <v>244</v>
      </c>
      <c r="B140" s="176"/>
      <c r="C140" s="56" t="s">
        <v>245</v>
      </c>
      <c r="D140" s="57" t="s">
        <v>236</v>
      </c>
      <c r="E140" s="54">
        <v>101161.25</v>
      </c>
      <c r="F140" s="90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>
        <f t="shared" si="68"/>
        <v>101161.25</v>
      </c>
      <c r="S140" s="54"/>
      <c r="T140" s="54">
        <v>0</v>
      </c>
      <c r="U140" s="55"/>
      <c r="V140" s="55">
        <v>101161.25</v>
      </c>
      <c r="W140" s="148">
        <f t="shared" si="69"/>
        <v>101161.25</v>
      </c>
    </row>
    <row r="141" spans="1:23" ht="20.100000000000001" customHeight="1" x14ac:dyDescent="0.3">
      <c r="A141" s="175" t="s">
        <v>246</v>
      </c>
      <c r="B141" s="176"/>
      <c r="C141" s="56" t="s">
        <v>247</v>
      </c>
      <c r="D141" s="57" t="s">
        <v>236</v>
      </c>
      <c r="E141" s="54">
        <v>125161.25</v>
      </c>
      <c r="F141" s="90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>
        <f t="shared" si="68"/>
        <v>125161.25</v>
      </c>
      <c r="S141" s="54"/>
      <c r="T141" s="54">
        <v>0</v>
      </c>
      <c r="U141" s="55"/>
      <c r="V141" s="55">
        <v>125161.25</v>
      </c>
      <c r="W141" s="148">
        <f t="shared" si="69"/>
        <v>125161.25</v>
      </c>
    </row>
    <row r="142" spans="1:23" ht="20.100000000000001" customHeight="1" x14ac:dyDescent="0.3">
      <c r="A142" s="175" t="s">
        <v>248</v>
      </c>
      <c r="B142" s="176"/>
      <c r="C142" s="56" t="s">
        <v>249</v>
      </c>
      <c r="D142" s="57" t="s">
        <v>125</v>
      </c>
      <c r="E142" s="54">
        <f>314201.03*60%</f>
        <v>188520.61800000002</v>
      </c>
      <c r="F142" s="90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>
        <f t="shared" si="68"/>
        <v>188520.61800000002</v>
      </c>
      <c r="S142" s="54"/>
      <c r="T142" s="54">
        <v>0</v>
      </c>
      <c r="U142" s="55"/>
      <c r="V142" s="55">
        <v>188520.62</v>
      </c>
      <c r="W142" s="148">
        <f t="shared" si="69"/>
        <v>188520.61800000002</v>
      </c>
    </row>
    <row r="143" spans="1:23" ht="20.100000000000001" customHeight="1" x14ac:dyDescent="0.3">
      <c r="A143" s="175" t="s">
        <v>250</v>
      </c>
      <c r="B143" s="176"/>
      <c r="C143" s="56" t="s">
        <v>251</v>
      </c>
      <c r="D143" s="57" t="s">
        <v>236</v>
      </c>
      <c r="E143" s="54">
        <f>168602.08*60%</f>
        <v>101161.24799999999</v>
      </c>
      <c r="F143" s="90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>
        <f t="shared" si="68"/>
        <v>101161.24799999999</v>
      </c>
      <c r="S143" s="54"/>
      <c r="T143" s="54">
        <v>0</v>
      </c>
      <c r="U143" s="55"/>
      <c r="V143" s="55">
        <v>101161.25</v>
      </c>
      <c r="W143" s="148">
        <f t="shared" si="69"/>
        <v>101161.24799999999</v>
      </c>
    </row>
    <row r="144" spans="1:23" ht="20.100000000000001" customHeight="1" x14ac:dyDescent="0.3">
      <c r="A144" s="61"/>
      <c r="B144" s="62" t="s">
        <v>252</v>
      </c>
      <c r="C144" s="56" t="s">
        <v>253</v>
      </c>
      <c r="D144" s="57" t="s">
        <v>236</v>
      </c>
      <c r="E144" s="54">
        <v>101161.25</v>
      </c>
      <c r="F144" s="90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>
        <f t="shared" si="68"/>
        <v>101161.25</v>
      </c>
      <c r="S144" s="54"/>
      <c r="T144" s="54"/>
      <c r="U144" s="55"/>
      <c r="V144" s="55">
        <v>101161.25</v>
      </c>
      <c r="W144" s="148">
        <f t="shared" si="69"/>
        <v>101161.25</v>
      </c>
    </row>
    <row r="145" spans="1:24" ht="20.100000000000001" customHeight="1" x14ac:dyDescent="0.3">
      <c r="A145" s="61"/>
      <c r="B145" s="62"/>
      <c r="C145" s="74" t="s">
        <v>254</v>
      </c>
      <c r="D145" s="57"/>
      <c r="E145" s="68">
        <f>SUM(E134:E144)</f>
        <v>1825615.4219999998</v>
      </c>
      <c r="F145" s="68">
        <f>SUM(F134:F144)</f>
        <v>0</v>
      </c>
      <c r="G145" s="68">
        <f t="shared" ref="G145:Q145" si="70">SUM(G134:G143)</f>
        <v>0</v>
      </c>
      <c r="H145" s="68">
        <f t="shared" si="70"/>
        <v>0</v>
      </c>
      <c r="I145" s="68">
        <f t="shared" si="70"/>
        <v>0</v>
      </c>
      <c r="J145" s="68">
        <f t="shared" si="70"/>
        <v>0</v>
      </c>
      <c r="K145" s="68">
        <f t="shared" si="70"/>
        <v>0</v>
      </c>
      <c r="L145" s="68">
        <f t="shared" si="70"/>
        <v>0</v>
      </c>
      <c r="M145" s="68">
        <f t="shared" si="70"/>
        <v>0</v>
      </c>
      <c r="N145" s="68">
        <f t="shared" si="70"/>
        <v>0</v>
      </c>
      <c r="O145" s="68">
        <f t="shared" si="70"/>
        <v>0</v>
      </c>
      <c r="P145" s="68">
        <f t="shared" si="70"/>
        <v>20000</v>
      </c>
      <c r="Q145" s="68">
        <f t="shared" si="70"/>
        <v>0</v>
      </c>
      <c r="R145" s="68">
        <f>SUM(R134:R144)</f>
        <v>1845615.4219999998</v>
      </c>
      <c r="S145" s="68">
        <f>SUM(S134:S143)</f>
        <v>0</v>
      </c>
      <c r="T145" s="101">
        <f>SUM(T134:T144)</f>
        <v>21618.09</v>
      </c>
      <c r="U145" s="101">
        <f>SUM(U134:U144)</f>
        <v>21618.09</v>
      </c>
      <c r="V145" s="68">
        <f>SUM(V134:V144)</f>
        <v>1654277.58</v>
      </c>
      <c r="W145" s="150">
        <f>SUM(W134:W144)</f>
        <v>1823997.3319999999</v>
      </c>
    </row>
    <row r="146" spans="1:24" ht="20.100000000000001" customHeight="1" x14ac:dyDescent="0.3">
      <c r="A146" s="71"/>
      <c r="B146" s="72"/>
      <c r="C146" s="74"/>
      <c r="D146" s="74"/>
      <c r="E146" s="68"/>
      <c r="F146" s="68"/>
      <c r="G146" s="68"/>
      <c r="H146" s="68"/>
      <c r="I146" s="68"/>
      <c r="J146" s="68"/>
      <c r="K146" s="68"/>
      <c r="L146" s="68"/>
      <c r="M146" s="68"/>
      <c r="N146" s="54"/>
      <c r="O146" s="68"/>
      <c r="P146" s="68"/>
      <c r="Q146" s="68"/>
      <c r="R146" s="68"/>
      <c r="S146" s="68"/>
      <c r="T146" s="68"/>
      <c r="U146" s="55"/>
      <c r="V146" s="55"/>
      <c r="W146" s="148"/>
    </row>
    <row r="147" spans="1:24" ht="20.100000000000001" customHeight="1" x14ac:dyDescent="0.3">
      <c r="A147" s="206" t="s">
        <v>255</v>
      </c>
      <c r="B147" s="206"/>
      <c r="C147" s="75"/>
      <c r="D147" s="76"/>
      <c r="E147" s="77">
        <f t="shared" ref="E147:W147" si="71">E145+E131+E112+E68+E39+E29</f>
        <v>4637971.182000001</v>
      </c>
      <c r="F147" s="77">
        <f t="shared" si="71"/>
        <v>550788.27</v>
      </c>
      <c r="G147" s="77">
        <f t="shared" si="71"/>
        <v>5981578.5300000003</v>
      </c>
      <c r="H147" s="77">
        <f t="shared" si="71"/>
        <v>189661.65574999998</v>
      </c>
      <c r="I147" s="77">
        <f t="shared" si="71"/>
        <v>962932.56</v>
      </c>
      <c r="J147" s="77">
        <f t="shared" si="71"/>
        <v>1015653.4450000005</v>
      </c>
      <c r="K147" s="77">
        <f t="shared" si="71"/>
        <v>7085500.7849999992</v>
      </c>
      <c r="L147" s="77">
        <f t="shared" si="71"/>
        <v>40122.19</v>
      </c>
      <c r="M147" s="77">
        <f t="shared" si="71"/>
        <v>2007233.580000001</v>
      </c>
      <c r="N147" s="77">
        <f t="shared" si="71"/>
        <v>2800000</v>
      </c>
      <c r="O147" s="77">
        <f t="shared" si="71"/>
        <v>204735.58099999995</v>
      </c>
      <c r="P147" s="77">
        <f t="shared" si="71"/>
        <v>1140000</v>
      </c>
      <c r="Q147" s="77">
        <f t="shared" si="71"/>
        <v>265235</v>
      </c>
      <c r="R147" s="77">
        <f t="shared" si="71"/>
        <v>26719452.620250002</v>
      </c>
      <c r="S147" s="77">
        <f t="shared" si="71"/>
        <v>0</v>
      </c>
      <c r="T147" s="77">
        <f t="shared" si="71"/>
        <v>787566.36000000022</v>
      </c>
      <c r="U147" s="77">
        <f t="shared" si="71"/>
        <v>787566.36000000022</v>
      </c>
      <c r="V147" s="77">
        <f t="shared" si="71"/>
        <v>24456547.470000006</v>
      </c>
      <c r="W147" s="151">
        <f t="shared" si="71"/>
        <v>26078950.949499991</v>
      </c>
      <c r="X147" s="14"/>
    </row>
    <row r="148" spans="1:24" ht="20.100000000000001" customHeight="1" x14ac:dyDescent="0.3">
      <c r="A148" s="202"/>
      <c r="B148" s="203"/>
      <c r="C148" s="78"/>
      <c r="D148" s="79"/>
      <c r="E148" s="80"/>
      <c r="F148" s="99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152"/>
    </row>
    <row r="149" spans="1:24" ht="20.100000000000001" customHeight="1" x14ac:dyDescent="0.3">
      <c r="A149" s="204"/>
      <c r="B149" s="205"/>
      <c r="C149" s="200" t="s">
        <v>256</v>
      </c>
      <c r="D149" s="200"/>
      <c r="E149" s="200"/>
      <c r="F149" s="200"/>
      <c r="G149" s="200"/>
      <c r="H149" s="200"/>
      <c r="I149" s="200"/>
      <c r="J149" s="201" t="s">
        <v>257</v>
      </c>
      <c r="K149" s="201"/>
      <c r="L149" s="201"/>
      <c r="M149" s="201"/>
      <c r="N149" s="81"/>
      <c r="O149" s="201" t="s">
        <v>258</v>
      </c>
      <c r="P149" s="201"/>
      <c r="Q149" s="201"/>
      <c r="R149" s="201"/>
      <c r="S149" s="81"/>
      <c r="T149" s="82"/>
      <c r="U149" s="82"/>
      <c r="V149" s="82"/>
      <c r="W149" s="98"/>
    </row>
    <row r="150" spans="1:24" ht="20.100000000000001" customHeight="1" x14ac:dyDescent="0.3">
      <c r="A150" s="204"/>
      <c r="B150" s="205"/>
      <c r="C150" s="200"/>
      <c r="D150" s="200"/>
      <c r="E150" s="200"/>
      <c r="F150" s="200"/>
      <c r="G150" s="200"/>
      <c r="H150" s="200"/>
      <c r="I150" s="200"/>
      <c r="J150" s="201"/>
      <c r="K150" s="201"/>
      <c r="L150" s="201"/>
      <c r="M150" s="201"/>
      <c r="N150" s="81"/>
      <c r="O150" s="201"/>
      <c r="P150" s="201"/>
      <c r="Q150" s="201"/>
      <c r="R150" s="201"/>
      <c r="S150" s="81"/>
      <c r="T150" s="82"/>
      <c r="U150" s="82"/>
      <c r="V150" s="82"/>
      <c r="W150" s="98"/>
    </row>
    <row r="151" spans="1:24" ht="20.100000000000001" customHeight="1" x14ac:dyDescent="0.3">
      <c r="A151" s="59"/>
      <c r="B151" s="60"/>
      <c r="C151" s="39"/>
      <c r="D151" s="51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153"/>
    </row>
    <row r="155" spans="1:24" ht="20.100000000000001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4" ht="20.100000000000001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4" ht="20.100000000000001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4" ht="20.100000000000001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4" ht="20.100000000000001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4" ht="20.100000000000001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20.100000000000001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20.100000000000001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20.100000000000001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20.100000000000001" customHeight="1" x14ac:dyDescent="0.3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</sheetData>
  <mergeCells count="118">
    <mergeCell ref="P149:R150"/>
    <mergeCell ref="A131:B131"/>
    <mergeCell ref="A148:B148"/>
    <mergeCell ref="A149:B149"/>
    <mergeCell ref="A150:B150"/>
    <mergeCell ref="A143:B143"/>
    <mergeCell ref="O149:O150"/>
    <mergeCell ref="A138:B138"/>
    <mergeCell ref="A140:B140"/>
    <mergeCell ref="A137:B137"/>
    <mergeCell ref="K149:M150"/>
    <mergeCell ref="J149:J150"/>
    <mergeCell ref="A147:B147"/>
    <mergeCell ref="A141:B141"/>
    <mergeCell ref="A142:B142"/>
    <mergeCell ref="A123:B123"/>
    <mergeCell ref="D149:I150"/>
    <mergeCell ref="C149:C150"/>
    <mergeCell ref="A139:B139"/>
    <mergeCell ref="A133:B133"/>
    <mergeCell ref="A136:B136"/>
    <mergeCell ref="A92:B92"/>
    <mergeCell ref="A125:B125"/>
    <mergeCell ref="A97:B97"/>
    <mergeCell ref="A101:B101"/>
    <mergeCell ref="A98:B98"/>
    <mergeCell ref="A107:B107"/>
    <mergeCell ref="A121:B121"/>
    <mergeCell ref="A103:B103"/>
    <mergeCell ref="A117:B117"/>
    <mergeCell ref="A119:B119"/>
    <mergeCell ref="A118:B118"/>
    <mergeCell ref="A116:B116"/>
    <mergeCell ref="A115:B115"/>
    <mergeCell ref="A114:B114"/>
    <mergeCell ref="A122:B122"/>
    <mergeCell ref="A120:B120"/>
    <mergeCell ref="A104:B104"/>
    <mergeCell ref="A105:B105"/>
    <mergeCell ref="A106:B106"/>
    <mergeCell ref="A89:B89"/>
    <mergeCell ref="A95:B95"/>
    <mergeCell ref="A87:B87"/>
    <mergeCell ref="A88:B88"/>
    <mergeCell ref="A73:B73"/>
    <mergeCell ref="A22:B22"/>
    <mergeCell ref="A81:B81"/>
    <mergeCell ref="A85:B85"/>
    <mergeCell ref="A90:B90"/>
    <mergeCell ref="A94:B94"/>
    <mergeCell ref="A100:B100"/>
    <mergeCell ref="A99:B99"/>
    <mergeCell ref="A65:B65"/>
    <mergeCell ref="A86:B86"/>
    <mergeCell ref="A79:B79"/>
    <mergeCell ref="A83:B83"/>
    <mergeCell ref="A78:B78"/>
    <mergeCell ref="A76:B76"/>
    <mergeCell ref="A91:B91"/>
    <mergeCell ref="A102:B102"/>
    <mergeCell ref="A96:B96"/>
    <mergeCell ref="A67:B67"/>
    <mergeCell ref="A72:B72"/>
    <mergeCell ref="A82:B82"/>
    <mergeCell ref="A11:B11"/>
    <mergeCell ref="A26:B26"/>
    <mergeCell ref="A14:B14"/>
    <mergeCell ref="A17:B17"/>
    <mergeCell ref="A75:B75"/>
    <mergeCell ref="A25:B25"/>
    <mergeCell ref="A16:B16"/>
    <mergeCell ref="A13:B13"/>
    <mergeCell ref="A18:B18"/>
    <mergeCell ref="A68:B68"/>
    <mergeCell ref="A80:B80"/>
    <mergeCell ref="A71:B71"/>
    <mergeCell ref="A70:B70"/>
    <mergeCell ref="A31:B31"/>
    <mergeCell ref="A51:B51"/>
    <mergeCell ref="A15:B15"/>
    <mergeCell ref="A53:B53"/>
    <mergeCell ref="A35:B35"/>
    <mergeCell ref="A34:B34"/>
    <mergeCell ref="A61:B61"/>
    <mergeCell ref="A38:B38"/>
    <mergeCell ref="A77:B77"/>
    <mergeCell ref="A74:B74"/>
    <mergeCell ref="A3:D3"/>
    <mergeCell ref="A9:B9"/>
    <mergeCell ref="A12:B12"/>
    <mergeCell ref="A24:B24"/>
    <mergeCell ref="A8:B8"/>
    <mergeCell ref="A40:B40"/>
    <mergeCell ref="A44:B44"/>
    <mergeCell ref="A43:B43"/>
    <mergeCell ref="A10:B10"/>
    <mergeCell ref="A27:B27"/>
    <mergeCell ref="A6:B6"/>
    <mergeCell ref="A7:B7"/>
    <mergeCell ref="A29:B29"/>
    <mergeCell ref="A39:B39"/>
    <mergeCell ref="A28:B28"/>
    <mergeCell ref="A42:B42"/>
    <mergeCell ref="A57:B57"/>
    <mergeCell ref="A36:B36"/>
    <mergeCell ref="A64:B64"/>
    <mergeCell ref="A30:B30"/>
    <mergeCell ref="A32:B32"/>
    <mergeCell ref="A33:B33"/>
    <mergeCell ref="S5:U5"/>
    <mergeCell ref="A66:B66"/>
    <mergeCell ref="A23:B23"/>
    <mergeCell ref="A5:B5"/>
    <mergeCell ref="A47:B47"/>
    <mergeCell ref="A62:B62"/>
    <mergeCell ref="A59:B59"/>
    <mergeCell ref="A63:B63"/>
    <mergeCell ref="A46:B46"/>
  </mergeCells>
  <phoneticPr fontId="0" type="noConversion"/>
  <pageMargins left="0" right="0" top="0.17" bottom="0.06" header="0.13" footer="0.01"/>
  <pageSetup paperSize="9" scale="3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A10" workbookViewId="0">
      <selection activeCell="J26" sqref="J26"/>
    </sheetView>
  </sheetViews>
  <sheetFormatPr defaultRowHeight="12.75" x14ac:dyDescent="0.2"/>
  <cols>
    <col min="3" max="3" width="24.5703125" customWidth="1"/>
    <col min="4" max="4" width="37.28515625" customWidth="1"/>
    <col min="5" max="5" width="11.42578125" customWidth="1"/>
    <col min="6" max="6" width="21.7109375" customWidth="1"/>
  </cols>
  <sheetData>
    <row r="1" spans="1:6" ht="27.75" customHeight="1" x14ac:dyDescent="0.3">
      <c r="A1" s="207" t="s">
        <v>259</v>
      </c>
      <c r="B1" s="207"/>
      <c r="C1" s="207"/>
      <c r="D1" s="207"/>
      <c r="E1" s="207"/>
      <c r="F1" s="207"/>
    </row>
    <row r="2" spans="1:6" ht="40.5" customHeight="1" x14ac:dyDescent="0.3">
      <c r="A2" s="208" t="s">
        <v>260</v>
      </c>
      <c r="B2" s="208"/>
      <c r="C2" s="208"/>
      <c r="D2" s="208"/>
      <c r="E2" s="208"/>
      <c r="F2" s="208"/>
    </row>
    <row r="3" spans="1:6" ht="31.5" customHeight="1" x14ac:dyDescent="0.2">
      <c r="A3" s="209"/>
      <c r="B3" s="209"/>
      <c r="C3" s="209"/>
      <c r="D3" s="209"/>
      <c r="E3" s="209"/>
      <c r="F3" s="209"/>
    </row>
    <row r="4" spans="1:6" ht="18.75" x14ac:dyDescent="0.3">
      <c r="A4" s="217" t="s">
        <v>1</v>
      </c>
      <c r="B4" s="218"/>
      <c r="C4" s="218"/>
      <c r="D4" s="120" t="s">
        <v>4</v>
      </c>
      <c r="E4" s="164" t="s">
        <v>5</v>
      </c>
      <c r="F4" s="85" t="s">
        <v>261</v>
      </c>
    </row>
    <row r="5" spans="1:6" ht="18.75" x14ac:dyDescent="0.3">
      <c r="A5" s="219"/>
      <c r="B5" s="219"/>
      <c r="C5" s="219"/>
      <c r="D5" s="120"/>
      <c r="E5" s="164" t="s">
        <v>17</v>
      </c>
      <c r="F5" s="96" t="s">
        <v>34</v>
      </c>
    </row>
    <row r="6" spans="1:6" ht="18.75" x14ac:dyDescent="0.3">
      <c r="A6" s="220" t="s">
        <v>33</v>
      </c>
      <c r="B6" s="220"/>
      <c r="C6" s="220"/>
      <c r="D6" s="121"/>
      <c r="E6" s="165"/>
      <c r="F6" s="162"/>
    </row>
    <row r="7" spans="1:6" ht="18.75" x14ac:dyDescent="0.3">
      <c r="A7" s="221" t="s">
        <v>35</v>
      </c>
      <c r="B7" s="221"/>
      <c r="C7" s="221"/>
      <c r="D7" s="86" t="s">
        <v>36</v>
      </c>
      <c r="E7" s="132" t="s">
        <v>37</v>
      </c>
      <c r="F7" s="91">
        <v>2000000</v>
      </c>
    </row>
    <row r="8" spans="1:6" ht="18.75" x14ac:dyDescent="0.3">
      <c r="A8" s="222" t="s">
        <v>32</v>
      </c>
      <c r="B8" s="222"/>
      <c r="C8" s="222"/>
      <c r="D8" s="128">
        <v>1</v>
      </c>
      <c r="E8" s="167"/>
      <c r="F8" s="92">
        <f>SUM(F7:F7)</f>
        <v>2000000</v>
      </c>
    </row>
    <row r="9" spans="1:6" ht="18.75" x14ac:dyDescent="0.3">
      <c r="A9" s="224"/>
      <c r="B9" s="224"/>
      <c r="C9" s="224"/>
      <c r="D9" s="84"/>
      <c r="E9" s="167"/>
      <c r="F9" s="91"/>
    </row>
    <row r="10" spans="1:6" ht="18.75" x14ac:dyDescent="0.3">
      <c r="A10" s="225"/>
      <c r="B10" s="226"/>
      <c r="C10" s="227"/>
      <c r="D10" s="84"/>
      <c r="E10" s="167"/>
      <c r="F10" s="91"/>
    </row>
    <row r="11" spans="1:6" ht="18.75" x14ac:dyDescent="0.3">
      <c r="A11" s="231" t="s">
        <v>262</v>
      </c>
      <c r="B11" s="231"/>
      <c r="C11" s="231"/>
      <c r="D11" s="129"/>
      <c r="E11" s="168"/>
      <c r="F11" s="91"/>
    </row>
    <row r="12" spans="1:6" ht="18.75" x14ac:dyDescent="0.3">
      <c r="A12" s="210" t="s">
        <v>82</v>
      </c>
      <c r="B12" s="211"/>
      <c r="C12" s="212"/>
      <c r="D12" s="86" t="s">
        <v>83</v>
      </c>
      <c r="E12" s="166" t="s">
        <v>84</v>
      </c>
      <c r="F12" s="91">
        <v>500000</v>
      </c>
    </row>
    <row r="13" spans="1:6" ht="18.75" x14ac:dyDescent="0.3">
      <c r="A13" s="216" t="s">
        <v>32</v>
      </c>
      <c r="B13" s="216"/>
      <c r="C13" s="216"/>
      <c r="D13" s="128">
        <v>1</v>
      </c>
      <c r="E13" s="169"/>
      <c r="F13" s="92">
        <f>SUM(F12:F12)</f>
        <v>500000</v>
      </c>
    </row>
    <row r="14" spans="1:6" ht="18.75" x14ac:dyDescent="0.3">
      <c r="A14" s="228"/>
      <c r="B14" s="229"/>
      <c r="C14" s="230"/>
      <c r="D14" s="128"/>
      <c r="E14" s="169"/>
      <c r="F14" s="91"/>
    </row>
    <row r="15" spans="1:6" ht="18.75" x14ac:dyDescent="0.3">
      <c r="A15" s="163" t="s">
        <v>94</v>
      </c>
      <c r="B15" s="141"/>
      <c r="C15" s="135"/>
      <c r="D15" s="170"/>
      <c r="E15" s="169"/>
      <c r="F15" s="91"/>
    </row>
    <row r="16" spans="1:6" ht="18.75" x14ac:dyDescent="0.3">
      <c r="A16" s="210" t="s">
        <v>96</v>
      </c>
      <c r="B16" s="211"/>
      <c r="C16" s="212"/>
      <c r="D16" s="86" t="s">
        <v>97</v>
      </c>
      <c r="E16" s="166" t="s">
        <v>98</v>
      </c>
      <c r="F16" s="91">
        <v>500000</v>
      </c>
    </row>
    <row r="17" spans="1:6" ht="18.75" x14ac:dyDescent="0.3">
      <c r="A17" s="210" t="s">
        <v>118</v>
      </c>
      <c r="B17" s="211"/>
      <c r="C17" s="212"/>
      <c r="D17" s="86" t="s">
        <v>263</v>
      </c>
      <c r="E17" s="166" t="s">
        <v>113</v>
      </c>
      <c r="F17" s="91">
        <v>300000</v>
      </c>
    </row>
    <row r="18" spans="1:6" ht="18.75" x14ac:dyDescent="0.3">
      <c r="A18" s="210" t="s">
        <v>137</v>
      </c>
      <c r="B18" s="211"/>
      <c r="C18" s="212"/>
      <c r="D18" s="84" t="s">
        <v>92</v>
      </c>
      <c r="E18" s="167" t="s">
        <v>93</v>
      </c>
      <c r="F18" s="91">
        <v>150000</v>
      </c>
    </row>
    <row r="19" spans="1:6" ht="18.75" x14ac:dyDescent="0.3">
      <c r="A19" s="210" t="s">
        <v>139</v>
      </c>
      <c r="B19" s="211"/>
      <c r="C19" s="212"/>
      <c r="D19" s="84" t="s">
        <v>92</v>
      </c>
      <c r="E19" s="167" t="s">
        <v>93</v>
      </c>
      <c r="F19" s="91">
        <v>150000</v>
      </c>
    </row>
    <row r="20" spans="1:6" ht="18.75" x14ac:dyDescent="0.3">
      <c r="A20" s="216" t="s">
        <v>32</v>
      </c>
      <c r="B20" s="216"/>
      <c r="C20" s="216"/>
      <c r="D20" s="128">
        <v>4</v>
      </c>
      <c r="E20" s="169"/>
      <c r="F20" s="92">
        <f>SUM(F16:F19)</f>
        <v>1100000</v>
      </c>
    </row>
    <row r="21" spans="1:6" ht="18.75" x14ac:dyDescent="0.3">
      <c r="A21" s="1"/>
      <c r="B21" s="1"/>
      <c r="C21" s="1"/>
      <c r="D21" s="1"/>
      <c r="E21" s="1"/>
      <c r="F21" s="91"/>
    </row>
    <row r="22" spans="1:6" ht="18.75" x14ac:dyDescent="0.3">
      <c r="A22" s="213" t="s">
        <v>145</v>
      </c>
      <c r="B22" s="214"/>
      <c r="C22" s="215"/>
      <c r="D22" s="128"/>
      <c r="E22" s="169"/>
      <c r="F22" s="91"/>
    </row>
    <row r="23" spans="1:6" ht="18.75" x14ac:dyDescent="0.3">
      <c r="A23" s="210" t="s">
        <v>208</v>
      </c>
      <c r="B23" s="211"/>
      <c r="C23" s="212"/>
      <c r="D23" s="86" t="s">
        <v>189</v>
      </c>
      <c r="E23" s="166" t="s">
        <v>207</v>
      </c>
      <c r="F23" s="91">
        <v>80000</v>
      </c>
    </row>
    <row r="24" spans="1:6" ht="18.75" x14ac:dyDescent="0.3">
      <c r="A24" s="132"/>
      <c r="B24" s="133"/>
      <c r="C24" s="127"/>
      <c r="D24" s="134" t="s">
        <v>264</v>
      </c>
      <c r="E24" s="166"/>
      <c r="F24" s="92">
        <f>SUM(F23:F23)</f>
        <v>80000</v>
      </c>
    </row>
    <row r="25" spans="1:6" ht="18.75" x14ac:dyDescent="0.3">
      <c r="A25" s="132"/>
      <c r="B25" s="133"/>
      <c r="C25" s="127"/>
      <c r="D25" s="134"/>
      <c r="E25" s="166"/>
      <c r="F25" s="92"/>
    </row>
    <row r="26" spans="1:6" ht="21" customHeight="1" x14ac:dyDescent="0.3">
      <c r="A26" s="223" t="s">
        <v>255</v>
      </c>
      <c r="B26" s="223"/>
      <c r="C26" s="223"/>
      <c r="D26" s="173" t="s">
        <v>265</v>
      </c>
      <c r="E26" s="171"/>
      <c r="F26" s="172">
        <f>F8+F13+F20+F24</f>
        <v>3680000</v>
      </c>
    </row>
  </sheetData>
  <mergeCells count="22">
    <mergeCell ref="A26:C26"/>
    <mergeCell ref="A9:C9"/>
    <mergeCell ref="A10:C10"/>
    <mergeCell ref="A17:C17"/>
    <mergeCell ref="A13:C13"/>
    <mergeCell ref="A14:C14"/>
    <mergeCell ref="A16:C16"/>
    <mergeCell ref="A11:C11"/>
    <mergeCell ref="A12:C12"/>
    <mergeCell ref="A1:F1"/>
    <mergeCell ref="A2:F2"/>
    <mergeCell ref="A3:F3"/>
    <mergeCell ref="A23:C23"/>
    <mergeCell ref="A18:C18"/>
    <mergeCell ref="A19:C19"/>
    <mergeCell ref="A22:C22"/>
    <mergeCell ref="A20:C20"/>
    <mergeCell ref="A4:C4"/>
    <mergeCell ref="A5:C5"/>
    <mergeCell ref="A6:C6"/>
    <mergeCell ref="A7:C7"/>
    <mergeCell ref="A8:C8"/>
  </mergeCells>
  <pageMargins left="0.7" right="0.45" top="0.5" bottom="0.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E10" sqref="E10"/>
    </sheetView>
  </sheetViews>
  <sheetFormatPr defaultRowHeight="12.75" x14ac:dyDescent="0.2"/>
  <cols>
    <col min="1" max="1" width="42.7109375" customWidth="1"/>
    <col min="2" max="2" width="37.7109375" customWidth="1"/>
    <col min="3" max="3" width="10.5703125" customWidth="1"/>
    <col min="4" max="4" width="21.42578125" customWidth="1"/>
  </cols>
  <sheetData>
    <row r="1" spans="1:4" ht="18.75" x14ac:dyDescent="0.3">
      <c r="A1" s="154" t="s">
        <v>199</v>
      </c>
      <c r="B1" s="154" t="s">
        <v>189</v>
      </c>
      <c r="C1" s="154" t="s">
        <v>198</v>
      </c>
      <c r="D1" s="91">
        <v>80000</v>
      </c>
    </row>
    <row r="2" spans="1:4" ht="18.75" x14ac:dyDescent="0.3">
      <c r="A2" s="154" t="s">
        <v>200</v>
      </c>
      <c r="B2" s="154" t="s">
        <v>189</v>
      </c>
      <c r="C2" s="154" t="s">
        <v>198</v>
      </c>
      <c r="D2" s="91">
        <v>80000</v>
      </c>
    </row>
    <row r="3" spans="1:4" ht="18.75" x14ac:dyDescent="0.3">
      <c r="A3" s="154" t="s">
        <v>201</v>
      </c>
      <c r="B3" s="154" t="s">
        <v>189</v>
      </c>
      <c r="C3" s="154" t="s">
        <v>198</v>
      </c>
      <c r="D3" s="91">
        <v>80000</v>
      </c>
    </row>
    <row r="4" spans="1:4" ht="18.75" x14ac:dyDescent="0.3">
      <c r="A4" s="154" t="s">
        <v>202</v>
      </c>
      <c r="B4" s="154" t="s">
        <v>189</v>
      </c>
      <c r="C4" s="154" t="s">
        <v>198</v>
      </c>
      <c r="D4" s="91">
        <v>80000</v>
      </c>
    </row>
    <row r="5" spans="1:4" ht="18.75" x14ac:dyDescent="0.3">
      <c r="A5" s="154" t="s">
        <v>203</v>
      </c>
      <c r="B5" s="154" t="s">
        <v>189</v>
      </c>
      <c r="C5" s="154" t="s">
        <v>198</v>
      </c>
      <c r="D5" s="91">
        <v>80000</v>
      </c>
    </row>
    <row r="6" spans="1:4" ht="18.75" x14ac:dyDescent="0.3">
      <c r="A6" s="154" t="s">
        <v>204</v>
      </c>
      <c r="B6" s="154" t="s">
        <v>189</v>
      </c>
      <c r="C6" s="154" t="s">
        <v>198</v>
      </c>
      <c r="D6" s="91">
        <v>80000</v>
      </c>
    </row>
    <row r="7" spans="1:4" ht="18.75" x14ac:dyDescent="0.3">
      <c r="A7" s="154" t="s">
        <v>205</v>
      </c>
      <c r="B7" s="154" t="s">
        <v>189</v>
      </c>
      <c r="C7" s="154" t="s">
        <v>198</v>
      </c>
      <c r="D7" s="91">
        <v>80000</v>
      </c>
    </row>
    <row r="8" spans="1:4" ht="18.75" x14ac:dyDescent="0.3">
      <c r="A8" s="154" t="s">
        <v>206</v>
      </c>
      <c r="B8" s="154" t="s">
        <v>189</v>
      </c>
      <c r="C8" s="154" t="s">
        <v>207</v>
      </c>
      <c r="D8" s="91">
        <v>80000</v>
      </c>
    </row>
    <row r="9" spans="1:4" ht="18.75" x14ac:dyDescent="0.3">
      <c r="A9" s="154" t="s">
        <v>211</v>
      </c>
      <c r="B9" s="154" t="s">
        <v>212</v>
      </c>
      <c r="C9" s="154" t="s">
        <v>213</v>
      </c>
      <c r="D9" s="91">
        <v>150000</v>
      </c>
    </row>
    <row r="10" spans="1:4" ht="18.75" x14ac:dyDescent="0.3">
      <c r="A10" s="154" t="s">
        <v>214</v>
      </c>
      <c r="B10" s="154" t="s">
        <v>212</v>
      </c>
      <c r="C10" s="154" t="s">
        <v>213</v>
      </c>
      <c r="D10" s="91">
        <v>150000</v>
      </c>
    </row>
    <row r="11" spans="1:4" ht="18.75" x14ac:dyDescent="0.3">
      <c r="A11" s="154" t="s">
        <v>217</v>
      </c>
      <c r="B11" s="154" t="s">
        <v>216</v>
      </c>
      <c r="C11" s="154" t="s">
        <v>213</v>
      </c>
      <c r="D11" s="91">
        <v>80000</v>
      </c>
    </row>
    <row r="12" spans="1:4" ht="18.75" x14ac:dyDescent="0.3">
      <c r="A12" s="154" t="s">
        <v>218</v>
      </c>
      <c r="B12" s="154" t="s">
        <v>212</v>
      </c>
      <c r="C12" s="154">
        <v>0</v>
      </c>
      <c r="D12" s="91">
        <v>150000</v>
      </c>
    </row>
    <row r="13" spans="1:4" ht="18.75" x14ac:dyDescent="0.3">
      <c r="A13" s="154" t="s">
        <v>220</v>
      </c>
      <c r="B13" s="154" t="s">
        <v>212</v>
      </c>
      <c r="C13" s="154" t="s">
        <v>213</v>
      </c>
      <c r="D13" s="91">
        <v>150000</v>
      </c>
    </row>
    <row r="14" spans="1:4" ht="18.75" x14ac:dyDescent="0.3">
      <c r="A14" s="154" t="s">
        <v>225</v>
      </c>
      <c r="B14" s="154" t="s">
        <v>189</v>
      </c>
      <c r="C14" s="154">
        <v>0</v>
      </c>
      <c r="D14" s="91">
        <v>80000</v>
      </c>
    </row>
    <row r="15" spans="1:4" ht="18.75" x14ac:dyDescent="0.3">
      <c r="A15" s="154" t="s">
        <v>237</v>
      </c>
      <c r="B15" s="154" t="s">
        <v>68</v>
      </c>
      <c r="C15" s="154" t="s">
        <v>236</v>
      </c>
      <c r="D15" s="91">
        <v>200000</v>
      </c>
    </row>
    <row r="16" spans="1:4" ht="18.75" x14ac:dyDescent="0.3">
      <c r="A16" s="154" t="s">
        <v>238</v>
      </c>
      <c r="B16" s="154" t="s">
        <v>239</v>
      </c>
      <c r="C16" s="154" t="s">
        <v>236</v>
      </c>
      <c r="D16" s="91">
        <v>200000</v>
      </c>
    </row>
    <row r="17" spans="1:4" ht="18.75" x14ac:dyDescent="0.3">
      <c r="A17" s="154" t="s">
        <v>244</v>
      </c>
      <c r="B17" s="154" t="s">
        <v>245</v>
      </c>
      <c r="C17" s="154" t="s">
        <v>236</v>
      </c>
      <c r="D17" s="91">
        <v>200000</v>
      </c>
    </row>
    <row r="18" spans="1:4" ht="18.75" x14ac:dyDescent="0.3">
      <c r="A18" s="154" t="s">
        <v>246</v>
      </c>
      <c r="B18" s="154" t="s">
        <v>247</v>
      </c>
      <c r="C18" s="154" t="s">
        <v>236</v>
      </c>
      <c r="D18" s="91">
        <v>200000</v>
      </c>
    </row>
    <row r="19" spans="1:4" ht="18.75" x14ac:dyDescent="0.3">
      <c r="A19" s="154" t="s">
        <v>252</v>
      </c>
      <c r="B19" s="154" t="s">
        <v>253</v>
      </c>
      <c r="C19" s="154" t="s">
        <v>236</v>
      </c>
      <c r="D19" s="91">
        <v>200000</v>
      </c>
    </row>
    <row r="20" spans="1:4" ht="18.75" x14ac:dyDescent="0.3">
      <c r="A20" s="85" t="s">
        <v>255</v>
      </c>
      <c r="B20" s="85"/>
      <c r="C20" s="85"/>
      <c r="D20" s="92">
        <v>9890000</v>
      </c>
    </row>
  </sheetData>
  <pageMargins left="0.7" right="0.45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topLeftCell="A19" workbookViewId="0">
      <selection activeCell="D57" sqref="D57"/>
    </sheetView>
  </sheetViews>
  <sheetFormatPr defaultRowHeight="12.75" x14ac:dyDescent="0.2"/>
  <cols>
    <col min="1" max="1" width="4.5703125" customWidth="1"/>
    <col min="4" max="4" width="9.5703125" customWidth="1"/>
    <col min="5" max="5" width="17.5703125" customWidth="1"/>
    <col min="6" max="6" width="25.5703125" customWidth="1"/>
    <col min="7" max="7" width="21.140625" customWidth="1"/>
    <col min="8" max="8" width="22.140625" customWidth="1"/>
    <col min="9" max="9" width="12.42578125" customWidth="1"/>
    <col min="10" max="10" width="12.85546875" customWidth="1"/>
  </cols>
  <sheetData>
    <row r="1" spans="1:8" ht="20.25" x14ac:dyDescent="0.3">
      <c r="A1" s="236" t="s">
        <v>259</v>
      </c>
      <c r="B1" s="236"/>
      <c r="C1" s="236"/>
      <c r="D1" s="236"/>
      <c r="E1" s="236"/>
      <c r="F1" s="236"/>
      <c r="G1" s="236"/>
      <c r="H1" s="236"/>
    </row>
    <row r="2" spans="1:8" ht="14.25" customHeight="1" x14ac:dyDescent="0.3">
      <c r="A2" s="146"/>
      <c r="B2" s="146"/>
      <c r="C2" s="146"/>
      <c r="D2" s="146"/>
      <c r="E2" s="146"/>
      <c r="F2" s="146"/>
      <c r="G2" s="146"/>
      <c r="H2" s="146"/>
    </row>
    <row r="3" spans="1:8" ht="12.75" customHeight="1" x14ac:dyDescent="0.3">
      <c r="A3" s="1"/>
      <c r="B3" s="1"/>
      <c r="C3" s="1"/>
      <c r="D3" s="1"/>
      <c r="E3" s="1"/>
      <c r="F3" s="1"/>
      <c r="G3" s="1"/>
      <c r="H3" s="21"/>
    </row>
    <row r="4" spans="1:8" ht="20.25" x14ac:dyDescent="0.3">
      <c r="A4" s="237" t="s">
        <v>266</v>
      </c>
      <c r="B4" s="237"/>
      <c r="C4" s="237"/>
      <c r="D4" s="237"/>
      <c r="E4" s="237"/>
      <c r="F4" s="237"/>
      <c r="G4" s="237"/>
      <c r="H4" s="237"/>
    </row>
    <row r="5" spans="1:8" ht="15" customHeight="1" x14ac:dyDescent="0.3">
      <c r="A5" s="1"/>
      <c r="B5" s="1"/>
      <c r="C5" s="1"/>
      <c r="D5" s="1"/>
      <c r="E5" s="1"/>
      <c r="F5" s="1"/>
      <c r="G5" s="1"/>
      <c r="H5" s="1"/>
    </row>
    <row r="6" spans="1:8" ht="18.75" x14ac:dyDescent="0.3">
      <c r="A6" s="145" t="s">
        <v>267</v>
      </c>
      <c r="B6" s="145"/>
      <c r="C6" s="145"/>
      <c r="D6" s="145"/>
      <c r="E6" s="145"/>
      <c r="F6" s="145"/>
      <c r="G6" s="1"/>
      <c r="H6" s="1"/>
    </row>
    <row r="7" spans="1:8" ht="18.75" x14ac:dyDescent="0.3">
      <c r="A7" s="235" t="s">
        <v>268</v>
      </c>
      <c r="B7" s="235"/>
      <c r="C7" s="235"/>
      <c r="D7" s="235"/>
      <c r="E7" s="235"/>
      <c r="F7" s="235"/>
      <c r="G7" s="1"/>
      <c r="H7" s="1"/>
    </row>
    <row r="8" spans="1:8" ht="18.75" x14ac:dyDescent="0.3">
      <c r="A8" s="235" t="s">
        <v>269</v>
      </c>
      <c r="B8" s="235"/>
      <c r="C8" s="235"/>
      <c r="D8" s="235"/>
      <c r="E8" s="235"/>
      <c r="F8" s="235"/>
      <c r="G8" s="1"/>
      <c r="H8" s="1"/>
    </row>
    <row r="9" spans="1:8" ht="18.75" x14ac:dyDescent="0.3">
      <c r="A9" s="235" t="s">
        <v>270</v>
      </c>
      <c r="B9" s="235"/>
      <c r="C9" s="235"/>
      <c r="D9" s="235"/>
      <c r="E9" s="235"/>
      <c r="F9" s="1"/>
      <c r="G9" s="1"/>
      <c r="H9" s="1"/>
    </row>
    <row r="10" spans="1:8" ht="18.75" x14ac:dyDescent="0.3">
      <c r="A10" s="1"/>
      <c r="B10" s="1"/>
      <c r="C10" s="1"/>
      <c r="D10" s="1"/>
      <c r="E10" s="1"/>
      <c r="F10" s="1"/>
      <c r="G10" s="1"/>
      <c r="H10" s="1"/>
    </row>
    <row r="11" spans="1:8" ht="20.25" x14ac:dyDescent="0.3">
      <c r="A11" s="241" t="s">
        <v>271</v>
      </c>
      <c r="B11" s="241"/>
      <c r="C11" s="241"/>
      <c r="D11" s="241"/>
      <c r="E11" s="241"/>
      <c r="F11" s="241"/>
      <c r="G11" s="1"/>
      <c r="H11" s="1"/>
    </row>
    <row r="12" spans="1:8" ht="23.25" customHeight="1" x14ac:dyDescent="0.3">
      <c r="A12" s="1"/>
      <c r="B12" s="1"/>
      <c r="C12" s="1"/>
      <c r="D12" s="1"/>
      <c r="E12" s="1"/>
      <c r="F12" s="1"/>
      <c r="G12" s="1"/>
      <c r="H12" s="1"/>
    </row>
    <row r="13" spans="1:8" ht="22.5" customHeight="1" x14ac:dyDescent="0.3">
      <c r="A13" s="235" t="s">
        <v>272</v>
      </c>
      <c r="B13" s="235"/>
      <c r="C13" s="235"/>
      <c r="D13" s="235"/>
      <c r="E13" s="235"/>
      <c r="F13" s="235"/>
      <c r="G13" s="235"/>
      <c r="H13" s="235"/>
    </row>
    <row r="14" spans="1:8" ht="13.15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18.75" x14ac:dyDescent="0.3">
      <c r="A15" s="1"/>
      <c r="B15" s="1"/>
      <c r="C15" s="1"/>
      <c r="D15" s="1"/>
      <c r="E15" s="239" t="s">
        <v>273</v>
      </c>
      <c r="F15" s="240"/>
      <c r="G15" s="239" t="s">
        <v>274</v>
      </c>
      <c r="H15" s="240"/>
    </row>
    <row r="16" spans="1:8" ht="18.75" x14ac:dyDescent="0.3">
      <c r="A16" s="1"/>
      <c r="B16" s="1"/>
      <c r="C16" s="1"/>
      <c r="D16" s="1"/>
      <c r="E16" s="11" t="s">
        <v>275</v>
      </c>
      <c r="F16" s="83" t="s">
        <v>261</v>
      </c>
      <c r="G16" s="11" t="s">
        <v>275</v>
      </c>
      <c r="H16" s="83" t="s">
        <v>261</v>
      </c>
    </row>
    <row r="17" spans="1:8" ht="18.75" x14ac:dyDescent="0.3">
      <c r="A17" s="1"/>
      <c r="B17" s="1"/>
      <c r="C17" s="1"/>
      <c r="D17" s="1"/>
      <c r="E17" s="11" t="s">
        <v>276</v>
      </c>
      <c r="F17" s="96" t="s">
        <v>34</v>
      </c>
      <c r="G17" s="11" t="s">
        <v>276</v>
      </c>
      <c r="H17" s="96" t="s">
        <v>34</v>
      </c>
    </row>
    <row r="18" spans="1:8" ht="18.75" x14ac:dyDescent="0.3">
      <c r="A18" s="16">
        <v>1</v>
      </c>
      <c r="B18" s="242" t="s">
        <v>277</v>
      </c>
      <c r="C18" s="235"/>
      <c r="D18" s="235"/>
      <c r="E18" s="3">
        <v>21</v>
      </c>
      <c r="F18" s="17">
        <f>'Feb. 15'!V29</f>
        <v>6044633.8300000019</v>
      </c>
      <c r="G18" s="3">
        <v>20</v>
      </c>
      <c r="H18" s="17">
        <f>'Feb. 15'!W29</f>
        <v>6271692.9519999968</v>
      </c>
    </row>
    <row r="19" spans="1:8" ht="18.75" x14ac:dyDescent="0.3">
      <c r="A19" s="16">
        <v>2</v>
      </c>
      <c r="B19" s="235" t="s">
        <v>278</v>
      </c>
      <c r="C19" s="235"/>
      <c r="D19" s="235"/>
      <c r="E19" s="3">
        <v>6</v>
      </c>
      <c r="F19" s="17">
        <f>'Feb. 15'!V39</f>
        <v>2411363.87</v>
      </c>
      <c r="G19" s="3">
        <v>6</v>
      </c>
      <c r="H19" s="17">
        <f>'Feb. 15'!W39</f>
        <v>2411363.8727500001</v>
      </c>
    </row>
    <row r="20" spans="1:8" ht="18.75" x14ac:dyDescent="0.3">
      <c r="A20" s="16">
        <v>3</v>
      </c>
      <c r="B20" s="235" t="s">
        <v>279</v>
      </c>
      <c r="C20" s="235"/>
      <c r="D20" s="235"/>
      <c r="E20" s="3">
        <v>22</v>
      </c>
      <c r="F20" s="17">
        <f>'Feb. 15'!V68</f>
        <v>7553095.7999999998</v>
      </c>
      <c r="G20" s="3">
        <v>25</v>
      </c>
      <c r="H20" s="17">
        <f>'Feb. 15'!W68</f>
        <v>8645871.8259999976</v>
      </c>
    </row>
    <row r="21" spans="1:8" ht="18.75" x14ac:dyDescent="0.3">
      <c r="A21" s="16">
        <v>4</v>
      </c>
      <c r="B21" s="235" t="s">
        <v>280</v>
      </c>
      <c r="C21" s="235"/>
      <c r="D21" s="235"/>
      <c r="E21" s="3">
        <v>38</v>
      </c>
      <c r="F21" s="17">
        <f>'Feb. 15'!V112</f>
        <v>6058176.3900000025</v>
      </c>
      <c r="G21" s="3">
        <v>39</v>
      </c>
      <c r="H21" s="17">
        <f>'Feb. 15'!W112</f>
        <v>6161024.9667500006</v>
      </c>
    </row>
    <row r="22" spans="1:8" ht="18.75" x14ac:dyDescent="0.3">
      <c r="A22" s="16">
        <v>5</v>
      </c>
      <c r="B22" s="235" t="s">
        <v>281</v>
      </c>
      <c r="C22" s="235"/>
      <c r="D22" s="235"/>
      <c r="E22" s="3">
        <v>13</v>
      </c>
      <c r="F22" s="17">
        <f>'Feb. 15'!V131</f>
        <v>735000</v>
      </c>
      <c r="G22" s="3">
        <v>13</v>
      </c>
      <c r="H22" s="17">
        <f>'Feb. 15'!W131</f>
        <v>765000</v>
      </c>
    </row>
    <row r="23" spans="1:8" ht="21.75" customHeight="1" x14ac:dyDescent="0.3">
      <c r="A23" s="16">
        <v>6</v>
      </c>
      <c r="B23" s="234" t="s">
        <v>282</v>
      </c>
      <c r="C23" s="234"/>
      <c r="D23" s="234"/>
      <c r="E23" s="3">
        <v>11</v>
      </c>
      <c r="F23" s="17">
        <f>'Feb. 15'!V145</f>
        <v>1654277.58</v>
      </c>
      <c r="G23" s="3">
        <v>11</v>
      </c>
      <c r="H23" s="17">
        <f>'Feb. 15'!W145</f>
        <v>1823997.3319999999</v>
      </c>
    </row>
    <row r="24" spans="1:8" ht="18.75" x14ac:dyDescent="0.3">
      <c r="A24" s="1"/>
      <c r="B24" s="1"/>
      <c r="C24" s="1"/>
      <c r="D24" s="1"/>
      <c r="E24" s="11">
        <f>SUM(E18:E23)</f>
        <v>111</v>
      </c>
      <c r="F24" s="18">
        <f>SUM(F18:F23)</f>
        <v>24456547.470000006</v>
      </c>
      <c r="G24" s="11">
        <f>SUM(G18:G23)</f>
        <v>114</v>
      </c>
      <c r="H24" s="18">
        <f>SUM(H18:H23)</f>
        <v>26078950.949499995</v>
      </c>
    </row>
    <row r="25" spans="1:8" ht="18.75" x14ac:dyDescent="0.3">
      <c r="A25" s="1"/>
      <c r="B25" s="1"/>
      <c r="C25" s="1"/>
      <c r="D25" s="1"/>
      <c r="E25" s="1"/>
      <c r="F25" s="1"/>
      <c r="G25" s="1"/>
      <c r="H25" s="1"/>
    </row>
    <row r="26" spans="1:8" ht="18.75" x14ac:dyDescent="0.3">
      <c r="A26" s="238" t="s">
        <v>283</v>
      </c>
      <c r="B26" s="238"/>
      <c r="C26" s="238"/>
      <c r="D26" s="238"/>
      <c r="E26" s="238"/>
      <c r="F26" s="238"/>
      <c r="G26" s="238"/>
      <c r="H26" s="238"/>
    </row>
    <row r="27" spans="1:8" ht="15" customHeight="1" x14ac:dyDescent="0.3">
      <c r="A27" s="4"/>
      <c r="B27" s="1"/>
      <c r="C27" s="1"/>
      <c r="D27" s="1"/>
      <c r="E27" s="1"/>
      <c r="F27" s="1"/>
      <c r="G27" s="1"/>
      <c r="H27" s="1"/>
    </row>
    <row r="28" spans="1:8" ht="18.75" customHeight="1" x14ac:dyDescent="0.3">
      <c r="A28" s="235" t="s">
        <v>284</v>
      </c>
      <c r="B28" s="235"/>
      <c r="C28" s="235"/>
      <c r="D28" s="235"/>
      <c r="E28" s="235"/>
      <c r="F28" s="235"/>
      <c r="G28" s="1"/>
      <c r="H28" s="8">
        <f>H24</f>
        <v>26078950.949499995</v>
      </c>
    </row>
    <row r="29" spans="1:8" ht="18" customHeight="1" x14ac:dyDescent="0.3">
      <c r="A29" s="235" t="s">
        <v>285</v>
      </c>
      <c r="B29" s="235"/>
      <c r="C29" s="235"/>
      <c r="D29" s="235"/>
      <c r="E29" s="235"/>
      <c r="F29" s="235"/>
      <c r="G29" s="235"/>
      <c r="H29" s="9">
        <f>F24</f>
        <v>24456547.470000006</v>
      </c>
    </row>
    <row r="30" spans="1:8" ht="22.5" customHeight="1" x14ac:dyDescent="0.3">
      <c r="A30" s="244" t="s">
        <v>286</v>
      </c>
      <c r="B30" s="244"/>
      <c r="C30" s="244"/>
      <c r="D30" s="244"/>
      <c r="E30" s="244"/>
      <c r="F30" s="244"/>
      <c r="G30" s="244"/>
      <c r="H30" s="10">
        <f>H28-H29</f>
        <v>1622403.4794999883</v>
      </c>
    </row>
    <row r="31" spans="1:8" ht="12" customHeight="1" x14ac:dyDescent="0.3">
      <c r="A31" s="1"/>
      <c r="B31" s="1"/>
      <c r="C31" s="1"/>
      <c r="D31" s="1"/>
      <c r="E31" s="1"/>
      <c r="F31" s="1"/>
      <c r="G31" s="1"/>
      <c r="H31" s="1"/>
    </row>
    <row r="32" spans="1:8" ht="18.75" x14ac:dyDescent="0.3">
      <c r="A32" s="233" t="s">
        <v>287</v>
      </c>
      <c r="B32" s="233"/>
      <c r="C32" s="233"/>
      <c r="D32" s="233"/>
      <c r="E32" s="233"/>
      <c r="F32" s="233"/>
      <c r="G32" s="1"/>
      <c r="H32" s="1"/>
    </row>
    <row r="33" spans="1:10" ht="35.25" customHeight="1" x14ac:dyDescent="0.3">
      <c r="A33" s="234" t="s">
        <v>288</v>
      </c>
      <c r="B33" s="234"/>
      <c r="C33" s="234"/>
      <c r="D33" s="234"/>
      <c r="E33" s="234"/>
      <c r="F33" s="234"/>
      <c r="G33" s="158">
        <v>113916.45</v>
      </c>
      <c r="H33" s="1"/>
    </row>
    <row r="34" spans="1:10" ht="34.5" customHeight="1" x14ac:dyDescent="0.3">
      <c r="A34" s="234" t="s">
        <v>289</v>
      </c>
      <c r="B34" s="234"/>
      <c r="C34" s="234"/>
      <c r="D34" s="234"/>
      <c r="E34" s="234"/>
      <c r="F34" s="234"/>
      <c r="G34" s="158">
        <v>134187.48000000001</v>
      </c>
      <c r="H34" s="1"/>
    </row>
    <row r="35" spans="1:10" ht="38.25" customHeight="1" x14ac:dyDescent="0.3">
      <c r="A35" s="234" t="s">
        <v>290</v>
      </c>
      <c r="B35" s="234"/>
      <c r="C35" s="234"/>
      <c r="D35" s="234"/>
      <c r="E35" s="234"/>
      <c r="F35" s="234"/>
      <c r="G35" s="158">
        <v>130360.45</v>
      </c>
      <c r="H35" s="1"/>
    </row>
    <row r="36" spans="1:10" ht="18.75" customHeight="1" x14ac:dyDescent="0.3">
      <c r="A36" s="243" t="s">
        <v>291</v>
      </c>
      <c r="B36" s="243"/>
      <c r="C36" s="243"/>
      <c r="D36" s="243"/>
      <c r="E36" s="243"/>
      <c r="F36" s="243"/>
      <c r="G36" s="22">
        <v>113529.57</v>
      </c>
      <c r="H36" s="1"/>
    </row>
    <row r="37" spans="1:10" ht="34.5" customHeight="1" x14ac:dyDescent="0.3">
      <c r="A37" s="234" t="s">
        <v>292</v>
      </c>
      <c r="B37" s="234"/>
      <c r="C37" s="234"/>
      <c r="D37" s="234"/>
      <c r="E37" s="234"/>
      <c r="F37" s="234"/>
      <c r="G37" s="22">
        <v>113529.57</v>
      </c>
      <c r="H37" s="1"/>
    </row>
    <row r="38" spans="1:10" ht="26.25" customHeight="1" x14ac:dyDescent="0.3">
      <c r="A38" s="234" t="s">
        <v>293</v>
      </c>
      <c r="B38" s="234"/>
      <c r="C38" s="234"/>
      <c r="D38" s="234"/>
      <c r="E38" s="234"/>
      <c r="F38" s="234"/>
      <c r="G38" s="158">
        <v>39359.370000000003</v>
      </c>
      <c r="H38" s="1"/>
    </row>
    <row r="39" spans="1:10" ht="22.5" customHeight="1" x14ac:dyDescent="0.3">
      <c r="A39" s="234" t="s">
        <v>294</v>
      </c>
      <c r="B39" s="234"/>
      <c r="C39" s="234"/>
      <c r="D39" s="234"/>
      <c r="E39" s="234"/>
      <c r="F39" s="234"/>
      <c r="G39" s="158">
        <v>50000</v>
      </c>
      <c r="H39" s="1"/>
    </row>
    <row r="40" spans="1:10" ht="22.5" customHeight="1" x14ac:dyDescent="0.3">
      <c r="A40" s="234" t="s">
        <v>295</v>
      </c>
      <c r="B40" s="234"/>
      <c r="C40" s="234"/>
      <c r="D40" s="234"/>
      <c r="E40" s="234"/>
      <c r="F40" s="234"/>
      <c r="G40" s="158">
        <v>340154.73</v>
      </c>
      <c r="H40" s="1"/>
    </row>
    <row r="41" spans="1:10" ht="36" customHeight="1" x14ac:dyDescent="0.3">
      <c r="A41" s="234" t="s">
        <v>296</v>
      </c>
      <c r="B41" s="234"/>
      <c r="C41" s="234"/>
      <c r="D41" s="234"/>
      <c r="E41" s="234"/>
      <c r="F41" s="234"/>
      <c r="G41" s="158">
        <v>252000</v>
      </c>
      <c r="H41" s="1"/>
    </row>
    <row r="42" spans="1:10" ht="21" customHeight="1" x14ac:dyDescent="0.3">
      <c r="A42" s="234" t="s">
        <v>297</v>
      </c>
      <c r="B42" s="234"/>
      <c r="C42" s="234"/>
      <c r="D42" s="234"/>
      <c r="E42" s="234"/>
      <c r="F42" s="234"/>
      <c r="G42" s="158">
        <v>101258.7</v>
      </c>
      <c r="H42" s="1"/>
    </row>
    <row r="43" spans="1:10" ht="21" customHeight="1" x14ac:dyDescent="0.3">
      <c r="A43" s="234" t="s">
        <v>298</v>
      </c>
      <c r="B43" s="234"/>
      <c r="C43" s="234"/>
      <c r="D43" s="234"/>
      <c r="E43" s="234"/>
      <c r="F43" s="234"/>
      <c r="G43" s="158">
        <v>101258.7</v>
      </c>
      <c r="H43" s="1"/>
    </row>
    <row r="44" spans="1:10" ht="21" customHeight="1" x14ac:dyDescent="0.3">
      <c r="A44" s="235" t="s">
        <v>299</v>
      </c>
      <c r="B44" s="235"/>
      <c r="C44" s="235"/>
      <c r="D44" s="235"/>
      <c r="E44" s="235"/>
      <c r="F44" s="235"/>
      <c r="G44" s="158">
        <v>18848.57</v>
      </c>
      <c r="H44" s="1"/>
    </row>
    <row r="45" spans="1:10" ht="21" customHeight="1" x14ac:dyDescent="0.3">
      <c r="A45" s="235" t="s">
        <v>300</v>
      </c>
      <c r="B45" s="235"/>
      <c r="C45" s="235"/>
      <c r="D45" s="235"/>
      <c r="E45" s="235"/>
      <c r="F45" s="235"/>
      <c r="G45" s="158">
        <v>84000</v>
      </c>
      <c r="H45" s="1"/>
    </row>
    <row r="46" spans="1:10" ht="22.5" customHeight="1" x14ac:dyDescent="0.3">
      <c r="A46" s="235" t="s">
        <v>301</v>
      </c>
      <c r="B46" s="235"/>
      <c r="C46" s="235"/>
      <c r="D46" s="235"/>
      <c r="E46" s="235"/>
      <c r="F46" s="235"/>
      <c r="G46" s="158">
        <v>30000</v>
      </c>
      <c r="H46" s="1"/>
    </row>
    <row r="47" spans="1:10" ht="18.75" customHeight="1" thickBot="1" x14ac:dyDescent="0.5">
      <c r="G47" s="95"/>
      <c r="H47" s="157">
        <f>SUM(G33:G46)</f>
        <v>1622403.59</v>
      </c>
      <c r="I47" s="144"/>
      <c r="J47" s="144"/>
    </row>
    <row r="48" spans="1:10" ht="11.25" customHeight="1" thickTop="1" x14ac:dyDescent="0.3">
      <c r="A48" s="145"/>
      <c r="B48" s="145"/>
      <c r="C48" s="145"/>
      <c r="D48" s="145"/>
      <c r="E48" s="145"/>
      <c r="F48" s="145"/>
      <c r="G48" s="22"/>
      <c r="H48" s="14"/>
    </row>
    <row r="49" spans="1:14" ht="58.5" customHeight="1" x14ac:dyDescent="0.3">
      <c r="A49" s="234" t="s">
        <v>302</v>
      </c>
      <c r="B49" s="234"/>
      <c r="C49" s="234"/>
      <c r="D49" s="234"/>
      <c r="E49" s="234"/>
      <c r="F49" s="234"/>
      <c r="G49" s="234"/>
      <c r="H49" s="234"/>
      <c r="I49" s="1"/>
      <c r="J49" s="1"/>
      <c r="K49" s="1"/>
      <c r="L49" s="1"/>
      <c r="M49" s="1"/>
      <c r="N49" s="1"/>
    </row>
    <row r="50" spans="1:14" ht="21.75" customHeight="1" x14ac:dyDescent="0.3">
      <c r="A50" s="235" t="s">
        <v>303</v>
      </c>
      <c r="B50" s="235"/>
      <c r="C50" s="235"/>
      <c r="D50" s="235"/>
      <c r="E50" s="235"/>
      <c r="F50" s="235"/>
      <c r="G50" s="1"/>
      <c r="H50" s="1"/>
      <c r="I50" s="1"/>
      <c r="J50" s="1"/>
      <c r="K50" s="1"/>
      <c r="L50" s="1"/>
      <c r="M50" s="1"/>
      <c r="N50" s="1"/>
    </row>
    <row r="51" spans="1:14" ht="21" customHeight="1" x14ac:dyDescent="0.3">
      <c r="A51" s="1"/>
      <c r="B51" s="1"/>
      <c r="C51" s="1"/>
      <c r="D51" s="1"/>
      <c r="E51" s="1"/>
      <c r="F51" s="1"/>
      <c r="G51" s="1"/>
      <c r="H51" s="1"/>
    </row>
    <row r="52" spans="1:14" ht="18.75" x14ac:dyDescent="0.3">
      <c r="A52" s="233" t="s">
        <v>304</v>
      </c>
      <c r="B52" s="233"/>
      <c r="C52" s="233"/>
      <c r="D52" s="233"/>
      <c r="E52" s="233"/>
      <c r="F52" s="1"/>
      <c r="G52" s="1"/>
      <c r="H52" s="1"/>
    </row>
    <row r="53" spans="1:14" x14ac:dyDescent="0.2">
      <c r="A53" s="232" t="s">
        <v>305</v>
      </c>
      <c r="B53" s="232"/>
      <c r="C53" s="232"/>
      <c r="D53" s="232"/>
      <c r="E53" s="232"/>
      <c r="F53" s="13"/>
      <c r="G53" s="13"/>
      <c r="H53" s="13"/>
    </row>
    <row r="54" spans="1:14" x14ac:dyDescent="0.2">
      <c r="A54" s="13"/>
      <c r="B54" s="13"/>
      <c r="C54" s="13"/>
      <c r="D54" s="13" t="s">
        <v>306</v>
      </c>
      <c r="E54" s="13"/>
      <c r="F54" s="13"/>
      <c r="G54" s="13"/>
      <c r="H54" s="13"/>
    </row>
  </sheetData>
  <mergeCells count="38">
    <mergeCell ref="A36:F36"/>
    <mergeCell ref="A34:F34"/>
    <mergeCell ref="A30:G30"/>
    <mergeCell ref="A28:F28"/>
    <mergeCell ref="A29:G29"/>
    <mergeCell ref="A32:F32"/>
    <mergeCell ref="A35:F35"/>
    <mergeCell ref="A33:F33"/>
    <mergeCell ref="A1:H1"/>
    <mergeCell ref="A4:H4"/>
    <mergeCell ref="A8:F8"/>
    <mergeCell ref="A26:H26"/>
    <mergeCell ref="A7:F7"/>
    <mergeCell ref="A9:E9"/>
    <mergeCell ref="A13:H13"/>
    <mergeCell ref="E15:F15"/>
    <mergeCell ref="A11:F11"/>
    <mergeCell ref="G15:H15"/>
    <mergeCell ref="B21:D21"/>
    <mergeCell ref="B18:D18"/>
    <mergeCell ref="B19:D19"/>
    <mergeCell ref="B20:D20"/>
    <mergeCell ref="B22:D22"/>
    <mergeCell ref="B23:D23"/>
    <mergeCell ref="A53:E53"/>
    <mergeCell ref="A52:E52"/>
    <mergeCell ref="A49:H49"/>
    <mergeCell ref="A50:F50"/>
    <mergeCell ref="A37:F37"/>
    <mergeCell ref="A39:F39"/>
    <mergeCell ref="A38:F38"/>
    <mergeCell ref="A44:F44"/>
    <mergeCell ref="A45:F45"/>
    <mergeCell ref="A46:F46"/>
    <mergeCell ref="A40:F40"/>
    <mergeCell ref="A41:F41"/>
    <mergeCell ref="A42:F42"/>
    <mergeCell ref="A43:F43"/>
  </mergeCells>
  <phoneticPr fontId="14" type="noConversion"/>
  <pageMargins left="0.43" right="0.44" top="0.15" bottom="0.1" header="0.17" footer="0.17"/>
  <pageSetup paperSize="9" scale="7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D14" sqref="D14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250" t="s">
        <v>307</v>
      </c>
      <c r="B1" s="250"/>
      <c r="C1" s="250"/>
      <c r="D1" s="250"/>
      <c r="E1" s="250"/>
      <c r="F1" s="250"/>
    </row>
    <row r="2" spans="1:6" ht="18.75" x14ac:dyDescent="0.3">
      <c r="A2" s="251" t="s">
        <v>308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948475.67999999993</v>
      </c>
      <c r="E4" s="17">
        <f>sUMMARY!F3</f>
        <v>79039.64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4" si="0">E5*12</f>
        <v>2845427.04</v>
      </c>
      <c r="E5" s="17">
        <f>sUMMARY!H3</f>
        <v>237118.91999999998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71135.676000000007</v>
      </c>
      <c r="E6" s="17">
        <f>sUMMARY!I3</f>
        <v>5927.973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962932.56</v>
      </c>
      <c r="E7" s="17">
        <f>sUMMARY!J3</f>
        <v>80244.38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474237.83999999997</v>
      </c>
      <c r="E8" s="17">
        <f>sUMMARY!K3</f>
        <v>39519.82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3319664.88</v>
      </c>
      <c r="E9" s="17">
        <f>sUMMARY!L3</f>
        <v>276638.74</v>
      </c>
      <c r="F9" s="1"/>
    </row>
    <row r="10" spans="1:6" ht="18.75" x14ac:dyDescent="0.3">
      <c r="A10" s="247" t="s">
        <v>317</v>
      </c>
      <c r="B10" s="248"/>
      <c r="C10" s="249"/>
      <c r="D10" s="17">
        <f>E10*12</f>
        <v>0</v>
      </c>
      <c r="E10" s="17"/>
      <c r="F10" s="1"/>
    </row>
    <row r="11" spans="1:6" ht="18.75" x14ac:dyDescent="0.3">
      <c r="A11" s="245" t="s">
        <v>318</v>
      </c>
      <c r="B11" s="245"/>
      <c r="C11" s="245"/>
      <c r="D11" s="17">
        <f t="shared" si="0"/>
        <v>948475.67999999993</v>
      </c>
      <c r="E11" s="17">
        <f>sUMMARY!N3</f>
        <v>79039.64</v>
      </c>
      <c r="F11" s="1"/>
    </row>
    <row r="12" spans="1:6" ht="18.75" x14ac:dyDescent="0.3">
      <c r="A12" s="245" t="s">
        <v>319</v>
      </c>
      <c r="B12" s="245"/>
      <c r="C12" s="245"/>
      <c r="D12" s="17">
        <f t="shared" si="0"/>
        <v>94847.567999999999</v>
      </c>
      <c r="E12" s="17">
        <f>sUMMARY!O3</f>
        <v>7903.9639999999999</v>
      </c>
      <c r="F12" s="1"/>
    </row>
    <row r="13" spans="1:6" ht="18.75" x14ac:dyDescent="0.3">
      <c r="A13" s="245" t="s">
        <v>320</v>
      </c>
      <c r="B13" s="245"/>
      <c r="C13" s="245"/>
      <c r="D13" s="17">
        <f t="shared" si="0"/>
        <v>240000</v>
      </c>
      <c r="E13" s="17">
        <f>sUMMARY!P3</f>
        <v>20000</v>
      </c>
      <c r="F13" s="1"/>
    </row>
    <row r="14" spans="1:6" ht="18.75" x14ac:dyDescent="0.3">
      <c r="A14" s="246" t="s">
        <v>321</v>
      </c>
      <c r="B14" s="246"/>
      <c r="C14" s="246"/>
      <c r="D14" s="18">
        <f t="shared" si="0"/>
        <v>9905196.9240000006</v>
      </c>
      <c r="E14" s="18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E4" sqref="E4"/>
    </sheetView>
  </sheetViews>
  <sheetFormatPr defaultRowHeight="12.75" x14ac:dyDescent="0.2"/>
  <cols>
    <col min="3" max="3" width="11.5703125" customWidth="1"/>
    <col min="4" max="4" width="19.85546875" customWidth="1"/>
    <col min="5" max="5" width="19.140625" customWidth="1"/>
  </cols>
  <sheetData>
    <row r="1" spans="1:6" ht="18.75" x14ac:dyDescent="0.3">
      <c r="A1" s="252" t="s">
        <v>322</v>
      </c>
      <c r="B1" s="252"/>
      <c r="C1" s="252"/>
      <c r="D1" s="252"/>
      <c r="E1" s="252"/>
      <c r="F1" s="252"/>
    </row>
    <row r="2" spans="1:6" ht="18.75" x14ac:dyDescent="0.3">
      <c r="A2" s="251" t="s">
        <v>323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511838.04</v>
      </c>
      <c r="E4" s="17">
        <f>'Feb. 15'!E10</f>
        <v>42653.17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3" si="0">E5*12</f>
        <v>1535514.1199999999</v>
      </c>
      <c r="E5" s="17">
        <f>'Feb. 15'!G10</f>
        <v>127959.51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38387.852999999996</v>
      </c>
      <c r="E6" s="17">
        <f>'Feb. 15'!H10</f>
        <v>3198.9877499999998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481466.28</v>
      </c>
      <c r="E7" s="17">
        <f>'Feb. 15'!I10</f>
        <v>40122.19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255919.02</v>
      </c>
      <c r="E8" s="17">
        <f>'Feb. 15'!J10</f>
        <v>21326.584999999999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1791433.1400000001</v>
      </c>
      <c r="E9" s="17">
        <f>'Feb. 15'!K10</f>
        <v>149286.095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511838.04</v>
      </c>
      <c r="E10" s="17">
        <f>'Feb. 15'!M10</f>
        <v>42653.17</v>
      </c>
      <c r="F10" s="1"/>
    </row>
    <row r="11" spans="1:6" ht="18.75" x14ac:dyDescent="0.3">
      <c r="A11" s="245" t="s">
        <v>319</v>
      </c>
      <c r="B11" s="245"/>
      <c r="C11" s="245"/>
      <c r="D11" s="17">
        <f t="shared" si="0"/>
        <v>51183.804000000004</v>
      </c>
      <c r="E11" s="17">
        <f>'Feb. 15'!O10</f>
        <v>4265.317</v>
      </c>
      <c r="F11" s="1"/>
    </row>
    <row r="12" spans="1:6" ht="18.75" x14ac:dyDescent="0.3">
      <c r="A12" s="245" t="s">
        <v>320</v>
      </c>
      <c r="B12" s="245"/>
      <c r="C12" s="245"/>
      <c r="D12" s="17">
        <f t="shared" si="0"/>
        <v>240000</v>
      </c>
      <c r="E12" s="17">
        <f>sUMMARY!P3</f>
        <v>20000</v>
      </c>
      <c r="F12" s="1"/>
    </row>
    <row r="13" spans="1:6" ht="18.75" x14ac:dyDescent="0.3">
      <c r="A13" s="246" t="s">
        <v>321</v>
      </c>
      <c r="B13" s="246"/>
      <c r="C13" s="246"/>
      <c r="D13" s="18">
        <f t="shared" si="0"/>
        <v>5417580.2970000003</v>
      </c>
      <c r="E13" s="18">
        <f>SUM(E4:E12)</f>
        <v>451465.02474999998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252" t="s">
        <v>324</v>
      </c>
      <c r="B1" s="252"/>
      <c r="C1" s="252"/>
      <c r="D1" s="252"/>
      <c r="E1" s="252"/>
      <c r="F1" s="252"/>
    </row>
    <row r="2" spans="1:6" ht="18.75" x14ac:dyDescent="0.3">
      <c r="A2" s="251" t="s">
        <v>325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402090</v>
      </c>
      <c r="E4" s="17">
        <f>'Feb. 15'!E44</f>
        <v>33507.5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4" si="0">E5*12</f>
        <v>1206270</v>
      </c>
      <c r="E5" s="17">
        <f>'Feb. 15'!G44</f>
        <v>100522.5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30156.720000000001</v>
      </c>
      <c r="E6" s="17">
        <v>2513.06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481466.28</v>
      </c>
      <c r="E7" s="17">
        <v>40122.19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201045</v>
      </c>
      <c r="E8" s="17">
        <v>16753.75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1407315</v>
      </c>
      <c r="E9" s="17">
        <v>117276.25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402090</v>
      </c>
      <c r="E10" s="17">
        <v>33507.5</v>
      </c>
      <c r="F10" s="1"/>
    </row>
    <row r="11" spans="1:6" ht="18.75" x14ac:dyDescent="0.3">
      <c r="A11" s="247" t="s">
        <v>317</v>
      </c>
      <c r="B11" s="248"/>
      <c r="C11" s="249"/>
      <c r="D11" s="17">
        <f t="shared" si="0"/>
        <v>1200000</v>
      </c>
      <c r="E11" s="17">
        <v>100000</v>
      </c>
      <c r="F11" s="1"/>
    </row>
    <row r="12" spans="1:6" ht="18.75" x14ac:dyDescent="0.3">
      <c r="A12" s="245" t="s">
        <v>319</v>
      </c>
      <c r="B12" s="245"/>
      <c r="C12" s="245"/>
      <c r="D12" s="17">
        <f t="shared" si="0"/>
        <v>40209</v>
      </c>
      <c r="E12" s="17">
        <v>3350.75</v>
      </c>
      <c r="F12" s="1"/>
    </row>
    <row r="13" spans="1:6" ht="18.75" x14ac:dyDescent="0.3">
      <c r="A13" s="245" t="s">
        <v>320</v>
      </c>
      <c r="B13" s="245"/>
      <c r="C13" s="245"/>
      <c r="D13" s="17">
        <f t="shared" si="0"/>
        <v>240000</v>
      </c>
      <c r="E13" s="17">
        <v>20000</v>
      </c>
      <c r="F13" s="1"/>
    </row>
    <row r="14" spans="1:6" ht="18.75" x14ac:dyDescent="0.3">
      <c r="A14" s="246" t="s">
        <v>321</v>
      </c>
      <c r="B14" s="246"/>
      <c r="C14" s="246"/>
      <c r="D14" s="18">
        <f t="shared" si="0"/>
        <v>5610642</v>
      </c>
      <c r="E14" s="18">
        <f>SUM(E4:E13)</f>
        <v>467553.5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activeCell="E4" sqref="E4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252" t="s">
        <v>326</v>
      </c>
      <c r="B1" s="252"/>
      <c r="C1" s="252"/>
      <c r="D1" s="252"/>
      <c r="E1" s="252"/>
      <c r="F1" s="252"/>
    </row>
    <row r="2" spans="1:6" ht="18.75" x14ac:dyDescent="0.3">
      <c r="A2" s="251" t="s">
        <v>327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286693.44</v>
      </c>
      <c r="E4" s="17">
        <f>sUMMARY!F6</f>
        <v>23891.119999999999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4" si="0">E5*12</f>
        <v>860080.32000000007</v>
      </c>
      <c r="E5" s="17">
        <f>sUMMARY!H6</f>
        <v>71673.36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21502.007999999998</v>
      </c>
      <c r="E6" s="17">
        <f>sUMMARY!I6</f>
        <v>1791.8339999999998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0</v>
      </c>
      <c r="E7" s="17">
        <f>sUMMARY!J6</f>
        <v>0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143346.72</v>
      </c>
      <c r="E8" s="17">
        <f>sUMMARY!K6</f>
        <v>11945.56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1003427.04</v>
      </c>
      <c r="E9" s="17">
        <f>sUMMARY!L6</f>
        <v>83618.92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286693.44</v>
      </c>
      <c r="E10" s="17">
        <f>sUMMARY!N6</f>
        <v>23891.119999999999</v>
      </c>
      <c r="F10" s="1"/>
    </row>
    <row r="11" spans="1:6" ht="18.75" x14ac:dyDescent="0.3">
      <c r="A11" s="247" t="s">
        <v>317</v>
      </c>
      <c r="B11" s="248"/>
      <c r="C11" s="249"/>
      <c r="D11" s="17">
        <f t="shared" si="0"/>
        <v>0</v>
      </c>
      <c r="E11" s="17">
        <v>0</v>
      </c>
      <c r="F11" s="1"/>
    </row>
    <row r="12" spans="1:6" ht="18.75" x14ac:dyDescent="0.3">
      <c r="A12" s="245" t="s">
        <v>319</v>
      </c>
      <c r="B12" s="245"/>
      <c r="C12" s="245"/>
      <c r="D12" s="17">
        <f t="shared" si="0"/>
        <v>28669.344000000001</v>
      </c>
      <c r="E12" s="17">
        <f>sUMMARY!O6</f>
        <v>2389.1120000000001</v>
      </c>
      <c r="F12" s="1"/>
    </row>
    <row r="13" spans="1:6" ht="18.75" x14ac:dyDescent="0.3">
      <c r="A13" s="245" t="s">
        <v>320</v>
      </c>
      <c r="B13" s="245"/>
      <c r="C13" s="245"/>
      <c r="D13" s="17">
        <f t="shared" si="0"/>
        <v>180000</v>
      </c>
      <c r="E13" s="17">
        <f>sUMMARY!P6</f>
        <v>15000</v>
      </c>
      <c r="F13" s="1"/>
    </row>
    <row r="14" spans="1:6" ht="18.75" x14ac:dyDescent="0.3">
      <c r="A14" s="246" t="s">
        <v>321</v>
      </c>
      <c r="B14" s="246"/>
      <c r="C14" s="246"/>
      <c r="D14" s="18">
        <f t="shared" si="0"/>
        <v>2810412.3119999999</v>
      </c>
      <c r="E14" s="18">
        <f>SUM(E4:E13)</f>
        <v>234201.02599999998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sqref="A1:F1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252"/>
      <c r="B1" s="252"/>
      <c r="C1" s="252"/>
      <c r="D1" s="252"/>
      <c r="E1" s="252"/>
      <c r="F1" s="252"/>
    </row>
    <row r="2" spans="1:6" ht="18.75" x14ac:dyDescent="0.3">
      <c r="A2" s="251"/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255527.52</v>
      </c>
      <c r="E4" s="17">
        <f>sUMMARY!F7</f>
        <v>21293.96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3" si="0">E5*12</f>
        <v>766582.55999999994</v>
      </c>
      <c r="E5" s="17">
        <f>sUMMARY!H7</f>
        <v>63881.88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19164.563999999998</v>
      </c>
      <c r="E6" s="17">
        <f>sUMMARY!I7</f>
        <v>1597.0469999999998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0</v>
      </c>
      <c r="E7" s="17">
        <f>sUMMARY!J6</f>
        <v>0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127763.76</v>
      </c>
      <c r="E8" s="17">
        <f>sUMMARY!K7</f>
        <v>10646.98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894346.32000000007</v>
      </c>
      <c r="E9" s="17">
        <f>sUMMARY!L7</f>
        <v>74528.86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255527.52</v>
      </c>
      <c r="E10" s="17">
        <f>sUMMARY!N7</f>
        <v>21293.96</v>
      </c>
      <c r="F10" s="1"/>
    </row>
    <row r="11" spans="1:6" ht="18.75" x14ac:dyDescent="0.3">
      <c r="A11" s="245" t="s">
        <v>319</v>
      </c>
      <c r="B11" s="245"/>
      <c r="C11" s="245"/>
      <c r="D11" s="17">
        <f t="shared" si="0"/>
        <v>25552.752</v>
      </c>
      <c r="E11" s="17">
        <f>sUMMARY!O7</f>
        <v>2129.3960000000002</v>
      </c>
      <c r="F11" s="1"/>
    </row>
    <row r="12" spans="1:6" ht="18.75" x14ac:dyDescent="0.3">
      <c r="A12" s="245" t="s">
        <v>320</v>
      </c>
      <c r="B12" s="245"/>
      <c r="C12" s="245"/>
      <c r="D12" s="17">
        <f t="shared" si="0"/>
        <v>120000</v>
      </c>
      <c r="E12" s="17">
        <f>sUMMARY!P7</f>
        <v>10000</v>
      </c>
      <c r="F12" s="1"/>
    </row>
    <row r="13" spans="1:6" ht="18.75" x14ac:dyDescent="0.3">
      <c r="A13" s="246" t="s">
        <v>321</v>
      </c>
      <c r="B13" s="246"/>
      <c r="C13" s="246"/>
      <c r="D13" s="18">
        <f t="shared" si="0"/>
        <v>2464464.9960000003</v>
      </c>
      <c r="E13" s="18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252" t="s">
        <v>328</v>
      </c>
      <c r="B1" s="252"/>
      <c r="C1" s="252"/>
      <c r="D1" s="252"/>
      <c r="E1" s="252"/>
      <c r="F1" s="252"/>
    </row>
    <row r="2" spans="1:6" ht="18.75" x14ac:dyDescent="0.3">
      <c r="A2" s="251" t="s">
        <v>329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207435.96000000002</v>
      </c>
      <c r="E4" s="17">
        <f>sUMMARY!F8</f>
        <v>17286.330000000002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4" si="0">E5*12</f>
        <v>622307.88000000012</v>
      </c>
      <c r="E5" s="17">
        <f>sUMMARY!H8</f>
        <v>51858.990000000005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15557.697</v>
      </c>
      <c r="E6" s="17">
        <f>sUMMARY!I8</f>
        <v>1296.4747500000001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0</v>
      </c>
      <c r="E7" s="17">
        <f>sUMMARY!J6</f>
        <v>0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103717.98000000001</v>
      </c>
      <c r="E8" s="17">
        <f>sUMMARY!K8</f>
        <v>8643.1650000000009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726025.8600000001</v>
      </c>
      <c r="E9" s="17">
        <f>sUMMARY!L8</f>
        <v>60502.155000000006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207435.96000000002</v>
      </c>
      <c r="E10" s="17">
        <f>sUMMARY!N8</f>
        <v>17286.330000000002</v>
      </c>
      <c r="F10" s="1"/>
    </row>
    <row r="11" spans="1:6" ht="18.75" x14ac:dyDescent="0.3">
      <c r="A11" s="247" t="s">
        <v>317</v>
      </c>
      <c r="B11" s="248"/>
      <c r="C11" s="249"/>
      <c r="D11" s="17">
        <f t="shared" si="0"/>
        <v>480000</v>
      </c>
      <c r="E11" s="17">
        <v>40000</v>
      </c>
      <c r="F11" s="1"/>
    </row>
    <row r="12" spans="1:6" ht="18.75" x14ac:dyDescent="0.3">
      <c r="A12" s="245" t="s">
        <v>319</v>
      </c>
      <c r="B12" s="245"/>
      <c r="C12" s="245"/>
      <c r="D12" s="17">
        <f t="shared" si="0"/>
        <v>20743.596000000005</v>
      </c>
      <c r="E12" s="17">
        <f>sUMMARY!O8</f>
        <v>1728.6330000000003</v>
      </c>
      <c r="F12" s="1"/>
    </row>
    <row r="13" spans="1:6" ht="18.75" x14ac:dyDescent="0.3">
      <c r="A13" s="245" t="s">
        <v>320</v>
      </c>
      <c r="B13" s="245"/>
      <c r="C13" s="245"/>
      <c r="D13" s="17">
        <f t="shared" si="0"/>
        <v>120000</v>
      </c>
      <c r="E13" s="17">
        <f>sUMMARY!P7</f>
        <v>10000</v>
      </c>
      <c r="F13" s="1"/>
    </row>
    <row r="14" spans="1:6" ht="18.75" x14ac:dyDescent="0.3">
      <c r="A14" s="246" t="s">
        <v>321</v>
      </c>
      <c r="B14" s="246"/>
      <c r="C14" s="246"/>
      <c r="D14" s="18">
        <f t="shared" si="0"/>
        <v>2503224.9330000002</v>
      </c>
      <c r="E14" s="18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252" t="s">
        <v>330</v>
      </c>
      <c r="B1" s="252"/>
      <c r="C1" s="252"/>
      <c r="D1" s="252"/>
      <c r="E1" s="252"/>
      <c r="F1" s="252"/>
    </row>
    <row r="2" spans="1:6" ht="18.75" x14ac:dyDescent="0.3">
      <c r="A2" s="251" t="s">
        <v>331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176833.68</v>
      </c>
      <c r="E4" s="17">
        <f>sUMMARY!F9</f>
        <v>14736.14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4" si="0">E5*12</f>
        <v>530501.04</v>
      </c>
      <c r="E5" s="17">
        <f>sUMMARY!H9</f>
        <v>44208.42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13262.525999999998</v>
      </c>
      <c r="E6" s="17">
        <f>sUMMARY!I9</f>
        <v>1105.2104999999999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0</v>
      </c>
      <c r="E7" s="17">
        <f>sUMMARY!J6</f>
        <v>0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88416.84</v>
      </c>
      <c r="E8" s="17">
        <f>sUMMARY!K9</f>
        <v>7368.07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618917.88</v>
      </c>
      <c r="E9" s="17">
        <f>sUMMARY!L9</f>
        <v>51576.49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176833.68</v>
      </c>
      <c r="E10" s="17">
        <f>sUMMARY!N9</f>
        <v>14736.14</v>
      </c>
      <c r="F10" s="1"/>
    </row>
    <row r="11" spans="1:6" ht="18.75" x14ac:dyDescent="0.3">
      <c r="A11" s="247" t="s">
        <v>332</v>
      </c>
      <c r="B11" s="248"/>
      <c r="C11" s="249"/>
      <c r="D11" s="17">
        <f t="shared" si="0"/>
        <v>480000</v>
      </c>
      <c r="E11" s="17">
        <v>40000</v>
      </c>
      <c r="F11" s="1"/>
    </row>
    <row r="12" spans="1:6" ht="18.75" x14ac:dyDescent="0.3">
      <c r="A12" s="245" t="s">
        <v>319</v>
      </c>
      <c r="B12" s="245"/>
      <c r="C12" s="245"/>
      <c r="D12" s="17">
        <f t="shared" si="0"/>
        <v>17683.368000000002</v>
      </c>
      <c r="E12" s="17">
        <f>sUMMARY!O9</f>
        <v>1473.614</v>
      </c>
      <c r="F12" s="1"/>
    </row>
    <row r="13" spans="1:6" ht="18.75" x14ac:dyDescent="0.3">
      <c r="A13" s="245" t="s">
        <v>320</v>
      </c>
      <c r="B13" s="245"/>
      <c r="C13" s="245"/>
      <c r="D13" s="17">
        <f t="shared" si="0"/>
        <v>120000</v>
      </c>
      <c r="E13" s="17">
        <f>sUMMARY!P7</f>
        <v>10000</v>
      </c>
      <c r="F13" s="1"/>
    </row>
    <row r="14" spans="1:6" ht="18.75" x14ac:dyDescent="0.3">
      <c r="A14" s="246" t="s">
        <v>321</v>
      </c>
      <c r="B14" s="246"/>
      <c r="C14" s="246"/>
      <c r="D14" s="18">
        <f t="shared" si="0"/>
        <v>2222449.014</v>
      </c>
      <c r="E14" s="18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252" t="s">
        <v>333</v>
      </c>
      <c r="B1" s="252"/>
      <c r="C1" s="252"/>
      <c r="D1" s="252"/>
      <c r="E1" s="252"/>
      <c r="F1" s="252"/>
    </row>
    <row r="2" spans="1:6" ht="18.75" x14ac:dyDescent="0.3">
      <c r="A2" s="251"/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182264.04</v>
      </c>
      <c r="E4" s="17">
        <f>'Feb. 15'!E67</f>
        <v>15188.67</v>
      </c>
      <c r="F4" s="1"/>
    </row>
    <row r="5" spans="1:6" ht="18.75" x14ac:dyDescent="0.3">
      <c r="A5" s="245" t="s">
        <v>312</v>
      </c>
      <c r="B5" s="245"/>
      <c r="C5" s="245"/>
      <c r="D5" s="17" t="e">
        <f t="shared" ref="D5:D12" si="0">E5*12</f>
        <v>#REF!</v>
      </c>
      <c r="E5" s="17" t="e">
        <f>'Feb. 15'!#REF!</f>
        <v>#REF!</v>
      </c>
      <c r="F5" s="1"/>
    </row>
    <row r="6" spans="1:6" ht="18.75" x14ac:dyDescent="0.3">
      <c r="A6" s="245" t="s">
        <v>313</v>
      </c>
      <c r="B6" s="245"/>
      <c r="C6" s="245"/>
      <c r="D6" s="17" t="e">
        <f t="shared" si="0"/>
        <v>#REF!</v>
      </c>
      <c r="E6" s="17" t="e">
        <f>'Feb. 15'!#REF!</f>
        <v>#REF!</v>
      </c>
      <c r="F6" s="1"/>
    </row>
    <row r="7" spans="1:6" ht="18.75" x14ac:dyDescent="0.3">
      <c r="A7" s="245" t="s">
        <v>315</v>
      </c>
      <c r="B7" s="245"/>
      <c r="C7" s="245"/>
      <c r="D7" s="17">
        <f t="shared" si="0"/>
        <v>78672.959999999992</v>
      </c>
      <c r="E7" s="17">
        <f>'Feb. 15'!J85</f>
        <v>6556.08</v>
      </c>
      <c r="F7" s="1"/>
    </row>
    <row r="8" spans="1:6" ht="18.75" x14ac:dyDescent="0.3">
      <c r="A8" s="245" t="s">
        <v>316</v>
      </c>
      <c r="B8" s="245"/>
      <c r="C8" s="245"/>
      <c r="D8" s="17" t="e">
        <f t="shared" si="0"/>
        <v>#REF!</v>
      </c>
      <c r="E8" s="17" t="e">
        <f>'Feb. 15'!#REF!</f>
        <v>#REF!</v>
      </c>
      <c r="F8" s="1"/>
    </row>
    <row r="9" spans="1:6" ht="18.75" x14ac:dyDescent="0.3">
      <c r="A9" s="245" t="s">
        <v>318</v>
      </c>
      <c r="B9" s="245"/>
      <c r="C9" s="245"/>
      <c r="D9" s="17">
        <f t="shared" si="0"/>
        <v>157345.91999999998</v>
      </c>
      <c r="E9" s="17">
        <f>'Feb. 15'!M85</f>
        <v>13112.16</v>
      </c>
      <c r="F9" s="1"/>
    </row>
    <row r="10" spans="1:6" ht="18.75" x14ac:dyDescent="0.3">
      <c r="A10" s="245" t="s">
        <v>319</v>
      </c>
      <c r="B10" s="245"/>
      <c r="C10" s="245"/>
      <c r="D10" s="17" t="e">
        <f t="shared" si="0"/>
        <v>#REF!</v>
      </c>
      <c r="E10" s="17" t="e">
        <f>'Feb. 15'!#REF!</f>
        <v>#REF!</v>
      </c>
      <c r="F10" s="1"/>
    </row>
    <row r="11" spans="1:6" ht="18.75" x14ac:dyDescent="0.3">
      <c r="A11" s="245" t="s">
        <v>320</v>
      </c>
      <c r="B11" s="245"/>
      <c r="C11" s="245"/>
      <c r="D11" s="17">
        <f t="shared" si="0"/>
        <v>120000</v>
      </c>
      <c r="E11" s="17">
        <f>'Feb. 15'!P85</f>
        <v>10000</v>
      </c>
      <c r="F11" s="1"/>
    </row>
    <row r="12" spans="1:6" ht="18.75" x14ac:dyDescent="0.3">
      <c r="A12" s="246" t="s">
        <v>321</v>
      </c>
      <c r="B12" s="246"/>
      <c r="C12" s="246"/>
      <c r="D12" s="18" t="e">
        <f t="shared" si="0"/>
        <v>#REF!</v>
      </c>
      <c r="E12" s="18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"/>
  <sheetViews>
    <sheetView topLeftCell="D1" workbookViewId="0">
      <selection activeCell="K4" sqref="K4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6</v>
      </c>
      <c r="G1" s="2" t="s">
        <v>334</v>
      </c>
      <c r="H1" s="2"/>
      <c r="I1" s="2"/>
      <c r="J1" s="2"/>
      <c r="K1" s="2"/>
      <c r="L1" s="2"/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11"/>
      <c r="U1" s="7" t="s">
        <v>335</v>
      </c>
      <c r="V1" s="6" t="s">
        <v>336</v>
      </c>
    </row>
    <row r="2" spans="1:22" ht="18.75" x14ac:dyDescent="0.3">
      <c r="F2" s="2" t="s">
        <v>18</v>
      </c>
      <c r="G2" s="2" t="s">
        <v>337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28</v>
      </c>
      <c r="R2" s="2" t="s">
        <v>29</v>
      </c>
      <c r="S2" s="2" t="s">
        <v>18</v>
      </c>
      <c r="T2" s="2" t="s">
        <v>31</v>
      </c>
      <c r="U2" s="7"/>
      <c r="V2" s="6"/>
    </row>
    <row r="3" spans="1:22" ht="18.75" x14ac:dyDescent="0.3">
      <c r="A3" s="253" t="s">
        <v>338</v>
      </c>
      <c r="B3" s="254"/>
      <c r="C3" s="255"/>
      <c r="D3" s="19"/>
      <c r="E3" s="19" t="s">
        <v>339</v>
      </c>
      <c r="F3" s="20">
        <v>79039.64</v>
      </c>
      <c r="G3" s="20"/>
      <c r="H3" s="20">
        <f t="shared" ref="H3:H10" si="0">F3*300%</f>
        <v>237118.91999999998</v>
      </c>
      <c r="I3" s="20">
        <f t="shared" ref="I3:I10" si="1">F3*7.5%</f>
        <v>5927.973</v>
      </c>
      <c r="J3" s="20">
        <v>80244.38</v>
      </c>
      <c r="K3" s="20">
        <f t="shared" ref="K3:K10" si="2">F3*50%</f>
        <v>39519.82</v>
      </c>
      <c r="L3" s="20">
        <f t="shared" ref="L3:L10" si="3">F3*350%</f>
        <v>276638.74</v>
      </c>
      <c r="M3" s="20">
        <v>0</v>
      </c>
      <c r="N3" s="20">
        <f t="shared" ref="N3:N10" si="4">F3*100%</f>
        <v>79039.64</v>
      </c>
      <c r="O3" s="20">
        <f t="shared" ref="O3:O10" si="5">F3*10%</f>
        <v>7903.9639999999999</v>
      </c>
      <c r="P3" s="20">
        <v>20000</v>
      </c>
      <c r="Q3" s="20">
        <v>0</v>
      </c>
      <c r="R3" s="20">
        <f t="shared" ref="R3:R10" si="6">SUM(F3:Q3)</f>
        <v>825433.07700000005</v>
      </c>
      <c r="S3" s="20"/>
      <c r="T3" s="12"/>
      <c r="U3" s="15"/>
    </row>
    <row r="4" spans="1:22" ht="18.75" x14ac:dyDescent="0.3">
      <c r="A4" s="253" t="s">
        <v>340</v>
      </c>
      <c r="B4" s="254"/>
      <c r="C4" s="255"/>
      <c r="D4" s="19"/>
      <c r="E4" s="19" t="s">
        <v>341</v>
      </c>
      <c r="F4" s="20">
        <v>36784.71</v>
      </c>
      <c r="G4" s="20"/>
      <c r="H4" s="20">
        <f t="shared" si="0"/>
        <v>110354.13</v>
      </c>
      <c r="I4" s="20">
        <f t="shared" si="1"/>
        <v>2758.8532499999997</v>
      </c>
      <c r="J4" s="20">
        <v>80244.38</v>
      </c>
      <c r="K4" s="20">
        <f t="shared" si="2"/>
        <v>18392.355</v>
      </c>
      <c r="L4" s="20">
        <f t="shared" si="3"/>
        <v>128746.485</v>
      </c>
      <c r="M4" s="20"/>
      <c r="N4" s="20">
        <f t="shared" si="4"/>
        <v>36784.71</v>
      </c>
      <c r="O4" s="20">
        <f t="shared" si="5"/>
        <v>3678.471</v>
      </c>
      <c r="P4" s="20">
        <v>20000</v>
      </c>
      <c r="Q4" s="20">
        <v>0</v>
      </c>
      <c r="R4" s="20">
        <f t="shared" si="6"/>
        <v>437744.09425000002</v>
      </c>
      <c r="S4" s="20"/>
      <c r="T4" s="12"/>
      <c r="U4" s="15"/>
    </row>
    <row r="5" spans="1:22" ht="18.75" x14ac:dyDescent="0.3">
      <c r="A5" s="256" t="s">
        <v>112</v>
      </c>
      <c r="B5" s="257"/>
      <c r="C5" s="258"/>
      <c r="D5" s="23"/>
      <c r="E5" s="26" t="s">
        <v>113</v>
      </c>
      <c r="F5" s="24">
        <v>24975.81</v>
      </c>
      <c r="G5" s="20">
        <v>0</v>
      </c>
      <c r="H5" s="24">
        <f>F5*300%</f>
        <v>74927.430000000008</v>
      </c>
      <c r="I5" s="24">
        <f>F5*7.5%</f>
        <v>1873.1857500000001</v>
      </c>
      <c r="J5" s="24">
        <v>0</v>
      </c>
      <c r="K5" s="24">
        <f>F5*50%</f>
        <v>12487.905000000001</v>
      </c>
      <c r="L5" s="24">
        <f>F5*350%</f>
        <v>87415.335000000006</v>
      </c>
      <c r="M5" s="24">
        <v>0</v>
      </c>
      <c r="N5" s="24">
        <f>F5*100%</f>
        <v>24975.81</v>
      </c>
      <c r="O5" s="24">
        <v>100000</v>
      </c>
      <c r="P5" s="24">
        <f>F5*10%</f>
        <v>2497.5810000000001</v>
      </c>
      <c r="Q5" s="24">
        <v>20000</v>
      </c>
      <c r="R5" s="24">
        <v>0</v>
      </c>
      <c r="S5" s="20">
        <f>SUM(F5:R5)</f>
        <v>349153.05674999999</v>
      </c>
      <c r="T5" s="20">
        <v>0</v>
      </c>
      <c r="U5" s="25">
        <f>S5-T5</f>
        <v>349153.05674999999</v>
      </c>
      <c r="V5" s="20">
        <v>344720.6</v>
      </c>
    </row>
    <row r="6" spans="1:22" ht="18.75" x14ac:dyDescent="0.3">
      <c r="A6" s="253" t="s">
        <v>52</v>
      </c>
      <c r="B6" s="254"/>
      <c r="C6" s="255"/>
      <c r="D6" s="19"/>
      <c r="E6" s="19" t="s">
        <v>342</v>
      </c>
      <c r="F6" s="20">
        <v>23891.119999999999</v>
      </c>
      <c r="G6" s="20"/>
      <c r="H6" s="20">
        <f t="shared" si="0"/>
        <v>71673.36</v>
      </c>
      <c r="I6" s="20">
        <f t="shared" si="1"/>
        <v>1791.8339999999998</v>
      </c>
      <c r="J6" s="20">
        <v>0</v>
      </c>
      <c r="K6" s="20">
        <f t="shared" si="2"/>
        <v>11945.56</v>
      </c>
      <c r="L6" s="20">
        <f t="shared" si="3"/>
        <v>83618.92</v>
      </c>
      <c r="M6" s="20">
        <v>0</v>
      </c>
      <c r="N6" s="20">
        <f t="shared" si="4"/>
        <v>23891.119999999999</v>
      </c>
      <c r="O6" s="20">
        <f t="shared" si="5"/>
        <v>2389.1120000000001</v>
      </c>
      <c r="P6" s="20">
        <v>15000</v>
      </c>
      <c r="Q6" s="20">
        <v>0</v>
      </c>
      <c r="R6" s="20">
        <f t="shared" si="6"/>
        <v>234201.02599999998</v>
      </c>
      <c r="S6" s="20"/>
      <c r="T6" s="12"/>
      <c r="U6" s="15"/>
    </row>
    <row r="7" spans="1:22" ht="18.75" x14ac:dyDescent="0.3">
      <c r="A7" s="253" t="s">
        <v>343</v>
      </c>
      <c r="B7" s="254"/>
      <c r="C7" s="255"/>
      <c r="D7" s="19"/>
      <c r="E7" s="19" t="s">
        <v>344</v>
      </c>
      <c r="F7" s="20">
        <v>21293.96</v>
      </c>
      <c r="G7" s="20"/>
      <c r="H7" s="20">
        <f t="shared" si="0"/>
        <v>63881.88</v>
      </c>
      <c r="I7" s="20">
        <f t="shared" si="1"/>
        <v>1597.0469999999998</v>
      </c>
      <c r="J7" s="20">
        <v>0</v>
      </c>
      <c r="K7" s="20">
        <f t="shared" si="2"/>
        <v>10646.98</v>
      </c>
      <c r="L7" s="20">
        <f t="shared" si="3"/>
        <v>74528.86</v>
      </c>
      <c r="M7" s="20">
        <v>0</v>
      </c>
      <c r="N7" s="20">
        <f t="shared" si="4"/>
        <v>21293.96</v>
      </c>
      <c r="O7" s="20">
        <f t="shared" si="5"/>
        <v>2129.3960000000002</v>
      </c>
      <c r="P7" s="20">
        <v>10000</v>
      </c>
      <c r="Q7" s="20">
        <v>0</v>
      </c>
      <c r="R7" s="20">
        <f t="shared" si="6"/>
        <v>205372.08300000001</v>
      </c>
      <c r="S7" s="20"/>
      <c r="T7" s="12"/>
      <c r="U7" s="15"/>
    </row>
    <row r="8" spans="1:22" ht="18.75" x14ac:dyDescent="0.3">
      <c r="A8" s="253" t="s">
        <v>89</v>
      </c>
      <c r="B8" s="254"/>
      <c r="C8" s="255"/>
      <c r="D8" s="19"/>
      <c r="E8" s="19" t="s">
        <v>345</v>
      </c>
      <c r="F8" s="20">
        <v>17286.330000000002</v>
      </c>
      <c r="G8" s="20"/>
      <c r="H8" s="20">
        <f t="shared" si="0"/>
        <v>51858.990000000005</v>
      </c>
      <c r="I8" s="20">
        <f t="shared" si="1"/>
        <v>1296.4747500000001</v>
      </c>
      <c r="J8" s="20">
        <v>0</v>
      </c>
      <c r="K8" s="20">
        <f t="shared" si="2"/>
        <v>8643.1650000000009</v>
      </c>
      <c r="L8" s="20">
        <f t="shared" si="3"/>
        <v>60502.155000000006</v>
      </c>
      <c r="M8" s="20">
        <v>0</v>
      </c>
      <c r="N8" s="20">
        <f t="shared" si="4"/>
        <v>17286.330000000002</v>
      </c>
      <c r="O8" s="20">
        <f t="shared" si="5"/>
        <v>1728.6330000000003</v>
      </c>
      <c r="P8" s="20">
        <v>10000</v>
      </c>
      <c r="Q8" s="20">
        <v>0</v>
      </c>
      <c r="R8" s="20">
        <f t="shared" si="6"/>
        <v>168602.07775000003</v>
      </c>
      <c r="S8" s="20"/>
      <c r="T8" s="12"/>
      <c r="U8" s="15"/>
    </row>
    <row r="9" spans="1:22" ht="18.75" x14ac:dyDescent="0.3">
      <c r="A9" s="253" t="s">
        <v>346</v>
      </c>
      <c r="B9" s="254"/>
      <c r="C9" s="255"/>
      <c r="D9" s="19"/>
      <c r="E9" s="19" t="s">
        <v>347</v>
      </c>
      <c r="F9" s="20">
        <v>14736.14</v>
      </c>
      <c r="G9" s="20"/>
      <c r="H9" s="20">
        <f t="shared" si="0"/>
        <v>44208.42</v>
      </c>
      <c r="I9" s="20">
        <f t="shared" si="1"/>
        <v>1105.2104999999999</v>
      </c>
      <c r="J9" s="20">
        <v>0</v>
      </c>
      <c r="K9" s="20">
        <f t="shared" si="2"/>
        <v>7368.07</v>
      </c>
      <c r="L9" s="20">
        <f t="shared" si="3"/>
        <v>51576.49</v>
      </c>
      <c r="M9" s="20">
        <v>0</v>
      </c>
      <c r="N9" s="20">
        <f t="shared" si="4"/>
        <v>14736.14</v>
      </c>
      <c r="O9" s="20">
        <f t="shared" si="5"/>
        <v>1473.614</v>
      </c>
      <c r="P9" s="20">
        <v>10000</v>
      </c>
      <c r="Q9" s="20">
        <v>0</v>
      </c>
      <c r="R9" s="20">
        <f t="shared" si="6"/>
        <v>145204.0845</v>
      </c>
      <c r="S9" s="20"/>
      <c r="T9" s="12"/>
      <c r="U9" s="15"/>
    </row>
    <row r="10" spans="1:22" ht="18.75" x14ac:dyDescent="0.3">
      <c r="A10" s="253"/>
      <c r="B10" s="254"/>
      <c r="C10" s="255"/>
      <c r="D10" s="19"/>
      <c r="E10" s="19" t="s">
        <v>348</v>
      </c>
      <c r="F10" s="20">
        <v>12351.94</v>
      </c>
      <c r="G10" s="20"/>
      <c r="H10" s="20">
        <f t="shared" si="0"/>
        <v>37055.82</v>
      </c>
      <c r="I10" s="20">
        <f t="shared" si="1"/>
        <v>926.39549999999997</v>
      </c>
      <c r="J10" s="20">
        <v>0</v>
      </c>
      <c r="K10" s="20">
        <f t="shared" si="2"/>
        <v>6175.97</v>
      </c>
      <c r="L10" s="20">
        <f t="shared" si="3"/>
        <v>43231.79</v>
      </c>
      <c r="M10" s="20">
        <v>0</v>
      </c>
      <c r="N10" s="20">
        <f t="shared" si="4"/>
        <v>12351.94</v>
      </c>
      <c r="O10" s="20">
        <f t="shared" si="5"/>
        <v>1235.1940000000002</v>
      </c>
      <c r="P10" s="20">
        <v>10000</v>
      </c>
      <c r="Q10" s="20">
        <v>0</v>
      </c>
      <c r="R10" s="20">
        <f t="shared" si="6"/>
        <v>123329.04950000001</v>
      </c>
      <c r="S10" s="20"/>
      <c r="T10" s="12"/>
      <c r="U10" s="15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H20" sqref="H20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252" t="s">
        <v>349</v>
      </c>
      <c r="B1" s="252"/>
      <c r="C1" s="252"/>
      <c r="D1" s="252"/>
      <c r="E1" s="252"/>
      <c r="F1" s="252"/>
    </row>
    <row r="2" spans="1:6" ht="18.75" x14ac:dyDescent="0.3">
      <c r="A2" s="251" t="s">
        <v>350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>
        <f>E4*12</f>
        <v>299709.72000000003</v>
      </c>
      <c r="E4" s="17">
        <f>sUMMARY!F5</f>
        <v>24975.81</v>
      </c>
      <c r="F4" s="1"/>
    </row>
    <row r="5" spans="1:6" ht="18.75" x14ac:dyDescent="0.3">
      <c r="A5" s="245" t="s">
        <v>312</v>
      </c>
      <c r="B5" s="245"/>
      <c r="C5" s="245"/>
      <c r="D5" s="17">
        <f t="shared" ref="D5:D14" si="0">E5*12</f>
        <v>899129.16000000015</v>
      </c>
      <c r="E5" s="17">
        <f>sUMMARY!H5</f>
        <v>74927.430000000008</v>
      </c>
      <c r="F5" s="1"/>
    </row>
    <row r="6" spans="1:6" ht="18.75" x14ac:dyDescent="0.3">
      <c r="A6" s="245" t="s">
        <v>313</v>
      </c>
      <c r="B6" s="245"/>
      <c r="C6" s="245"/>
      <c r="D6" s="17">
        <f t="shared" si="0"/>
        <v>22478.228999999999</v>
      </c>
      <c r="E6" s="17">
        <f>sUMMARY!I5</f>
        <v>1873.1857500000001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0</v>
      </c>
      <c r="E7" s="17">
        <f>sUMMARY!J6</f>
        <v>0</v>
      </c>
      <c r="F7" s="1"/>
    </row>
    <row r="8" spans="1:6" ht="18.75" x14ac:dyDescent="0.3">
      <c r="A8" s="245" t="s">
        <v>315</v>
      </c>
      <c r="B8" s="245"/>
      <c r="C8" s="245"/>
      <c r="D8" s="17">
        <f t="shared" si="0"/>
        <v>149854.86000000002</v>
      </c>
      <c r="E8" s="17">
        <f>sUMMARY!K5</f>
        <v>12487.905000000001</v>
      </c>
      <c r="F8" s="1"/>
    </row>
    <row r="9" spans="1:6" ht="18.75" x14ac:dyDescent="0.3">
      <c r="A9" s="245" t="s">
        <v>316</v>
      </c>
      <c r="B9" s="245"/>
      <c r="C9" s="245"/>
      <c r="D9" s="17">
        <f t="shared" si="0"/>
        <v>1048984.02</v>
      </c>
      <c r="E9" s="17">
        <f>sUMMARY!L5</f>
        <v>87415.335000000006</v>
      </c>
      <c r="F9" s="1"/>
    </row>
    <row r="10" spans="1:6" ht="18.75" x14ac:dyDescent="0.3">
      <c r="A10" s="245" t="s">
        <v>318</v>
      </c>
      <c r="B10" s="245"/>
      <c r="C10" s="245"/>
      <c r="D10" s="17">
        <f t="shared" si="0"/>
        <v>299709.72000000003</v>
      </c>
      <c r="E10" s="17">
        <f>sUMMARY!N5</f>
        <v>24975.81</v>
      </c>
      <c r="F10" s="1"/>
    </row>
    <row r="11" spans="1:6" ht="18.75" x14ac:dyDescent="0.3">
      <c r="A11" s="247" t="s">
        <v>317</v>
      </c>
      <c r="B11" s="248"/>
      <c r="C11" s="249"/>
      <c r="D11" s="17">
        <f t="shared" si="0"/>
        <v>0</v>
      </c>
      <c r="E11" s="17">
        <v>0</v>
      </c>
      <c r="F11" s="1"/>
    </row>
    <row r="12" spans="1:6" ht="18.75" x14ac:dyDescent="0.3">
      <c r="A12" s="245" t="s">
        <v>319</v>
      </c>
      <c r="B12" s="245"/>
      <c r="C12" s="245"/>
      <c r="D12" s="17">
        <f t="shared" si="0"/>
        <v>29970.972000000002</v>
      </c>
      <c r="E12" s="17">
        <f>sUMMARY!P5</f>
        <v>2497.5810000000001</v>
      </c>
      <c r="F12" s="1"/>
    </row>
    <row r="13" spans="1:6" ht="18.75" x14ac:dyDescent="0.3">
      <c r="A13" s="245" t="s">
        <v>320</v>
      </c>
      <c r="B13" s="245"/>
      <c r="C13" s="245"/>
      <c r="D13" s="17">
        <f t="shared" si="0"/>
        <v>240000</v>
      </c>
      <c r="E13" s="17">
        <f>sUMMARY!Q5</f>
        <v>20000</v>
      </c>
      <c r="F13" s="1"/>
    </row>
    <row r="14" spans="1:6" ht="18.75" x14ac:dyDescent="0.3">
      <c r="A14" s="246" t="s">
        <v>321</v>
      </c>
      <c r="B14" s="246"/>
      <c r="C14" s="246"/>
      <c r="D14" s="18">
        <f t="shared" si="0"/>
        <v>2989836.6810000003</v>
      </c>
      <c r="E14" s="18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6"/>
  <sheetViews>
    <sheetView view="pageBreakPreview" zoomScale="60" workbookViewId="0">
      <selection activeCell="A4" sqref="A4:C4"/>
    </sheetView>
  </sheetViews>
  <sheetFormatPr defaultRowHeight="12.75" x14ac:dyDescent="0.2"/>
  <cols>
    <col min="3" max="3" width="25.42578125" customWidth="1"/>
    <col min="4" max="4" width="36.85546875" customWidth="1"/>
    <col min="5" max="5" width="21.42578125" customWidth="1"/>
  </cols>
  <sheetData>
    <row r="1" spans="1:5" ht="20.25" customHeight="1" x14ac:dyDescent="0.3">
      <c r="A1" s="207" t="s">
        <v>351</v>
      </c>
      <c r="B1" s="207"/>
      <c r="C1" s="207"/>
      <c r="D1" s="207"/>
      <c r="E1" s="207"/>
    </row>
    <row r="2" spans="1:5" ht="18" x14ac:dyDescent="0.25">
      <c r="A2" s="182" t="s">
        <v>1</v>
      </c>
      <c r="B2" s="183"/>
      <c r="C2" s="183"/>
      <c r="D2" s="34"/>
      <c r="E2" s="34"/>
    </row>
    <row r="3" spans="1:5" ht="18" x14ac:dyDescent="0.25">
      <c r="A3" s="189"/>
      <c r="B3" s="189"/>
      <c r="C3" s="189"/>
      <c r="D3" s="35" t="s">
        <v>4</v>
      </c>
      <c r="E3" s="35" t="s">
        <v>5</v>
      </c>
    </row>
    <row r="4" spans="1:5" ht="18" x14ac:dyDescent="0.25">
      <c r="A4" s="190"/>
      <c r="B4" s="190"/>
      <c r="C4" s="190"/>
      <c r="D4" s="35"/>
      <c r="E4" s="35" t="s">
        <v>17</v>
      </c>
    </row>
    <row r="5" spans="1:5" ht="18" x14ac:dyDescent="0.25">
      <c r="A5" s="186" t="s">
        <v>33</v>
      </c>
      <c r="B5" s="186"/>
      <c r="C5" s="186"/>
      <c r="D5" s="37"/>
      <c r="E5" s="37"/>
    </row>
    <row r="6" spans="1:5" ht="18" x14ac:dyDescent="0.25">
      <c r="A6" s="260" t="s">
        <v>35</v>
      </c>
      <c r="B6" s="260"/>
      <c r="C6" s="260"/>
      <c r="D6" s="39" t="s">
        <v>352</v>
      </c>
      <c r="E6" s="39" t="s">
        <v>37</v>
      </c>
    </row>
    <row r="7" spans="1:5" ht="18" x14ac:dyDescent="0.25">
      <c r="A7" s="260" t="s">
        <v>38</v>
      </c>
      <c r="B7" s="260"/>
      <c r="C7" s="260"/>
      <c r="D7" s="39" t="s">
        <v>39</v>
      </c>
      <c r="E7" s="39" t="s">
        <v>353</v>
      </c>
    </row>
    <row r="8" spans="1:5" ht="18" x14ac:dyDescent="0.25">
      <c r="A8" s="260" t="s">
        <v>354</v>
      </c>
      <c r="B8" s="260"/>
      <c r="C8" s="260"/>
      <c r="D8" s="39" t="s">
        <v>42</v>
      </c>
      <c r="E8" s="39" t="s">
        <v>353</v>
      </c>
    </row>
    <row r="9" spans="1:5" ht="18" x14ac:dyDescent="0.25">
      <c r="A9" s="259" t="s">
        <v>44</v>
      </c>
      <c r="B9" s="259"/>
      <c r="C9" s="259"/>
      <c r="D9" s="41" t="s">
        <v>355</v>
      </c>
      <c r="E9" s="42" t="s">
        <v>105</v>
      </c>
    </row>
    <row r="10" spans="1:5" ht="18" x14ac:dyDescent="0.25">
      <c r="A10" s="259" t="s">
        <v>129</v>
      </c>
      <c r="B10" s="259"/>
      <c r="C10" s="259"/>
      <c r="D10" s="41" t="s">
        <v>356</v>
      </c>
      <c r="E10" s="41" t="s">
        <v>357</v>
      </c>
    </row>
    <row r="11" spans="1:5" ht="18" x14ac:dyDescent="0.25">
      <c r="A11" s="260" t="s">
        <v>72</v>
      </c>
      <c r="B11" s="260"/>
      <c r="C11" s="260"/>
      <c r="D11" s="39" t="s">
        <v>73</v>
      </c>
      <c r="E11" s="39" t="s">
        <v>358</v>
      </c>
    </row>
    <row r="12" spans="1:5" ht="18" x14ac:dyDescent="0.25">
      <c r="A12" s="271"/>
      <c r="B12" s="271"/>
      <c r="C12" s="271"/>
      <c r="D12" s="41"/>
      <c r="E12" s="41"/>
    </row>
    <row r="13" spans="1:5" ht="18" x14ac:dyDescent="0.25">
      <c r="A13" s="267" t="s">
        <v>81</v>
      </c>
      <c r="B13" s="267"/>
      <c r="C13" s="267"/>
      <c r="D13" s="44"/>
      <c r="E13" s="44"/>
    </row>
    <row r="14" spans="1:5" ht="18" x14ac:dyDescent="0.25">
      <c r="A14" s="45" t="s">
        <v>85</v>
      </c>
      <c r="B14" s="45"/>
      <c r="C14" s="45"/>
      <c r="D14" s="39" t="s">
        <v>359</v>
      </c>
      <c r="E14" s="39" t="s">
        <v>353</v>
      </c>
    </row>
    <row r="15" spans="1:5" ht="18" x14ac:dyDescent="0.25">
      <c r="A15" s="268"/>
      <c r="B15" s="269"/>
      <c r="C15" s="270"/>
      <c r="D15" s="36"/>
      <c r="E15" s="43"/>
    </row>
    <row r="16" spans="1:5" ht="18" x14ac:dyDescent="0.25">
      <c r="A16" s="46" t="s">
        <v>94</v>
      </c>
      <c r="B16" s="46"/>
      <c r="C16" s="46"/>
      <c r="D16" s="46"/>
      <c r="E16" s="43"/>
    </row>
    <row r="17" spans="1:5" ht="18" x14ac:dyDescent="0.25">
      <c r="A17" s="260" t="s">
        <v>99</v>
      </c>
      <c r="B17" s="260"/>
      <c r="C17" s="260"/>
      <c r="D17" s="41" t="s">
        <v>100</v>
      </c>
      <c r="E17" s="41" t="s">
        <v>353</v>
      </c>
    </row>
    <row r="18" spans="1:5" ht="18" x14ac:dyDescent="0.25">
      <c r="A18" s="264" t="s">
        <v>360</v>
      </c>
      <c r="B18" s="265"/>
      <c r="C18" s="266"/>
      <c r="D18" s="41" t="s">
        <v>361</v>
      </c>
      <c r="E18" s="47" t="s">
        <v>353</v>
      </c>
    </row>
    <row r="19" spans="1:5" ht="18" x14ac:dyDescent="0.25">
      <c r="A19" s="260" t="s">
        <v>362</v>
      </c>
      <c r="B19" s="260"/>
      <c r="C19" s="260"/>
      <c r="D19" s="41" t="s">
        <v>363</v>
      </c>
      <c r="E19" s="41" t="s">
        <v>46</v>
      </c>
    </row>
    <row r="20" spans="1:5" ht="18" x14ac:dyDescent="0.25">
      <c r="A20" s="48"/>
      <c r="B20" s="49"/>
      <c r="C20" s="50"/>
      <c r="D20" s="36"/>
      <c r="E20" s="43"/>
    </row>
    <row r="21" spans="1:5" ht="18" x14ac:dyDescent="0.25">
      <c r="A21" s="261" t="s">
        <v>145</v>
      </c>
      <c r="B21" s="262"/>
      <c r="C21" s="263"/>
      <c r="D21" s="36"/>
      <c r="E21" s="43"/>
    </row>
    <row r="22" spans="1:5" ht="18" x14ac:dyDescent="0.25">
      <c r="A22" s="261" t="s">
        <v>146</v>
      </c>
      <c r="B22" s="262"/>
      <c r="C22" s="263"/>
      <c r="D22" s="39" t="s">
        <v>364</v>
      </c>
      <c r="E22" s="39" t="s">
        <v>98</v>
      </c>
    </row>
    <row r="23" spans="1:5" ht="18" x14ac:dyDescent="0.25">
      <c r="A23" s="260" t="s">
        <v>148</v>
      </c>
      <c r="B23" s="260"/>
      <c r="C23" s="260"/>
      <c r="D23" s="39" t="s">
        <v>149</v>
      </c>
      <c r="E23" s="39" t="s">
        <v>353</v>
      </c>
    </row>
    <row r="24" spans="1:5" ht="18" x14ac:dyDescent="0.25">
      <c r="A24" s="260" t="s">
        <v>150</v>
      </c>
      <c r="B24" s="260"/>
      <c r="C24" s="260"/>
      <c r="D24" s="39" t="s">
        <v>151</v>
      </c>
      <c r="E24" s="39" t="s">
        <v>353</v>
      </c>
    </row>
    <row r="25" spans="1:5" ht="18" x14ac:dyDescent="0.25">
      <c r="A25" s="260" t="s">
        <v>365</v>
      </c>
      <c r="B25" s="260"/>
      <c r="C25" s="260"/>
      <c r="D25" s="39" t="s">
        <v>366</v>
      </c>
      <c r="E25" s="39" t="s">
        <v>367</v>
      </c>
    </row>
    <row r="26" spans="1:5" ht="18" x14ac:dyDescent="0.25">
      <c r="A26" s="261" t="s">
        <v>67</v>
      </c>
      <c r="B26" s="262"/>
      <c r="C26" s="263"/>
      <c r="D26" s="39" t="s">
        <v>68</v>
      </c>
      <c r="E26" s="39" t="s">
        <v>368</v>
      </c>
    </row>
    <row r="27" spans="1:5" ht="18" x14ac:dyDescent="0.25">
      <c r="A27" s="260" t="s">
        <v>179</v>
      </c>
      <c r="B27" s="260"/>
      <c r="C27" s="260"/>
      <c r="D27" s="39" t="s">
        <v>180</v>
      </c>
      <c r="E27" s="39" t="s">
        <v>71</v>
      </c>
    </row>
    <row r="28" spans="1:5" ht="18" x14ac:dyDescent="0.25">
      <c r="A28" s="45" t="s">
        <v>182</v>
      </c>
      <c r="B28" s="45"/>
      <c r="C28" s="45"/>
      <c r="D28" s="41" t="s">
        <v>183</v>
      </c>
      <c r="E28" s="41" t="s">
        <v>71</v>
      </c>
    </row>
    <row r="29" spans="1:5" ht="18" x14ac:dyDescent="0.25">
      <c r="A29" s="260" t="s">
        <v>184</v>
      </c>
      <c r="B29" s="260"/>
      <c r="C29" s="260"/>
      <c r="D29" s="39" t="s">
        <v>183</v>
      </c>
      <c r="E29" s="39" t="s">
        <v>369</v>
      </c>
    </row>
    <row r="30" spans="1:5" ht="18" x14ac:dyDescent="0.25">
      <c r="A30" s="260" t="s">
        <v>370</v>
      </c>
      <c r="B30" s="260"/>
      <c r="C30" s="260"/>
      <c r="D30" s="39" t="s">
        <v>183</v>
      </c>
      <c r="E30" s="39" t="s">
        <v>71</v>
      </c>
    </row>
    <row r="31" spans="1:5" ht="18" x14ac:dyDescent="0.25">
      <c r="A31" s="260" t="s">
        <v>144</v>
      </c>
      <c r="B31" s="260"/>
      <c r="C31" s="260"/>
      <c r="D31" s="39" t="s">
        <v>371</v>
      </c>
      <c r="E31" s="39" t="s">
        <v>358</v>
      </c>
    </row>
    <row r="32" spans="1:5" ht="18" x14ac:dyDescent="0.25">
      <c r="A32" s="45" t="s">
        <v>188</v>
      </c>
      <c r="B32" s="45"/>
      <c r="C32" s="45"/>
      <c r="D32" s="39" t="s">
        <v>189</v>
      </c>
      <c r="E32" s="39" t="s">
        <v>372</v>
      </c>
    </row>
    <row r="33" spans="1:5" ht="18" x14ac:dyDescent="0.25">
      <c r="A33" s="260" t="s">
        <v>191</v>
      </c>
      <c r="B33" s="260"/>
      <c r="C33" s="260"/>
      <c r="D33" s="39" t="s">
        <v>189</v>
      </c>
      <c r="E33" s="39" t="s">
        <v>372</v>
      </c>
    </row>
    <row r="34" spans="1:5" ht="18" x14ac:dyDescent="0.25">
      <c r="A34" s="260" t="s">
        <v>373</v>
      </c>
      <c r="B34" s="260"/>
      <c r="C34" s="260"/>
      <c r="D34" s="39" t="s">
        <v>189</v>
      </c>
      <c r="E34" s="39" t="s">
        <v>372</v>
      </c>
    </row>
    <row r="35" spans="1:5" ht="18" x14ac:dyDescent="0.25">
      <c r="A35" s="260" t="s">
        <v>192</v>
      </c>
      <c r="B35" s="260"/>
      <c r="C35" s="260"/>
      <c r="D35" s="39" t="s">
        <v>189</v>
      </c>
      <c r="E35" s="39" t="s">
        <v>372</v>
      </c>
    </row>
    <row r="36" spans="1:5" ht="18" x14ac:dyDescent="0.25">
      <c r="A36" s="260" t="s">
        <v>193</v>
      </c>
      <c r="B36" s="260"/>
      <c r="C36" s="260"/>
      <c r="D36" s="39" t="s">
        <v>189</v>
      </c>
      <c r="E36" s="39" t="s">
        <v>372</v>
      </c>
    </row>
    <row r="37" spans="1:5" ht="18" x14ac:dyDescent="0.25">
      <c r="A37" s="260" t="s">
        <v>194</v>
      </c>
      <c r="B37" s="260"/>
      <c r="C37" s="260"/>
      <c r="D37" s="39" t="s">
        <v>189</v>
      </c>
      <c r="E37" s="39" t="s">
        <v>372</v>
      </c>
    </row>
    <row r="38" spans="1:5" ht="18" x14ac:dyDescent="0.25">
      <c r="A38" s="260" t="s">
        <v>195</v>
      </c>
      <c r="B38" s="260"/>
      <c r="C38" s="260"/>
      <c r="D38" s="39" t="s">
        <v>189</v>
      </c>
      <c r="E38" s="39" t="s">
        <v>372</v>
      </c>
    </row>
    <row r="39" spans="1:5" ht="18" x14ac:dyDescent="0.25">
      <c r="A39" s="39" t="s">
        <v>196</v>
      </c>
      <c r="B39" s="39"/>
      <c r="C39" s="39"/>
      <c r="D39" s="41" t="s">
        <v>189</v>
      </c>
      <c r="E39" s="41" t="s">
        <v>372</v>
      </c>
    </row>
    <row r="40" spans="1:5" ht="18" x14ac:dyDescent="0.25">
      <c r="A40" s="260" t="s">
        <v>197</v>
      </c>
      <c r="B40" s="260"/>
      <c r="C40" s="260"/>
      <c r="D40" s="39" t="s">
        <v>189</v>
      </c>
      <c r="E40" s="39" t="s">
        <v>374</v>
      </c>
    </row>
    <row r="41" spans="1:5" ht="18" x14ac:dyDescent="0.25">
      <c r="A41" s="260" t="s">
        <v>199</v>
      </c>
      <c r="B41" s="260"/>
      <c r="C41" s="260"/>
      <c r="D41" s="39" t="s">
        <v>189</v>
      </c>
      <c r="E41" s="39" t="s">
        <v>374</v>
      </c>
    </row>
    <row r="42" spans="1:5" ht="18" x14ac:dyDescent="0.25">
      <c r="A42" s="259" t="s">
        <v>211</v>
      </c>
      <c r="B42" s="259"/>
      <c r="C42" s="259"/>
      <c r="D42" s="39" t="s">
        <v>212</v>
      </c>
      <c r="E42" s="39"/>
    </row>
    <row r="43" spans="1:5" ht="18" x14ac:dyDescent="0.25">
      <c r="A43" s="259" t="s">
        <v>214</v>
      </c>
      <c r="B43" s="259"/>
      <c r="C43" s="259"/>
      <c r="D43" s="39" t="s">
        <v>212</v>
      </c>
      <c r="E43" s="39"/>
    </row>
    <row r="44" spans="1:5" ht="18" x14ac:dyDescent="0.25">
      <c r="A44" s="259" t="s">
        <v>215</v>
      </c>
      <c r="B44" s="259"/>
      <c r="C44" s="259"/>
      <c r="D44" s="39" t="s">
        <v>216</v>
      </c>
      <c r="E44" s="39"/>
    </row>
    <row r="45" spans="1:5" ht="18" x14ac:dyDescent="0.25">
      <c r="A45" s="259" t="s">
        <v>217</v>
      </c>
      <c r="B45" s="259"/>
      <c r="C45" s="259"/>
      <c r="D45" s="39" t="s">
        <v>216</v>
      </c>
      <c r="E45" s="39"/>
    </row>
    <row r="46" spans="1:5" ht="18" x14ac:dyDescent="0.25">
      <c r="A46" s="259" t="s">
        <v>218</v>
      </c>
      <c r="B46" s="259"/>
      <c r="C46" s="259"/>
      <c r="D46" s="39" t="s">
        <v>216</v>
      </c>
      <c r="E46" s="39"/>
    </row>
  </sheetData>
  <mergeCells count="40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8:C18"/>
    <mergeCell ref="A13:C13"/>
    <mergeCell ref="A15:C15"/>
    <mergeCell ref="A17:C17"/>
    <mergeCell ref="A11:C11"/>
    <mergeCell ref="A12:C12"/>
    <mergeCell ref="A19:C19"/>
    <mergeCell ref="A30:C30"/>
    <mergeCell ref="A31:C31"/>
    <mergeCell ref="A33:C33"/>
    <mergeCell ref="A23:C23"/>
    <mergeCell ref="A24:C24"/>
    <mergeCell ref="A25:C25"/>
    <mergeCell ref="A22:C22"/>
    <mergeCell ref="A21:C21"/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</mergeCells>
  <pageMargins left="0.7" right="0.7" top="0.75" bottom="0.75" header="0.3" footer="0.3"/>
  <pageSetup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5"/>
  <sheetViews>
    <sheetView workbookViewId="0">
      <selection activeCell="H14" sqref="H14"/>
    </sheetView>
  </sheetViews>
  <sheetFormatPr defaultRowHeight="12.75" x14ac:dyDescent="0.2"/>
  <cols>
    <col min="1" max="1" width="32.140625" customWidth="1"/>
    <col min="2" max="2" width="22.42578125" customWidth="1"/>
    <col min="3" max="3" width="25" customWidth="1"/>
  </cols>
  <sheetData>
    <row r="1" spans="1:3" ht="18.75" x14ac:dyDescent="0.3">
      <c r="A1" s="251" t="s">
        <v>375</v>
      </c>
      <c r="B1" s="251"/>
      <c r="C1" s="251"/>
    </row>
    <row r="2" spans="1:3" ht="18.75" x14ac:dyDescent="0.3">
      <c r="A2" s="251" t="s">
        <v>376</v>
      </c>
      <c r="B2" s="251"/>
      <c r="C2" s="251"/>
    </row>
    <row r="3" spans="1:3" ht="18.75" x14ac:dyDescent="0.3">
      <c r="A3" s="85"/>
      <c r="B3" s="85" t="s">
        <v>309</v>
      </c>
      <c r="C3" s="85" t="s">
        <v>310</v>
      </c>
    </row>
    <row r="4" spans="1:3" ht="18.75" x14ac:dyDescent="0.3">
      <c r="A4" s="154" t="s">
        <v>311</v>
      </c>
      <c r="B4" s="91">
        <f>C4*12</f>
        <v>475947</v>
      </c>
      <c r="C4" s="91">
        <v>39662.25</v>
      </c>
    </row>
    <row r="5" spans="1:3" ht="18.75" x14ac:dyDescent="0.3">
      <c r="A5" s="154" t="s">
        <v>312</v>
      </c>
      <c r="B5" s="91">
        <f t="shared" ref="B5:B13" si="0">C5*12</f>
        <v>1427841</v>
      </c>
      <c r="C5" s="91">
        <v>118986.75</v>
      </c>
    </row>
    <row r="6" spans="1:3" ht="18.75" x14ac:dyDescent="0.3">
      <c r="A6" s="154" t="s">
        <v>313</v>
      </c>
      <c r="B6" s="91">
        <f t="shared" si="0"/>
        <v>35696.04</v>
      </c>
      <c r="C6" s="91">
        <v>2974.67</v>
      </c>
    </row>
    <row r="7" spans="1:3" ht="18.75" x14ac:dyDescent="0.3">
      <c r="A7" s="154" t="s">
        <v>314</v>
      </c>
      <c r="B7" s="91">
        <f t="shared" si="0"/>
        <v>481466.28</v>
      </c>
      <c r="C7" s="91">
        <f>'Feb. 15'!I10</f>
        <v>40122.19</v>
      </c>
    </row>
    <row r="8" spans="1:3" ht="18.75" x14ac:dyDescent="0.3">
      <c r="A8" s="154" t="s">
        <v>315</v>
      </c>
      <c r="B8" s="91">
        <f t="shared" si="0"/>
        <v>237973.56</v>
      </c>
      <c r="C8" s="91">
        <v>19831.13</v>
      </c>
    </row>
    <row r="9" spans="1:3" ht="18.75" x14ac:dyDescent="0.3">
      <c r="A9" s="154" t="s">
        <v>316</v>
      </c>
      <c r="B9" s="91">
        <f t="shared" si="0"/>
        <v>1665814.56</v>
      </c>
      <c r="C9" s="91">
        <v>138817.88</v>
      </c>
    </row>
    <row r="10" spans="1:3" ht="18.75" x14ac:dyDescent="0.3">
      <c r="A10" s="154" t="s">
        <v>318</v>
      </c>
      <c r="B10" s="91">
        <f t="shared" si="0"/>
        <v>475947</v>
      </c>
      <c r="C10" s="91">
        <v>39662.25</v>
      </c>
    </row>
    <row r="11" spans="1:3" ht="18.75" x14ac:dyDescent="0.3">
      <c r="A11" s="154" t="s">
        <v>317</v>
      </c>
      <c r="B11" s="91">
        <f t="shared" si="0"/>
        <v>0</v>
      </c>
      <c r="C11" s="91">
        <v>0</v>
      </c>
    </row>
    <row r="12" spans="1:3" ht="18.75" x14ac:dyDescent="0.3">
      <c r="A12" s="154" t="s">
        <v>319</v>
      </c>
      <c r="B12" s="91">
        <f t="shared" si="0"/>
        <v>47594.76</v>
      </c>
      <c r="C12" s="91">
        <v>3966.23</v>
      </c>
    </row>
    <row r="13" spans="1:3" ht="18.75" x14ac:dyDescent="0.3">
      <c r="A13" s="154" t="s">
        <v>320</v>
      </c>
      <c r="B13" s="91">
        <f t="shared" si="0"/>
        <v>240000</v>
      </c>
      <c r="C13" s="91">
        <f>'Feb. 15'!P10</f>
        <v>20000</v>
      </c>
    </row>
    <row r="14" spans="1:3" ht="18.75" x14ac:dyDescent="0.3">
      <c r="A14" s="85" t="s">
        <v>321</v>
      </c>
      <c r="B14" s="92">
        <f>SUM(B4:B13)</f>
        <v>5088280.2</v>
      </c>
      <c r="C14" s="92">
        <f>SUM(C4:C13)</f>
        <v>424023.35</v>
      </c>
    </row>
    <row r="15" spans="1:3" ht="18.75" x14ac:dyDescent="0.3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9" customWidth="1"/>
    <col min="4" max="4" width="22" customWidth="1"/>
    <col min="5" max="5" width="20.85546875" customWidth="1"/>
    <col min="6" max="6" width="15.5703125" customWidth="1"/>
  </cols>
  <sheetData>
    <row r="1" spans="1:6" ht="18.75" x14ac:dyDescent="0.3">
      <c r="A1" s="252" t="s">
        <v>377</v>
      </c>
      <c r="B1" s="252"/>
      <c r="C1" s="252"/>
      <c r="D1" s="252"/>
      <c r="E1" s="252"/>
      <c r="F1" s="252"/>
    </row>
    <row r="2" spans="1:6" ht="18.75" x14ac:dyDescent="0.3">
      <c r="A2" s="251" t="s">
        <v>378</v>
      </c>
      <c r="B2" s="251"/>
      <c r="C2" s="251"/>
      <c r="D2" s="251"/>
      <c r="E2" s="251"/>
      <c r="F2" s="251"/>
    </row>
    <row r="3" spans="1:6" ht="18.75" x14ac:dyDescent="0.3">
      <c r="A3" s="245"/>
      <c r="B3" s="245"/>
      <c r="C3" s="245"/>
      <c r="D3" s="3" t="s">
        <v>309</v>
      </c>
      <c r="E3" s="3" t="s">
        <v>310</v>
      </c>
      <c r="F3" s="16"/>
    </row>
    <row r="4" spans="1:6" ht="18.75" x14ac:dyDescent="0.3">
      <c r="A4" s="245" t="s">
        <v>311</v>
      </c>
      <c r="B4" s="245"/>
      <c r="C4" s="245"/>
      <c r="D4" s="17" t="e">
        <f>E4*12</f>
        <v>#REF!</v>
      </c>
      <c r="E4" s="17" t="e">
        <f>'Feb. 15'!#REF!</f>
        <v>#REF!</v>
      </c>
      <c r="F4" s="1"/>
    </row>
    <row r="5" spans="1:6" ht="18.75" x14ac:dyDescent="0.3">
      <c r="A5" s="245" t="s">
        <v>312</v>
      </c>
      <c r="B5" s="245"/>
      <c r="C5" s="245"/>
      <c r="D5" s="17" t="e">
        <f t="shared" ref="D5:D14" si="0">E5*12</f>
        <v>#REF!</v>
      </c>
      <c r="E5" s="17" t="e">
        <f>'Feb. 15'!#REF!</f>
        <v>#REF!</v>
      </c>
      <c r="F5" s="1"/>
    </row>
    <row r="6" spans="1:6" ht="18.75" x14ac:dyDescent="0.3">
      <c r="A6" s="245" t="s">
        <v>313</v>
      </c>
      <c r="B6" s="245"/>
      <c r="C6" s="245"/>
      <c r="D6" s="17" t="e">
        <f t="shared" si="0"/>
        <v>#REF!</v>
      </c>
      <c r="E6" s="17" t="e">
        <f>'Feb. 15'!#REF!</f>
        <v>#REF!</v>
      </c>
      <c r="F6" s="1"/>
    </row>
    <row r="7" spans="1:6" ht="18.75" x14ac:dyDescent="0.3">
      <c r="A7" s="245" t="s">
        <v>314</v>
      </c>
      <c r="B7" s="245"/>
      <c r="C7" s="245"/>
      <c r="D7" s="17">
        <f t="shared" si="0"/>
        <v>0</v>
      </c>
      <c r="E7" s="17">
        <f>sUMMARY!J6</f>
        <v>0</v>
      </c>
      <c r="F7" s="1"/>
    </row>
    <row r="8" spans="1:6" ht="18.75" x14ac:dyDescent="0.3">
      <c r="A8" s="245" t="s">
        <v>315</v>
      </c>
      <c r="B8" s="245"/>
      <c r="C8" s="245"/>
      <c r="D8" s="17" t="e">
        <f t="shared" si="0"/>
        <v>#REF!</v>
      </c>
      <c r="E8" s="17" t="e">
        <f>'Feb. 15'!#REF!</f>
        <v>#REF!</v>
      </c>
      <c r="F8" s="1"/>
    </row>
    <row r="9" spans="1:6" ht="18.75" x14ac:dyDescent="0.3">
      <c r="A9" s="245" t="s">
        <v>316</v>
      </c>
      <c r="B9" s="245"/>
      <c r="C9" s="245"/>
      <c r="D9" s="17" t="e">
        <f t="shared" si="0"/>
        <v>#REF!</v>
      </c>
      <c r="E9" s="17" t="e">
        <f>'Feb. 15'!#REF!</f>
        <v>#REF!</v>
      </c>
      <c r="F9" s="1"/>
    </row>
    <row r="10" spans="1:6" ht="18.75" x14ac:dyDescent="0.3">
      <c r="A10" s="245" t="s">
        <v>318</v>
      </c>
      <c r="B10" s="245"/>
      <c r="C10" s="245"/>
      <c r="D10" s="17" t="e">
        <f t="shared" si="0"/>
        <v>#REF!</v>
      </c>
      <c r="E10" s="17" t="e">
        <f>'Feb. 15'!#REF!</f>
        <v>#REF!</v>
      </c>
      <c r="F10" s="1"/>
    </row>
    <row r="11" spans="1:6" ht="18.75" x14ac:dyDescent="0.3">
      <c r="A11" s="247" t="s">
        <v>317</v>
      </c>
      <c r="B11" s="248"/>
      <c r="C11" s="249"/>
      <c r="D11" s="17">
        <f t="shared" si="0"/>
        <v>0</v>
      </c>
      <c r="E11" s="17">
        <v>0</v>
      </c>
      <c r="F11" s="1"/>
    </row>
    <row r="12" spans="1:6" ht="18.75" x14ac:dyDescent="0.3">
      <c r="A12" s="245" t="s">
        <v>319</v>
      </c>
      <c r="B12" s="245"/>
      <c r="C12" s="245"/>
      <c r="D12" s="17" t="e">
        <f t="shared" si="0"/>
        <v>#REF!</v>
      </c>
      <c r="E12" s="17" t="e">
        <f>'Feb. 15'!#REF!</f>
        <v>#REF!</v>
      </c>
      <c r="F12" s="1"/>
    </row>
    <row r="13" spans="1:6" ht="18.75" x14ac:dyDescent="0.3">
      <c r="A13" s="245" t="s">
        <v>320</v>
      </c>
      <c r="B13" s="245"/>
      <c r="C13" s="245"/>
      <c r="D13" s="17" t="e">
        <f t="shared" si="0"/>
        <v>#REF!</v>
      </c>
      <c r="E13" s="17" t="e">
        <f>'Feb. 15'!#REF!</f>
        <v>#REF!</v>
      </c>
      <c r="F13" s="1"/>
    </row>
    <row r="14" spans="1:6" ht="18.75" x14ac:dyDescent="0.3">
      <c r="A14" s="246" t="s">
        <v>321</v>
      </c>
      <c r="B14" s="246"/>
      <c r="C14" s="246"/>
      <c r="D14" s="18" t="e">
        <f t="shared" si="0"/>
        <v>#REF!</v>
      </c>
      <c r="E14" s="18" t="e">
        <f>SUM(E4:E13)</f>
        <v>#REF!</v>
      </c>
      <c r="F14" s="1"/>
    </row>
  </sheetData>
  <mergeCells count="14">
    <mergeCell ref="A13:C13"/>
    <mergeCell ref="A14:C14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276" t="s">
        <v>303</v>
      </c>
      <c r="B1" s="276"/>
      <c r="C1" s="276"/>
      <c r="D1" s="276"/>
      <c r="E1" s="276"/>
    </row>
    <row r="2" spans="1:6" ht="18.75" x14ac:dyDescent="0.3">
      <c r="A2" s="251" t="s">
        <v>379</v>
      </c>
      <c r="B2" s="251"/>
      <c r="C2" s="251"/>
      <c r="D2" s="251"/>
      <c r="E2" s="251"/>
    </row>
    <row r="3" spans="1:6" ht="18.75" customHeight="1" x14ac:dyDescent="0.2">
      <c r="A3" s="275" t="s">
        <v>380</v>
      </c>
      <c r="B3" s="277" t="s">
        <v>4</v>
      </c>
      <c r="C3" s="273" t="s">
        <v>381</v>
      </c>
      <c r="D3" s="273" t="s">
        <v>382</v>
      </c>
      <c r="E3" s="273" t="s">
        <v>383</v>
      </c>
      <c r="F3" s="272" t="s">
        <v>32</v>
      </c>
    </row>
    <row r="4" spans="1:6" ht="16.5" customHeight="1" x14ac:dyDescent="0.2">
      <c r="A4" s="275"/>
      <c r="B4" s="278"/>
      <c r="C4" s="274"/>
      <c r="D4" s="274"/>
      <c r="E4" s="274"/>
      <c r="F4" s="272"/>
    </row>
    <row r="5" spans="1:6" ht="18.75" x14ac:dyDescent="0.3">
      <c r="A5" s="3">
        <v>1</v>
      </c>
      <c r="B5" s="86" t="s">
        <v>36</v>
      </c>
      <c r="C5" s="87" t="s">
        <v>384</v>
      </c>
      <c r="D5" s="87" t="s">
        <v>264</v>
      </c>
      <c r="E5" s="91">
        <f>1580439.5*12</f>
        <v>18965274</v>
      </c>
      <c r="F5" s="91">
        <f>E5*D5</f>
        <v>18965274</v>
      </c>
    </row>
    <row r="6" spans="1:6" ht="18.75" x14ac:dyDescent="0.3">
      <c r="A6" s="3">
        <v>2</v>
      </c>
      <c r="B6" s="86" t="s">
        <v>385</v>
      </c>
      <c r="C6" s="87" t="s">
        <v>98</v>
      </c>
      <c r="D6" s="87" t="s">
        <v>386</v>
      </c>
      <c r="E6" s="91">
        <v>9607889.5199999996</v>
      </c>
      <c r="F6" s="91">
        <f t="shared" ref="F6:F17" si="0">E6*D6</f>
        <v>38431558.079999998</v>
      </c>
    </row>
    <row r="7" spans="1:6" ht="18.75" x14ac:dyDescent="0.3">
      <c r="A7" s="3">
        <v>3</v>
      </c>
      <c r="B7" s="86" t="s">
        <v>39</v>
      </c>
      <c r="C7" s="87" t="s">
        <v>353</v>
      </c>
      <c r="D7" s="87" t="s">
        <v>264</v>
      </c>
      <c r="E7" s="88">
        <f>424023.33*12</f>
        <v>5088279.96</v>
      </c>
      <c r="F7" s="91">
        <f t="shared" si="0"/>
        <v>5088279.96</v>
      </c>
    </row>
    <row r="8" spans="1:6" ht="18.75" x14ac:dyDescent="0.3">
      <c r="A8" s="3">
        <v>4</v>
      </c>
      <c r="B8" s="86" t="s">
        <v>42</v>
      </c>
      <c r="C8" s="87" t="s">
        <v>353</v>
      </c>
      <c r="D8" s="87" t="s">
        <v>387</v>
      </c>
      <c r="E8" s="88">
        <f>424023.33*12</f>
        <v>5088279.96</v>
      </c>
      <c r="F8" s="91">
        <f t="shared" si="0"/>
        <v>10176559.92</v>
      </c>
    </row>
    <row r="9" spans="1:6" ht="18.75" x14ac:dyDescent="0.3">
      <c r="A9" s="3">
        <v>5</v>
      </c>
      <c r="B9" s="84" t="s">
        <v>388</v>
      </c>
      <c r="C9" s="89" t="s">
        <v>353</v>
      </c>
      <c r="D9" s="93">
        <v>10</v>
      </c>
      <c r="E9" s="90">
        <v>5088279.96</v>
      </c>
      <c r="F9" s="91">
        <f t="shared" si="0"/>
        <v>50882799.600000001</v>
      </c>
    </row>
    <row r="10" spans="1:6" ht="18.75" x14ac:dyDescent="0.3">
      <c r="A10" s="3">
        <v>6</v>
      </c>
      <c r="B10" s="84" t="s">
        <v>389</v>
      </c>
      <c r="C10" s="89" t="s">
        <v>353</v>
      </c>
      <c r="D10" s="93">
        <v>10</v>
      </c>
      <c r="E10" s="90">
        <v>4136647.2</v>
      </c>
      <c r="F10" s="91">
        <f t="shared" si="0"/>
        <v>41366472</v>
      </c>
    </row>
    <row r="11" spans="1:6" ht="18.75" x14ac:dyDescent="0.3">
      <c r="A11" s="3">
        <v>7</v>
      </c>
      <c r="B11" s="84" t="s">
        <v>390</v>
      </c>
      <c r="C11" s="89" t="s">
        <v>105</v>
      </c>
      <c r="D11" s="93">
        <v>12</v>
      </c>
      <c r="E11" s="90">
        <f>344720.6*12</f>
        <v>4136647.1999999997</v>
      </c>
      <c r="F11" s="91">
        <f t="shared" si="0"/>
        <v>49639766.399999999</v>
      </c>
    </row>
    <row r="12" spans="1:6" ht="18.75" x14ac:dyDescent="0.3">
      <c r="A12" s="3">
        <v>8</v>
      </c>
      <c r="B12" s="84" t="s">
        <v>112</v>
      </c>
      <c r="C12" s="89" t="s">
        <v>113</v>
      </c>
      <c r="D12" s="93">
        <v>10</v>
      </c>
      <c r="E12" s="90">
        <f>249153.06*12</f>
        <v>2989836.7199999997</v>
      </c>
      <c r="F12" s="91">
        <f t="shared" si="0"/>
        <v>29898367.199999996</v>
      </c>
    </row>
    <row r="13" spans="1:6" ht="18.75" x14ac:dyDescent="0.3">
      <c r="A13" s="3">
        <v>9</v>
      </c>
      <c r="B13" s="84" t="s">
        <v>391</v>
      </c>
      <c r="C13" s="89" t="s">
        <v>125</v>
      </c>
      <c r="D13" s="93">
        <v>8</v>
      </c>
      <c r="E13" s="90">
        <v>2810412.36</v>
      </c>
      <c r="F13" s="91">
        <f t="shared" si="0"/>
        <v>22483298.879999999</v>
      </c>
    </row>
    <row r="14" spans="1:6" ht="18.75" x14ac:dyDescent="0.3">
      <c r="A14" s="3">
        <v>10</v>
      </c>
      <c r="B14" s="84" t="s">
        <v>392</v>
      </c>
      <c r="C14" s="89" t="s">
        <v>236</v>
      </c>
      <c r="D14" s="93">
        <v>15</v>
      </c>
      <c r="E14" s="90">
        <f>168602.08*12</f>
        <v>2023224.96</v>
      </c>
      <c r="F14" s="91">
        <f t="shared" si="0"/>
        <v>30348374.399999999</v>
      </c>
    </row>
    <row r="15" spans="1:6" ht="18.75" x14ac:dyDescent="0.3">
      <c r="A15" s="3">
        <v>11</v>
      </c>
      <c r="B15" s="86" t="s">
        <v>393</v>
      </c>
      <c r="C15" s="87" t="s">
        <v>394</v>
      </c>
      <c r="D15" s="87" t="s">
        <v>395</v>
      </c>
      <c r="E15" s="90">
        <f>123329.05*12</f>
        <v>1479948.6</v>
      </c>
      <c r="F15" s="91">
        <f t="shared" si="0"/>
        <v>29598972</v>
      </c>
    </row>
    <row r="16" spans="1:6" ht="18.75" x14ac:dyDescent="0.3">
      <c r="A16" s="3">
        <v>12</v>
      </c>
      <c r="B16" s="84" t="s">
        <v>396</v>
      </c>
      <c r="C16" s="89" t="s">
        <v>71</v>
      </c>
      <c r="D16" s="93">
        <v>15</v>
      </c>
      <c r="E16" s="90">
        <f>130304.44*12</f>
        <v>1563653.28</v>
      </c>
      <c r="F16" s="91">
        <f t="shared" si="0"/>
        <v>23454799.199999999</v>
      </c>
    </row>
    <row r="17" spans="1:6" ht="18.75" x14ac:dyDescent="0.3">
      <c r="A17" s="3">
        <v>13</v>
      </c>
      <c r="B17" s="84" t="s">
        <v>397</v>
      </c>
      <c r="C17" s="89" t="s">
        <v>372</v>
      </c>
      <c r="D17" s="93">
        <v>20</v>
      </c>
      <c r="E17" s="90">
        <f>46676.06*12</f>
        <v>560112.72</v>
      </c>
      <c r="F17" s="91">
        <f t="shared" si="0"/>
        <v>11202254.399999999</v>
      </c>
    </row>
    <row r="18" spans="1:6" ht="18.75" x14ac:dyDescent="0.3">
      <c r="A18" s="85"/>
      <c r="B18" s="85"/>
      <c r="C18" s="11"/>
      <c r="D18" s="11">
        <f>SUM(D9:D17)</f>
        <v>100</v>
      </c>
      <c r="E18" s="92"/>
      <c r="F18" s="18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3"/>
  <sheetViews>
    <sheetView workbookViewId="0">
      <selection activeCell="F23" sqref="F23"/>
    </sheetView>
  </sheetViews>
  <sheetFormatPr defaultRowHeight="12.75" x14ac:dyDescent="0.2"/>
  <cols>
    <col min="3" max="3" width="22.42578125" customWidth="1"/>
    <col min="4" max="4" width="32.7109375" customWidth="1"/>
    <col min="5" max="5" width="11" customWidth="1"/>
    <col min="6" max="6" width="21.140625" customWidth="1"/>
    <col min="7" max="7" width="23.5703125" customWidth="1"/>
  </cols>
  <sheetData>
    <row r="1" spans="1:10" ht="18" x14ac:dyDescent="0.25">
      <c r="D1" s="34"/>
    </row>
    <row r="2" spans="1:10" ht="18" x14ac:dyDescent="0.25">
      <c r="A2" s="267" t="s">
        <v>1</v>
      </c>
      <c r="B2" s="267"/>
      <c r="C2" s="267"/>
      <c r="D2" s="37" t="s">
        <v>4</v>
      </c>
      <c r="E2" s="37" t="s">
        <v>398</v>
      </c>
      <c r="F2" s="107" t="s">
        <v>261</v>
      </c>
      <c r="G2" s="43" t="s">
        <v>257</v>
      </c>
    </row>
    <row r="3" spans="1:10" ht="18" x14ac:dyDescent="0.25">
      <c r="A3" s="185"/>
      <c r="B3" s="185"/>
      <c r="C3" s="185"/>
      <c r="D3" s="56"/>
      <c r="E3" s="56"/>
      <c r="F3" s="104">
        <v>300000</v>
      </c>
      <c r="G3" s="105"/>
    </row>
    <row r="4" spans="1:10" ht="18" x14ac:dyDescent="0.25">
      <c r="A4" s="185" t="s">
        <v>82</v>
      </c>
      <c r="B4" s="185"/>
      <c r="C4" s="185"/>
      <c r="D4" s="56" t="s">
        <v>83</v>
      </c>
      <c r="E4" s="57" t="s">
        <v>98</v>
      </c>
      <c r="F4" s="104">
        <v>150000</v>
      </c>
      <c r="G4" s="105"/>
    </row>
    <row r="5" spans="1:10" ht="18" x14ac:dyDescent="0.25">
      <c r="A5" s="185" t="s">
        <v>399</v>
      </c>
      <c r="B5" s="185"/>
      <c r="C5" s="185"/>
      <c r="D5" s="56" t="s">
        <v>97</v>
      </c>
      <c r="E5" s="57" t="s">
        <v>98</v>
      </c>
      <c r="F5" s="104">
        <v>150000</v>
      </c>
      <c r="G5" s="105"/>
    </row>
    <row r="6" spans="1:10" ht="18" x14ac:dyDescent="0.25">
      <c r="A6" s="185" t="s">
        <v>146</v>
      </c>
      <c r="B6" s="185"/>
      <c r="C6" s="185"/>
      <c r="D6" s="56" t="s">
        <v>147</v>
      </c>
      <c r="E6" s="57" t="s">
        <v>98</v>
      </c>
      <c r="F6" s="104">
        <v>150000</v>
      </c>
      <c r="G6" s="105"/>
    </row>
    <row r="7" spans="1:10" ht="21.75" customHeight="1" x14ac:dyDescent="0.25">
      <c r="A7" s="185" t="s">
        <v>38</v>
      </c>
      <c r="B7" s="185"/>
      <c r="C7" s="185"/>
      <c r="D7" s="56" t="s">
        <v>39</v>
      </c>
      <c r="E7" s="57" t="s">
        <v>353</v>
      </c>
      <c r="F7" s="104">
        <v>100000</v>
      </c>
      <c r="G7" s="105"/>
    </row>
    <row r="8" spans="1:10" ht="22.5" customHeight="1" x14ac:dyDescent="0.25">
      <c r="A8" s="185" t="s">
        <v>354</v>
      </c>
      <c r="B8" s="185"/>
      <c r="C8" s="185"/>
      <c r="D8" s="56" t="s">
        <v>400</v>
      </c>
      <c r="E8" s="57" t="s">
        <v>353</v>
      </c>
      <c r="F8" s="104">
        <v>100000</v>
      </c>
      <c r="G8" s="105"/>
    </row>
    <row r="9" spans="1:10" ht="22.5" customHeight="1" x14ac:dyDescent="0.25">
      <c r="A9" s="185" t="s">
        <v>41</v>
      </c>
      <c r="B9" s="185"/>
      <c r="C9" s="185"/>
      <c r="D9" s="56" t="s">
        <v>42</v>
      </c>
      <c r="E9" s="57" t="s">
        <v>353</v>
      </c>
      <c r="F9" s="104">
        <v>100000</v>
      </c>
      <c r="G9" s="105"/>
    </row>
    <row r="10" spans="1:10" ht="19.5" customHeight="1" x14ac:dyDescent="0.25">
      <c r="A10" s="185" t="s">
        <v>85</v>
      </c>
      <c r="B10" s="185"/>
      <c r="C10" s="185"/>
      <c r="D10" s="56" t="s">
        <v>86</v>
      </c>
      <c r="E10" s="57" t="s">
        <v>353</v>
      </c>
      <c r="F10" s="104">
        <v>100000</v>
      </c>
      <c r="G10" s="105"/>
    </row>
    <row r="11" spans="1:10" ht="18" x14ac:dyDescent="0.25">
      <c r="A11" s="185" t="s">
        <v>99</v>
      </c>
      <c r="B11" s="185"/>
      <c r="C11" s="185"/>
      <c r="D11" s="52" t="s">
        <v>100</v>
      </c>
      <c r="E11" s="53" t="s">
        <v>353</v>
      </c>
      <c r="F11" s="104">
        <v>100000</v>
      </c>
      <c r="G11" s="105"/>
    </row>
    <row r="12" spans="1:10" ht="18" x14ac:dyDescent="0.25">
      <c r="A12" s="185" t="s">
        <v>148</v>
      </c>
      <c r="B12" s="185"/>
      <c r="C12" s="185"/>
      <c r="D12" s="56" t="s">
        <v>149</v>
      </c>
      <c r="E12" s="57" t="s">
        <v>353</v>
      </c>
      <c r="F12" s="104">
        <v>100000</v>
      </c>
      <c r="G12" s="105"/>
    </row>
    <row r="13" spans="1:10" ht="18" x14ac:dyDescent="0.25">
      <c r="A13" s="185" t="s">
        <v>150</v>
      </c>
      <c r="B13" s="185"/>
      <c r="C13" s="185"/>
      <c r="D13" s="56" t="s">
        <v>151</v>
      </c>
      <c r="E13" s="57" t="s">
        <v>353</v>
      </c>
      <c r="F13" s="104">
        <v>100000</v>
      </c>
      <c r="G13" s="105"/>
    </row>
    <row r="14" spans="1:10" ht="18" x14ac:dyDescent="0.25">
      <c r="A14" s="174" t="s">
        <v>44</v>
      </c>
      <c r="B14" s="174"/>
      <c r="C14" s="174"/>
      <c r="D14" s="52" t="s">
        <v>45</v>
      </c>
      <c r="E14" s="58" t="s">
        <v>105</v>
      </c>
      <c r="F14" s="104">
        <v>80000</v>
      </c>
      <c r="G14" s="105"/>
    </row>
    <row r="15" spans="1:10" ht="18" x14ac:dyDescent="0.25">
      <c r="A15" s="174" t="s">
        <v>47</v>
      </c>
      <c r="B15" s="174"/>
      <c r="C15" s="174"/>
      <c r="D15" s="52" t="s">
        <v>48</v>
      </c>
      <c r="E15" s="58" t="s">
        <v>105</v>
      </c>
      <c r="F15" s="104">
        <v>80000</v>
      </c>
      <c r="G15" s="105"/>
      <c r="J15" s="94"/>
    </row>
    <row r="16" spans="1:10" ht="18" x14ac:dyDescent="0.25">
      <c r="A16" s="282" t="s">
        <v>49</v>
      </c>
      <c r="B16" s="282"/>
      <c r="C16" s="282"/>
      <c r="D16" s="56" t="s">
        <v>50</v>
      </c>
      <c r="E16" s="57" t="s">
        <v>105</v>
      </c>
      <c r="F16" s="104">
        <v>80000</v>
      </c>
      <c r="G16" s="105"/>
    </row>
    <row r="17" spans="1:14" ht="18" x14ac:dyDescent="0.25">
      <c r="A17" s="175" t="s">
        <v>401</v>
      </c>
      <c r="B17" s="176"/>
      <c r="C17" s="195"/>
      <c r="D17" s="56" t="s">
        <v>402</v>
      </c>
      <c r="E17" s="57" t="s">
        <v>105</v>
      </c>
      <c r="F17" s="104">
        <v>80000</v>
      </c>
      <c r="G17" s="105"/>
      <c r="I17" t="s">
        <v>303</v>
      </c>
    </row>
    <row r="18" spans="1:14" ht="18" x14ac:dyDescent="0.25">
      <c r="A18" s="175" t="s">
        <v>156</v>
      </c>
      <c r="B18" s="176"/>
      <c r="C18" s="195"/>
      <c r="D18" s="56" t="s">
        <v>403</v>
      </c>
      <c r="E18" s="57" t="s">
        <v>105</v>
      </c>
      <c r="F18" s="104">
        <v>80000</v>
      </c>
      <c r="G18" s="105"/>
    </row>
    <row r="19" spans="1:14" ht="18" x14ac:dyDescent="0.25">
      <c r="A19" s="56" t="s">
        <v>154</v>
      </c>
      <c r="B19" s="56"/>
      <c r="C19" s="56"/>
      <c r="D19" s="56" t="s">
        <v>404</v>
      </c>
      <c r="E19" s="57" t="s">
        <v>105</v>
      </c>
      <c r="F19" s="104">
        <v>80000</v>
      </c>
      <c r="G19" s="105"/>
    </row>
    <row r="20" spans="1:14" ht="18" x14ac:dyDescent="0.25">
      <c r="A20" s="56" t="s">
        <v>405</v>
      </c>
      <c r="B20" s="56"/>
      <c r="C20" s="56"/>
      <c r="D20" s="56" t="s">
        <v>363</v>
      </c>
      <c r="E20" s="57" t="s">
        <v>406</v>
      </c>
      <c r="F20" s="104">
        <v>80000</v>
      </c>
      <c r="G20" s="105"/>
    </row>
    <row r="21" spans="1:14" ht="18" x14ac:dyDescent="0.25">
      <c r="A21" s="185" t="s">
        <v>101</v>
      </c>
      <c r="B21" s="185"/>
      <c r="C21" s="185"/>
      <c r="D21" s="52" t="s">
        <v>102</v>
      </c>
      <c r="E21" s="53" t="s">
        <v>46</v>
      </c>
      <c r="F21" s="104">
        <v>80000</v>
      </c>
      <c r="G21" s="105"/>
      <c r="N21" t="s">
        <v>407</v>
      </c>
    </row>
    <row r="22" spans="1:14" ht="18" x14ac:dyDescent="0.25">
      <c r="A22" s="106" t="s">
        <v>408</v>
      </c>
      <c r="B22" s="106"/>
      <c r="C22" s="70"/>
      <c r="D22" s="56" t="s">
        <v>234</v>
      </c>
      <c r="E22" s="57" t="s">
        <v>409</v>
      </c>
      <c r="F22" s="104">
        <v>80000</v>
      </c>
      <c r="G22" s="105"/>
    </row>
    <row r="23" spans="1:14" ht="29.25" customHeight="1" x14ac:dyDescent="0.3">
      <c r="A23" s="279" t="s">
        <v>32</v>
      </c>
      <c r="B23" s="280"/>
      <c r="C23" s="281"/>
      <c r="D23" s="105"/>
      <c r="E23" s="105"/>
      <c r="F23" s="108">
        <f>SUM(F3:F22)</f>
        <v>2170000</v>
      </c>
      <c r="G23" s="105"/>
    </row>
  </sheetData>
  <mergeCells count="19">
    <mergeCell ref="A23:C23"/>
    <mergeCell ref="A17:C17"/>
    <mergeCell ref="A18:C18"/>
    <mergeCell ref="A21:C21"/>
    <mergeCell ref="A6:C6"/>
    <mergeCell ref="A12:C12"/>
    <mergeCell ref="A13:C13"/>
    <mergeCell ref="A16:C16"/>
    <mergeCell ref="A14:C14"/>
    <mergeCell ref="A15:C15"/>
    <mergeCell ref="A2:C2"/>
    <mergeCell ref="A3:C3"/>
    <mergeCell ref="A7:C7"/>
    <mergeCell ref="A8:C8"/>
    <mergeCell ref="A11:C11"/>
    <mergeCell ref="A9:C9"/>
    <mergeCell ref="A5:C5"/>
    <mergeCell ref="A10:C10"/>
    <mergeCell ref="A4:C4"/>
  </mergeCells>
  <pageMargins left="0.33" right="0.16" top="0.75" bottom="0.75" header="0.3" footer="0.3"/>
  <pageSetup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6"/>
  <sheetViews>
    <sheetView workbookViewId="0">
      <selection sqref="A1:H30"/>
    </sheetView>
  </sheetViews>
  <sheetFormatPr defaultRowHeight="12.75" x14ac:dyDescent="0.2"/>
  <cols>
    <col min="1" max="1" width="5.7109375" customWidth="1"/>
    <col min="4" max="4" width="20.85546875" customWidth="1"/>
    <col min="5" max="5" width="31.5703125" customWidth="1"/>
    <col min="6" max="6" width="10.42578125" customWidth="1"/>
    <col min="7" max="7" width="21.85546875" customWidth="1"/>
    <col min="8" max="8" width="22" customWidth="1"/>
  </cols>
  <sheetData>
    <row r="1" spans="1:8" ht="18" x14ac:dyDescent="0.25">
      <c r="A1" s="113" t="s">
        <v>410</v>
      </c>
      <c r="B1" s="189" t="s">
        <v>411</v>
      </c>
      <c r="C1" s="189"/>
      <c r="D1" s="189"/>
      <c r="E1" s="35" t="s">
        <v>4</v>
      </c>
      <c r="F1" s="35" t="s">
        <v>398</v>
      </c>
      <c r="G1" s="43" t="s">
        <v>261</v>
      </c>
      <c r="H1" s="43" t="s">
        <v>257</v>
      </c>
    </row>
    <row r="2" spans="1:8" ht="18" x14ac:dyDescent="0.25">
      <c r="A2" s="114">
        <v>1</v>
      </c>
      <c r="B2" s="174" t="s">
        <v>54</v>
      </c>
      <c r="C2" s="174"/>
      <c r="D2" s="174"/>
      <c r="E2" s="52" t="s">
        <v>55</v>
      </c>
      <c r="F2" s="58" t="s">
        <v>125</v>
      </c>
      <c r="G2" s="104">
        <v>20000</v>
      </c>
      <c r="H2" s="109"/>
    </row>
    <row r="3" spans="1:8" ht="18" x14ac:dyDescent="0.25">
      <c r="A3" s="114">
        <v>2</v>
      </c>
      <c r="B3" s="174" t="s">
        <v>57</v>
      </c>
      <c r="C3" s="174"/>
      <c r="D3" s="174"/>
      <c r="E3" s="52" t="s">
        <v>58</v>
      </c>
      <c r="F3" s="53" t="s">
        <v>125</v>
      </c>
      <c r="G3" s="104">
        <v>20000</v>
      </c>
      <c r="H3" s="109"/>
    </row>
    <row r="4" spans="1:8" ht="18" x14ac:dyDescent="0.25">
      <c r="A4" s="114">
        <v>3</v>
      </c>
      <c r="B4" s="174" t="s">
        <v>412</v>
      </c>
      <c r="C4" s="174"/>
      <c r="D4" s="174"/>
      <c r="E4" s="52" t="s">
        <v>413</v>
      </c>
      <c r="F4" s="53" t="s">
        <v>236</v>
      </c>
      <c r="G4" s="104">
        <v>20000</v>
      </c>
      <c r="H4" s="109"/>
    </row>
    <row r="5" spans="1:8" ht="18" x14ac:dyDescent="0.25">
      <c r="A5" s="114">
        <v>4</v>
      </c>
      <c r="B5" s="174" t="s">
        <v>168</v>
      </c>
      <c r="C5" s="174"/>
      <c r="D5" s="174"/>
      <c r="E5" s="52" t="s">
        <v>414</v>
      </c>
      <c r="F5" s="53" t="s">
        <v>236</v>
      </c>
      <c r="G5" s="104">
        <v>20000</v>
      </c>
      <c r="H5" s="109"/>
    </row>
    <row r="6" spans="1:8" ht="18" x14ac:dyDescent="0.25">
      <c r="A6" s="114">
        <v>5</v>
      </c>
      <c r="B6" s="174" t="s">
        <v>59</v>
      </c>
      <c r="C6" s="174"/>
      <c r="D6" s="174"/>
      <c r="E6" s="52" t="s">
        <v>60</v>
      </c>
      <c r="F6" s="53" t="s">
        <v>236</v>
      </c>
      <c r="G6" s="104">
        <v>20000</v>
      </c>
      <c r="H6" s="109"/>
    </row>
    <row r="7" spans="1:8" ht="18" x14ac:dyDescent="0.25">
      <c r="A7" s="114">
        <v>6</v>
      </c>
      <c r="B7" s="103" t="s">
        <v>62</v>
      </c>
      <c r="C7" s="103" t="s">
        <v>62</v>
      </c>
      <c r="D7" s="103"/>
      <c r="E7" s="52" t="s">
        <v>63</v>
      </c>
      <c r="F7" s="53" t="s">
        <v>236</v>
      </c>
      <c r="G7" s="104">
        <v>20000</v>
      </c>
      <c r="H7" s="109"/>
    </row>
    <row r="8" spans="1:8" ht="18" x14ac:dyDescent="0.25">
      <c r="A8" s="114">
        <v>7</v>
      </c>
      <c r="B8" s="174" t="s">
        <v>64</v>
      </c>
      <c r="C8" s="174"/>
      <c r="D8" s="174"/>
      <c r="E8" s="52" t="s">
        <v>58</v>
      </c>
      <c r="F8" s="53" t="s">
        <v>236</v>
      </c>
      <c r="G8" s="104">
        <v>20000</v>
      </c>
      <c r="H8" s="109"/>
    </row>
    <row r="9" spans="1:8" ht="18" x14ac:dyDescent="0.25">
      <c r="A9" s="114">
        <v>8</v>
      </c>
      <c r="B9" s="282" t="s">
        <v>69</v>
      </c>
      <c r="C9" s="282"/>
      <c r="D9" s="282"/>
      <c r="E9" s="56" t="s">
        <v>70</v>
      </c>
      <c r="F9" s="57" t="s">
        <v>394</v>
      </c>
      <c r="G9" s="104">
        <v>20000</v>
      </c>
      <c r="H9" s="109"/>
    </row>
    <row r="10" spans="1:8" ht="18" x14ac:dyDescent="0.25">
      <c r="A10" s="114">
        <v>9</v>
      </c>
      <c r="B10" s="185" t="s">
        <v>72</v>
      </c>
      <c r="C10" s="185"/>
      <c r="D10" s="185"/>
      <c r="E10" s="56" t="s">
        <v>73</v>
      </c>
      <c r="F10" s="57" t="s">
        <v>394</v>
      </c>
      <c r="G10" s="104">
        <v>20000</v>
      </c>
      <c r="H10" s="109"/>
    </row>
    <row r="11" spans="1:8" ht="18" x14ac:dyDescent="0.25">
      <c r="A11" s="114">
        <v>10</v>
      </c>
      <c r="B11" s="185" t="s">
        <v>74</v>
      </c>
      <c r="C11" s="185"/>
      <c r="D11" s="185"/>
      <c r="E11" s="56" t="s">
        <v>75</v>
      </c>
      <c r="F11" s="57" t="s">
        <v>394</v>
      </c>
      <c r="G11" s="104">
        <v>20000</v>
      </c>
      <c r="H11" s="109"/>
    </row>
    <row r="12" spans="1:8" ht="18" x14ac:dyDescent="0.25">
      <c r="A12" s="114">
        <v>11</v>
      </c>
      <c r="B12" s="185" t="s">
        <v>76</v>
      </c>
      <c r="C12" s="185"/>
      <c r="D12" s="185"/>
      <c r="E12" s="56" t="s">
        <v>75</v>
      </c>
      <c r="F12" s="57" t="s">
        <v>394</v>
      </c>
      <c r="G12" s="104">
        <v>20000</v>
      </c>
      <c r="H12" s="109"/>
    </row>
    <row r="13" spans="1:8" ht="18" x14ac:dyDescent="0.25">
      <c r="A13" s="114">
        <v>12</v>
      </c>
      <c r="B13" s="185" t="s">
        <v>77</v>
      </c>
      <c r="C13" s="185"/>
      <c r="D13" s="185"/>
      <c r="E13" s="56" t="s">
        <v>78</v>
      </c>
      <c r="F13" s="57" t="s">
        <v>394</v>
      </c>
      <c r="G13" s="104">
        <v>20000</v>
      </c>
      <c r="H13" s="109"/>
    </row>
    <row r="14" spans="1:8" ht="18" x14ac:dyDescent="0.25">
      <c r="A14" s="114">
        <v>13</v>
      </c>
      <c r="B14" s="106" t="s">
        <v>79</v>
      </c>
      <c r="C14" s="106"/>
      <c r="D14" s="56"/>
      <c r="E14" s="56" t="s">
        <v>80</v>
      </c>
      <c r="F14" s="57" t="s">
        <v>394</v>
      </c>
      <c r="G14" s="104">
        <v>20000</v>
      </c>
      <c r="H14" s="109"/>
    </row>
    <row r="15" spans="1:8" ht="18" x14ac:dyDescent="0.25">
      <c r="A15" s="114">
        <v>14</v>
      </c>
      <c r="B15" s="185" t="s">
        <v>87</v>
      </c>
      <c r="C15" s="185"/>
      <c r="D15" s="185"/>
      <c r="E15" s="52" t="s">
        <v>52</v>
      </c>
      <c r="F15" s="53" t="s">
        <v>125</v>
      </c>
      <c r="G15" s="104">
        <v>20000</v>
      </c>
      <c r="H15" s="109"/>
    </row>
    <row r="16" spans="1:8" ht="18" x14ac:dyDescent="0.25">
      <c r="A16" s="114">
        <v>15</v>
      </c>
      <c r="B16" s="185" t="s">
        <v>88</v>
      </c>
      <c r="C16" s="185"/>
      <c r="D16" s="185"/>
      <c r="E16" s="52" t="s">
        <v>89</v>
      </c>
      <c r="F16" s="53" t="s">
        <v>236</v>
      </c>
      <c r="G16" s="104">
        <v>20000</v>
      </c>
      <c r="H16" s="109"/>
    </row>
    <row r="17" spans="1:8" ht="18" x14ac:dyDescent="0.25">
      <c r="A17" s="114">
        <v>16</v>
      </c>
      <c r="B17" s="185" t="s">
        <v>90</v>
      </c>
      <c r="C17" s="185"/>
      <c r="D17" s="185"/>
      <c r="E17" s="52" t="s">
        <v>89</v>
      </c>
      <c r="F17" s="53" t="s">
        <v>236</v>
      </c>
      <c r="G17" s="104">
        <v>20000</v>
      </c>
      <c r="H17" s="109"/>
    </row>
    <row r="18" spans="1:8" ht="18" x14ac:dyDescent="0.25">
      <c r="A18" s="114">
        <v>17</v>
      </c>
      <c r="B18" s="185" t="s">
        <v>91</v>
      </c>
      <c r="C18" s="185"/>
      <c r="D18" s="185"/>
      <c r="E18" s="52" t="s">
        <v>92</v>
      </c>
      <c r="F18" s="53" t="s">
        <v>415</v>
      </c>
      <c r="G18" s="104">
        <v>20000</v>
      </c>
      <c r="H18" s="109"/>
    </row>
    <row r="19" spans="1:8" ht="18" x14ac:dyDescent="0.25">
      <c r="A19" s="114">
        <v>18</v>
      </c>
      <c r="B19" s="185" t="s">
        <v>106</v>
      </c>
      <c r="C19" s="185"/>
      <c r="D19" s="185"/>
      <c r="E19" s="52" t="s">
        <v>107</v>
      </c>
      <c r="F19" s="53" t="s">
        <v>113</v>
      </c>
      <c r="G19" s="104">
        <v>20000</v>
      </c>
      <c r="H19" s="109"/>
    </row>
    <row r="20" spans="1:8" ht="18" x14ac:dyDescent="0.25">
      <c r="A20" s="114">
        <v>19</v>
      </c>
      <c r="B20" s="282" t="s">
        <v>109</v>
      </c>
      <c r="C20" s="282"/>
      <c r="D20" s="282"/>
      <c r="E20" s="52" t="s">
        <v>110</v>
      </c>
      <c r="F20" s="53" t="s">
        <v>113</v>
      </c>
      <c r="G20" s="104">
        <v>20000</v>
      </c>
      <c r="H20" s="109"/>
    </row>
    <row r="21" spans="1:8" ht="18" x14ac:dyDescent="0.25">
      <c r="A21" s="114">
        <v>20</v>
      </c>
      <c r="B21" s="185" t="s">
        <v>416</v>
      </c>
      <c r="C21" s="185"/>
      <c r="D21" s="185"/>
      <c r="E21" s="52" t="s">
        <v>52</v>
      </c>
      <c r="F21" s="53" t="s">
        <v>125</v>
      </c>
      <c r="G21" s="104">
        <v>20000</v>
      </c>
      <c r="H21" s="109"/>
    </row>
    <row r="22" spans="1:8" ht="18" x14ac:dyDescent="0.25">
      <c r="A22" s="114">
        <v>21</v>
      </c>
      <c r="B22" s="185" t="s">
        <v>51</v>
      </c>
      <c r="C22" s="185"/>
      <c r="D22" s="185"/>
      <c r="E22" s="52" t="s">
        <v>52</v>
      </c>
      <c r="F22" s="53" t="s">
        <v>125</v>
      </c>
      <c r="G22" s="104">
        <v>20000</v>
      </c>
      <c r="H22" s="109"/>
    </row>
    <row r="23" spans="1:8" ht="18" x14ac:dyDescent="0.25">
      <c r="A23" s="114">
        <v>22</v>
      </c>
      <c r="B23" s="185" t="s">
        <v>119</v>
      </c>
      <c r="C23" s="185"/>
      <c r="D23" s="185"/>
      <c r="E23" s="52" t="s">
        <v>52</v>
      </c>
      <c r="F23" s="53" t="s">
        <v>125</v>
      </c>
      <c r="G23" s="104">
        <v>20000</v>
      </c>
      <c r="H23" s="109"/>
    </row>
    <row r="24" spans="1:8" ht="18" x14ac:dyDescent="0.25">
      <c r="A24" s="114">
        <v>23</v>
      </c>
      <c r="B24" s="106" t="s">
        <v>122</v>
      </c>
      <c r="C24" s="106"/>
      <c r="D24" s="56"/>
      <c r="E24" s="52" t="s">
        <v>52</v>
      </c>
      <c r="F24" s="53" t="s">
        <v>125</v>
      </c>
      <c r="G24" s="104">
        <v>20000</v>
      </c>
      <c r="H24" s="109"/>
    </row>
    <row r="25" spans="1:8" ht="18" x14ac:dyDescent="0.25">
      <c r="A25" s="114">
        <v>24</v>
      </c>
      <c r="B25" s="174" t="s">
        <v>129</v>
      </c>
      <c r="C25" s="174"/>
      <c r="D25" s="174"/>
      <c r="E25" s="52" t="s">
        <v>356</v>
      </c>
      <c r="F25" s="53" t="s">
        <v>357</v>
      </c>
      <c r="G25" s="104">
        <v>20000</v>
      </c>
      <c r="H25" s="109"/>
    </row>
    <row r="26" spans="1:8" ht="18" x14ac:dyDescent="0.25">
      <c r="A26" s="114">
        <v>25</v>
      </c>
      <c r="B26" s="185" t="s">
        <v>132</v>
      </c>
      <c r="C26" s="185"/>
      <c r="D26" s="185"/>
      <c r="E26" s="52" t="s">
        <v>133</v>
      </c>
      <c r="F26" s="53" t="s">
        <v>236</v>
      </c>
      <c r="G26" s="104">
        <v>20000</v>
      </c>
      <c r="H26" s="109"/>
    </row>
    <row r="27" spans="1:8" ht="18" x14ac:dyDescent="0.25">
      <c r="A27" s="114">
        <v>26</v>
      </c>
      <c r="B27" s="185" t="s">
        <v>134</v>
      </c>
      <c r="C27" s="185"/>
      <c r="D27" s="185"/>
      <c r="E27" s="52" t="s">
        <v>89</v>
      </c>
      <c r="F27" s="53" t="s">
        <v>236</v>
      </c>
      <c r="G27" s="104">
        <v>20000</v>
      </c>
      <c r="H27" s="109"/>
    </row>
    <row r="28" spans="1:8" ht="18" x14ac:dyDescent="0.25">
      <c r="A28" s="114">
        <v>27</v>
      </c>
      <c r="B28" s="185" t="s">
        <v>417</v>
      </c>
      <c r="C28" s="185"/>
      <c r="D28" s="185"/>
      <c r="E28" s="52" t="s">
        <v>89</v>
      </c>
      <c r="F28" s="53" t="s">
        <v>236</v>
      </c>
      <c r="G28" s="104">
        <v>20000</v>
      </c>
      <c r="H28" s="109"/>
    </row>
    <row r="29" spans="1:8" ht="18" x14ac:dyDescent="0.25">
      <c r="A29" s="114">
        <v>28</v>
      </c>
      <c r="B29" s="185" t="s">
        <v>135</v>
      </c>
      <c r="C29" s="185"/>
      <c r="D29" s="185"/>
      <c r="E29" s="52" t="s">
        <v>136</v>
      </c>
      <c r="F29" s="53" t="s">
        <v>236</v>
      </c>
      <c r="G29" s="104">
        <v>20000</v>
      </c>
      <c r="H29" s="109"/>
    </row>
    <row r="30" spans="1:8" ht="18" x14ac:dyDescent="0.25">
      <c r="A30" s="114">
        <v>29</v>
      </c>
      <c r="B30" s="185" t="s">
        <v>137</v>
      </c>
      <c r="C30" s="185"/>
      <c r="D30" s="185"/>
      <c r="E30" s="52" t="s">
        <v>92</v>
      </c>
      <c r="F30" s="53" t="s">
        <v>415</v>
      </c>
      <c r="G30" s="104">
        <v>20000</v>
      </c>
      <c r="H30" s="109"/>
    </row>
    <row r="31" spans="1:8" ht="18" x14ac:dyDescent="0.25">
      <c r="A31" s="114">
        <v>30</v>
      </c>
      <c r="B31" s="185" t="s">
        <v>138</v>
      </c>
      <c r="C31" s="185"/>
      <c r="D31" s="185"/>
      <c r="E31" s="52" t="s">
        <v>92</v>
      </c>
      <c r="F31" s="53" t="s">
        <v>415</v>
      </c>
      <c r="G31" s="104">
        <v>20000</v>
      </c>
      <c r="H31" s="109"/>
    </row>
    <row r="32" spans="1:8" ht="18" x14ac:dyDescent="0.25">
      <c r="A32" s="114">
        <v>31</v>
      </c>
      <c r="B32" s="185" t="s">
        <v>139</v>
      </c>
      <c r="C32" s="185"/>
      <c r="D32" s="185"/>
      <c r="E32" s="52" t="s">
        <v>92</v>
      </c>
      <c r="F32" s="53" t="s">
        <v>415</v>
      </c>
      <c r="G32" s="104">
        <v>20000</v>
      </c>
      <c r="H32" s="109"/>
    </row>
    <row r="33" spans="1:8" ht="18" x14ac:dyDescent="0.25">
      <c r="A33" s="114">
        <v>32</v>
      </c>
      <c r="B33" s="185" t="s">
        <v>140</v>
      </c>
      <c r="C33" s="185"/>
      <c r="D33" s="185"/>
      <c r="E33" s="52" t="s">
        <v>92</v>
      </c>
      <c r="F33" s="53" t="s">
        <v>415</v>
      </c>
      <c r="G33" s="104">
        <v>20000</v>
      </c>
      <c r="H33" s="109"/>
    </row>
    <row r="34" spans="1:8" ht="18" x14ac:dyDescent="0.25">
      <c r="A34" s="114">
        <v>33</v>
      </c>
      <c r="B34" s="185" t="s">
        <v>365</v>
      </c>
      <c r="C34" s="185"/>
      <c r="D34" s="185"/>
      <c r="E34" s="56" t="s">
        <v>366</v>
      </c>
      <c r="F34" s="57" t="s">
        <v>367</v>
      </c>
      <c r="G34" s="104">
        <v>20000</v>
      </c>
      <c r="H34" s="109"/>
    </row>
    <row r="35" spans="1:8" ht="18" x14ac:dyDescent="0.25">
      <c r="A35" s="114">
        <v>34</v>
      </c>
      <c r="B35" s="185" t="s">
        <v>67</v>
      </c>
      <c r="C35" s="185"/>
      <c r="D35" s="185"/>
      <c r="E35" s="56" t="s">
        <v>68</v>
      </c>
      <c r="F35" s="57" t="s">
        <v>236</v>
      </c>
      <c r="G35" s="104">
        <v>20000</v>
      </c>
      <c r="H35" s="109"/>
    </row>
    <row r="36" spans="1:8" ht="18" x14ac:dyDescent="0.25">
      <c r="A36" s="114">
        <v>35</v>
      </c>
      <c r="B36" s="185" t="s">
        <v>160</v>
      </c>
      <c r="C36" s="185"/>
      <c r="D36" s="185"/>
      <c r="E36" s="56" t="s">
        <v>161</v>
      </c>
      <c r="F36" s="57" t="s">
        <v>236</v>
      </c>
      <c r="G36" s="104">
        <v>20000</v>
      </c>
      <c r="H36" s="109"/>
    </row>
    <row r="37" spans="1:8" ht="18" x14ac:dyDescent="0.25">
      <c r="A37" s="114">
        <v>36</v>
      </c>
      <c r="B37" s="185" t="s">
        <v>418</v>
      </c>
      <c r="C37" s="185"/>
      <c r="D37" s="185"/>
      <c r="E37" s="56" t="s">
        <v>161</v>
      </c>
      <c r="F37" s="57" t="s">
        <v>236</v>
      </c>
      <c r="G37" s="104">
        <v>20000</v>
      </c>
      <c r="H37" s="109"/>
    </row>
    <row r="38" spans="1:8" ht="18" x14ac:dyDescent="0.25">
      <c r="A38" s="114">
        <v>37</v>
      </c>
      <c r="B38" s="185" t="s">
        <v>162</v>
      </c>
      <c r="C38" s="185"/>
      <c r="D38" s="185"/>
      <c r="E38" s="56" t="s">
        <v>163</v>
      </c>
      <c r="F38" s="57" t="s">
        <v>236</v>
      </c>
      <c r="G38" s="104">
        <v>20000</v>
      </c>
      <c r="H38" s="109"/>
    </row>
    <row r="39" spans="1:8" ht="18" x14ac:dyDescent="0.25">
      <c r="A39" s="114">
        <v>38</v>
      </c>
      <c r="B39" s="185" t="s">
        <v>164</v>
      </c>
      <c r="C39" s="185"/>
      <c r="D39" s="185"/>
      <c r="E39" s="56" t="s">
        <v>165</v>
      </c>
      <c r="F39" s="57" t="s">
        <v>236</v>
      </c>
      <c r="G39" s="104">
        <v>20000</v>
      </c>
      <c r="H39" s="109"/>
    </row>
    <row r="40" spans="1:8" ht="18" x14ac:dyDescent="0.25">
      <c r="A40" s="114">
        <v>39</v>
      </c>
      <c r="B40" s="185" t="s">
        <v>166</v>
      </c>
      <c r="C40" s="185"/>
      <c r="D40" s="185"/>
      <c r="E40" s="56" t="s">
        <v>167</v>
      </c>
      <c r="F40" s="57" t="s">
        <v>236</v>
      </c>
      <c r="G40" s="104">
        <v>20000</v>
      </c>
      <c r="H40" s="109"/>
    </row>
    <row r="41" spans="1:8" ht="18" x14ac:dyDescent="0.25">
      <c r="A41" s="114">
        <v>40</v>
      </c>
      <c r="B41" s="185" t="s">
        <v>143</v>
      </c>
      <c r="C41" s="185"/>
      <c r="D41" s="185"/>
      <c r="E41" s="56" t="s">
        <v>171</v>
      </c>
      <c r="F41" s="57" t="s">
        <v>394</v>
      </c>
      <c r="G41" s="104">
        <v>20000</v>
      </c>
      <c r="H41" s="109"/>
    </row>
    <row r="42" spans="1:8" ht="18" x14ac:dyDescent="0.25">
      <c r="A42" s="114">
        <v>41</v>
      </c>
      <c r="B42" s="185" t="s">
        <v>170</v>
      </c>
      <c r="C42" s="185"/>
      <c r="D42" s="185"/>
      <c r="E42" s="56" t="s">
        <v>171</v>
      </c>
      <c r="F42" s="57" t="s">
        <v>394</v>
      </c>
      <c r="G42" s="104">
        <v>20000</v>
      </c>
      <c r="H42" s="109"/>
    </row>
    <row r="43" spans="1:8" ht="18" x14ac:dyDescent="0.25">
      <c r="A43" s="114">
        <v>42</v>
      </c>
      <c r="B43" s="185" t="s">
        <v>172</v>
      </c>
      <c r="C43" s="185"/>
      <c r="D43" s="185"/>
      <c r="E43" s="56" t="s">
        <v>171</v>
      </c>
      <c r="F43" s="57" t="s">
        <v>394</v>
      </c>
      <c r="G43" s="104">
        <v>20000</v>
      </c>
      <c r="H43" s="109"/>
    </row>
    <row r="44" spans="1:8" ht="18" x14ac:dyDescent="0.25">
      <c r="A44" s="114">
        <v>43</v>
      </c>
      <c r="B44" s="185" t="s">
        <v>141</v>
      </c>
      <c r="C44" s="185"/>
      <c r="D44" s="185"/>
      <c r="E44" s="56" t="s">
        <v>171</v>
      </c>
      <c r="F44" s="57" t="s">
        <v>394</v>
      </c>
      <c r="G44" s="104">
        <v>20000</v>
      </c>
      <c r="H44" s="109"/>
    </row>
    <row r="45" spans="1:8" ht="18" x14ac:dyDescent="0.25">
      <c r="A45" s="114">
        <v>44</v>
      </c>
      <c r="B45" s="185" t="s">
        <v>419</v>
      </c>
      <c r="C45" s="185"/>
      <c r="D45" s="185"/>
      <c r="E45" s="56" t="s">
        <v>171</v>
      </c>
      <c r="F45" s="57" t="s">
        <v>394</v>
      </c>
      <c r="G45" s="104">
        <v>20000</v>
      </c>
      <c r="H45" s="109"/>
    </row>
    <row r="46" spans="1:8" ht="18" x14ac:dyDescent="0.25">
      <c r="A46" s="114">
        <v>45</v>
      </c>
      <c r="B46" s="282" t="s">
        <v>173</v>
      </c>
      <c r="C46" s="282"/>
      <c r="D46" s="282"/>
      <c r="E46" s="56" t="s">
        <v>174</v>
      </c>
      <c r="F46" s="57" t="s">
        <v>394</v>
      </c>
      <c r="G46" s="104">
        <v>20000</v>
      </c>
      <c r="H46" s="109"/>
    </row>
    <row r="47" spans="1:8" ht="18" x14ac:dyDescent="0.25">
      <c r="A47" s="114">
        <v>46</v>
      </c>
      <c r="B47" s="185" t="s">
        <v>175</v>
      </c>
      <c r="C47" s="185"/>
      <c r="D47" s="185"/>
      <c r="E47" s="56" t="s">
        <v>174</v>
      </c>
      <c r="F47" s="57" t="s">
        <v>394</v>
      </c>
      <c r="G47" s="104">
        <v>20000</v>
      </c>
      <c r="H47" s="109"/>
    </row>
    <row r="48" spans="1:8" ht="18" x14ac:dyDescent="0.25">
      <c r="A48" s="114">
        <v>47</v>
      </c>
      <c r="B48" s="185" t="s">
        <v>176</v>
      </c>
      <c r="C48" s="185"/>
      <c r="D48" s="185"/>
      <c r="E48" s="56" t="s">
        <v>174</v>
      </c>
      <c r="F48" s="57" t="s">
        <v>394</v>
      </c>
      <c r="G48" s="104">
        <v>20000</v>
      </c>
      <c r="H48" s="109"/>
    </row>
    <row r="49" spans="1:8" ht="18" x14ac:dyDescent="0.25">
      <c r="A49" s="114">
        <v>48</v>
      </c>
      <c r="B49" s="185" t="s">
        <v>177</v>
      </c>
      <c r="C49" s="185"/>
      <c r="D49" s="185"/>
      <c r="E49" s="56" t="s">
        <v>178</v>
      </c>
      <c r="F49" s="57" t="s">
        <v>394</v>
      </c>
      <c r="G49" s="104">
        <v>20000</v>
      </c>
      <c r="H49" s="109"/>
    </row>
    <row r="50" spans="1:8" ht="18" x14ac:dyDescent="0.25">
      <c r="A50" s="114">
        <v>49</v>
      </c>
      <c r="B50" s="282" t="s">
        <v>420</v>
      </c>
      <c r="C50" s="282"/>
      <c r="D50" s="282"/>
      <c r="E50" s="56" t="s">
        <v>421</v>
      </c>
      <c r="F50" s="57" t="s">
        <v>394</v>
      </c>
      <c r="G50" s="104">
        <v>20000</v>
      </c>
      <c r="H50" s="109"/>
    </row>
    <row r="51" spans="1:8" ht="18" x14ac:dyDescent="0.25">
      <c r="A51" s="114">
        <v>50</v>
      </c>
      <c r="B51" s="185" t="s">
        <v>179</v>
      </c>
      <c r="C51" s="185"/>
      <c r="D51" s="185"/>
      <c r="E51" s="56" t="s">
        <v>180</v>
      </c>
      <c r="F51" s="57" t="s">
        <v>71</v>
      </c>
      <c r="G51" s="104">
        <v>20000</v>
      </c>
      <c r="H51" s="109"/>
    </row>
    <row r="52" spans="1:8" ht="18" x14ac:dyDescent="0.25">
      <c r="A52" s="114">
        <v>51</v>
      </c>
      <c r="B52" s="185" t="s">
        <v>182</v>
      </c>
      <c r="C52" s="185"/>
      <c r="D52" s="185"/>
      <c r="E52" s="52" t="s">
        <v>183</v>
      </c>
      <c r="F52" s="53" t="s">
        <v>71</v>
      </c>
      <c r="G52" s="104">
        <v>20000</v>
      </c>
      <c r="H52" s="109"/>
    </row>
    <row r="53" spans="1:8" ht="18" x14ac:dyDescent="0.25">
      <c r="A53" s="114">
        <v>52</v>
      </c>
      <c r="B53" s="185" t="s">
        <v>184</v>
      </c>
      <c r="C53" s="185"/>
      <c r="D53" s="185"/>
      <c r="E53" s="56" t="s">
        <v>183</v>
      </c>
      <c r="F53" s="57" t="s">
        <v>369</v>
      </c>
      <c r="G53" s="104">
        <v>20000</v>
      </c>
      <c r="H53" s="109"/>
    </row>
    <row r="54" spans="1:8" ht="18" x14ac:dyDescent="0.25">
      <c r="A54" s="114">
        <v>53</v>
      </c>
      <c r="B54" s="185" t="s">
        <v>370</v>
      </c>
      <c r="C54" s="185"/>
      <c r="D54" s="185"/>
      <c r="E54" s="56" t="s">
        <v>183</v>
      </c>
      <c r="F54" s="57" t="s">
        <v>71</v>
      </c>
      <c r="G54" s="104">
        <v>20000</v>
      </c>
      <c r="H54" s="109"/>
    </row>
    <row r="55" spans="1:8" ht="18" x14ac:dyDescent="0.25">
      <c r="A55" s="114">
        <v>54</v>
      </c>
      <c r="B55" s="185" t="s">
        <v>185</v>
      </c>
      <c r="C55" s="185"/>
      <c r="D55" s="185"/>
      <c r="E55" s="56" t="s">
        <v>183</v>
      </c>
      <c r="F55" s="57" t="s">
        <v>71</v>
      </c>
      <c r="G55" s="104">
        <v>20000</v>
      </c>
      <c r="H55" s="109"/>
    </row>
    <row r="56" spans="1:8" ht="18" x14ac:dyDescent="0.25">
      <c r="A56" s="114">
        <v>55</v>
      </c>
      <c r="B56" s="185" t="s">
        <v>144</v>
      </c>
      <c r="C56" s="185"/>
      <c r="D56" s="185"/>
      <c r="E56" s="56" t="s">
        <v>371</v>
      </c>
      <c r="F56" s="57" t="s">
        <v>394</v>
      </c>
      <c r="G56" s="104">
        <v>20000</v>
      </c>
      <c r="H56" s="109"/>
    </row>
    <row r="57" spans="1:8" ht="18" x14ac:dyDescent="0.25">
      <c r="A57" s="114">
        <v>56</v>
      </c>
      <c r="B57" s="175" t="s">
        <v>422</v>
      </c>
      <c r="C57" s="176"/>
      <c r="D57" s="195"/>
      <c r="E57" s="56" t="s">
        <v>66</v>
      </c>
      <c r="F57" s="57" t="s">
        <v>236</v>
      </c>
      <c r="G57" s="104">
        <v>20000</v>
      </c>
      <c r="H57" s="109"/>
    </row>
    <row r="58" spans="1:8" ht="18" x14ac:dyDescent="0.25">
      <c r="A58" s="114">
        <v>57</v>
      </c>
      <c r="B58" s="185" t="s">
        <v>188</v>
      </c>
      <c r="C58" s="185"/>
      <c r="D58" s="185"/>
      <c r="E58" s="56" t="s">
        <v>189</v>
      </c>
      <c r="F58" s="57" t="s">
        <v>372</v>
      </c>
      <c r="G58" s="104">
        <v>10000</v>
      </c>
      <c r="H58" s="109"/>
    </row>
    <row r="59" spans="1:8" ht="18" x14ac:dyDescent="0.25">
      <c r="A59" s="114">
        <v>58</v>
      </c>
      <c r="B59" s="185" t="s">
        <v>191</v>
      </c>
      <c r="C59" s="185"/>
      <c r="D59" s="185"/>
      <c r="E59" s="56" t="s">
        <v>189</v>
      </c>
      <c r="F59" s="57" t="s">
        <v>372</v>
      </c>
      <c r="G59" s="104">
        <v>10000</v>
      </c>
      <c r="H59" s="109"/>
    </row>
    <row r="60" spans="1:8" ht="18" x14ac:dyDescent="0.25">
      <c r="A60" s="114">
        <v>59</v>
      </c>
      <c r="B60" s="185" t="s">
        <v>192</v>
      </c>
      <c r="C60" s="185"/>
      <c r="D60" s="185"/>
      <c r="E60" s="56" t="s">
        <v>189</v>
      </c>
      <c r="F60" s="57" t="s">
        <v>372</v>
      </c>
      <c r="G60" s="104">
        <v>10000</v>
      </c>
      <c r="H60" s="109"/>
    </row>
    <row r="61" spans="1:8" ht="18" x14ac:dyDescent="0.25">
      <c r="A61" s="114">
        <v>60</v>
      </c>
      <c r="B61" s="185" t="s">
        <v>193</v>
      </c>
      <c r="C61" s="185"/>
      <c r="D61" s="185"/>
      <c r="E61" s="56" t="s">
        <v>189</v>
      </c>
      <c r="F61" s="57" t="s">
        <v>372</v>
      </c>
      <c r="G61" s="104">
        <v>10000</v>
      </c>
      <c r="H61" s="109"/>
    </row>
    <row r="62" spans="1:8" ht="18" x14ac:dyDescent="0.25">
      <c r="A62" s="114">
        <v>61</v>
      </c>
      <c r="B62" s="185" t="s">
        <v>194</v>
      </c>
      <c r="C62" s="185"/>
      <c r="D62" s="185"/>
      <c r="E62" s="56" t="s">
        <v>189</v>
      </c>
      <c r="F62" s="57" t="s">
        <v>372</v>
      </c>
      <c r="G62" s="104">
        <v>10000</v>
      </c>
      <c r="H62" s="109"/>
    </row>
    <row r="63" spans="1:8" ht="18" x14ac:dyDescent="0.25">
      <c r="A63" s="114">
        <v>62</v>
      </c>
      <c r="B63" s="185" t="s">
        <v>195</v>
      </c>
      <c r="C63" s="185"/>
      <c r="D63" s="185"/>
      <c r="E63" s="56" t="s">
        <v>189</v>
      </c>
      <c r="F63" s="57" t="s">
        <v>372</v>
      </c>
      <c r="G63" s="104">
        <v>10000</v>
      </c>
      <c r="H63" s="109"/>
    </row>
    <row r="64" spans="1:8" ht="18" x14ac:dyDescent="0.25">
      <c r="A64" s="114">
        <v>63</v>
      </c>
      <c r="B64" s="185" t="s">
        <v>196</v>
      </c>
      <c r="C64" s="185"/>
      <c r="D64" s="185"/>
      <c r="E64" s="52" t="s">
        <v>189</v>
      </c>
      <c r="F64" s="53" t="s">
        <v>372</v>
      </c>
      <c r="G64" s="104">
        <v>10000</v>
      </c>
      <c r="H64" s="109"/>
    </row>
    <row r="65" spans="1:8" ht="18" x14ac:dyDescent="0.25">
      <c r="A65" s="114">
        <v>64</v>
      </c>
      <c r="B65" s="185" t="s">
        <v>197</v>
      </c>
      <c r="C65" s="185"/>
      <c r="D65" s="185"/>
      <c r="E65" s="56" t="s">
        <v>189</v>
      </c>
      <c r="F65" s="57" t="s">
        <v>423</v>
      </c>
      <c r="G65" s="104">
        <v>10000</v>
      </c>
      <c r="H65" s="109"/>
    </row>
    <row r="66" spans="1:8" ht="18" x14ac:dyDescent="0.25">
      <c r="A66" s="114">
        <v>65</v>
      </c>
      <c r="B66" s="185" t="s">
        <v>199</v>
      </c>
      <c r="C66" s="185"/>
      <c r="D66" s="185"/>
      <c r="E66" s="56" t="s">
        <v>189</v>
      </c>
      <c r="F66" s="57" t="s">
        <v>423</v>
      </c>
      <c r="G66" s="104">
        <v>10000</v>
      </c>
      <c r="H66" s="109"/>
    </row>
    <row r="67" spans="1:8" ht="18" x14ac:dyDescent="0.25">
      <c r="A67" s="114">
        <v>66</v>
      </c>
      <c r="B67" s="185" t="s">
        <v>424</v>
      </c>
      <c r="C67" s="185"/>
      <c r="D67" s="185"/>
      <c r="E67" s="56" t="s">
        <v>189</v>
      </c>
      <c r="F67" s="57" t="s">
        <v>423</v>
      </c>
      <c r="G67" s="104">
        <v>10000</v>
      </c>
      <c r="H67" s="109"/>
    </row>
    <row r="68" spans="1:8" ht="18" x14ac:dyDescent="0.25">
      <c r="A68" s="114">
        <v>67</v>
      </c>
      <c r="B68" s="185" t="s">
        <v>200</v>
      </c>
      <c r="C68" s="185"/>
      <c r="D68" s="185"/>
      <c r="E68" s="56" t="s">
        <v>189</v>
      </c>
      <c r="F68" s="57" t="s">
        <v>423</v>
      </c>
      <c r="G68" s="104">
        <v>10000</v>
      </c>
      <c r="H68" s="109"/>
    </row>
    <row r="69" spans="1:8" ht="18" x14ac:dyDescent="0.25">
      <c r="A69" s="114">
        <v>68</v>
      </c>
      <c r="B69" s="185" t="s">
        <v>201</v>
      </c>
      <c r="C69" s="185"/>
      <c r="D69" s="185"/>
      <c r="E69" s="56" t="s">
        <v>189</v>
      </c>
      <c r="F69" s="57" t="s">
        <v>423</v>
      </c>
      <c r="G69" s="104">
        <v>10000</v>
      </c>
      <c r="H69" s="109"/>
    </row>
    <row r="70" spans="1:8" ht="18" x14ac:dyDescent="0.25">
      <c r="A70" s="114">
        <v>69</v>
      </c>
      <c r="B70" s="185" t="s">
        <v>202</v>
      </c>
      <c r="C70" s="185"/>
      <c r="D70" s="185"/>
      <c r="E70" s="56" t="s">
        <v>189</v>
      </c>
      <c r="F70" s="57" t="s">
        <v>423</v>
      </c>
      <c r="G70" s="104">
        <v>10000</v>
      </c>
      <c r="H70" s="109"/>
    </row>
    <row r="71" spans="1:8" ht="18" x14ac:dyDescent="0.25">
      <c r="A71" s="114">
        <v>70</v>
      </c>
      <c r="B71" s="185" t="s">
        <v>225</v>
      </c>
      <c r="C71" s="185"/>
      <c r="D71" s="185"/>
      <c r="E71" s="56" t="s">
        <v>189</v>
      </c>
      <c r="F71" s="57" t="s">
        <v>423</v>
      </c>
      <c r="G71" s="104">
        <v>10000</v>
      </c>
      <c r="H71" s="109"/>
    </row>
    <row r="72" spans="1:8" ht="18" x14ac:dyDescent="0.25">
      <c r="A72" s="114">
        <v>71</v>
      </c>
      <c r="B72" s="185" t="s">
        <v>203</v>
      </c>
      <c r="C72" s="185"/>
      <c r="D72" s="185"/>
      <c r="E72" s="56" t="s">
        <v>189</v>
      </c>
      <c r="F72" s="57" t="s">
        <v>423</v>
      </c>
      <c r="G72" s="104">
        <v>10000</v>
      </c>
      <c r="H72" s="109"/>
    </row>
    <row r="73" spans="1:8" ht="18" x14ac:dyDescent="0.25">
      <c r="A73" s="114">
        <v>72</v>
      </c>
      <c r="B73" s="56" t="s">
        <v>205</v>
      </c>
      <c r="C73" s="56"/>
      <c r="D73" s="56"/>
      <c r="E73" s="56" t="s">
        <v>189</v>
      </c>
      <c r="F73" s="57" t="s">
        <v>423</v>
      </c>
      <c r="G73" s="104">
        <v>10000</v>
      </c>
      <c r="H73" s="109"/>
    </row>
    <row r="74" spans="1:8" ht="18" x14ac:dyDescent="0.25">
      <c r="A74" s="114">
        <v>73</v>
      </c>
      <c r="B74" s="174" t="s">
        <v>211</v>
      </c>
      <c r="C74" s="174"/>
      <c r="D74" s="174"/>
      <c r="E74" s="56" t="s">
        <v>212</v>
      </c>
      <c r="F74" s="57" t="s">
        <v>213</v>
      </c>
      <c r="G74" s="104">
        <v>10000</v>
      </c>
      <c r="H74" s="109"/>
    </row>
    <row r="75" spans="1:8" ht="18" x14ac:dyDescent="0.25">
      <c r="A75" s="114">
        <v>74</v>
      </c>
      <c r="B75" s="174" t="s">
        <v>214</v>
      </c>
      <c r="C75" s="174"/>
      <c r="D75" s="174"/>
      <c r="E75" s="56" t="s">
        <v>212</v>
      </c>
      <c r="F75" s="57" t="s">
        <v>213</v>
      </c>
      <c r="G75" s="104">
        <v>10000</v>
      </c>
      <c r="H75" s="109"/>
    </row>
    <row r="76" spans="1:8" ht="18" x14ac:dyDescent="0.25">
      <c r="A76" s="114">
        <v>75</v>
      </c>
      <c r="B76" s="174" t="s">
        <v>215</v>
      </c>
      <c r="C76" s="174"/>
      <c r="D76" s="174"/>
      <c r="E76" s="56" t="s">
        <v>216</v>
      </c>
      <c r="F76" s="57" t="s">
        <v>213</v>
      </c>
      <c r="G76" s="104">
        <v>10000</v>
      </c>
      <c r="H76" s="109"/>
    </row>
    <row r="77" spans="1:8" ht="18" x14ac:dyDescent="0.25">
      <c r="A77" s="114">
        <v>76</v>
      </c>
      <c r="B77" s="174" t="s">
        <v>217</v>
      </c>
      <c r="C77" s="174"/>
      <c r="D77" s="174"/>
      <c r="E77" s="56" t="s">
        <v>216</v>
      </c>
      <c r="F77" s="57" t="s">
        <v>213</v>
      </c>
      <c r="G77" s="104">
        <v>10000</v>
      </c>
      <c r="H77" s="109"/>
    </row>
    <row r="78" spans="1:8" ht="18" x14ac:dyDescent="0.25">
      <c r="A78" s="114">
        <v>77</v>
      </c>
      <c r="B78" s="174" t="s">
        <v>218</v>
      </c>
      <c r="C78" s="174"/>
      <c r="D78" s="174"/>
      <c r="E78" s="56" t="s">
        <v>212</v>
      </c>
      <c r="F78" s="104">
        <v>0</v>
      </c>
      <c r="G78" s="104">
        <v>10000</v>
      </c>
      <c r="H78" s="109"/>
    </row>
    <row r="79" spans="1:8" ht="18" x14ac:dyDescent="0.25">
      <c r="A79" s="114">
        <v>78</v>
      </c>
      <c r="B79" s="174" t="s">
        <v>219</v>
      </c>
      <c r="C79" s="174"/>
      <c r="D79" s="174"/>
      <c r="E79" s="56" t="s">
        <v>216</v>
      </c>
      <c r="F79" s="104">
        <v>0</v>
      </c>
      <c r="G79" s="104">
        <v>10000</v>
      </c>
      <c r="H79" s="109"/>
    </row>
    <row r="80" spans="1:8" ht="18" x14ac:dyDescent="0.25">
      <c r="A80" s="114">
        <v>79</v>
      </c>
      <c r="B80" s="174" t="s">
        <v>220</v>
      </c>
      <c r="C80" s="174"/>
      <c r="D80" s="174"/>
      <c r="E80" s="56" t="s">
        <v>212</v>
      </c>
      <c r="F80" s="57" t="s">
        <v>213</v>
      </c>
      <c r="G80" s="104">
        <v>10000</v>
      </c>
      <c r="H80" s="109"/>
    </row>
    <row r="81" spans="1:8" ht="18" x14ac:dyDescent="0.25">
      <c r="A81" s="114">
        <v>80</v>
      </c>
      <c r="B81" s="111" t="s">
        <v>221</v>
      </c>
      <c r="C81" s="112"/>
      <c r="D81" s="103"/>
      <c r="E81" s="56" t="s">
        <v>222</v>
      </c>
      <c r="F81" s="57"/>
      <c r="G81" s="104">
        <v>10000</v>
      </c>
      <c r="H81" s="109"/>
    </row>
    <row r="82" spans="1:8" ht="18" x14ac:dyDescent="0.25">
      <c r="A82" s="114">
        <v>81</v>
      </c>
      <c r="B82" s="111" t="s">
        <v>223</v>
      </c>
      <c r="C82" s="112"/>
      <c r="D82" s="103"/>
      <c r="E82" s="56" t="s">
        <v>222</v>
      </c>
      <c r="F82" s="57"/>
      <c r="G82" s="104">
        <v>10000</v>
      </c>
      <c r="H82" s="109"/>
    </row>
    <row r="83" spans="1:8" ht="18" x14ac:dyDescent="0.25">
      <c r="A83" s="114">
        <v>82</v>
      </c>
      <c r="B83" s="111" t="s">
        <v>204</v>
      </c>
      <c r="C83" s="112"/>
      <c r="D83" s="103"/>
      <c r="E83" s="56" t="s">
        <v>189</v>
      </c>
      <c r="F83" s="57"/>
      <c r="G83" s="104">
        <v>10000</v>
      </c>
      <c r="H83" s="109"/>
    </row>
    <row r="84" spans="1:8" ht="18" x14ac:dyDescent="0.25">
      <c r="A84" s="114">
        <v>83</v>
      </c>
      <c r="B84" s="193" t="s">
        <v>226</v>
      </c>
      <c r="C84" s="194"/>
      <c r="D84" s="283"/>
      <c r="E84" s="56" t="s">
        <v>216</v>
      </c>
      <c r="F84" s="57"/>
      <c r="G84" s="104">
        <v>10000</v>
      </c>
      <c r="H84" s="109"/>
    </row>
    <row r="85" spans="1:8" ht="35.25" customHeight="1" x14ac:dyDescent="0.25">
      <c r="A85" s="28"/>
      <c r="B85" s="284"/>
      <c r="C85" s="285"/>
      <c r="D85" s="286"/>
      <c r="E85" s="109"/>
      <c r="F85" s="109"/>
      <c r="G85" s="110">
        <f>SUM(G2:G84)</f>
        <v>1390000</v>
      </c>
      <c r="H85" s="109"/>
    </row>
    <row r="86" spans="1:8" ht="18" x14ac:dyDescent="0.25">
      <c r="A86" s="114"/>
    </row>
  </sheetData>
  <mergeCells count="78">
    <mergeCell ref="B84:D84"/>
    <mergeCell ref="B57:D57"/>
    <mergeCell ref="B85:D85"/>
    <mergeCell ref="B1:D1"/>
    <mergeCell ref="B13:D13"/>
    <mergeCell ref="B2:D2"/>
    <mergeCell ref="B3:D3"/>
    <mergeCell ref="B4:D4"/>
    <mergeCell ref="B5:D5"/>
    <mergeCell ref="B6:D6"/>
    <mergeCell ref="B15:D15"/>
    <mergeCell ref="B16:D16"/>
    <mergeCell ref="B17:D17"/>
    <mergeCell ref="B22:D22"/>
    <mergeCell ref="B25:D25"/>
    <mergeCell ref="B8:D8"/>
    <mergeCell ref="B9:D9"/>
    <mergeCell ref="B10:D10"/>
    <mergeCell ref="B11:D11"/>
    <mergeCell ref="B12:D12"/>
    <mergeCell ref="B34:D34"/>
    <mergeCell ref="B18:D18"/>
    <mergeCell ref="B19:D19"/>
    <mergeCell ref="B35:D35"/>
    <mergeCell ref="B36:D36"/>
    <mergeCell ref="B32:D32"/>
    <mergeCell ref="B33:D33"/>
    <mergeCell ref="B20:D20"/>
    <mergeCell ref="B21:D21"/>
    <mergeCell ref="B23:D23"/>
    <mergeCell ref="B27:D27"/>
    <mergeCell ref="B30:D30"/>
    <mergeCell ref="B31:D31"/>
    <mergeCell ref="B26:D26"/>
    <mergeCell ref="B28:D28"/>
    <mergeCell ref="B29:D29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8:D58"/>
    <mergeCell ref="B59:D59"/>
    <mergeCell ref="B60:D60"/>
    <mergeCell ref="B61:D61"/>
    <mergeCell ref="B62:D62"/>
    <mergeCell ref="B63:D63"/>
    <mergeCell ref="B64:D64"/>
    <mergeCell ref="B74:D74"/>
    <mergeCell ref="B75:D75"/>
    <mergeCell ref="B76:D76"/>
    <mergeCell ref="B65:D65"/>
    <mergeCell ref="B66:D66"/>
    <mergeCell ref="B67:D67"/>
    <mergeCell ref="B68:D68"/>
    <mergeCell ref="B71:D71"/>
    <mergeCell ref="B72:D72"/>
    <mergeCell ref="B79:D79"/>
    <mergeCell ref="B80:D80"/>
    <mergeCell ref="B69:D69"/>
    <mergeCell ref="B70:D70"/>
    <mergeCell ref="B77:D77"/>
    <mergeCell ref="B78:D78"/>
  </mergeCells>
  <pageMargins left="0.18" right="0.16" top="0.75" bottom="0.75" header="0.3" footer="0.3"/>
  <pageSetup scale="8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"/>
  <sheetViews>
    <sheetView workbookViewId="0">
      <selection activeCell="I13" sqref="I13"/>
    </sheetView>
  </sheetViews>
  <sheetFormatPr defaultRowHeight="12.75" x14ac:dyDescent="0.2"/>
  <cols>
    <col min="1" max="1" width="6" customWidth="1"/>
    <col min="2" max="2" width="32.7109375" customWidth="1"/>
    <col min="3" max="3" width="37.85546875" customWidth="1"/>
    <col min="4" max="4" width="10.28515625" customWidth="1"/>
    <col min="5" max="5" width="17.28515625" customWidth="1"/>
    <col min="6" max="6" width="24.140625" customWidth="1"/>
  </cols>
  <sheetData>
    <row r="1" spans="1:6" ht="25.5" customHeight="1" x14ac:dyDescent="0.25">
      <c r="A1" s="287" t="s">
        <v>425</v>
      </c>
      <c r="B1" s="287"/>
      <c r="C1" s="287"/>
      <c r="D1" s="287"/>
      <c r="E1" s="287"/>
      <c r="F1" s="287"/>
    </row>
    <row r="2" spans="1:6" ht="18" x14ac:dyDescent="0.25">
      <c r="A2" s="113" t="s">
        <v>410</v>
      </c>
      <c r="B2" s="115"/>
      <c r="C2" s="115" t="s">
        <v>4</v>
      </c>
      <c r="D2" s="115" t="s">
        <v>398</v>
      </c>
      <c r="E2" s="116" t="s">
        <v>261</v>
      </c>
      <c r="F2" s="43" t="s">
        <v>257</v>
      </c>
    </row>
    <row r="3" spans="1:6" ht="18" x14ac:dyDescent="0.25">
      <c r="A3" s="117">
        <v>1</v>
      </c>
      <c r="B3" s="106" t="s">
        <v>426</v>
      </c>
      <c r="C3" s="56" t="s">
        <v>427</v>
      </c>
      <c r="D3" s="57" t="s">
        <v>353</v>
      </c>
      <c r="E3" s="104">
        <v>100000</v>
      </c>
      <c r="F3" s="109"/>
    </row>
    <row r="4" spans="1:6" ht="18" x14ac:dyDescent="0.25">
      <c r="A4" s="117">
        <v>2</v>
      </c>
      <c r="B4" s="106" t="s">
        <v>240</v>
      </c>
      <c r="C4" s="56" t="s">
        <v>241</v>
      </c>
      <c r="D4" s="57" t="s">
        <v>105</v>
      </c>
      <c r="E4" s="104">
        <v>80000</v>
      </c>
      <c r="F4" s="109"/>
    </row>
    <row r="5" spans="1:6" ht="18" x14ac:dyDescent="0.25">
      <c r="A5" s="117">
        <v>3</v>
      </c>
      <c r="B5" s="106" t="s">
        <v>242</v>
      </c>
      <c r="C5" s="56" t="s">
        <v>243</v>
      </c>
      <c r="D5" s="57" t="s">
        <v>105</v>
      </c>
      <c r="E5" s="104">
        <v>80000</v>
      </c>
      <c r="F5" s="109"/>
    </row>
    <row r="6" spans="1:6" ht="18" x14ac:dyDescent="0.25">
      <c r="A6" s="117">
        <v>4</v>
      </c>
      <c r="B6" s="106" t="s">
        <v>237</v>
      </c>
      <c r="C6" s="56" t="s">
        <v>68</v>
      </c>
      <c r="D6" s="57" t="s">
        <v>236</v>
      </c>
      <c r="E6" s="104">
        <v>20000</v>
      </c>
      <c r="F6" s="109"/>
    </row>
    <row r="7" spans="1:6" ht="18" x14ac:dyDescent="0.25">
      <c r="A7" s="117">
        <v>5</v>
      </c>
      <c r="B7" s="106" t="s">
        <v>238</v>
      </c>
      <c r="C7" s="56" t="s">
        <v>239</v>
      </c>
      <c r="D7" s="57" t="s">
        <v>236</v>
      </c>
      <c r="E7" s="104">
        <v>20000</v>
      </c>
      <c r="F7" s="109"/>
    </row>
    <row r="8" spans="1:6" ht="18" x14ac:dyDescent="0.25">
      <c r="A8" s="117">
        <v>6</v>
      </c>
      <c r="B8" s="106" t="s">
        <v>244</v>
      </c>
      <c r="C8" s="56" t="s">
        <v>245</v>
      </c>
      <c r="D8" s="57" t="s">
        <v>236</v>
      </c>
      <c r="E8" s="104">
        <v>20000</v>
      </c>
      <c r="F8" s="109"/>
    </row>
    <row r="9" spans="1:6" ht="18" x14ac:dyDescent="0.25">
      <c r="A9" s="117">
        <v>7</v>
      </c>
      <c r="B9" s="106" t="s">
        <v>246</v>
      </c>
      <c r="C9" s="56" t="s">
        <v>247</v>
      </c>
      <c r="D9" s="57" t="s">
        <v>236</v>
      </c>
      <c r="E9" s="104">
        <v>20000</v>
      </c>
      <c r="F9" s="109"/>
    </row>
    <row r="10" spans="1:6" ht="18" x14ac:dyDescent="0.25">
      <c r="A10" s="117">
        <v>8</v>
      </c>
      <c r="B10" s="106" t="s">
        <v>248</v>
      </c>
      <c r="C10" s="56" t="s">
        <v>249</v>
      </c>
      <c r="D10" s="57" t="s">
        <v>125</v>
      </c>
      <c r="E10" s="104">
        <v>20000</v>
      </c>
      <c r="F10" s="109"/>
    </row>
    <row r="11" spans="1:6" ht="18" customHeight="1" x14ac:dyDescent="0.25">
      <c r="A11" s="117">
        <v>9</v>
      </c>
      <c r="B11" s="106" t="s">
        <v>250</v>
      </c>
      <c r="C11" s="56" t="s">
        <v>251</v>
      </c>
      <c r="D11" s="57" t="s">
        <v>236</v>
      </c>
      <c r="E11" s="104">
        <v>20000</v>
      </c>
      <c r="F11" s="109"/>
    </row>
    <row r="12" spans="1:6" ht="21" customHeight="1" x14ac:dyDescent="0.25">
      <c r="A12" s="118"/>
      <c r="B12" s="70" t="s">
        <v>32</v>
      </c>
      <c r="C12" s="118"/>
      <c r="D12" s="118"/>
      <c r="E12" s="119">
        <f>SUM(E3:E11)</f>
        <v>380000</v>
      </c>
      <c r="F12" s="118"/>
    </row>
  </sheetData>
  <mergeCells count="1">
    <mergeCell ref="A1:F1"/>
  </mergeCells>
  <pageMargins left="0.28999999999999998" right="0.25" top="0.75" bottom="0.75" header="0.3" footer="0.3"/>
  <pageSetup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34"/>
  <sheetViews>
    <sheetView topLeftCell="A122" workbookViewId="0">
      <selection activeCell="H136" sqref="H136"/>
    </sheetView>
  </sheetViews>
  <sheetFormatPr defaultRowHeight="12.75" x14ac:dyDescent="0.2"/>
  <cols>
    <col min="1" max="1" width="12.42578125" bestFit="1" customWidth="1"/>
    <col min="4" max="4" width="34.28515625" customWidth="1"/>
    <col min="5" max="5" width="36.42578125" customWidth="1"/>
    <col min="6" max="6" width="16.28515625" customWidth="1"/>
    <col min="7" max="7" width="28.28515625" customWidth="1"/>
    <col min="8" max="8" width="31.140625" customWidth="1"/>
  </cols>
  <sheetData>
    <row r="1" spans="1:7" x14ac:dyDescent="0.2">
      <c r="B1" s="288" t="s">
        <v>428</v>
      </c>
      <c r="C1" s="288"/>
      <c r="D1" s="288"/>
      <c r="E1" s="288"/>
      <c r="F1" s="288"/>
      <c r="G1" s="288"/>
    </row>
    <row r="2" spans="1:7" x14ac:dyDescent="0.2">
      <c r="B2" s="289"/>
      <c r="C2" s="289"/>
      <c r="D2" s="289"/>
      <c r="E2" s="289"/>
      <c r="F2" s="289"/>
      <c r="G2" s="289"/>
    </row>
    <row r="3" spans="1:7" ht="18.75" x14ac:dyDescent="0.3">
      <c r="A3" s="139"/>
      <c r="B3" s="246"/>
      <c r="C3" s="246"/>
      <c r="D3" s="246"/>
      <c r="E3" s="120" t="s">
        <v>4</v>
      </c>
      <c r="F3" s="120" t="s">
        <v>5</v>
      </c>
      <c r="G3" s="2" t="s">
        <v>6</v>
      </c>
    </row>
    <row r="4" spans="1:7" ht="18.75" x14ac:dyDescent="0.3">
      <c r="A4" s="139"/>
      <c r="B4" s="219"/>
      <c r="C4" s="219"/>
      <c r="D4" s="219"/>
      <c r="E4" s="120"/>
      <c r="F4" s="120" t="s">
        <v>17</v>
      </c>
      <c r="G4" s="2" t="s">
        <v>18</v>
      </c>
    </row>
    <row r="5" spans="1:7" ht="18.75" x14ac:dyDescent="0.3">
      <c r="A5" s="139"/>
      <c r="B5" s="220" t="s">
        <v>33</v>
      </c>
      <c r="C5" s="220"/>
      <c r="D5" s="220"/>
      <c r="E5" s="121"/>
      <c r="F5" s="121"/>
      <c r="G5" s="96" t="s">
        <v>34</v>
      </c>
    </row>
    <row r="6" spans="1:7" ht="18.75" x14ac:dyDescent="0.3">
      <c r="A6" s="139">
        <v>1</v>
      </c>
      <c r="B6" s="221" t="s">
        <v>35</v>
      </c>
      <c r="C6" s="221"/>
      <c r="D6" s="221"/>
      <c r="E6" s="86" t="s">
        <v>36</v>
      </c>
      <c r="F6" s="86" t="s">
        <v>37</v>
      </c>
      <c r="G6" s="88">
        <v>400000</v>
      </c>
    </row>
    <row r="7" spans="1:7" ht="18.75" x14ac:dyDescent="0.3">
      <c r="A7" s="139">
        <v>2</v>
      </c>
      <c r="B7" s="221" t="s">
        <v>38</v>
      </c>
      <c r="C7" s="221"/>
      <c r="D7" s="221"/>
      <c r="E7" s="86" t="s">
        <v>39</v>
      </c>
      <c r="F7" s="87" t="s">
        <v>353</v>
      </c>
      <c r="G7" s="90">
        <v>200000</v>
      </c>
    </row>
    <row r="8" spans="1:7" ht="18.75" x14ac:dyDescent="0.3">
      <c r="A8" s="139">
        <v>3</v>
      </c>
      <c r="B8" s="221" t="s">
        <v>354</v>
      </c>
      <c r="C8" s="221"/>
      <c r="D8" s="221"/>
      <c r="E8" s="86" t="s">
        <v>400</v>
      </c>
      <c r="F8" s="87" t="s">
        <v>353</v>
      </c>
      <c r="G8" s="90">
        <v>200000</v>
      </c>
    </row>
    <row r="9" spans="1:7" ht="18.75" x14ac:dyDescent="0.3">
      <c r="A9" s="139">
        <v>4</v>
      </c>
      <c r="B9" s="210" t="s">
        <v>41</v>
      </c>
      <c r="C9" s="212"/>
      <c r="D9" s="86"/>
      <c r="E9" s="86" t="s">
        <v>42</v>
      </c>
      <c r="F9" s="87" t="s">
        <v>429</v>
      </c>
      <c r="G9" s="90">
        <v>200000</v>
      </c>
    </row>
    <row r="10" spans="1:7" ht="18.75" x14ac:dyDescent="0.3">
      <c r="A10" s="139">
        <v>5</v>
      </c>
      <c r="B10" s="293" t="s">
        <v>44</v>
      </c>
      <c r="C10" s="293"/>
      <c r="D10" s="293"/>
      <c r="E10" s="84" t="s">
        <v>45</v>
      </c>
      <c r="F10" s="89" t="s">
        <v>105</v>
      </c>
      <c r="G10" s="90">
        <v>100000</v>
      </c>
    </row>
    <row r="11" spans="1:7" ht="18.75" x14ac:dyDescent="0.3">
      <c r="A11" s="139">
        <v>6</v>
      </c>
      <c r="B11" s="290" t="s">
        <v>47</v>
      </c>
      <c r="C11" s="291"/>
      <c r="D11" s="292"/>
      <c r="E11" s="84" t="s">
        <v>48</v>
      </c>
      <c r="F11" s="89" t="s">
        <v>105</v>
      </c>
      <c r="G11" s="90">
        <v>100000</v>
      </c>
    </row>
    <row r="12" spans="1:7" ht="18.75" x14ac:dyDescent="0.3">
      <c r="A12" s="139">
        <v>7</v>
      </c>
      <c r="B12" s="294" t="s">
        <v>49</v>
      </c>
      <c r="C12" s="295"/>
      <c r="D12" s="296"/>
      <c r="E12" s="86" t="s">
        <v>50</v>
      </c>
      <c r="F12" s="87" t="s">
        <v>105</v>
      </c>
      <c r="G12" s="90">
        <v>100000</v>
      </c>
    </row>
    <row r="13" spans="1:7" ht="18.75" x14ac:dyDescent="0.3">
      <c r="A13" s="139">
        <v>8</v>
      </c>
      <c r="B13" s="210" t="s">
        <v>154</v>
      </c>
      <c r="C13" s="211"/>
      <c r="D13" s="212"/>
      <c r="E13" s="86" t="s">
        <v>404</v>
      </c>
      <c r="F13" s="87" t="s">
        <v>105</v>
      </c>
      <c r="G13" s="90">
        <v>100000</v>
      </c>
    </row>
    <row r="14" spans="1:7" ht="18.75" x14ac:dyDescent="0.3">
      <c r="A14" s="139">
        <v>9</v>
      </c>
      <c r="B14" s="210" t="s">
        <v>405</v>
      </c>
      <c r="C14" s="211"/>
      <c r="D14" s="212"/>
      <c r="E14" s="86" t="s">
        <v>363</v>
      </c>
      <c r="F14" s="87" t="s">
        <v>406</v>
      </c>
      <c r="G14" s="90">
        <v>100000</v>
      </c>
    </row>
    <row r="15" spans="1:7" ht="18.75" x14ac:dyDescent="0.3">
      <c r="A15" s="139">
        <v>10</v>
      </c>
      <c r="B15" s="290" t="s">
        <v>54</v>
      </c>
      <c r="C15" s="291"/>
      <c r="D15" s="292"/>
      <c r="E15" s="84" t="s">
        <v>55</v>
      </c>
      <c r="F15" s="89" t="s">
        <v>125</v>
      </c>
      <c r="G15" s="90">
        <v>80000</v>
      </c>
    </row>
    <row r="16" spans="1:7" ht="18.75" x14ac:dyDescent="0.3">
      <c r="A16" s="139">
        <v>11</v>
      </c>
      <c r="B16" s="293" t="s">
        <v>57</v>
      </c>
      <c r="C16" s="293"/>
      <c r="D16" s="293"/>
      <c r="E16" s="84" t="s">
        <v>58</v>
      </c>
      <c r="F16" s="93" t="s">
        <v>125</v>
      </c>
      <c r="G16" s="90">
        <v>80000</v>
      </c>
    </row>
    <row r="17" spans="1:7" ht="18.75" x14ac:dyDescent="0.3">
      <c r="A17" s="139">
        <v>12</v>
      </c>
      <c r="B17" s="290" t="s">
        <v>412</v>
      </c>
      <c r="C17" s="291"/>
      <c r="D17" s="292"/>
      <c r="E17" s="84" t="s">
        <v>413</v>
      </c>
      <c r="F17" s="93" t="s">
        <v>236</v>
      </c>
      <c r="G17" s="90">
        <v>50000</v>
      </c>
    </row>
    <row r="18" spans="1:7" ht="18.75" x14ac:dyDescent="0.3">
      <c r="A18" s="139">
        <v>13</v>
      </c>
      <c r="B18" s="290" t="s">
        <v>430</v>
      </c>
      <c r="C18" s="291"/>
      <c r="D18" s="292"/>
      <c r="E18" s="84" t="s">
        <v>414</v>
      </c>
      <c r="F18" s="93" t="s">
        <v>236</v>
      </c>
      <c r="G18" s="90">
        <v>50000</v>
      </c>
    </row>
    <row r="19" spans="1:7" ht="18.75" x14ac:dyDescent="0.3">
      <c r="A19" s="139">
        <v>14</v>
      </c>
      <c r="B19" s="290" t="s">
        <v>59</v>
      </c>
      <c r="C19" s="291"/>
      <c r="D19" s="292"/>
      <c r="E19" s="84" t="s">
        <v>60</v>
      </c>
      <c r="F19" s="93" t="s">
        <v>236</v>
      </c>
      <c r="G19" s="90">
        <v>50000</v>
      </c>
    </row>
    <row r="20" spans="1:7" ht="18.75" x14ac:dyDescent="0.3">
      <c r="A20" s="139">
        <v>15</v>
      </c>
      <c r="B20" s="122" t="s">
        <v>62</v>
      </c>
      <c r="C20" s="123" t="s">
        <v>62</v>
      </c>
      <c r="D20" s="124"/>
      <c r="E20" s="84" t="s">
        <v>63</v>
      </c>
      <c r="F20" s="93" t="s">
        <v>236</v>
      </c>
      <c r="G20" s="90">
        <v>50000</v>
      </c>
    </row>
    <row r="21" spans="1:7" ht="18.75" x14ac:dyDescent="0.3">
      <c r="A21" s="139">
        <v>16</v>
      </c>
      <c r="B21" s="122" t="s">
        <v>64</v>
      </c>
      <c r="C21" s="123" t="s">
        <v>64</v>
      </c>
      <c r="D21" s="124"/>
      <c r="E21" s="84" t="s">
        <v>58</v>
      </c>
      <c r="F21" s="93" t="s">
        <v>236</v>
      </c>
      <c r="G21" s="90">
        <v>50000</v>
      </c>
    </row>
    <row r="22" spans="1:7" ht="18.75" x14ac:dyDescent="0.3">
      <c r="A22" s="139">
        <v>17</v>
      </c>
      <c r="B22" s="290" t="s">
        <v>65</v>
      </c>
      <c r="C22" s="291"/>
      <c r="D22" s="292"/>
      <c r="E22" s="84" t="s">
        <v>66</v>
      </c>
      <c r="F22" s="93" t="s">
        <v>236</v>
      </c>
      <c r="G22" s="90">
        <v>50000</v>
      </c>
    </row>
    <row r="23" spans="1:7" ht="18.75" x14ac:dyDescent="0.3">
      <c r="A23" s="139">
        <v>18</v>
      </c>
      <c r="B23" s="294" t="s">
        <v>69</v>
      </c>
      <c r="C23" s="295"/>
      <c r="D23" s="296"/>
      <c r="E23" s="86" t="s">
        <v>70</v>
      </c>
      <c r="F23" s="87" t="s">
        <v>394</v>
      </c>
      <c r="G23" s="90">
        <v>50000</v>
      </c>
    </row>
    <row r="24" spans="1:7" ht="18.75" x14ac:dyDescent="0.3">
      <c r="A24" s="139">
        <v>19</v>
      </c>
      <c r="B24" s="221" t="s">
        <v>72</v>
      </c>
      <c r="C24" s="221"/>
      <c r="D24" s="221"/>
      <c r="E24" s="86" t="s">
        <v>73</v>
      </c>
      <c r="F24" s="87" t="s">
        <v>394</v>
      </c>
      <c r="G24" s="90">
        <v>50000</v>
      </c>
    </row>
    <row r="25" spans="1:7" ht="18.75" x14ac:dyDescent="0.3">
      <c r="A25" s="139">
        <v>20</v>
      </c>
      <c r="B25" s="210" t="s">
        <v>74</v>
      </c>
      <c r="C25" s="211"/>
      <c r="D25" s="212"/>
      <c r="E25" s="86" t="s">
        <v>75</v>
      </c>
      <c r="F25" s="87" t="s">
        <v>394</v>
      </c>
      <c r="G25" s="90">
        <v>50000</v>
      </c>
    </row>
    <row r="26" spans="1:7" ht="18.75" x14ac:dyDescent="0.3">
      <c r="A26" s="139">
        <v>21</v>
      </c>
      <c r="B26" s="210" t="s">
        <v>76</v>
      </c>
      <c r="C26" s="211"/>
      <c r="D26" s="212"/>
      <c r="E26" s="86" t="s">
        <v>75</v>
      </c>
      <c r="F26" s="87" t="s">
        <v>394</v>
      </c>
      <c r="G26" s="90">
        <v>50000</v>
      </c>
    </row>
    <row r="27" spans="1:7" ht="18.75" x14ac:dyDescent="0.3">
      <c r="A27" s="139">
        <v>22</v>
      </c>
      <c r="B27" s="210" t="s">
        <v>77</v>
      </c>
      <c r="C27" s="211"/>
      <c r="D27" s="212"/>
      <c r="E27" s="86" t="s">
        <v>78</v>
      </c>
      <c r="F27" s="87" t="s">
        <v>394</v>
      </c>
      <c r="G27" s="90">
        <v>50000</v>
      </c>
    </row>
    <row r="28" spans="1:7" ht="18.75" x14ac:dyDescent="0.3">
      <c r="A28" s="139">
        <v>23</v>
      </c>
      <c r="B28" s="125" t="s">
        <v>79</v>
      </c>
      <c r="C28" s="126"/>
      <c r="D28" s="127"/>
      <c r="E28" s="86" t="s">
        <v>80</v>
      </c>
      <c r="F28" s="87" t="s">
        <v>394</v>
      </c>
      <c r="G28" s="90">
        <v>50000</v>
      </c>
    </row>
    <row r="29" spans="1:7" ht="18.75" x14ac:dyDescent="0.3">
      <c r="A29" s="139"/>
      <c r="B29" s="222" t="s">
        <v>32</v>
      </c>
      <c r="C29" s="222"/>
      <c r="D29" s="222"/>
      <c r="E29" s="128">
        <v>23</v>
      </c>
      <c r="F29" s="93"/>
      <c r="G29" s="143">
        <f>SUM(G6:G28)</f>
        <v>2260000</v>
      </c>
    </row>
    <row r="30" spans="1:7" ht="18.75" x14ac:dyDescent="0.3">
      <c r="B30" s="231" t="s">
        <v>81</v>
      </c>
      <c r="C30" s="231"/>
      <c r="D30" s="231"/>
      <c r="E30" s="129"/>
      <c r="F30" s="130"/>
      <c r="G30" s="131"/>
    </row>
    <row r="31" spans="1:7" ht="18.75" x14ac:dyDescent="0.3">
      <c r="A31" s="140">
        <v>1</v>
      </c>
      <c r="B31" s="210" t="s">
        <v>82</v>
      </c>
      <c r="C31" s="211"/>
      <c r="D31" s="212"/>
      <c r="E31" s="86" t="s">
        <v>83</v>
      </c>
      <c r="F31" s="87" t="s">
        <v>98</v>
      </c>
      <c r="G31" s="88">
        <v>300000</v>
      </c>
    </row>
    <row r="32" spans="1:7" ht="18.75" x14ac:dyDescent="0.3">
      <c r="A32" s="140">
        <v>2</v>
      </c>
      <c r="B32" s="210" t="s">
        <v>85</v>
      </c>
      <c r="C32" s="211"/>
      <c r="D32" s="212"/>
      <c r="E32" s="86" t="s">
        <v>86</v>
      </c>
      <c r="F32" s="87" t="s">
        <v>353</v>
      </c>
      <c r="G32" s="90">
        <v>200000</v>
      </c>
    </row>
    <row r="33" spans="1:7" ht="18.75" x14ac:dyDescent="0.3">
      <c r="A33" s="140">
        <v>3</v>
      </c>
      <c r="B33" s="210" t="s">
        <v>87</v>
      </c>
      <c r="C33" s="211"/>
      <c r="D33" s="212"/>
      <c r="E33" s="84" t="s">
        <v>52</v>
      </c>
      <c r="F33" s="93" t="s">
        <v>125</v>
      </c>
      <c r="G33" s="90">
        <v>80000</v>
      </c>
    </row>
    <row r="34" spans="1:7" ht="18.75" x14ac:dyDescent="0.3">
      <c r="A34" s="140">
        <v>4</v>
      </c>
      <c r="B34" s="210" t="s">
        <v>88</v>
      </c>
      <c r="C34" s="211"/>
      <c r="D34" s="212"/>
      <c r="E34" s="84" t="s">
        <v>89</v>
      </c>
      <c r="F34" s="93" t="s">
        <v>236</v>
      </c>
      <c r="G34" s="90">
        <v>50000</v>
      </c>
    </row>
    <row r="35" spans="1:7" ht="18.75" x14ac:dyDescent="0.3">
      <c r="A35" s="140">
        <v>5</v>
      </c>
      <c r="B35" s="132" t="s">
        <v>90</v>
      </c>
      <c r="C35" s="133" t="s">
        <v>90</v>
      </c>
      <c r="D35" s="127"/>
      <c r="E35" s="84" t="s">
        <v>89</v>
      </c>
      <c r="F35" s="93" t="s">
        <v>236</v>
      </c>
      <c r="G35" s="90">
        <v>50000</v>
      </c>
    </row>
    <row r="36" spans="1:7" ht="18.75" x14ac:dyDescent="0.3">
      <c r="A36" s="140">
        <v>6</v>
      </c>
      <c r="B36" s="210" t="s">
        <v>91</v>
      </c>
      <c r="C36" s="211"/>
      <c r="D36" s="212"/>
      <c r="E36" s="84" t="s">
        <v>92</v>
      </c>
      <c r="F36" s="93" t="s">
        <v>415</v>
      </c>
      <c r="G36" s="90">
        <v>50000</v>
      </c>
    </row>
    <row r="37" spans="1:7" ht="18.75" x14ac:dyDescent="0.3">
      <c r="A37" s="140"/>
      <c r="B37" s="216" t="s">
        <v>32</v>
      </c>
      <c r="C37" s="216"/>
      <c r="D37" s="216"/>
      <c r="E37" s="128">
        <v>6</v>
      </c>
      <c r="F37" s="128"/>
      <c r="G37" s="138">
        <f>SUM(G31:G36)</f>
        <v>730000</v>
      </c>
    </row>
    <row r="38" spans="1:7" ht="18.75" x14ac:dyDescent="0.3">
      <c r="A38" s="140"/>
      <c r="B38" s="141"/>
      <c r="C38" s="142"/>
      <c r="D38" s="135"/>
      <c r="E38" s="128"/>
      <c r="F38" s="128"/>
      <c r="G38" s="138"/>
    </row>
    <row r="39" spans="1:7" ht="18.75" x14ac:dyDescent="0.3">
      <c r="A39" s="140">
        <v>1</v>
      </c>
      <c r="B39" s="210" t="s">
        <v>399</v>
      </c>
      <c r="C39" s="211"/>
      <c r="D39" s="212"/>
      <c r="E39" s="86" t="s">
        <v>97</v>
      </c>
      <c r="F39" s="87" t="s">
        <v>98</v>
      </c>
      <c r="G39" s="90">
        <v>300000</v>
      </c>
    </row>
    <row r="40" spans="1:7" ht="18.75" x14ac:dyDescent="0.3">
      <c r="A40" s="140">
        <v>2</v>
      </c>
      <c r="B40" s="221" t="s">
        <v>99</v>
      </c>
      <c r="C40" s="221"/>
      <c r="D40" s="221"/>
      <c r="E40" s="84" t="s">
        <v>100</v>
      </c>
      <c r="F40" s="93" t="s">
        <v>353</v>
      </c>
      <c r="G40" s="90">
        <v>200000</v>
      </c>
    </row>
    <row r="41" spans="1:7" ht="18.75" x14ac:dyDescent="0.3">
      <c r="A41" s="140">
        <v>3</v>
      </c>
      <c r="B41" s="210" t="s">
        <v>101</v>
      </c>
      <c r="C41" s="211"/>
      <c r="D41" s="212"/>
      <c r="E41" s="84" t="s">
        <v>102</v>
      </c>
      <c r="F41" s="93" t="s">
        <v>46</v>
      </c>
      <c r="G41" s="90">
        <v>100000</v>
      </c>
    </row>
    <row r="42" spans="1:7" ht="18.75" x14ac:dyDescent="0.3">
      <c r="A42" s="140">
        <v>4</v>
      </c>
      <c r="B42" s="210" t="s">
        <v>106</v>
      </c>
      <c r="C42" s="211"/>
      <c r="D42" s="212"/>
      <c r="E42" s="84" t="s">
        <v>107</v>
      </c>
      <c r="F42" s="93" t="s">
        <v>113</v>
      </c>
      <c r="G42" s="90">
        <v>80000</v>
      </c>
    </row>
    <row r="43" spans="1:7" ht="18.75" x14ac:dyDescent="0.3">
      <c r="A43" s="140">
        <v>5</v>
      </c>
      <c r="B43" s="294" t="s">
        <v>109</v>
      </c>
      <c r="C43" s="295"/>
      <c r="D43" s="296"/>
      <c r="E43" s="84" t="s">
        <v>110</v>
      </c>
      <c r="F43" s="93" t="s">
        <v>113</v>
      </c>
      <c r="G43" s="90">
        <v>80000</v>
      </c>
    </row>
    <row r="44" spans="1:7" ht="18.75" x14ac:dyDescent="0.3">
      <c r="A44" s="140">
        <v>6</v>
      </c>
      <c r="B44" s="210" t="s">
        <v>51</v>
      </c>
      <c r="C44" s="211"/>
      <c r="D44" s="212"/>
      <c r="E44" s="84" t="s">
        <v>52</v>
      </c>
      <c r="F44" s="93" t="s">
        <v>125</v>
      </c>
      <c r="G44" s="90">
        <v>80000</v>
      </c>
    </row>
    <row r="45" spans="1:7" ht="18.75" x14ac:dyDescent="0.3">
      <c r="A45" s="140">
        <v>7</v>
      </c>
      <c r="B45" s="210" t="s">
        <v>119</v>
      </c>
      <c r="C45" s="211"/>
      <c r="D45" s="212"/>
      <c r="E45" s="84" t="s">
        <v>52</v>
      </c>
      <c r="F45" s="93" t="s">
        <v>125</v>
      </c>
      <c r="G45" s="90">
        <v>80000</v>
      </c>
    </row>
    <row r="46" spans="1:7" ht="18.75" x14ac:dyDescent="0.3">
      <c r="A46" s="140">
        <v>8</v>
      </c>
      <c r="B46" s="210" t="s">
        <v>122</v>
      </c>
      <c r="C46" s="211"/>
      <c r="D46" s="127"/>
      <c r="E46" s="84" t="s">
        <v>52</v>
      </c>
      <c r="F46" s="93" t="s">
        <v>125</v>
      </c>
      <c r="G46" s="90">
        <v>80000</v>
      </c>
    </row>
    <row r="47" spans="1:7" ht="18.75" x14ac:dyDescent="0.3">
      <c r="A47" s="140">
        <v>9</v>
      </c>
      <c r="B47" s="210" t="s">
        <v>417</v>
      </c>
      <c r="C47" s="211"/>
      <c r="D47" s="212"/>
      <c r="E47" s="84" t="s">
        <v>52</v>
      </c>
      <c r="F47" s="93" t="s">
        <v>125</v>
      </c>
      <c r="G47" s="90">
        <v>80000</v>
      </c>
    </row>
    <row r="48" spans="1:7" ht="18.75" x14ac:dyDescent="0.3">
      <c r="A48" s="140">
        <v>10</v>
      </c>
      <c r="B48" s="293" t="s">
        <v>129</v>
      </c>
      <c r="C48" s="293"/>
      <c r="D48" s="293"/>
      <c r="E48" s="84" t="s">
        <v>356</v>
      </c>
      <c r="F48" s="93" t="s">
        <v>357</v>
      </c>
      <c r="G48" s="90">
        <v>50000</v>
      </c>
    </row>
    <row r="49" spans="1:7" ht="18.75" x14ac:dyDescent="0.3">
      <c r="A49" s="140">
        <v>11</v>
      </c>
      <c r="B49" s="132" t="s">
        <v>132</v>
      </c>
      <c r="C49" s="133" t="s">
        <v>132</v>
      </c>
      <c r="D49" s="127"/>
      <c r="E49" s="84" t="s">
        <v>133</v>
      </c>
      <c r="F49" s="93" t="s">
        <v>236</v>
      </c>
      <c r="G49" s="90">
        <v>50000</v>
      </c>
    </row>
    <row r="50" spans="1:7" ht="18.75" x14ac:dyDescent="0.3">
      <c r="A50" s="140">
        <v>12</v>
      </c>
      <c r="B50" s="210" t="s">
        <v>134</v>
      </c>
      <c r="C50" s="211"/>
      <c r="D50" s="212"/>
      <c r="E50" s="84" t="s">
        <v>89</v>
      </c>
      <c r="F50" s="93" t="s">
        <v>236</v>
      </c>
      <c r="G50" s="90">
        <v>50000</v>
      </c>
    </row>
    <row r="51" spans="1:7" ht="18.75" x14ac:dyDescent="0.3">
      <c r="A51" s="140">
        <v>13</v>
      </c>
      <c r="B51" s="210" t="s">
        <v>135</v>
      </c>
      <c r="C51" s="211"/>
      <c r="D51" s="212"/>
      <c r="E51" s="84" t="s">
        <v>136</v>
      </c>
      <c r="F51" s="93" t="s">
        <v>236</v>
      </c>
      <c r="G51" s="90">
        <v>50000</v>
      </c>
    </row>
    <row r="52" spans="1:7" ht="18.75" x14ac:dyDescent="0.3">
      <c r="A52" s="140">
        <v>14</v>
      </c>
      <c r="B52" s="210" t="s">
        <v>137</v>
      </c>
      <c r="C52" s="211"/>
      <c r="D52" s="212"/>
      <c r="E52" s="84" t="s">
        <v>92</v>
      </c>
      <c r="F52" s="93" t="s">
        <v>415</v>
      </c>
      <c r="G52" s="90">
        <v>50000</v>
      </c>
    </row>
    <row r="53" spans="1:7" ht="18.75" x14ac:dyDescent="0.3">
      <c r="A53" s="140">
        <v>15</v>
      </c>
      <c r="B53" s="210" t="s">
        <v>138</v>
      </c>
      <c r="C53" s="211"/>
      <c r="D53" s="212"/>
      <c r="E53" s="84" t="s">
        <v>92</v>
      </c>
      <c r="F53" s="93" t="s">
        <v>415</v>
      </c>
      <c r="G53" s="90">
        <v>50000</v>
      </c>
    </row>
    <row r="54" spans="1:7" ht="18.75" x14ac:dyDescent="0.3">
      <c r="A54" s="140">
        <v>16</v>
      </c>
      <c r="B54" s="210" t="s">
        <v>139</v>
      </c>
      <c r="C54" s="211"/>
      <c r="D54" s="212"/>
      <c r="E54" s="84" t="s">
        <v>92</v>
      </c>
      <c r="F54" s="93" t="s">
        <v>415</v>
      </c>
      <c r="G54" s="90">
        <v>50000</v>
      </c>
    </row>
    <row r="55" spans="1:7" ht="18.75" x14ac:dyDescent="0.3">
      <c r="A55" s="140">
        <v>17</v>
      </c>
      <c r="B55" s="210" t="s">
        <v>140</v>
      </c>
      <c r="C55" s="211"/>
      <c r="D55" s="212"/>
      <c r="E55" s="84" t="s">
        <v>92</v>
      </c>
      <c r="F55" s="93" t="s">
        <v>415</v>
      </c>
      <c r="G55" s="90">
        <v>50000</v>
      </c>
    </row>
    <row r="56" spans="1:7" ht="18.75" x14ac:dyDescent="0.3">
      <c r="A56" s="140"/>
      <c r="B56" s="216" t="s">
        <v>32</v>
      </c>
      <c r="C56" s="216"/>
      <c r="D56" s="216"/>
      <c r="E56" s="128">
        <v>17</v>
      </c>
      <c r="F56" s="128"/>
      <c r="G56" s="138">
        <f>SUM(G39:G55)</f>
        <v>1480000</v>
      </c>
    </row>
    <row r="57" spans="1:7" ht="18.75" x14ac:dyDescent="0.3">
      <c r="A57" s="140"/>
      <c r="B57" s="141"/>
      <c r="C57" s="142"/>
      <c r="D57" s="135"/>
      <c r="E57" s="128"/>
      <c r="F57" s="128"/>
      <c r="G57" s="138"/>
    </row>
    <row r="58" spans="1:7" ht="18.75" x14ac:dyDescent="0.3">
      <c r="A58" s="140">
        <v>1</v>
      </c>
      <c r="B58" s="210" t="s">
        <v>146</v>
      </c>
      <c r="C58" s="211"/>
      <c r="D58" s="212"/>
      <c r="E58" s="86" t="s">
        <v>147</v>
      </c>
      <c r="F58" s="87" t="s">
        <v>98</v>
      </c>
      <c r="G58" s="90">
        <v>300000</v>
      </c>
    </row>
    <row r="59" spans="1:7" ht="18.75" x14ac:dyDescent="0.3">
      <c r="A59" s="140">
        <v>2</v>
      </c>
      <c r="B59" s="221" t="s">
        <v>148</v>
      </c>
      <c r="C59" s="221"/>
      <c r="D59" s="221"/>
      <c r="E59" s="86" t="s">
        <v>149</v>
      </c>
      <c r="F59" s="87" t="s">
        <v>353</v>
      </c>
      <c r="G59" s="90">
        <v>200000</v>
      </c>
    </row>
    <row r="60" spans="1:7" ht="18.75" x14ac:dyDescent="0.3">
      <c r="A60" s="140">
        <v>3</v>
      </c>
      <c r="B60" s="221" t="s">
        <v>150</v>
      </c>
      <c r="C60" s="221"/>
      <c r="D60" s="221"/>
      <c r="E60" s="86" t="s">
        <v>151</v>
      </c>
      <c r="F60" s="87" t="s">
        <v>353</v>
      </c>
      <c r="G60" s="90">
        <v>200000</v>
      </c>
    </row>
    <row r="61" spans="1:7" ht="18.75" x14ac:dyDescent="0.3">
      <c r="A61" s="140">
        <v>4</v>
      </c>
      <c r="B61" s="210" t="s">
        <v>152</v>
      </c>
      <c r="C61" s="211"/>
      <c r="D61" s="212"/>
      <c r="E61" s="86" t="s">
        <v>153</v>
      </c>
      <c r="F61" s="87" t="s">
        <v>105</v>
      </c>
      <c r="G61" s="90">
        <v>100000</v>
      </c>
    </row>
    <row r="62" spans="1:7" ht="18.75" x14ac:dyDescent="0.3">
      <c r="A62" s="140">
        <v>5</v>
      </c>
      <c r="B62" s="294" t="s">
        <v>156</v>
      </c>
      <c r="C62" s="295"/>
      <c r="D62" s="296"/>
      <c r="E62" s="86" t="s">
        <v>157</v>
      </c>
      <c r="F62" s="87" t="s">
        <v>105</v>
      </c>
      <c r="G62" s="90">
        <v>100000</v>
      </c>
    </row>
    <row r="63" spans="1:7" ht="18.75" x14ac:dyDescent="0.3">
      <c r="A63" s="140">
        <v>6</v>
      </c>
      <c r="B63" s="221" t="s">
        <v>365</v>
      </c>
      <c r="C63" s="221"/>
      <c r="D63" s="221"/>
      <c r="E63" s="86" t="s">
        <v>366</v>
      </c>
      <c r="F63" s="87" t="s">
        <v>367</v>
      </c>
      <c r="G63" s="90">
        <v>50000</v>
      </c>
    </row>
    <row r="64" spans="1:7" ht="18.75" x14ac:dyDescent="0.3">
      <c r="A64" s="140">
        <v>7</v>
      </c>
      <c r="B64" s="210" t="s">
        <v>67</v>
      </c>
      <c r="C64" s="211"/>
      <c r="D64" s="212"/>
      <c r="E64" s="86" t="s">
        <v>68</v>
      </c>
      <c r="F64" s="87" t="s">
        <v>236</v>
      </c>
      <c r="G64" s="90">
        <v>50000</v>
      </c>
    </row>
    <row r="65" spans="1:7" ht="18.75" x14ac:dyDescent="0.3">
      <c r="A65" s="140">
        <v>8</v>
      </c>
      <c r="B65" s="210" t="s">
        <v>160</v>
      </c>
      <c r="C65" s="211"/>
      <c r="D65" s="212"/>
      <c r="E65" s="86" t="s">
        <v>161</v>
      </c>
      <c r="F65" s="87" t="s">
        <v>236</v>
      </c>
      <c r="G65" s="90">
        <v>50000</v>
      </c>
    </row>
    <row r="66" spans="1:7" ht="18.75" x14ac:dyDescent="0.3">
      <c r="A66" s="140">
        <v>9</v>
      </c>
      <c r="B66" s="210" t="s">
        <v>418</v>
      </c>
      <c r="C66" s="211"/>
      <c r="D66" s="212"/>
      <c r="E66" s="86" t="s">
        <v>161</v>
      </c>
      <c r="F66" s="87" t="s">
        <v>236</v>
      </c>
      <c r="G66" s="90">
        <v>50000</v>
      </c>
    </row>
    <row r="67" spans="1:7" ht="18.75" x14ac:dyDescent="0.3">
      <c r="A67" s="140">
        <v>10</v>
      </c>
      <c r="B67" s="210" t="s">
        <v>162</v>
      </c>
      <c r="C67" s="211"/>
      <c r="D67" s="212"/>
      <c r="E67" s="86" t="s">
        <v>163</v>
      </c>
      <c r="F67" s="87" t="s">
        <v>236</v>
      </c>
      <c r="G67" s="90">
        <v>50000</v>
      </c>
    </row>
    <row r="68" spans="1:7" ht="18.75" x14ac:dyDescent="0.3">
      <c r="A68" s="140">
        <v>11</v>
      </c>
      <c r="B68" s="210" t="s">
        <v>164</v>
      </c>
      <c r="C68" s="211"/>
      <c r="D68" s="212"/>
      <c r="E68" s="86" t="s">
        <v>165</v>
      </c>
      <c r="F68" s="87" t="s">
        <v>236</v>
      </c>
      <c r="G68" s="90">
        <v>50000</v>
      </c>
    </row>
    <row r="69" spans="1:7" ht="18.75" x14ac:dyDescent="0.3">
      <c r="A69" s="140">
        <v>12</v>
      </c>
      <c r="B69" s="210" t="s">
        <v>166</v>
      </c>
      <c r="C69" s="211"/>
      <c r="D69" s="212"/>
      <c r="E69" s="86" t="s">
        <v>167</v>
      </c>
      <c r="F69" s="87" t="s">
        <v>236</v>
      </c>
      <c r="G69" s="90">
        <v>50000</v>
      </c>
    </row>
    <row r="70" spans="1:7" ht="18.75" x14ac:dyDescent="0.3">
      <c r="A70" s="140">
        <v>13</v>
      </c>
      <c r="B70" s="210" t="s">
        <v>143</v>
      </c>
      <c r="C70" s="211"/>
      <c r="D70" s="212"/>
      <c r="E70" s="86" t="s">
        <v>171</v>
      </c>
      <c r="F70" s="87" t="s">
        <v>394</v>
      </c>
      <c r="G70" s="90">
        <v>50000</v>
      </c>
    </row>
    <row r="71" spans="1:7" ht="18.75" x14ac:dyDescent="0.3">
      <c r="A71" s="140">
        <v>14</v>
      </c>
      <c r="B71" s="210" t="s">
        <v>170</v>
      </c>
      <c r="C71" s="211"/>
      <c r="D71" s="212"/>
      <c r="E71" s="86" t="s">
        <v>171</v>
      </c>
      <c r="F71" s="87" t="s">
        <v>394</v>
      </c>
      <c r="G71" s="90">
        <v>50000</v>
      </c>
    </row>
    <row r="72" spans="1:7" ht="18.75" x14ac:dyDescent="0.3">
      <c r="A72" s="140">
        <v>15</v>
      </c>
      <c r="B72" s="210" t="s">
        <v>172</v>
      </c>
      <c r="C72" s="211"/>
      <c r="D72" s="212"/>
      <c r="E72" s="86" t="s">
        <v>171</v>
      </c>
      <c r="F72" s="87" t="s">
        <v>394</v>
      </c>
      <c r="G72" s="90">
        <v>50000</v>
      </c>
    </row>
    <row r="73" spans="1:7" ht="18.75" x14ac:dyDescent="0.3">
      <c r="A73" s="140">
        <v>16</v>
      </c>
      <c r="B73" s="210" t="s">
        <v>141</v>
      </c>
      <c r="C73" s="211"/>
      <c r="D73" s="212"/>
      <c r="E73" s="86" t="s">
        <v>171</v>
      </c>
      <c r="F73" s="87" t="s">
        <v>394</v>
      </c>
      <c r="G73" s="90">
        <v>50000</v>
      </c>
    </row>
    <row r="74" spans="1:7" ht="18.75" x14ac:dyDescent="0.3">
      <c r="A74" s="140">
        <v>17</v>
      </c>
      <c r="B74" s="210" t="s">
        <v>419</v>
      </c>
      <c r="C74" s="211"/>
      <c r="D74" s="212"/>
      <c r="E74" s="86" t="s">
        <v>171</v>
      </c>
      <c r="F74" s="87" t="s">
        <v>394</v>
      </c>
      <c r="G74" s="90">
        <v>50000</v>
      </c>
    </row>
    <row r="75" spans="1:7" ht="18.75" x14ac:dyDescent="0.3">
      <c r="A75" s="140">
        <v>18</v>
      </c>
      <c r="B75" s="294" t="s">
        <v>173</v>
      </c>
      <c r="C75" s="295"/>
      <c r="D75" s="296"/>
      <c r="E75" s="86" t="s">
        <v>174</v>
      </c>
      <c r="F75" s="87" t="s">
        <v>394</v>
      </c>
      <c r="G75" s="90">
        <v>50000</v>
      </c>
    </row>
    <row r="76" spans="1:7" ht="18.75" x14ac:dyDescent="0.3">
      <c r="A76" s="140">
        <v>19</v>
      </c>
      <c r="B76" s="210" t="s">
        <v>175</v>
      </c>
      <c r="C76" s="211"/>
      <c r="D76" s="212"/>
      <c r="E76" s="86" t="s">
        <v>174</v>
      </c>
      <c r="F76" s="87" t="s">
        <v>394</v>
      </c>
      <c r="G76" s="90">
        <v>50000</v>
      </c>
    </row>
    <row r="77" spans="1:7" ht="18.75" x14ac:dyDescent="0.3">
      <c r="A77" s="140">
        <v>20</v>
      </c>
      <c r="B77" s="210" t="s">
        <v>176</v>
      </c>
      <c r="C77" s="211"/>
      <c r="D77" s="212"/>
      <c r="E77" s="86" t="s">
        <v>174</v>
      </c>
      <c r="F77" s="87" t="s">
        <v>394</v>
      </c>
      <c r="G77" s="90">
        <v>50000</v>
      </c>
    </row>
    <row r="78" spans="1:7" ht="18.75" x14ac:dyDescent="0.3">
      <c r="A78" s="140">
        <v>21</v>
      </c>
      <c r="B78" s="210" t="s">
        <v>177</v>
      </c>
      <c r="C78" s="211"/>
      <c r="D78" s="212"/>
      <c r="E78" s="86" t="s">
        <v>178</v>
      </c>
      <c r="F78" s="87" t="s">
        <v>394</v>
      </c>
      <c r="G78" s="90">
        <v>50000</v>
      </c>
    </row>
    <row r="79" spans="1:7" ht="18.75" x14ac:dyDescent="0.3">
      <c r="A79" s="140">
        <v>22</v>
      </c>
      <c r="B79" s="294" t="s">
        <v>420</v>
      </c>
      <c r="C79" s="295"/>
      <c r="D79" s="296"/>
      <c r="E79" s="86" t="s">
        <v>421</v>
      </c>
      <c r="F79" s="87" t="s">
        <v>394</v>
      </c>
      <c r="G79" s="90">
        <v>50000</v>
      </c>
    </row>
    <row r="80" spans="1:7" ht="18.75" x14ac:dyDescent="0.3">
      <c r="A80" s="140">
        <v>23</v>
      </c>
      <c r="B80" s="221" t="s">
        <v>179</v>
      </c>
      <c r="C80" s="221"/>
      <c r="D80" s="221"/>
      <c r="E80" s="86" t="s">
        <v>180</v>
      </c>
      <c r="F80" s="87" t="s">
        <v>71</v>
      </c>
      <c r="G80" s="90">
        <v>50000</v>
      </c>
    </row>
    <row r="81" spans="1:7" ht="18.75" x14ac:dyDescent="0.3">
      <c r="A81" s="140">
        <v>24</v>
      </c>
      <c r="B81" s="210" t="s">
        <v>182</v>
      </c>
      <c r="C81" s="211"/>
      <c r="D81" s="212"/>
      <c r="E81" s="84" t="s">
        <v>183</v>
      </c>
      <c r="F81" s="93" t="s">
        <v>71</v>
      </c>
      <c r="G81" s="90">
        <v>50000</v>
      </c>
    </row>
    <row r="82" spans="1:7" ht="18.75" x14ac:dyDescent="0.3">
      <c r="A82" s="140">
        <v>25</v>
      </c>
      <c r="B82" s="221" t="s">
        <v>184</v>
      </c>
      <c r="C82" s="221"/>
      <c r="D82" s="221"/>
      <c r="E82" s="86" t="s">
        <v>183</v>
      </c>
      <c r="F82" s="87" t="s">
        <v>369</v>
      </c>
      <c r="G82" s="90">
        <v>50000</v>
      </c>
    </row>
    <row r="83" spans="1:7" ht="18.75" x14ac:dyDescent="0.3">
      <c r="A83" s="140">
        <v>26</v>
      </c>
      <c r="B83" s="221" t="s">
        <v>370</v>
      </c>
      <c r="C83" s="221"/>
      <c r="D83" s="221"/>
      <c r="E83" s="86" t="s">
        <v>183</v>
      </c>
      <c r="F83" s="87" t="s">
        <v>71</v>
      </c>
      <c r="G83" s="90">
        <v>50000</v>
      </c>
    </row>
    <row r="84" spans="1:7" ht="18.75" x14ac:dyDescent="0.3">
      <c r="A84" s="140">
        <v>27</v>
      </c>
      <c r="B84" s="210" t="s">
        <v>185</v>
      </c>
      <c r="C84" s="211"/>
      <c r="D84" s="212"/>
      <c r="E84" s="86" t="s">
        <v>183</v>
      </c>
      <c r="F84" s="87" t="s">
        <v>71</v>
      </c>
      <c r="G84" s="90">
        <v>50000</v>
      </c>
    </row>
    <row r="85" spans="1:7" ht="18.75" x14ac:dyDescent="0.3">
      <c r="A85" s="140">
        <v>28</v>
      </c>
      <c r="B85" s="221" t="s">
        <v>144</v>
      </c>
      <c r="C85" s="221"/>
      <c r="D85" s="221"/>
      <c r="E85" s="86" t="s">
        <v>371</v>
      </c>
      <c r="F85" s="87" t="s">
        <v>394</v>
      </c>
      <c r="G85" s="90">
        <v>50000</v>
      </c>
    </row>
    <row r="86" spans="1:7" ht="18.75" x14ac:dyDescent="0.3">
      <c r="A86" s="140">
        <v>29</v>
      </c>
      <c r="B86" s="210" t="s">
        <v>188</v>
      </c>
      <c r="C86" s="211"/>
      <c r="D86" s="212"/>
      <c r="E86" s="86" t="s">
        <v>189</v>
      </c>
      <c r="F86" s="87" t="s">
        <v>372</v>
      </c>
      <c r="G86" s="88">
        <v>20000</v>
      </c>
    </row>
    <row r="87" spans="1:7" ht="18.75" x14ac:dyDescent="0.3">
      <c r="A87" s="140">
        <v>30</v>
      </c>
      <c r="B87" s="221" t="s">
        <v>191</v>
      </c>
      <c r="C87" s="221"/>
      <c r="D87" s="221"/>
      <c r="E87" s="86" t="s">
        <v>189</v>
      </c>
      <c r="F87" s="87" t="s">
        <v>372</v>
      </c>
      <c r="G87" s="88">
        <v>20000</v>
      </c>
    </row>
    <row r="88" spans="1:7" ht="18.75" x14ac:dyDescent="0.3">
      <c r="A88" s="140">
        <v>31</v>
      </c>
      <c r="B88" s="221" t="s">
        <v>192</v>
      </c>
      <c r="C88" s="221"/>
      <c r="D88" s="221"/>
      <c r="E88" s="86" t="s">
        <v>189</v>
      </c>
      <c r="F88" s="87" t="s">
        <v>372</v>
      </c>
      <c r="G88" s="88">
        <v>20000</v>
      </c>
    </row>
    <row r="89" spans="1:7" ht="18.75" x14ac:dyDescent="0.3">
      <c r="A89" s="140">
        <v>32</v>
      </c>
      <c r="B89" s="221" t="s">
        <v>193</v>
      </c>
      <c r="C89" s="221"/>
      <c r="D89" s="221"/>
      <c r="E89" s="86" t="s">
        <v>189</v>
      </c>
      <c r="F89" s="87" t="s">
        <v>372</v>
      </c>
      <c r="G89" s="88">
        <v>20000</v>
      </c>
    </row>
    <row r="90" spans="1:7" ht="18.75" x14ac:dyDescent="0.3">
      <c r="A90" s="140">
        <v>33</v>
      </c>
      <c r="B90" s="221" t="s">
        <v>194</v>
      </c>
      <c r="C90" s="221"/>
      <c r="D90" s="221"/>
      <c r="E90" s="86" t="s">
        <v>189</v>
      </c>
      <c r="F90" s="87" t="s">
        <v>372</v>
      </c>
      <c r="G90" s="88">
        <v>20000</v>
      </c>
    </row>
    <row r="91" spans="1:7" ht="18.75" x14ac:dyDescent="0.3">
      <c r="A91" s="140">
        <v>34</v>
      </c>
      <c r="B91" s="221" t="s">
        <v>195</v>
      </c>
      <c r="C91" s="221"/>
      <c r="D91" s="221"/>
      <c r="E91" s="86" t="s">
        <v>189</v>
      </c>
      <c r="F91" s="87" t="s">
        <v>372</v>
      </c>
      <c r="G91" s="88">
        <v>20000</v>
      </c>
    </row>
    <row r="92" spans="1:7" ht="18.75" x14ac:dyDescent="0.3">
      <c r="A92" s="140">
        <v>35</v>
      </c>
      <c r="B92" s="210" t="s">
        <v>196</v>
      </c>
      <c r="C92" s="211"/>
      <c r="D92" s="212"/>
      <c r="E92" s="84" t="s">
        <v>189</v>
      </c>
      <c r="F92" s="93" t="s">
        <v>372</v>
      </c>
      <c r="G92" s="88">
        <v>20000</v>
      </c>
    </row>
    <row r="93" spans="1:7" ht="18.75" x14ac:dyDescent="0.3">
      <c r="A93" s="140">
        <v>36</v>
      </c>
      <c r="B93" s="221" t="s">
        <v>197</v>
      </c>
      <c r="C93" s="221"/>
      <c r="D93" s="221"/>
      <c r="E93" s="86" t="s">
        <v>189</v>
      </c>
      <c r="F93" s="87" t="s">
        <v>423</v>
      </c>
      <c r="G93" s="88">
        <v>20000</v>
      </c>
    </row>
    <row r="94" spans="1:7" ht="18.75" x14ac:dyDescent="0.3">
      <c r="A94" s="140">
        <v>37</v>
      </c>
      <c r="B94" s="221" t="s">
        <v>199</v>
      </c>
      <c r="C94" s="221"/>
      <c r="D94" s="221"/>
      <c r="E94" s="86" t="s">
        <v>189</v>
      </c>
      <c r="F94" s="87" t="s">
        <v>423</v>
      </c>
      <c r="G94" s="88">
        <v>20000</v>
      </c>
    </row>
    <row r="95" spans="1:7" ht="18.75" x14ac:dyDescent="0.3">
      <c r="A95" s="140">
        <v>38</v>
      </c>
      <c r="B95" s="210" t="s">
        <v>424</v>
      </c>
      <c r="C95" s="211"/>
      <c r="D95" s="212"/>
      <c r="E95" s="86" t="s">
        <v>189</v>
      </c>
      <c r="F95" s="87" t="s">
        <v>423</v>
      </c>
      <c r="G95" s="88">
        <v>20000</v>
      </c>
    </row>
    <row r="96" spans="1:7" ht="18.75" x14ac:dyDescent="0.3">
      <c r="A96" s="140">
        <v>39</v>
      </c>
      <c r="B96" s="210" t="s">
        <v>200</v>
      </c>
      <c r="C96" s="211"/>
      <c r="D96" s="212"/>
      <c r="E96" s="86" t="s">
        <v>189</v>
      </c>
      <c r="F96" s="87" t="s">
        <v>423</v>
      </c>
      <c r="G96" s="88">
        <v>20000</v>
      </c>
    </row>
    <row r="97" spans="1:7" ht="18.75" x14ac:dyDescent="0.3">
      <c r="A97" s="140">
        <v>40</v>
      </c>
      <c r="B97" s="210" t="s">
        <v>201</v>
      </c>
      <c r="C97" s="211"/>
      <c r="D97" s="212"/>
      <c r="E97" s="86" t="s">
        <v>189</v>
      </c>
      <c r="F97" s="87" t="s">
        <v>423</v>
      </c>
      <c r="G97" s="88">
        <v>20000</v>
      </c>
    </row>
    <row r="98" spans="1:7" ht="18.75" x14ac:dyDescent="0.3">
      <c r="A98" s="140">
        <v>41</v>
      </c>
      <c r="B98" s="210" t="s">
        <v>202</v>
      </c>
      <c r="C98" s="211"/>
      <c r="D98" s="212"/>
      <c r="E98" s="86" t="s">
        <v>189</v>
      </c>
      <c r="F98" s="87" t="s">
        <v>423</v>
      </c>
      <c r="G98" s="88">
        <v>20000</v>
      </c>
    </row>
    <row r="99" spans="1:7" ht="18.75" x14ac:dyDescent="0.3">
      <c r="A99" s="140">
        <v>42</v>
      </c>
      <c r="B99" s="210" t="s">
        <v>225</v>
      </c>
      <c r="C99" s="211"/>
      <c r="D99" s="212"/>
      <c r="E99" s="86" t="s">
        <v>189</v>
      </c>
      <c r="F99" s="87" t="s">
        <v>423</v>
      </c>
      <c r="G99" s="88">
        <v>20000</v>
      </c>
    </row>
    <row r="100" spans="1:7" ht="18.75" x14ac:dyDescent="0.3">
      <c r="A100" s="140">
        <v>43</v>
      </c>
      <c r="B100" s="210" t="s">
        <v>203</v>
      </c>
      <c r="C100" s="211"/>
      <c r="D100" s="212"/>
      <c r="E100" s="86" t="s">
        <v>189</v>
      </c>
      <c r="F100" s="87" t="s">
        <v>423</v>
      </c>
      <c r="G100" s="88">
        <v>20000</v>
      </c>
    </row>
    <row r="101" spans="1:7" ht="18.75" x14ac:dyDescent="0.3">
      <c r="A101" s="140">
        <v>44</v>
      </c>
      <c r="B101" s="132" t="s">
        <v>205</v>
      </c>
      <c r="C101" s="133" t="s">
        <v>205</v>
      </c>
      <c r="D101" s="127"/>
      <c r="E101" s="86" t="s">
        <v>189</v>
      </c>
      <c r="F101" s="87" t="s">
        <v>423</v>
      </c>
      <c r="G101" s="88">
        <v>20000</v>
      </c>
    </row>
    <row r="102" spans="1:7" ht="18.75" x14ac:dyDescent="0.3">
      <c r="A102" s="140"/>
      <c r="B102" s="213" t="s">
        <v>32</v>
      </c>
      <c r="C102" s="214"/>
      <c r="D102" s="215"/>
      <c r="E102" s="134" t="s">
        <v>431</v>
      </c>
      <c r="F102" s="87"/>
      <c r="G102" s="138">
        <f>SUM(G58:G101)</f>
        <v>2370000</v>
      </c>
    </row>
    <row r="103" spans="1:7" ht="18.75" x14ac:dyDescent="0.3">
      <c r="A103" s="140"/>
      <c r="B103" s="141"/>
      <c r="C103" s="142"/>
      <c r="D103" s="135"/>
      <c r="E103" s="134"/>
      <c r="F103" s="87"/>
      <c r="G103" s="138"/>
    </row>
    <row r="104" spans="1:7" ht="18.75" x14ac:dyDescent="0.3">
      <c r="A104" s="140">
        <v>1</v>
      </c>
      <c r="B104" s="293" t="s">
        <v>211</v>
      </c>
      <c r="C104" s="293"/>
      <c r="D104" s="293"/>
      <c r="E104" s="86" t="s">
        <v>212</v>
      </c>
      <c r="F104" s="87" t="s">
        <v>213</v>
      </c>
      <c r="G104" s="90">
        <v>20000</v>
      </c>
    </row>
    <row r="105" spans="1:7" ht="18.75" x14ac:dyDescent="0.3">
      <c r="A105" s="140">
        <v>2</v>
      </c>
      <c r="B105" s="293" t="s">
        <v>214</v>
      </c>
      <c r="C105" s="293"/>
      <c r="D105" s="293"/>
      <c r="E105" s="86" t="s">
        <v>212</v>
      </c>
      <c r="F105" s="87" t="s">
        <v>213</v>
      </c>
      <c r="G105" s="90">
        <v>20000</v>
      </c>
    </row>
    <row r="106" spans="1:7" ht="18.75" x14ac:dyDescent="0.3">
      <c r="A106" s="140">
        <v>3</v>
      </c>
      <c r="B106" s="293" t="s">
        <v>215</v>
      </c>
      <c r="C106" s="293"/>
      <c r="D106" s="293"/>
      <c r="E106" s="86" t="s">
        <v>216</v>
      </c>
      <c r="F106" s="87" t="s">
        <v>213</v>
      </c>
      <c r="G106" s="90">
        <v>20000</v>
      </c>
    </row>
    <row r="107" spans="1:7" ht="18.75" x14ac:dyDescent="0.3">
      <c r="A107" s="140">
        <v>4</v>
      </c>
      <c r="B107" s="293" t="s">
        <v>217</v>
      </c>
      <c r="C107" s="293"/>
      <c r="D107" s="293"/>
      <c r="E107" s="86" t="s">
        <v>216</v>
      </c>
      <c r="F107" s="87" t="s">
        <v>213</v>
      </c>
      <c r="G107" s="90">
        <v>20000</v>
      </c>
    </row>
    <row r="108" spans="1:7" ht="18.75" x14ac:dyDescent="0.3">
      <c r="A108" s="140">
        <v>5</v>
      </c>
      <c r="B108" s="293" t="s">
        <v>218</v>
      </c>
      <c r="C108" s="293"/>
      <c r="D108" s="293"/>
      <c r="E108" s="86" t="s">
        <v>212</v>
      </c>
      <c r="F108" s="91">
        <v>0</v>
      </c>
      <c r="G108" s="90">
        <v>20000</v>
      </c>
    </row>
    <row r="109" spans="1:7" ht="18.75" x14ac:dyDescent="0.3">
      <c r="A109" s="140">
        <v>6</v>
      </c>
      <c r="B109" s="290" t="s">
        <v>219</v>
      </c>
      <c r="C109" s="291"/>
      <c r="D109" s="292"/>
      <c r="E109" s="86" t="s">
        <v>216</v>
      </c>
      <c r="F109" s="91">
        <v>0</v>
      </c>
      <c r="G109" s="90">
        <v>20000</v>
      </c>
    </row>
    <row r="110" spans="1:7" ht="18.75" x14ac:dyDescent="0.3">
      <c r="A110" s="140">
        <v>7</v>
      </c>
      <c r="B110" s="290" t="s">
        <v>220</v>
      </c>
      <c r="C110" s="291"/>
      <c r="D110" s="292"/>
      <c r="E110" s="86" t="s">
        <v>212</v>
      </c>
      <c r="F110" s="87" t="s">
        <v>213</v>
      </c>
      <c r="G110" s="90">
        <v>20000</v>
      </c>
    </row>
    <row r="111" spans="1:7" ht="18.75" x14ac:dyDescent="0.3">
      <c r="A111" s="140">
        <v>8</v>
      </c>
      <c r="B111" s="290" t="s">
        <v>221</v>
      </c>
      <c r="C111" s="291"/>
      <c r="D111" s="124"/>
      <c r="E111" s="86" t="s">
        <v>222</v>
      </c>
      <c r="F111" s="87"/>
      <c r="G111" s="90">
        <v>20000</v>
      </c>
    </row>
    <row r="112" spans="1:7" ht="18.75" x14ac:dyDescent="0.3">
      <c r="A112" s="140">
        <v>9</v>
      </c>
      <c r="B112" s="290" t="s">
        <v>223</v>
      </c>
      <c r="C112" s="291"/>
      <c r="D112" s="124"/>
      <c r="E112" s="86" t="s">
        <v>222</v>
      </c>
      <c r="F112" s="87"/>
      <c r="G112" s="90">
        <v>20000</v>
      </c>
    </row>
    <row r="113" spans="1:7" ht="18.75" x14ac:dyDescent="0.3">
      <c r="A113" s="140">
        <v>10</v>
      </c>
      <c r="B113" s="290" t="s">
        <v>204</v>
      </c>
      <c r="C113" s="291"/>
      <c r="D113" s="124"/>
      <c r="E113" s="86" t="s">
        <v>189</v>
      </c>
      <c r="F113" s="87"/>
      <c r="G113" s="90">
        <v>20000</v>
      </c>
    </row>
    <row r="114" spans="1:7" ht="18.75" x14ac:dyDescent="0.3">
      <c r="A114" s="140">
        <v>11</v>
      </c>
      <c r="B114" s="122" t="s">
        <v>226</v>
      </c>
      <c r="C114" s="123" t="s">
        <v>226</v>
      </c>
      <c r="D114" s="124"/>
      <c r="E114" s="86" t="s">
        <v>216</v>
      </c>
      <c r="F114" s="87"/>
      <c r="G114" s="90">
        <v>20000</v>
      </c>
    </row>
    <row r="115" spans="1:7" ht="18.75" x14ac:dyDescent="0.3">
      <c r="A115" s="140">
        <v>12</v>
      </c>
      <c r="B115" s="122" t="s">
        <v>432</v>
      </c>
      <c r="C115" s="123" t="s">
        <v>432</v>
      </c>
      <c r="D115" s="124"/>
      <c r="E115" s="86" t="s">
        <v>228</v>
      </c>
      <c r="F115" s="87"/>
      <c r="G115" s="90">
        <v>20000</v>
      </c>
    </row>
    <row r="116" spans="1:7" ht="18.75" x14ac:dyDescent="0.3">
      <c r="A116" s="140">
        <v>13</v>
      </c>
      <c r="B116" s="122" t="s">
        <v>433</v>
      </c>
      <c r="C116" s="123" t="s">
        <v>433</v>
      </c>
      <c r="D116" s="124"/>
      <c r="E116" s="86" t="s">
        <v>228</v>
      </c>
      <c r="F116" s="87"/>
      <c r="G116" s="90">
        <v>20000</v>
      </c>
    </row>
    <row r="117" spans="1:7" ht="18.75" x14ac:dyDescent="0.3">
      <c r="A117" s="140">
        <v>14</v>
      </c>
      <c r="B117" s="290" t="s">
        <v>434</v>
      </c>
      <c r="C117" s="291"/>
      <c r="D117" s="292"/>
      <c r="E117" s="86" t="s">
        <v>228</v>
      </c>
      <c r="F117" s="87"/>
      <c r="G117" s="90">
        <v>20000</v>
      </c>
    </row>
    <row r="118" spans="1:7" ht="18.75" x14ac:dyDescent="0.3">
      <c r="A118" s="140"/>
      <c r="B118" s="213" t="s">
        <v>32</v>
      </c>
      <c r="C118" s="214"/>
      <c r="D118" s="215"/>
      <c r="E118" s="134" t="s">
        <v>435</v>
      </c>
      <c r="F118" s="134"/>
      <c r="G118" s="138">
        <f>SUM(G104:G117)</f>
        <v>280000</v>
      </c>
    </row>
    <row r="119" spans="1:7" ht="18.75" x14ac:dyDescent="0.3">
      <c r="A119" s="140"/>
      <c r="B119" s="141"/>
      <c r="C119" s="142"/>
      <c r="D119" s="135"/>
      <c r="E119" s="134"/>
      <c r="F119" s="134"/>
      <c r="G119" s="138"/>
    </row>
    <row r="120" spans="1:7" ht="18.75" x14ac:dyDescent="0.3">
      <c r="A120" s="140">
        <v>1</v>
      </c>
      <c r="B120" s="132" t="s">
        <v>408</v>
      </c>
      <c r="C120" s="133" t="s">
        <v>436</v>
      </c>
      <c r="D120" s="135"/>
      <c r="E120" s="86" t="s">
        <v>234</v>
      </c>
      <c r="F120" s="87"/>
      <c r="G120" s="90">
        <v>50000</v>
      </c>
    </row>
    <row r="121" spans="1:7" ht="18.75" x14ac:dyDescent="0.3">
      <c r="A121" s="140">
        <v>2</v>
      </c>
      <c r="B121" s="210" t="s">
        <v>235</v>
      </c>
      <c r="C121" s="211"/>
      <c r="D121" s="212"/>
      <c r="E121" s="86" t="s">
        <v>89</v>
      </c>
      <c r="F121" s="87" t="s">
        <v>236</v>
      </c>
      <c r="G121" s="90">
        <v>50000</v>
      </c>
    </row>
    <row r="122" spans="1:7" ht="18.75" x14ac:dyDescent="0.3">
      <c r="A122" s="140">
        <v>3</v>
      </c>
      <c r="B122" s="210" t="s">
        <v>237</v>
      </c>
      <c r="C122" s="211"/>
      <c r="D122" s="212"/>
      <c r="E122" s="86" t="s">
        <v>68</v>
      </c>
      <c r="F122" s="87" t="s">
        <v>236</v>
      </c>
      <c r="G122" s="90">
        <v>50000</v>
      </c>
    </row>
    <row r="123" spans="1:7" ht="18.75" x14ac:dyDescent="0.3">
      <c r="A123" s="140">
        <v>4</v>
      </c>
      <c r="B123" s="210" t="s">
        <v>238</v>
      </c>
      <c r="C123" s="211"/>
      <c r="D123" s="212"/>
      <c r="E123" s="86" t="s">
        <v>239</v>
      </c>
      <c r="F123" s="87" t="s">
        <v>236</v>
      </c>
      <c r="G123" s="90">
        <v>50000</v>
      </c>
    </row>
    <row r="124" spans="1:7" ht="18.75" x14ac:dyDescent="0.3">
      <c r="A124" s="140">
        <v>5</v>
      </c>
      <c r="B124" s="210" t="s">
        <v>240</v>
      </c>
      <c r="C124" s="211"/>
      <c r="D124" s="212"/>
      <c r="E124" s="86" t="s">
        <v>241</v>
      </c>
      <c r="F124" s="87" t="s">
        <v>105</v>
      </c>
      <c r="G124" s="90">
        <v>50000</v>
      </c>
    </row>
    <row r="125" spans="1:7" ht="18.75" x14ac:dyDescent="0.3">
      <c r="A125" s="140">
        <v>6</v>
      </c>
      <c r="B125" s="210" t="s">
        <v>242</v>
      </c>
      <c r="C125" s="211"/>
      <c r="D125" s="212"/>
      <c r="E125" s="86" t="s">
        <v>243</v>
      </c>
      <c r="F125" s="87" t="s">
        <v>105</v>
      </c>
      <c r="G125" s="90">
        <v>50000</v>
      </c>
    </row>
    <row r="126" spans="1:7" ht="18.75" x14ac:dyDescent="0.3">
      <c r="A126" s="140">
        <v>7</v>
      </c>
      <c r="B126" s="210" t="s">
        <v>244</v>
      </c>
      <c r="C126" s="211"/>
      <c r="D126" s="212"/>
      <c r="E126" s="86" t="s">
        <v>245</v>
      </c>
      <c r="F126" s="87" t="s">
        <v>236</v>
      </c>
      <c r="G126" s="90">
        <v>50000</v>
      </c>
    </row>
    <row r="127" spans="1:7" ht="18.75" x14ac:dyDescent="0.3">
      <c r="A127" s="140">
        <v>8</v>
      </c>
      <c r="B127" s="210" t="s">
        <v>246</v>
      </c>
      <c r="C127" s="211"/>
      <c r="D127" s="212"/>
      <c r="E127" s="86" t="s">
        <v>247</v>
      </c>
      <c r="F127" s="87" t="s">
        <v>236</v>
      </c>
      <c r="G127" s="90">
        <v>50000</v>
      </c>
    </row>
    <row r="128" spans="1:7" ht="18.75" x14ac:dyDescent="0.3">
      <c r="A128" s="140">
        <v>9</v>
      </c>
      <c r="B128" s="210" t="s">
        <v>426</v>
      </c>
      <c r="C128" s="211"/>
      <c r="D128" s="127"/>
      <c r="E128" s="86" t="s">
        <v>427</v>
      </c>
      <c r="F128" s="87" t="s">
        <v>353</v>
      </c>
      <c r="G128" s="90">
        <v>50000</v>
      </c>
    </row>
    <row r="129" spans="1:7" ht="18.75" x14ac:dyDescent="0.3">
      <c r="A129" s="140">
        <v>10</v>
      </c>
      <c r="B129" s="132" t="s">
        <v>248</v>
      </c>
      <c r="C129" s="133"/>
      <c r="D129" s="127"/>
      <c r="E129" s="86" t="s">
        <v>249</v>
      </c>
      <c r="F129" s="87" t="s">
        <v>125</v>
      </c>
      <c r="G129" s="90">
        <v>50000</v>
      </c>
    </row>
    <row r="130" spans="1:7" ht="18.75" x14ac:dyDescent="0.3">
      <c r="A130" s="140">
        <v>11</v>
      </c>
      <c r="B130" s="210" t="s">
        <v>437</v>
      </c>
      <c r="C130" s="211"/>
      <c r="D130" s="212"/>
      <c r="E130" s="86" t="s">
        <v>438</v>
      </c>
      <c r="F130" s="87" t="s">
        <v>125</v>
      </c>
      <c r="G130" s="90">
        <v>50000</v>
      </c>
    </row>
    <row r="131" spans="1:7" ht="18.75" x14ac:dyDescent="0.3">
      <c r="A131" s="140">
        <v>12</v>
      </c>
      <c r="B131" s="132" t="s">
        <v>250</v>
      </c>
      <c r="C131" s="133"/>
      <c r="D131" s="127"/>
      <c r="E131" s="86" t="s">
        <v>251</v>
      </c>
      <c r="F131" s="87" t="s">
        <v>236</v>
      </c>
      <c r="G131" s="90">
        <v>50000</v>
      </c>
    </row>
    <row r="132" spans="1:7" ht="18.75" x14ac:dyDescent="0.3">
      <c r="B132" s="213" t="s">
        <v>32</v>
      </c>
      <c r="C132" s="214"/>
      <c r="D132" s="215"/>
      <c r="E132" s="134" t="s">
        <v>439</v>
      </c>
      <c r="F132" s="87"/>
      <c r="G132" s="138">
        <f>SUM(G120:G131)</f>
        <v>600000</v>
      </c>
    </row>
    <row r="133" spans="1:7" ht="18.75" x14ac:dyDescent="0.3">
      <c r="B133" s="297" t="s">
        <v>255</v>
      </c>
      <c r="C133" s="297"/>
      <c r="D133" s="297"/>
      <c r="E133" s="136"/>
      <c r="F133" s="137"/>
      <c r="G133" s="138">
        <f>G29+G37+G56+G102+G118</f>
        <v>7120000</v>
      </c>
    </row>
    <row r="134" spans="1:7" x14ac:dyDescent="0.2">
      <c r="B134" s="13"/>
      <c r="C134" s="13"/>
      <c r="D134" s="13"/>
      <c r="E134" s="13"/>
      <c r="F134" s="13"/>
      <c r="G134" s="13"/>
    </row>
  </sheetData>
  <mergeCells count="116">
    <mergeCell ref="B133:D133"/>
    <mergeCell ref="B22:D22"/>
    <mergeCell ref="B51:D51"/>
    <mergeCell ref="B121:D121"/>
    <mergeCell ref="B130:D130"/>
    <mergeCell ref="B123:D123"/>
    <mergeCell ref="B124:D124"/>
    <mergeCell ref="B125:D125"/>
    <mergeCell ref="B126:D126"/>
    <mergeCell ref="B127:D127"/>
    <mergeCell ref="B128:C128"/>
    <mergeCell ref="B111:C111"/>
    <mergeCell ref="B112:C112"/>
    <mergeCell ref="B113:C113"/>
    <mergeCell ref="B118:D118"/>
    <mergeCell ref="B122:D122"/>
    <mergeCell ref="B105:D105"/>
    <mergeCell ref="B106:D106"/>
    <mergeCell ref="B107:D107"/>
    <mergeCell ref="B108:D108"/>
    <mergeCell ref="B109:D109"/>
    <mergeCell ref="B110:D110"/>
    <mergeCell ref="B97:D97"/>
    <mergeCell ref="B98:D98"/>
    <mergeCell ref="B99:D99"/>
    <mergeCell ref="B100:D100"/>
    <mergeCell ref="B104:D104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8:D58"/>
    <mergeCell ref="B59:D59"/>
    <mergeCell ref="B60:D60"/>
    <mergeCell ref="B47:D47"/>
    <mergeCell ref="B48:D48"/>
    <mergeCell ref="B50:D50"/>
    <mergeCell ref="B52:D52"/>
    <mergeCell ref="B53:D53"/>
    <mergeCell ref="B54:D54"/>
    <mergeCell ref="B41:D41"/>
    <mergeCell ref="B42:D42"/>
    <mergeCell ref="B43:D43"/>
    <mergeCell ref="B44:D44"/>
    <mergeCell ref="B45:D45"/>
    <mergeCell ref="B46:C46"/>
    <mergeCell ref="B18:D18"/>
    <mergeCell ref="B19:D19"/>
    <mergeCell ref="B23:D23"/>
    <mergeCell ref="B34:D34"/>
    <mergeCell ref="B36:D36"/>
    <mergeCell ref="B37:D37"/>
    <mergeCell ref="B39:D39"/>
    <mergeCell ref="B40:D40"/>
    <mergeCell ref="B30:D30"/>
    <mergeCell ref="B31:D31"/>
    <mergeCell ref="B32:D32"/>
    <mergeCell ref="B33:D33"/>
    <mergeCell ref="B1:G2"/>
    <mergeCell ref="B102:D102"/>
    <mergeCell ref="B132:D132"/>
    <mergeCell ref="B117:D117"/>
    <mergeCell ref="B9:C9"/>
    <mergeCell ref="B10:D10"/>
    <mergeCell ref="B11:D11"/>
    <mergeCell ref="B12:D12"/>
    <mergeCell ref="B13:D13"/>
    <mergeCell ref="B14:D14"/>
    <mergeCell ref="B3:D3"/>
    <mergeCell ref="B4:D4"/>
    <mergeCell ref="B5:D5"/>
    <mergeCell ref="B6:D6"/>
    <mergeCell ref="B7:D7"/>
    <mergeCell ref="B8:D8"/>
    <mergeCell ref="B24:D24"/>
    <mergeCell ref="B25:D25"/>
    <mergeCell ref="B26:D26"/>
    <mergeCell ref="B27:D27"/>
    <mergeCell ref="B29:D29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Feb. 15</vt:lpstr>
      <vt:lpstr>Enhanced welfare</vt:lpstr>
      <vt:lpstr> Welfare 2</vt:lpstr>
      <vt:lpstr>MEMO</vt:lpstr>
      <vt:lpstr>17.9</vt:lpstr>
      <vt:lpstr>16.9</vt:lpstr>
      <vt:lpstr>15.9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15.7</vt:lpstr>
      <vt:lpstr>5.7</vt:lpstr>
      <vt:lpstr>Noninal roll</vt:lpstr>
      <vt:lpstr>Welfare List Mgt Staff</vt:lpstr>
      <vt:lpstr>Welfare Support Staff</vt:lpstr>
      <vt:lpstr>Welfare Deployed Staff</vt:lpstr>
      <vt:lpstr>Sheet1</vt:lpstr>
      <vt:lpstr>Sheet3</vt:lpstr>
      <vt:lpstr>'Feb. 15'!Print_Area</vt:lpstr>
      <vt:lpstr>MEMO!Print_Area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2026-03-27T18:39:57Z</dcterms:modified>
  <cp:category/>
  <cp:contentStatus/>
</cp:coreProperties>
</file>