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ACCOUNTS DEPARTMENT  FOLDER/NILDS PAYSLIP DATA FILE/Old Pslp 2014 ^0 Abv/"/>
    </mc:Choice>
  </mc:AlternateContent>
  <xr:revisionPtr revIDLastSave="0" documentId="11_DD8E972F1C16805BB56FAB6AC1D4F859BDB55DF0" xr6:coauthVersionLast="47" xr6:coauthVersionMax="47" xr10:uidLastSave="{00000000-0000-0000-0000-000000000000}"/>
  <bookViews>
    <workbookView xWindow="1860" yWindow="225" windowWidth="26790" windowHeight="15255" xr2:uid="{00000000-000D-0000-FFFF-FFFF00000000}"/>
  </bookViews>
  <sheets>
    <sheet name="Feb. 2017" sheetId="1" r:id="rId1"/>
    <sheet name="Sheet6" sheetId="27" r:id="rId2"/>
    <sheet name="Sheet4" sheetId="25" r:id="rId3"/>
    <sheet name="Sheet5" sheetId="26" r:id="rId4"/>
    <sheet name="Enhanced welfare" sheetId="22" r:id="rId5"/>
    <sheet name="Get Together" sheetId="24" r:id="rId6"/>
    <sheet name="MEMO" sheetId="3" r:id="rId7"/>
    <sheet name="17.9" sheetId="4" r:id="rId8"/>
    <sheet name="16.9" sheetId="5" r:id="rId9"/>
    <sheet name="15.9" sheetId="6" r:id="rId10"/>
    <sheet name="13.7" sheetId="7" r:id="rId11"/>
    <sheet name="12.7" sheetId="8" r:id="rId12"/>
    <sheet name="10.7" sheetId="9" r:id="rId13"/>
    <sheet name="9.7" sheetId="10" r:id="rId14"/>
    <sheet name="8.7" sheetId="11" r:id="rId15"/>
    <sheet name="sUMMARY" sheetId="12" r:id="rId16"/>
    <sheet name="14.7" sheetId="13" r:id="rId17"/>
    <sheet name="Sheet2" sheetId="14" r:id="rId18"/>
    <sheet name="15.7" sheetId="23" r:id="rId19"/>
    <sheet name="5.7" sheetId="15" r:id="rId20"/>
    <sheet name="Noninal roll" sheetId="16" r:id="rId21"/>
    <sheet name="Welfare List Mgt Staff" sheetId="17" r:id="rId22"/>
    <sheet name="Welfare Support Staff" sheetId="18" r:id="rId23"/>
    <sheet name="Welfare Deployed Staff" sheetId="19" r:id="rId24"/>
    <sheet name="Sheet1" sheetId="20" r:id="rId25"/>
    <sheet name="Sheet3" sheetId="21" r:id="rId26"/>
  </sheets>
  <externalReferences>
    <externalReference r:id="rId27"/>
  </externalReferences>
  <definedNames>
    <definedName name="_xlnm.Print_Area" localSheetId="0">'Feb. 2017'!$A$2:$Y$130</definedName>
    <definedName name="_xlnm.Print_Area" localSheetId="6">MEMO!$A$1:$H$49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3" l="1"/>
  <c r="H38" i="3" l="1"/>
  <c r="W16" i="1" l="1"/>
  <c r="Y16" i="1" s="1"/>
  <c r="T37" i="1" l="1"/>
  <c r="T111" i="1"/>
  <c r="T110" i="1"/>
  <c r="U105" i="1"/>
  <c r="U104" i="1"/>
  <c r="T84" i="1"/>
  <c r="T78" i="1"/>
  <c r="U24" i="1"/>
  <c r="U18" i="1"/>
  <c r="U15" i="1" l="1"/>
  <c r="U100" i="1" l="1"/>
  <c r="U116" i="1"/>
  <c r="T116" i="1"/>
  <c r="T25" i="1"/>
  <c r="T18" i="1"/>
  <c r="U125" i="1"/>
  <c r="U113" i="1"/>
  <c r="U112" i="1"/>
  <c r="U111" i="1"/>
  <c r="U110" i="1"/>
  <c r="U109" i="1"/>
  <c r="U107" i="1"/>
  <c r="U103" i="1"/>
  <c r="U94" i="1"/>
  <c r="T94" i="1"/>
  <c r="U93" i="1"/>
  <c r="U89" i="1"/>
  <c r="U84" i="1"/>
  <c r="U82" i="1"/>
  <c r="U78" i="1"/>
  <c r="U76" i="1"/>
  <c r="U73" i="1"/>
  <c r="U19" i="1"/>
  <c r="U10" i="1"/>
  <c r="Y96" i="1" l="1"/>
  <c r="P94" i="1"/>
  <c r="N94" i="1"/>
  <c r="L94" i="1"/>
  <c r="K94" i="1"/>
  <c r="I94" i="1"/>
  <c r="H94" i="1"/>
  <c r="S94" i="1" l="1"/>
  <c r="W18" i="1" l="1"/>
  <c r="P18" i="1"/>
  <c r="N18" i="1"/>
  <c r="L18" i="1"/>
  <c r="K18" i="1"/>
  <c r="I18" i="1"/>
  <c r="H18" i="1"/>
  <c r="S18" i="1" l="1"/>
  <c r="Y18" i="1" s="1"/>
  <c r="F33" i="22"/>
  <c r="S124" i="1" l="1"/>
  <c r="Y124" i="1" s="1"/>
  <c r="W73" i="1" l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5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94" i="1"/>
  <c r="W114" i="1"/>
  <c r="W115" i="1"/>
  <c r="W116" i="1"/>
  <c r="W117" i="1"/>
  <c r="W118" i="1"/>
  <c r="W119" i="1"/>
  <c r="W120" i="1"/>
  <c r="W121" i="1"/>
  <c r="W122" i="1"/>
  <c r="W123" i="1"/>
  <c r="W125" i="1"/>
  <c r="W72" i="1"/>
  <c r="W46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45" i="1"/>
  <c r="W37" i="1"/>
  <c r="W38" i="1"/>
  <c r="W39" i="1"/>
  <c r="W40" i="1"/>
  <c r="W41" i="1"/>
  <c r="W36" i="1"/>
  <c r="W10" i="1"/>
  <c r="W11" i="1"/>
  <c r="W12" i="1"/>
  <c r="W13" i="1"/>
  <c r="W14" i="1"/>
  <c r="W15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9" i="1"/>
  <c r="S14" i="1" l="1"/>
  <c r="G33" i="1" l="1"/>
  <c r="G42" i="1"/>
  <c r="G69" i="1"/>
  <c r="G126" i="1"/>
  <c r="G127" i="1" l="1"/>
  <c r="Y48" i="1" l="1"/>
  <c r="Y11" i="1"/>
  <c r="S49" i="1" l="1"/>
  <c r="S120" i="1" l="1"/>
  <c r="Y120" i="1" s="1"/>
  <c r="Y14" i="1" l="1"/>
  <c r="P13" i="1" l="1"/>
  <c r="N13" i="1"/>
  <c r="L13" i="1"/>
  <c r="K13" i="1"/>
  <c r="I13" i="1"/>
  <c r="H13" i="1"/>
  <c r="S13" i="1" l="1"/>
  <c r="Y13" i="1" s="1"/>
  <c r="S123" i="1"/>
  <c r="Y123" i="1" s="1"/>
  <c r="H44" i="3"/>
  <c r="U126" i="1" l="1"/>
  <c r="U69" i="1"/>
  <c r="U33" i="1"/>
  <c r="Y47" i="1"/>
  <c r="U127" i="1" l="1"/>
  <c r="G29" i="3" s="1"/>
  <c r="H17" i="1"/>
  <c r="I17" i="1"/>
  <c r="K17" i="1"/>
  <c r="L17" i="1"/>
  <c r="N17" i="1"/>
  <c r="P17" i="1"/>
  <c r="S17" i="1" l="1"/>
  <c r="Y17" i="1" s="1"/>
  <c r="S47" i="1"/>
  <c r="Y49" i="1"/>
  <c r="J69" i="1"/>
  <c r="M69" i="1"/>
  <c r="Q69" i="1"/>
  <c r="R69" i="1"/>
  <c r="S118" i="1" l="1"/>
  <c r="O47" i="1" l="1"/>
  <c r="O69" i="1" s="1"/>
  <c r="H92" i="1"/>
  <c r="I92" i="1"/>
  <c r="K92" i="1"/>
  <c r="L92" i="1"/>
  <c r="N92" i="1"/>
  <c r="P92" i="1"/>
  <c r="S92" i="1" l="1"/>
  <c r="Y92" i="1" s="1"/>
  <c r="T33" i="1"/>
  <c r="T42" i="1"/>
  <c r="T69" i="1"/>
  <c r="T126" i="1"/>
  <c r="T127" i="1" l="1"/>
  <c r="V47" i="1"/>
  <c r="W47" i="1" s="1"/>
  <c r="G28" i="3" l="1"/>
  <c r="X42" i="1"/>
  <c r="S121" i="1" l="1"/>
  <c r="S122" i="1"/>
  <c r="Y122" i="1" s="1"/>
  <c r="J126" i="1" l="1"/>
  <c r="M126" i="1"/>
  <c r="O126" i="1"/>
  <c r="Q126" i="1"/>
  <c r="R126" i="1"/>
  <c r="V126" i="1"/>
  <c r="X126" i="1"/>
  <c r="V69" i="1"/>
  <c r="X69" i="1"/>
  <c r="M42" i="1"/>
  <c r="O42" i="1"/>
  <c r="Q42" i="1"/>
  <c r="R42" i="1"/>
  <c r="V42" i="1"/>
  <c r="J33" i="1"/>
  <c r="M33" i="1"/>
  <c r="O33" i="1"/>
  <c r="Q33" i="1"/>
  <c r="R33" i="1"/>
  <c r="V33" i="1"/>
  <c r="X33" i="1"/>
  <c r="F18" i="3" s="1"/>
  <c r="S125" i="1"/>
  <c r="Y125" i="1" s="1"/>
  <c r="S117" i="1"/>
  <c r="Y117" i="1" s="1"/>
  <c r="S116" i="1"/>
  <c r="Y116" i="1" s="1"/>
  <c r="S115" i="1"/>
  <c r="Y115" i="1" s="1"/>
  <c r="S114" i="1"/>
  <c r="Y114" i="1" s="1"/>
  <c r="Y94" i="1"/>
  <c r="S41" i="1"/>
  <c r="Y41" i="1" s="1"/>
  <c r="S32" i="1"/>
  <c r="Y32" i="1" s="1"/>
  <c r="S31" i="1"/>
  <c r="Y31" i="1" s="1"/>
  <c r="S30" i="1"/>
  <c r="Y30" i="1" s="1"/>
  <c r="S29" i="1"/>
  <c r="Y29" i="1" s="1"/>
  <c r="S28" i="1"/>
  <c r="Y28" i="1" s="1"/>
  <c r="Q127" i="1" l="1"/>
  <c r="V127" i="1"/>
  <c r="G30" i="3" s="1"/>
  <c r="H31" i="3" s="1"/>
  <c r="R127" i="1"/>
  <c r="M127" i="1"/>
  <c r="X127" i="1"/>
  <c r="F127" i="24" l="1"/>
  <c r="F18" i="24" l="1"/>
  <c r="F54" i="24"/>
  <c r="F101" i="24" l="1"/>
  <c r="F28" i="24" l="1"/>
  <c r="F129" i="24" s="1"/>
  <c r="P22" i="1" l="1"/>
  <c r="N22" i="1"/>
  <c r="L22" i="1"/>
  <c r="I22" i="1"/>
  <c r="H22" i="1"/>
  <c r="S22" i="1" l="1"/>
  <c r="Y22" i="1" s="1"/>
  <c r="E113" i="26"/>
  <c r="E102" i="26"/>
  <c r="E55" i="26"/>
  <c r="E27" i="26"/>
  <c r="E17" i="26"/>
  <c r="E114" i="26" l="1"/>
  <c r="E102" i="25"/>
  <c r="E55" i="25"/>
  <c r="E27" i="25"/>
  <c r="E17" i="25"/>
  <c r="E113" i="25"/>
  <c r="E114" i="25" l="1"/>
  <c r="P60" i="1" l="1"/>
  <c r="N60" i="1"/>
  <c r="L60" i="1"/>
  <c r="K60" i="1"/>
  <c r="I60" i="1"/>
  <c r="H60" i="1"/>
  <c r="S60" i="1" l="1"/>
  <c r="Y60" i="1" s="1"/>
  <c r="G22" i="3"/>
  <c r="E22" i="3"/>
  <c r="P88" i="1" l="1"/>
  <c r="N88" i="1"/>
  <c r="L88" i="1"/>
  <c r="K88" i="1"/>
  <c r="I88" i="1"/>
  <c r="H88" i="1"/>
  <c r="P112" i="1"/>
  <c r="N112" i="1"/>
  <c r="L112" i="1"/>
  <c r="K112" i="1"/>
  <c r="I112" i="1"/>
  <c r="H112" i="1"/>
  <c r="S112" i="1" l="1"/>
  <c r="Y112" i="1" s="1"/>
  <c r="S88" i="1"/>
  <c r="Y88" i="1" s="1"/>
  <c r="P10" i="1"/>
  <c r="N10" i="1"/>
  <c r="L10" i="1"/>
  <c r="K10" i="1"/>
  <c r="I10" i="1"/>
  <c r="H10" i="1"/>
  <c r="S10" i="1" l="1"/>
  <c r="Y10" i="1" s="1"/>
  <c r="P53" i="1" l="1"/>
  <c r="N53" i="1"/>
  <c r="L53" i="1"/>
  <c r="K53" i="1"/>
  <c r="I53" i="1"/>
  <c r="H53" i="1"/>
  <c r="P113" i="1"/>
  <c r="N113" i="1"/>
  <c r="L113" i="1"/>
  <c r="K113" i="1"/>
  <c r="I113" i="1"/>
  <c r="H113" i="1"/>
  <c r="S53" i="1" l="1"/>
  <c r="Y53" i="1" s="1"/>
  <c r="S113" i="1"/>
  <c r="Y113" i="1" s="1"/>
  <c r="O127" i="1"/>
  <c r="P57" i="1" l="1"/>
  <c r="P58" i="1"/>
  <c r="N57" i="1"/>
  <c r="N58" i="1"/>
  <c r="L57" i="1"/>
  <c r="L58" i="1"/>
  <c r="K57" i="1"/>
  <c r="K58" i="1"/>
  <c r="I57" i="1"/>
  <c r="I58" i="1"/>
  <c r="H58" i="1"/>
  <c r="H57" i="1"/>
  <c r="S57" i="1" l="1"/>
  <c r="Y57" i="1" s="1"/>
  <c r="S58" i="1"/>
  <c r="Y58" i="1" s="1"/>
  <c r="F78" i="1" l="1"/>
  <c r="L23" i="1"/>
  <c r="N23" i="1"/>
  <c r="H23" i="1"/>
  <c r="F79" i="1" l="1"/>
  <c r="F80" i="1" s="1"/>
  <c r="F81" i="1" s="1"/>
  <c r="H52" i="1"/>
  <c r="I52" i="1"/>
  <c r="K52" i="1"/>
  <c r="L52" i="1"/>
  <c r="N52" i="1"/>
  <c r="P52" i="1"/>
  <c r="S52" i="1" l="1"/>
  <c r="Y52" i="1" s="1"/>
  <c r="F126" i="1"/>
  <c r="P55" i="1" l="1"/>
  <c r="P56" i="1"/>
  <c r="N55" i="1"/>
  <c r="N56" i="1"/>
  <c r="L55" i="1"/>
  <c r="K55" i="1"/>
  <c r="K56" i="1"/>
  <c r="I55" i="1"/>
  <c r="H55" i="1"/>
  <c r="S55" i="1" l="1"/>
  <c r="Y55" i="1" s="1"/>
  <c r="B6" i="23"/>
  <c r="B10" i="23"/>
  <c r="B11" i="23"/>
  <c r="C13" i="23"/>
  <c r="B13" i="23" s="1"/>
  <c r="B12" i="23"/>
  <c r="B9" i="23"/>
  <c r="B8" i="23"/>
  <c r="B5" i="23"/>
  <c r="E4" i="6"/>
  <c r="B4" i="23" l="1"/>
  <c r="H51" i="1"/>
  <c r="I51" i="1"/>
  <c r="K51" i="1"/>
  <c r="L51" i="1"/>
  <c r="N51" i="1"/>
  <c r="P51" i="1"/>
  <c r="S51" i="1" l="1"/>
  <c r="Y51" i="1" s="1"/>
  <c r="H59" i="1"/>
  <c r="I59" i="1"/>
  <c r="K59" i="1"/>
  <c r="L59" i="1"/>
  <c r="N59" i="1"/>
  <c r="P59" i="1"/>
  <c r="S59" i="1" l="1"/>
  <c r="Y59" i="1" s="1"/>
  <c r="F21" i="3"/>
  <c r="H111" i="1"/>
  <c r="I111" i="1"/>
  <c r="K111" i="1"/>
  <c r="L111" i="1"/>
  <c r="N111" i="1"/>
  <c r="P111" i="1"/>
  <c r="S111" i="1" l="1"/>
  <c r="Y111" i="1" s="1"/>
  <c r="P83" i="1" l="1"/>
  <c r="N83" i="1"/>
  <c r="L83" i="1"/>
  <c r="K83" i="1"/>
  <c r="I83" i="1"/>
  <c r="H83" i="1"/>
  <c r="S83" i="1" l="1"/>
  <c r="Y83" i="1" s="1"/>
  <c r="N108" i="1" l="1"/>
  <c r="P109" i="1"/>
  <c r="L109" i="1"/>
  <c r="K109" i="1"/>
  <c r="I109" i="1"/>
  <c r="H109" i="1"/>
  <c r="H95" i="1" l="1"/>
  <c r="I95" i="1"/>
  <c r="K95" i="1"/>
  <c r="L95" i="1"/>
  <c r="N95" i="1"/>
  <c r="P95" i="1"/>
  <c r="S95" i="1" l="1"/>
  <c r="Y95" i="1" s="1"/>
  <c r="F46" i="1"/>
  <c r="F69" i="1" s="1"/>
  <c r="O4" i="12"/>
  <c r="N4" i="12"/>
  <c r="L4" i="12"/>
  <c r="K4" i="12"/>
  <c r="I4" i="12"/>
  <c r="H4" i="12"/>
  <c r="H46" i="1" l="1"/>
  <c r="I46" i="1"/>
  <c r="K46" i="1"/>
  <c r="F36" i="1"/>
  <c r="L46" i="1"/>
  <c r="R4" i="12"/>
  <c r="F19" i="3"/>
  <c r="G29" i="20"/>
  <c r="G132" i="20"/>
  <c r="F42" i="1" l="1"/>
  <c r="G37" i="20"/>
  <c r="G56" i="20"/>
  <c r="G102" i="20"/>
  <c r="G118" i="20"/>
  <c r="G133" i="20" l="1"/>
  <c r="P21" i="1" l="1"/>
  <c r="N21" i="1"/>
  <c r="L21" i="1"/>
  <c r="K21" i="1"/>
  <c r="I21" i="1"/>
  <c r="H21" i="1"/>
  <c r="E12" i="19"/>
  <c r="G85" i="18"/>
  <c r="F23" i="17"/>
  <c r="P27" i="1"/>
  <c r="N27" i="1"/>
  <c r="L27" i="1"/>
  <c r="K27" i="1"/>
  <c r="I27" i="1"/>
  <c r="H27" i="1"/>
  <c r="P110" i="1"/>
  <c r="N110" i="1"/>
  <c r="L110" i="1"/>
  <c r="K110" i="1"/>
  <c r="I110" i="1"/>
  <c r="H110" i="1"/>
  <c r="P20" i="1"/>
  <c r="N20" i="1"/>
  <c r="L20" i="1"/>
  <c r="K20" i="1"/>
  <c r="I20" i="1"/>
  <c r="H20" i="1"/>
  <c r="P19" i="1"/>
  <c r="N19" i="1"/>
  <c r="L19" i="1"/>
  <c r="K19" i="1"/>
  <c r="I19" i="1"/>
  <c r="H19" i="1"/>
  <c r="L56" i="1"/>
  <c r="I56" i="1"/>
  <c r="H56" i="1"/>
  <c r="W126" i="1"/>
  <c r="W33" i="1"/>
  <c r="P64" i="1"/>
  <c r="N64" i="1"/>
  <c r="L64" i="1"/>
  <c r="K64" i="1"/>
  <c r="I64" i="1"/>
  <c r="H64" i="1"/>
  <c r="W43" i="1"/>
  <c r="W44" i="1"/>
  <c r="P86" i="1"/>
  <c r="N86" i="1"/>
  <c r="L86" i="1"/>
  <c r="K86" i="1"/>
  <c r="I86" i="1"/>
  <c r="H86" i="1"/>
  <c r="P85" i="1"/>
  <c r="N85" i="1"/>
  <c r="L85" i="1"/>
  <c r="K85" i="1"/>
  <c r="I85" i="1"/>
  <c r="H85" i="1"/>
  <c r="E11" i="11"/>
  <c r="D11" i="11" s="1"/>
  <c r="P39" i="1"/>
  <c r="N39" i="1"/>
  <c r="L39" i="1"/>
  <c r="K39" i="1"/>
  <c r="I39" i="1"/>
  <c r="H39" i="1"/>
  <c r="P108" i="1"/>
  <c r="N109" i="1"/>
  <c r="L108" i="1"/>
  <c r="K108" i="1"/>
  <c r="I108" i="1"/>
  <c r="H108" i="1"/>
  <c r="P107" i="1"/>
  <c r="N107" i="1"/>
  <c r="L107" i="1"/>
  <c r="K107" i="1"/>
  <c r="I107" i="1"/>
  <c r="H107" i="1"/>
  <c r="P106" i="1"/>
  <c r="N106" i="1"/>
  <c r="L106" i="1"/>
  <c r="K106" i="1"/>
  <c r="I106" i="1"/>
  <c r="H106" i="1"/>
  <c r="P54" i="1"/>
  <c r="N54" i="1"/>
  <c r="L54" i="1"/>
  <c r="K54" i="1"/>
  <c r="I54" i="1"/>
  <c r="H54" i="1"/>
  <c r="P105" i="1"/>
  <c r="N105" i="1"/>
  <c r="L105" i="1"/>
  <c r="K105" i="1"/>
  <c r="I105" i="1"/>
  <c r="H105" i="1"/>
  <c r="D18" i="16"/>
  <c r="F6" i="16"/>
  <c r="F9" i="16"/>
  <c r="F10" i="16"/>
  <c r="F13" i="16"/>
  <c r="E17" i="16"/>
  <c r="F17" i="16" s="1"/>
  <c r="E16" i="16"/>
  <c r="F16" i="16" s="1"/>
  <c r="E15" i="16"/>
  <c r="F15" i="16" s="1"/>
  <c r="E14" i="16"/>
  <c r="F14" i="16" s="1"/>
  <c r="E12" i="16"/>
  <c r="F12" i="16" s="1"/>
  <c r="E11" i="16"/>
  <c r="F11" i="16" s="1"/>
  <c r="E8" i="16"/>
  <c r="F8" i="16" s="1"/>
  <c r="E7" i="16"/>
  <c r="F7" i="16" s="1"/>
  <c r="E5" i="16"/>
  <c r="F5" i="16" s="1"/>
  <c r="D10" i="4"/>
  <c r="P47" i="1"/>
  <c r="N47" i="1"/>
  <c r="L47" i="1"/>
  <c r="K47" i="1"/>
  <c r="I47" i="1"/>
  <c r="H47" i="1"/>
  <c r="E5" i="6" s="1"/>
  <c r="D5" i="6" s="1"/>
  <c r="P81" i="1"/>
  <c r="N81" i="1"/>
  <c r="L81" i="1"/>
  <c r="K81" i="1"/>
  <c r="I81" i="1"/>
  <c r="H81" i="1"/>
  <c r="P37" i="1"/>
  <c r="N37" i="1"/>
  <c r="L37" i="1"/>
  <c r="K37" i="1"/>
  <c r="J37" i="1"/>
  <c r="I37" i="1"/>
  <c r="H37" i="1"/>
  <c r="P65" i="1"/>
  <c r="N65" i="1"/>
  <c r="L65" i="1"/>
  <c r="K65" i="1"/>
  <c r="I65" i="1"/>
  <c r="H65" i="1"/>
  <c r="H38" i="1"/>
  <c r="I38" i="1"/>
  <c r="K38" i="1"/>
  <c r="L38" i="1"/>
  <c r="N38" i="1"/>
  <c r="P38" i="1"/>
  <c r="P40" i="1"/>
  <c r="N40" i="1"/>
  <c r="L40" i="1"/>
  <c r="K40" i="1"/>
  <c r="J40" i="1"/>
  <c r="I40" i="1"/>
  <c r="H40" i="1"/>
  <c r="P26" i="1"/>
  <c r="N26" i="1"/>
  <c r="L26" i="1"/>
  <c r="K26" i="1"/>
  <c r="I26" i="1"/>
  <c r="H26" i="1"/>
  <c r="P63" i="1"/>
  <c r="N63" i="1"/>
  <c r="L63" i="1"/>
  <c r="K63" i="1"/>
  <c r="I63" i="1"/>
  <c r="H63" i="1"/>
  <c r="P15" i="1"/>
  <c r="N15" i="1"/>
  <c r="L15" i="1"/>
  <c r="K15" i="1"/>
  <c r="I15" i="1"/>
  <c r="H15" i="1"/>
  <c r="E13" i="15"/>
  <c r="D13" i="15" s="1"/>
  <c r="E12" i="15"/>
  <c r="D12" i="15" s="1"/>
  <c r="E10" i="15"/>
  <c r="D10" i="15" s="1"/>
  <c r="E9" i="15"/>
  <c r="D9" i="15" s="1"/>
  <c r="E8" i="15"/>
  <c r="D8" i="15" s="1"/>
  <c r="E6" i="15"/>
  <c r="D6" i="15" s="1"/>
  <c r="E5" i="15"/>
  <c r="D5" i="15" s="1"/>
  <c r="E4" i="15"/>
  <c r="E14" i="15" s="1"/>
  <c r="D14" i="15" s="1"/>
  <c r="D11" i="15"/>
  <c r="E7" i="15"/>
  <c r="D7" i="15" s="1"/>
  <c r="P80" i="1"/>
  <c r="N80" i="1"/>
  <c r="L80" i="1"/>
  <c r="K80" i="1"/>
  <c r="I80" i="1"/>
  <c r="H80" i="1"/>
  <c r="P24" i="1"/>
  <c r="N24" i="1"/>
  <c r="L24" i="1"/>
  <c r="K24" i="1"/>
  <c r="I24" i="1"/>
  <c r="H24" i="1"/>
  <c r="P50" i="1"/>
  <c r="N50" i="1"/>
  <c r="L50" i="1"/>
  <c r="K50" i="1"/>
  <c r="I50" i="1"/>
  <c r="H50" i="1"/>
  <c r="P62" i="1"/>
  <c r="N62" i="1"/>
  <c r="L62" i="1"/>
  <c r="K62" i="1"/>
  <c r="I62" i="1"/>
  <c r="H62" i="1"/>
  <c r="P84" i="1"/>
  <c r="N84" i="1"/>
  <c r="E9" i="11" s="1"/>
  <c r="D9" i="11" s="1"/>
  <c r="L84" i="1"/>
  <c r="K84" i="1"/>
  <c r="E7" i="11" s="1"/>
  <c r="D7" i="11" s="1"/>
  <c r="I84" i="1"/>
  <c r="H84" i="1"/>
  <c r="P76" i="1"/>
  <c r="N76" i="1"/>
  <c r="L76" i="1"/>
  <c r="K76" i="1"/>
  <c r="I76" i="1"/>
  <c r="H76" i="1"/>
  <c r="P12" i="1"/>
  <c r="N12" i="1"/>
  <c r="L12" i="1"/>
  <c r="K12" i="1"/>
  <c r="I12" i="1"/>
  <c r="H12" i="1"/>
  <c r="E6" i="11"/>
  <c r="D6" i="11" s="1"/>
  <c r="P87" i="1"/>
  <c r="N87" i="1"/>
  <c r="L87" i="1"/>
  <c r="K87" i="1"/>
  <c r="I87" i="1"/>
  <c r="H87" i="1"/>
  <c r="P79" i="1"/>
  <c r="N79" i="1"/>
  <c r="L79" i="1"/>
  <c r="K79" i="1"/>
  <c r="I79" i="1"/>
  <c r="H79" i="1"/>
  <c r="P82" i="1"/>
  <c r="E10" i="11"/>
  <c r="D10" i="11" s="1"/>
  <c r="P66" i="1"/>
  <c r="N82" i="1"/>
  <c r="N66" i="1"/>
  <c r="L82" i="1"/>
  <c r="L66" i="1"/>
  <c r="K82" i="1"/>
  <c r="K66" i="1"/>
  <c r="I82" i="1"/>
  <c r="I66" i="1"/>
  <c r="H82" i="1"/>
  <c r="H66" i="1"/>
  <c r="H67" i="1"/>
  <c r="I67" i="1"/>
  <c r="K67" i="1"/>
  <c r="L67" i="1"/>
  <c r="N67" i="1"/>
  <c r="P67" i="1"/>
  <c r="P78" i="1"/>
  <c r="N78" i="1"/>
  <c r="L78" i="1"/>
  <c r="K78" i="1"/>
  <c r="I78" i="1"/>
  <c r="H78" i="1"/>
  <c r="P75" i="1"/>
  <c r="N75" i="1"/>
  <c r="L75" i="1"/>
  <c r="K75" i="1"/>
  <c r="I75" i="1"/>
  <c r="H75" i="1"/>
  <c r="P73" i="1"/>
  <c r="N73" i="1"/>
  <c r="L73" i="1"/>
  <c r="K73" i="1"/>
  <c r="I73" i="1"/>
  <c r="H73" i="1"/>
  <c r="D11" i="10"/>
  <c r="D11" i="9"/>
  <c r="D11" i="7"/>
  <c r="D11" i="13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E6" i="13" s="1"/>
  <c r="D6" i="13" s="1"/>
  <c r="H5" i="12"/>
  <c r="E5" i="13" s="1"/>
  <c r="D5" i="13" s="1"/>
  <c r="E13" i="13"/>
  <c r="D13" i="13" s="1"/>
  <c r="E4" i="13"/>
  <c r="D4" i="13" s="1"/>
  <c r="E7" i="13"/>
  <c r="D7" i="13" s="1"/>
  <c r="D11" i="6"/>
  <c r="H3" i="12"/>
  <c r="I3" i="12"/>
  <c r="E6" i="4" s="1"/>
  <c r="D6" i="4" s="1"/>
  <c r="K3" i="12"/>
  <c r="E8" i="4" s="1"/>
  <c r="D8" i="4" s="1"/>
  <c r="L3" i="12"/>
  <c r="E9" i="4" s="1"/>
  <c r="D9" i="4" s="1"/>
  <c r="N3" i="12"/>
  <c r="E11" i="4" s="1"/>
  <c r="D11" i="4" s="1"/>
  <c r="O3" i="12"/>
  <c r="E12" i="4" s="1"/>
  <c r="D12" i="4" s="1"/>
  <c r="H6" i="12"/>
  <c r="I6" i="12"/>
  <c r="E6" i="7" s="1"/>
  <c r="D6" i="7" s="1"/>
  <c r="K6" i="12"/>
  <c r="L6" i="12"/>
  <c r="N6" i="12"/>
  <c r="E10" i="7" s="1"/>
  <c r="D10" i="7" s="1"/>
  <c r="O6" i="12"/>
  <c r="E12" i="7" s="1"/>
  <c r="D12" i="7" s="1"/>
  <c r="H7" i="12"/>
  <c r="I7" i="12"/>
  <c r="E6" i="8" s="1"/>
  <c r="D6" i="8" s="1"/>
  <c r="K7" i="12"/>
  <c r="E8" i="8" s="1"/>
  <c r="D8" i="8" s="1"/>
  <c r="L7" i="12"/>
  <c r="E9" i="8" s="1"/>
  <c r="D9" i="8" s="1"/>
  <c r="N7" i="12"/>
  <c r="E10" i="8" s="1"/>
  <c r="D10" i="8" s="1"/>
  <c r="O7" i="12"/>
  <c r="E11" i="8" s="1"/>
  <c r="D11" i="8" s="1"/>
  <c r="H8" i="12"/>
  <c r="E5" i="9" s="1"/>
  <c r="D5" i="9" s="1"/>
  <c r="I8" i="12"/>
  <c r="E6" i="9" s="1"/>
  <c r="D6" i="9" s="1"/>
  <c r="K8" i="12"/>
  <c r="E8" i="9" s="1"/>
  <c r="D8" i="9" s="1"/>
  <c r="L8" i="12"/>
  <c r="E9" i="9" s="1"/>
  <c r="D9" i="9" s="1"/>
  <c r="N8" i="12"/>
  <c r="E10" i="9" s="1"/>
  <c r="D10" i="9" s="1"/>
  <c r="O8" i="12"/>
  <c r="H9" i="12"/>
  <c r="I9" i="12"/>
  <c r="E6" i="10" s="1"/>
  <c r="D6" i="10" s="1"/>
  <c r="K9" i="12"/>
  <c r="E8" i="10" s="1"/>
  <c r="D8" i="10" s="1"/>
  <c r="L9" i="12"/>
  <c r="E9" i="10" s="1"/>
  <c r="D9" i="10" s="1"/>
  <c r="N9" i="12"/>
  <c r="E10" i="10" s="1"/>
  <c r="D10" i="10" s="1"/>
  <c r="O9" i="12"/>
  <c r="E12" i="10" s="1"/>
  <c r="D12" i="10" s="1"/>
  <c r="H10" i="12"/>
  <c r="I10" i="12"/>
  <c r="K10" i="12"/>
  <c r="L10" i="12"/>
  <c r="N10" i="12"/>
  <c r="O10" i="12"/>
  <c r="P23" i="1"/>
  <c r="K23" i="1"/>
  <c r="I23" i="1"/>
  <c r="E5" i="10"/>
  <c r="D5" i="10" s="1"/>
  <c r="E4" i="10"/>
  <c r="D4" i="10" s="1"/>
  <c r="E13" i="10"/>
  <c r="D13" i="10" s="1"/>
  <c r="E7" i="10"/>
  <c r="D7" i="10" s="1"/>
  <c r="E12" i="9"/>
  <c r="D12" i="9" s="1"/>
  <c r="E4" i="9"/>
  <c r="D4" i="9" s="1"/>
  <c r="E13" i="9"/>
  <c r="D13" i="9" s="1"/>
  <c r="E7" i="9"/>
  <c r="D7" i="9" s="1"/>
  <c r="E12" i="8"/>
  <c r="D12" i="8" s="1"/>
  <c r="E4" i="8"/>
  <c r="E7" i="8"/>
  <c r="D7" i="8" s="1"/>
  <c r="E13" i="7"/>
  <c r="D13" i="7" s="1"/>
  <c r="E7" i="7"/>
  <c r="D7" i="7" s="1"/>
  <c r="E4" i="7"/>
  <c r="D4" i="7" s="1"/>
  <c r="E5" i="7"/>
  <c r="D13" i="6"/>
  <c r="D4" i="6"/>
  <c r="E12" i="5"/>
  <c r="D12" i="5" s="1"/>
  <c r="E13" i="4"/>
  <c r="D13" i="4" s="1"/>
  <c r="E7" i="4"/>
  <c r="D7" i="4" s="1"/>
  <c r="E5" i="4"/>
  <c r="D5" i="4" s="1"/>
  <c r="E4" i="4"/>
  <c r="F33" i="1"/>
  <c r="F127" i="1" s="1"/>
  <c r="P104" i="1"/>
  <c r="N104" i="1"/>
  <c r="L104" i="1"/>
  <c r="K104" i="1"/>
  <c r="I104" i="1"/>
  <c r="H104" i="1"/>
  <c r="P103" i="1"/>
  <c r="N103" i="1"/>
  <c r="L103" i="1"/>
  <c r="K103" i="1"/>
  <c r="I103" i="1"/>
  <c r="H103" i="1"/>
  <c r="E4" i="11"/>
  <c r="D4" i="11" s="1"/>
  <c r="P77" i="1"/>
  <c r="N77" i="1"/>
  <c r="L77" i="1"/>
  <c r="K77" i="1"/>
  <c r="I77" i="1"/>
  <c r="H77" i="1"/>
  <c r="P74" i="1"/>
  <c r="N74" i="1"/>
  <c r="L74" i="1"/>
  <c r="K74" i="1"/>
  <c r="I74" i="1"/>
  <c r="H74" i="1"/>
  <c r="D12" i="6"/>
  <c r="D10" i="6"/>
  <c r="D9" i="6"/>
  <c r="D8" i="6"/>
  <c r="D6" i="6"/>
  <c r="P36" i="1"/>
  <c r="N36" i="1"/>
  <c r="L36" i="1"/>
  <c r="K36" i="1"/>
  <c r="I36" i="1"/>
  <c r="H36" i="1"/>
  <c r="P98" i="1"/>
  <c r="N98" i="1"/>
  <c r="L98" i="1"/>
  <c r="K98" i="1"/>
  <c r="I98" i="1"/>
  <c r="H98" i="1"/>
  <c r="P97" i="1"/>
  <c r="N97" i="1"/>
  <c r="L97" i="1"/>
  <c r="K97" i="1"/>
  <c r="I97" i="1"/>
  <c r="H97" i="1"/>
  <c r="P91" i="1"/>
  <c r="N91" i="1"/>
  <c r="L91" i="1"/>
  <c r="K91" i="1"/>
  <c r="I91" i="1"/>
  <c r="H91" i="1"/>
  <c r="P25" i="1"/>
  <c r="N25" i="1"/>
  <c r="L25" i="1"/>
  <c r="K25" i="1"/>
  <c r="I25" i="1"/>
  <c r="H25" i="1"/>
  <c r="P61" i="1"/>
  <c r="N61" i="1"/>
  <c r="L61" i="1"/>
  <c r="K61" i="1"/>
  <c r="I61" i="1"/>
  <c r="H61" i="1"/>
  <c r="S9" i="1"/>
  <c r="F4" i="1"/>
  <c r="I4" i="1"/>
  <c r="E9" i="7"/>
  <c r="D9" i="7" s="1"/>
  <c r="E8" i="11"/>
  <c r="D8" i="11" s="1"/>
  <c r="I99" i="1"/>
  <c r="N99" i="1"/>
  <c r="D7" i="6"/>
  <c r="P99" i="1"/>
  <c r="L99" i="1"/>
  <c r="K99" i="1"/>
  <c r="H99" i="1"/>
  <c r="H100" i="1"/>
  <c r="K100" i="1"/>
  <c r="L100" i="1"/>
  <c r="P100" i="1"/>
  <c r="I100" i="1"/>
  <c r="N100" i="1"/>
  <c r="I101" i="1"/>
  <c r="H101" i="1"/>
  <c r="N101" i="1"/>
  <c r="P101" i="1"/>
  <c r="K101" i="1"/>
  <c r="L101" i="1"/>
  <c r="H102" i="1"/>
  <c r="P102" i="1"/>
  <c r="K102" i="1"/>
  <c r="N102" i="1"/>
  <c r="L102" i="1"/>
  <c r="I102" i="1"/>
  <c r="Y9" i="1" l="1"/>
  <c r="S61" i="1"/>
  <c r="Y61" i="1" s="1"/>
  <c r="S50" i="1"/>
  <c r="Y50" i="1" s="1"/>
  <c r="S67" i="1"/>
  <c r="Y67" i="1" s="1"/>
  <c r="S64" i="1"/>
  <c r="Y64" i="1" s="1"/>
  <c r="S66" i="1"/>
  <c r="Y66" i="1" s="1"/>
  <c r="S62" i="1"/>
  <c r="Y62" i="1" s="1"/>
  <c r="S63" i="1"/>
  <c r="Y63" i="1" s="1"/>
  <c r="S56" i="1"/>
  <c r="Y56" i="1" s="1"/>
  <c r="S65" i="1"/>
  <c r="Y65" i="1" s="1"/>
  <c r="S54" i="1"/>
  <c r="Y54" i="1" s="1"/>
  <c r="J42" i="1"/>
  <c r="J127" i="1" s="1"/>
  <c r="W42" i="1"/>
  <c r="S106" i="1"/>
  <c r="Y106" i="1" s="1"/>
  <c r="S108" i="1"/>
  <c r="Y108" i="1" s="1"/>
  <c r="S102" i="1"/>
  <c r="Y102" i="1" s="1"/>
  <c r="S97" i="1"/>
  <c r="Y97" i="1" s="1"/>
  <c r="S77" i="1"/>
  <c r="Y77" i="1" s="1"/>
  <c r="S87" i="1"/>
  <c r="Y87" i="1" s="1"/>
  <c r="S100" i="1"/>
  <c r="Y100" i="1" s="1"/>
  <c r="S101" i="1"/>
  <c r="Y101" i="1" s="1"/>
  <c r="S99" i="1"/>
  <c r="Y99" i="1" s="1"/>
  <c r="S104" i="1"/>
  <c r="Y104" i="1" s="1"/>
  <c r="S78" i="1"/>
  <c r="Y78" i="1" s="1"/>
  <c r="S84" i="1"/>
  <c r="Y84" i="1" s="1"/>
  <c r="S80" i="1"/>
  <c r="Y80" i="1" s="1"/>
  <c r="S81" i="1"/>
  <c r="Y81" i="1" s="1"/>
  <c r="S86" i="1"/>
  <c r="Y86" i="1" s="1"/>
  <c r="S110" i="1"/>
  <c r="Y110" i="1" s="1"/>
  <c r="S109" i="1"/>
  <c r="Y109" i="1" s="1"/>
  <c r="S91" i="1"/>
  <c r="Y91" i="1" s="1"/>
  <c r="S98" i="1"/>
  <c r="Y98" i="1" s="1"/>
  <c r="S82" i="1"/>
  <c r="Y82" i="1" s="1"/>
  <c r="S79" i="1"/>
  <c r="Y79" i="1" s="1"/>
  <c r="S105" i="1"/>
  <c r="Y105" i="1" s="1"/>
  <c r="S107" i="1"/>
  <c r="Y107" i="1" s="1"/>
  <c r="S103" i="1"/>
  <c r="Y103" i="1" s="1"/>
  <c r="S75" i="1"/>
  <c r="Y75" i="1" s="1"/>
  <c r="S76" i="1"/>
  <c r="Y76" i="1" s="1"/>
  <c r="S85" i="1"/>
  <c r="Y85" i="1" s="1"/>
  <c r="S73" i="1"/>
  <c r="Y73" i="1" s="1"/>
  <c r="S74" i="1"/>
  <c r="Y74" i="1" s="1"/>
  <c r="S23" i="1"/>
  <c r="Y23" i="1" s="1"/>
  <c r="F18" i="16"/>
  <c r="R9" i="12"/>
  <c r="S20" i="1"/>
  <c r="Y20" i="1" s="1"/>
  <c r="N45" i="1"/>
  <c r="D4" i="4"/>
  <c r="R3" i="12"/>
  <c r="E5" i="11"/>
  <c r="D5" i="11" s="1"/>
  <c r="S12" i="1"/>
  <c r="Y12" i="1" s="1"/>
  <c r="S38" i="1"/>
  <c r="Y38" i="1" s="1"/>
  <c r="S27" i="1"/>
  <c r="Y27" i="1" s="1"/>
  <c r="S21" i="1"/>
  <c r="Y21" i="1" s="1"/>
  <c r="S36" i="1"/>
  <c r="Y36" i="1" s="1"/>
  <c r="S19" i="1"/>
  <c r="Y19" i="1" s="1"/>
  <c r="S25" i="1"/>
  <c r="Y25" i="1" s="1"/>
  <c r="S15" i="1"/>
  <c r="Y15" i="1" s="1"/>
  <c r="S26" i="1"/>
  <c r="Y26" i="1" s="1"/>
  <c r="S40" i="1"/>
  <c r="Y40" i="1" s="1"/>
  <c r="E14" i="10"/>
  <c r="D14" i="10" s="1"/>
  <c r="K33" i="1"/>
  <c r="R10" i="12"/>
  <c r="S5" i="12"/>
  <c r="U5" i="12" s="1"/>
  <c r="S24" i="1"/>
  <c r="Y24" i="1" s="1"/>
  <c r="S37" i="1"/>
  <c r="Y37" i="1" s="1"/>
  <c r="S39" i="1"/>
  <c r="Y39" i="1" s="1"/>
  <c r="I93" i="1"/>
  <c r="E14" i="6"/>
  <c r="D14" i="6" s="1"/>
  <c r="P33" i="1"/>
  <c r="L33" i="1"/>
  <c r="E4" i="5"/>
  <c r="D4" i="5" s="1"/>
  <c r="D4" i="15"/>
  <c r="N33" i="1"/>
  <c r="N68" i="1"/>
  <c r="L68" i="1"/>
  <c r="K68" i="1"/>
  <c r="H68" i="1"/>
  <c r="E14" i="9"/>
  <c r="D14" i="9" s="1"/>
  <c r="I68" i="1"/>
  <c r="R7" i="12"/>
  <c r="E5" i="8"/>
  <c r="D5" i="8" s="1"/>
  <c r="E8" i="7"/>
  <c r="D8" i="7" s="1"/>
  <c r="R6" i="12"/>
  <c r="P46" i="1"/>
  <c r="N46" i="1"/>
  <c r="P68" i="1"/>
  <c r="D5" i="7"/>
  <c r="D4" i="8"/>
  <c r="R8" i="12"/>
  <c r="H33" i="1"/>
  <c r="E14" i="13"/>
  <c r="D14" i="13" s="1"/>
  <c r="E14" i="4"/>
  <c r="D14" i="4" s="1"/>
  <c r="P90" i="1"/>
  <c r="N90" i="1"/>
  <c r="L90" i="1"/>
  <c r="K90" i="1"/>
  <c r="H90" i="1"/>
  <c r="I90" i="1"/>
  <c r="L93" i="1"/>
  <c r="L72" i="1"/>
  <c r="H72" i="1"/>
  <c r="K72" i="1"/>
  <c r="P72" i="1"/>
  <c r="I72" i="1"/>
  <c r="N72" i="1"/>
  <c r="S46" i="1" l="1"/>
  <c r="Y46" i="1" s="1"/>
  <c r="N69" i="1"/>
  <c r="S68" i="1"/>
  <c r="Y68" i="1" s="1"/>
  <c r="W69" i="1"/>
  <c r="W127" i="1" s="1"/>
  <c r="E6" i="5"/>
  <c r="D6" i="5" s="1"/>
  <c r="I33" i="1"/>
  <c r="S90" i="1"/>
  <c r="Y90" i="1" s="1"/>
  <c r="C7" i="23"/>
  <c r="H45" i="1"/>
  <c r="H69" i="1" s="1"/>
  <c r="P45" i="1"/>
  <c r="P69" i="1" s="1"/>
  <c r="L45" i="1"/>
  <c r="L69" i="1" s="1"/>
  <c r="I45" i="1"/>
  <c r="I69" i="1" s="1"/>
  <c r="K45" i="1"/>
  <c r="K69" i="1" s="1"/>
  <c r="K42" i="1"/>
  <c r="P42" i="1"/>
  <c r="I42" i="1"/>
  <c r="N42" i="1"/>
  <c r="H42" i="1"/>
  <c r="L42" i="1"/>
  <c r="E7" i="5"/>
  <c r="D7" i="5" s="1"/>
  <c r="E12" i="11"/>
  <c r="D12" i="11" s="1"/>
  <c r="E13" i="8"/>
  <c r="D13" i="8" s="1"/>
  <c r="E9" i="5"/>
  <c r="D9" i="5" s="1"/>
  <c r="E14" i="7"/>
  <c r="D14" i="7" s="1"/>
  <c r="E10" i="5"/>
  <c r="D10" i="5" s="1"/>
  <c r="E11" i="5"/>
  <c r="D11" i="5" s="1"/>
  <c r="E8" i="5"/>
  <c r="D8" i="5" s="1"/>
  <c r="H93" i="1"/>
  <c r="N93" i="1"/>
  <c r="K93" i="1"/>
  <c r="P93" i="1"/>
  <c r="E5" i="5"/>
  <c r="D5" i="5" s="1"/>
  <c r="L89" i="1"/>
  <c r="L126" i="1" s="1"/>
  <c r="I89" i="1"/>
  <c r="I126" i="1" s="1"/>
  <c r="N89" i="1"/>
  <c r="P89" i="1"/>
  <c r="K89" i="1"/>
  <c r="H89" i="1"/>
  <c r="S72" i="1"/>
  <c r="H126" i="1" l="1"/>
  <c r="H127" i="1" s="1"/>
  <c r="P126" i="1"/>
  <c r="P127" i="1" s="1"/>
  <c r="K126" i="1"/>
  <c r="K127" i="1" s="1"/>
  <c r="N126" i="1"/>
  <c r="N127" i="1" s="1"/>
  <c r="L127" i="1"/>
  <c r="I127" i="1"/>
  <c r="S93" i="1"/>
  <c r="Y93" i="1" s="1"/>
  <c r="S89" i="1"/>
  <c r="Y89" i="1" s="1"/>
  <c r="B7" i="23"/>
  <c r="B14" i="23" s="1"/>
  <c r="C14" i="23"/>
  <c r="S45" i="1"/>
  <c r="Y45" i="1" s="1"/>
  <c r="Y72" i="1"/>
  <c r="E13" i="5"/>
  <c r="D13" i="5" s="1"/>
  <c r="S126" i="1" l="1"/>
  <c r="S42" i="1"/>
  <c r="Y69" i="1"/>
  <c r="S69" i="1"/>
  <c r="Y126" i="1"/>
  <c r="Y42" i="1"/>
  <c r="H19" i="3" l="1"/>
  <c r="H21" i="3"/>
  <c r="F20" i="3" l="1"/>
  <c r="F22" i="3" s="1"/>
  <c r="H33" i="3" s="1"/>
  <c r="H20" i="3"/>
  <c r="S33" i="1" l="1"/>
  <c r="S127" i="1" s="1"/>
  <c r="H26" i="3" s="1"/>
  <c r="H32" i="3" s="1"/>
  <c r="Y33" i="1"/>
  <c r="Y127" i="1" l="1"/>
  <c r="H18" i="3"/>
  <c r="H22" i="3" s="1"/>
  <c r="H34" i="3" l="1"/>
</calcChain>
</file>

<file path=xl/sharedStrings.xml><?xml version="1.0" encoding="utf-8"?>
<sst xmlns="http://schemas.openxmlformats.org/spreadsheetml/2006/main" count="2729" uniqueCount="520">
  <si>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</si>
  <si>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</si>
  <si>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</si>
  <si>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</si>
  <si>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</si>
  <si>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</si>
  <si>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</si>
  <si>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</si>
  <si>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</si>
  <si>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</si>
  <si>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</si>
  <si>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PATTERSON EKEOCHA</t>
  </si>
  <si>
    <t>DR SHUIBU DANWANKA</t>
  </si>
  <si>
    <t>DESIGNATION</t>
  </si>
  <si>
    <t>DRIVER</t>
  </si>
  <si>
    <t>RECEPTIONIST</t>
  </si>
  <si>
    <t>JAFARU MUSA</t>
  </si>
  <si>
    <t>TASIU MOHAMMED</t>
  </si>
  <si>
    <t>USMAN YAHAYA</t>
  </si>
  <si>
    <t>ESTHER WAMINAJE</t>
  </si>
  <si>
    <t>TOTAL</t>
  </si>
  <si>
    <t>DG</t>
  </si>
  <si>
    <t>DG OFFICE</t>
  </si>
  <si>
    <t>RICHARD KWALMI</t>
  </si>
  <si>
    <t>ABDULSALAM MUSTAFA</t>
  </si>
  <si>
    <t>ICT OFFICER</t>
  </si>
  <si>
    <t>ALI ABDULLAHI</t>
  </si>
  <si>
    <t>1CT ASSISTANT</t>
  </si>
  <si>
    <t>DD</t>
  </si>
  <si>
    <t>DSM</t>
  </si>
  <si>
    <t>SECRETARY</t>
  </si>
  <si>
    <t>DR ASIMIYU G. ABIOLA</t>
  </si>
  <si>
    <t>SRF</t>
  </si>
  <si>
    <t>SOLOMON A. BENJAMIN</t>
  </si>
  <si>
    <t>IBRAHIM M. MSHELIA</t>
  </si>
  <si>
    <t>DD F&amp;A</t>
  </si>
  <si>
    <t>AMINU BELLO DUKKU</t>
  </si>
  <si>
    <t>RAHILA AMOS</t>
  </si>
  <si>
    <t>OFFICER ACCTS</t>
  </si>
  <si>
    <t>SEC. FINANCE</t>
  </si>
  <si>
    <t>OLATUNJI OYEDELE YUSUF</t>
  </si>
  <si>
    <t>NAMADI IDRIS UMAR</t>
  </si>
  <si>
    <t>DANJUMA KAGADAMA</t>
  </si>
  <si>
    <t>MOHAMMED SIAKA</t>
  </si>
  <si>
    <t>ALFRED ISABU</t>
  </si>
  <si>
    <t>ANTHONY EDET</t>
  </si>
  <si>
    <t>DR LADI HAMALAI</t>
  </si>
  <si>
    <t>10(10)</t>
  </si>
  <si>
    <t>4(10)</t>
  </si>
  <si>
    <t>16(7)</t>
  </si>
  <si>
    <t>15(7)</t>
  </si>
  <si>
    <t>DD ADMIN/HR</t>
  </si>
  <si>
    <t>PERSONAL</t>
  </si>
  <si>
    <t>DOMESTIC</t>
  </si>
  <si>
    <t>ALLCE</t>
  </si>
  <si>
    <t>CONSOL</t>
  </si>
  <si>
    <t>8(2)</t>
  </si>
  <si>
    <t>LEVEL</t>
  </si>
  <si>
    <t>SALARY</t>
  </si>
  <si>
    <t xml:space="preserve">SALARY </t>
  </si>
  <si>
    <t>PAYE</t>
  </si>
  <si>
    <t>NET SALARY</t>
  </si>
  <si>
    <t>IDAHOSA JANE CECILIA</t>
  </si>
  <si>
    <t>ALIYU YAKUBU</t>
  </si>
  <si>
    <t>ABDULLAHI HARUNA</t>
  </si>
  <si>
    <t>3(8)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</si>
  <si>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</si>
  <si>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</si>
  <si>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</si>
  <si>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</si>
  <si>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</si>
  <si>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</si>
  <si>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</si>
  <si>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</si>
  <si>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</si>
  <si>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NYSC</t>
  </si>
  <si>
    <t>NATIONAL INSTITUTE FOR LEGISLATIVE STUDIES</t>
  </si>
  <si>
    <t>Director General's Office</t>
  </si>
  <si>
    <t>8/(9)</t>
  </si>
  <si>
    <t>8(9)</t>
  </si>
  <si>
    <t>10(11)</t>
  </si>
  <si>
    <t>PROF. OFFORNZE AMUCHEAZI</t>
  </si>
  <si>
    <t>LEGAL ADVISER</t>
  </si>
  <si>
    <t>Mshelia Madu Ibrahim</t>
  </si>
  <si>
    <t>SPECIAL ASSISTANT</t>
  </si>
  <si>
    <t>ABDULWAHAB DAHIRU</t>
  </si>
  <si>
    <t>JOHN JAMBU ASIGAN</t>
  </si>
  <si>
    <t>AYUBA SULE</t>
  </si>
  <si>
    <t>EWELIKWA IJEOMA NKOLIKWA</t>
  </si>
  <si>
    <t>DISPATCH CLERK</t>
  </si>
  <si>
    <t>STEWARD</t>
  </si>
  <si>
    <t>SIGNATURE</t>
  </si>
  <si>
    <t>DATE</t>
  </si>
  <si>
    <t>MOHAMMED ISIAKA YAKUBU</t>
  </si>
  <si>
    <t>LEG. SUPPORT SEVICES</t>
  </si>
  <si>
    <t>RESEARCH &amp; TRAINING</t>
  </si>
  <si>
    <t>DD RESEARCH</t>
  </si>
  <si>
    <t>DD TRAINING</t>
  </si>
  <si>
    <t>GIDEON B. LAMIDO</t>
  </si>
  <si>
    <t>Leg. Support Services</t>
  </si>
  <si>
    <t>Research &amp; Training</t>
  </si>
  <si>
    <t>IN LIEU</t>
  </si>
  <si>
    <t>28 DAYS ALCE</t>
  </si>
  <si>
    <t>FEB. 2012</t>
  </si>
  <si>
    <t>MAR.2012</t>
  </si>
  <si>
    <t>Finance/ Admin &amp; HR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</si>
  <si>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</si>
  <si>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</si>
  <si>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</si>
  <si>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</si>
  <si>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</si>
  <si>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</si>
  <si>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</si>
  <si>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</si>
  <si>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</si>
  <si>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</si>
  <si>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</si>
  <si>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</si>
  <si>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</si>
  <si>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</si>
  <si>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SALARY DETAILS OF NILS DEPUTY DIRECTORS</t>
  </si>
  <si>
    <t>GRADE LEVEL 16 STEP 7</t>
  </si>
  <si>
    <t>SALARY DETAILS OF NILS SENIOR RESEARCH FELLOWS</t>
  </si>
  <si>
    <t>GRADE LEVEL 15 STEP 9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</si>
  <si>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</si>
  <si>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</si>
  <si>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</si>
  <si>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</si>
  <si>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</si>
  <si>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</si>
  <si>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</si>
  <si>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</si>
  <si>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</si>
  <si>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</si>
  <si>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</si>
  <si>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</si>
  <si>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</si>
  <si>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</si>
  <si>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HUSSEIN MUSA AGYE</t>
  </si>
  <si>
    <t>PROTOCOL OFFICER</t>
  </si>
  <si>
    <t>10(&amp;)</t>
  </si>
  <si>
    <t>Deputy Director, Finance &amp; Accounts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</si>
  <si>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</si>
  <si>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</si>
  <si>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</si>
  <si>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</si>
  <si>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</si>
  <si>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</si>
  <si>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</si>
  <si>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</si>
  <si>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>DFA</t>
  </si>
  <si>
    <t>17(7)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</si>
  <si>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</si>
  <si>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FINANCE &amp; ADMIN.</t>
  </si>
  <si>
    <t>LIST OF STAFF THAT HAVE ASSUMED DUTY</t>
  </si>
  <si>
    <t>KABIR MUHAMMAD SULAIMAN</t>
  </si>
  <si>
    <t>MANAGER ADMIN&amp;HR</t>
  </si>
  <si>
    <t>ABDULLAHI YUNUSA</t>
  </si>
  <si>
    <t>PATIENCE AMUDA BOSAH</t>
  </si>
  <si>
    <t>IBE EZECHI CYRIACUS</t>
  </si>
  <si>
    <t>MUHAMMED AGEDE YAHAYA</t>
  </si>
  <si>
    <t>EROMOSELE OMONIGBO</t>
  </si>
  <si>
    <t>OGUNYOMI ROTIMI</t>
  </si>
  <si>
    <t>CYNTHIA CHINENYE OKENMUO</t>
  </si>
  <si>
    <t>PERSONNEL OFFICER</t>
  </si>
  <si>
    <t>10(7)</t>
  </si>
  <si>
    <t>PERSONNEL ASSISTANT</t>
  </si>
  <si>
    <t>8(7)</t>
  </si>
  <si>
    <t>MARUF ABDULSALAM</t>
  </si>
  <si>
    <t>ASSET&amp; MAINT. OFFICER</t>
  </si>
  <si>
    <t>SIMON YAKUBU WAKAWA</t>
  </si>
  <si>
    <t>ASSET&amp; MAINT. ASST.</t>
  </si>
  <si>
    <t>MANAGER PROCUREMENT</t>
  </si>
  <si>
    <t>SALIHU LIMAN MAIRAFI</t>
  </si>
  <si>
    <t>PROCUREMENT OFFICER</t>
  </si>
  <si>
    <t>MARGARET LEONIE DUREKE</t>
  </si>
  <si>
    <t>PROCUREMENT ASSIST</t>
  </si>
  <si>
    <t>NWOSU MATHEW EZE</t>
  </si>
  <si>
    <t>MANAGER INT. AUDIT</t>
  </si>
  <si>
    <t>MAGAJI BALA</t>
  </si>
  <si>
    <t>MANGER ACCOUNTS</t>
  </si>
  <si>
    <t>SHEHU ABDULLAHI</t>
  </si>
  <si>
    <t>ACCOUNT ASSISTANT</t>
  </si>
  <si>
    <t>MICT</t>
  </si>
  <si>
    <t>13(7)</t>
  </si>
  <si>
    <t>ALIYU SANNI ABUBAKAR</t>
  </si>
  <si>
    <t>DATA &amp; DOCU. OFFICER</t>
  </si>
  <si>
    <t>CATHERINE E. IKOKOH</t>
  </si>
  <si>
    <t>BASHIRU ABBA WALI</t>
  </si>
  <si>
    <t>ASSIT. INT. AUDIT</t>
  </si>
  <si>
    <t>ANDRAWUS MUSA</t>
  </si>
  <si>
    <t>STORE OFFICER</t>
  </si>
  <si>
    <t>SALARY DETAILS OF NILS SENIOR MOTOR DRIVER-MECHANIC</t>
  </si>
  <si>
    <t>GRADE LEVEL 5 STEP 7</t>
  </si>
  <si>
    <t>AKINSANMI ADEJOKE OLUKEMI</t>
  </si>
  <si>
    <t>AM INFORMATION</t>
  </si>
  <si>
    <t>JUMARE FADILA</t>
  </si>
  <si>
    <t>UZODINMA EMMANUEL EZENWA</t>
  </si>
  <si>
    <t>INFORMATION ASST</t>
  </si>
  <si>
    <t>EHIGIAMUSOE UYI KIZITO</t>
  </si>
  <si>
    <t>RESEARCH ASSISTANT</t>
  </si>
  <si>
    <t>9(7)</t>
  </si>
  <si>
    <t>IBRAHIM TASSNEEM</t>
  </si>
  <si>
    <t>DR ANUMUDU CHARLES NNAMDI</t>
  </si>
  <si>
    <t>DR MADU MAGNUS EMEKA</t>
  </si>
  <si>
    <t>ONYEAKU CHUKWUKA EDMOND</t>
  </si>
  <si>
    <t>OGBONNAYA UFIEM MAURICE</t>
  </si>
  <si>
    <t>OFORDEME ADAOBI JULIA</t>
  </si>
  <si>
    <t>UDEFUNA NNADOZIE PATRICK</t>
  </si>
  <si>
    <t>ADAMU ISA ABBA</t>
  </si>
  <si>
    <t>INFO. MANAGER</t>
  </si>
  <si>
    <t>UMOLU ADAEZE OBIAMAKA</t>
  </si>
  <si>
    <t>INFO OFFICER</t>
  </si>
  <si>
    <t>IBRAHIM USMAN</t>
  </si>
  <si>
    <t>TONDO IORWUESEEDWARD</t>
  </si>
  <si>
    <t>OFFICER INT AUDIT</t>
  </si>
  <si>
    <t>DR KANAYO OGUJIUBA</t>
  </si>
  <si>
    <t>SUNDAY IGHOFOMA</t>
  </si>
  <si>
    <t>4(7)</t>
  </si>
  <si>
    <t>-</t>
  </si>
  <si>
    <t>DAHIRU M. ABDULLAHI</t>
  </si>
  <si>
    <t>MOSHOOD M. OLARELE</t>
  </si>
  <si>
    <t>DR ANAH O. PAMELA</t>
  </si>
  <si>
    <t>ADMIN OFFICER</t>
  </si>
  <si>
    <t>DIRECTOR GENERAL</t>
  </si>
  <si>
    <t>DD LEG. SP SERVICES</t>
  </si>
  <si>
    <t>SRF SOCIAL SECTOR</t>
  </si>
  <si>
    <t>SRF I SOCIAL SECTOR</t>
  </si>
  <si>
    <t>RESEARCH FELLOW1 DOCU</t>
  </si>
  <si>
    <t>DIR. FINANCE &amp; ADMIN</t>
  </si>
  <si>
    <t>PRISCILLA CHUKWU</t>
  </si>
  <si>
    <t>CHIEDO AKALEU</t>
  </si>
  <si>
    <t>FAROUK U. M ILLO</t>
  </si>
  <si>
    <t>PA DG</t>
  </si>
  <si>
    <t>AMINU F. HAMAJODA</t>
  </si>
  <si>
    <t>4</t>
  </si>
  <si>
    <t>NO OF</t>
  </si>
  <si>
    <t>STAFF</t>
  </si>
  <si>
    <t>AMOUNT</t>
  </si>
  <si>
    <t>DEDUCTIONS</t>
  </si>
  <si>
    <t>PROF OKECHUKWU OKO</t>
  </si>
  <si>
    <t>DIR. LEG. SP SERVICES</t>
  </si>
  <si>
    <t>NOMINAL ROLL AND 2012 PERSONEL COST ESTIMATION</t>
  </si>
  <si>
    <t>SALARY LEVEL</t>
  </si>
  <si>
    <t>ANNUAL SALARY</t>
  </si>
  <si>
    <t>CONS.</t>
  </si>
  <si>
    <t>S/NO</t>
  </si>
  <si>
    <t xml:space="preserve"> </t>
  </si>
  <si>
    <t>NUMBER</t>
  </si>
  <si>
    <t>1</t>
  </si>
  <si>
    <t>DIRECTORS</t>
  </si>
  <si>
    <t>DEUTY DIRECTORS</t>
  </si>
  <si>
    <t>2</t>
  </si>
  <si>
    <t>MANAGERS</t>
  </si>
  <si>
    <t>SENIOR RESEARCH FELLOWS</t>
  </si>
  <si>
    <t>ASSISTANT MANAGERS</t>
  </si>
  <si>
    <t>OFFICERS</t>
  </si>
  <si>
    <t>OFFICE ASSISTANTS</t>
  </si>
  <si>
    <t>20</t>
  </si>
  <si>
    <t>SECRETARIES</t>
  </si>
  <si>
    <t>DRIVERS</t>
  </si>
  <si>
    <t>EJEME PATRICK</t>
  </si>
  <si>
    <t>MOHAMMED R. ADAMU</t>
  </si>
  <si>
    <t>LEGAL OFFICER</t>
  </si>
  <si>
    <t>BEDARI HARI</t>
  </si>
  <si>
    <t>FROM : DDF</t>
  </si>
  <si>
    <t>THROUGH: DFA</t>
  </si>
  <si>
    <t>TO: DG</t>
  </si>
  <si>
    <t>SALARY DETAILS OF NILS DIRECTOR RESEARCH AND TRAINING</t>
  </si>
  <si>
    <t>AMINCI THOMAS</t>
  </si>
  <si>
    <t>MANAGER LIB. &amp; DOCUM.</t>
  </si>
  <si>
    <t>MANAGER INFORMATION</t>
  </si>
  <si>
    <t>DR BADAYI M. SANI</t>
  </si>
  <si>
    <t>DIR. RES. &amp; TRAINING</t>
  </si>
  <si>
    <t>DR UMAR AMINU</t>
  </si>
  <si>
    <t>OGABO OGAH USMAN</t>
  </si>
  <si>
    <t>ETSU UMARU</t>
  </si>
  <si>
    <t xml:space="preserve">MURTALA LAWAL </t>
  </si>
  <si>
    <t>CHARLES I. OBUTTE</t>
  </si>
  <si>
    <t>HARRISON O. OKAFOR</t>
  </si>
  <si>
    <t>IKPEAZU CHINEDU ANITA</t>
  </si>
  <si>
    <t>GLORIA NDIDI HELG</t>
  </si>
  <si>
    <t>CONFIDENTIAL SECRETARY</t>
  </si>
  <si>
    <t>BAKARI HUSSEINI</t>
  </si>
  <si>
    <t>SALARY OF SECRTARY ON SCALE 8 STEP 7</t>
  </si>
  <si>
    <t>JIBRIN USHAMA AHMED</t>
  </si>
  <si>
    <t>OFFICER LEGAL</t>
  </si>
  <si>
    <t>IBRAHIM A. BABANGISHIRI</t>
  </si>
  <si>
    <t>OFFICER INFORMATION</t>
  </si>
  <si>
    <t>YUSUFF ABISOLA GANIYAT</t>
  </si>
  <si>
    <t>RAHILA SALIHU</t>
  </si>
  <si>
    <t>JUMMAI AJIYA</t>
  </si>
  <si>
    <t>HUSSAIN HAZEEM MOHAMMED</t>
  </si>
  <si>
    <t xml:space="preserve">                                   </t>
  </si>
  <si>
    <t>ARC OJO M.O</t>
  </si>
  <si>
    <t>ENGR. EBI THOMPSON</t>
  </si>
  <si>
    <t>ADEOGUN MORUF</t>
  </si>
  <si>
    <t>DD &amp; HEAD OF BUILDING</t>
  </si>
  <si>
    <t>ASSISTANT CHIEF ENGINEER</t>
  </si>
  <si>
    <t>PRINCIPAL Q.S</t>
  </si>
  <si>
    <t>ABOMAN INNOCENT</t>
  </si>
  <si>
    <t>CLEANER</t>
  </si>
  <si>
    <t>OKOYE AUGUSTINA CHINENYE</t>
  </si>
  <si>
    <t>CHINAKO N. ASOGWA</t>
  </si>
  <si>
    <t>LIBRARY OFFICER</t>
  </si>
  <si>
    <t>EDACHE  OGA</t>
  </si>
  <si>
    <t>AKEUSOLA SEGUN</t>
  </si>
  <si>
    <t>DR JAKE DABANG DAN AZUMI</t>
  </si>
  <si>
    <t>15((7)</t>
  </si>
  <si>
    <t>AMARACHI NNAWUCHI</t>
  </si>
  <si>
    <t>NGARA CHRISTOPHER OCHANJA</t>
  </si>
  <si>
    <t>OFFICER, SPECIAL DUTIES</t>
  </si>
  <si>
    <t>JOY HARUNA MAKERI</t>
  </si>
  <si>
    <t>YUGUDA S. IDRIS</t>
  </si>
  <si>
    <t>ONCHE ENOKELA ONCHE</t>
  </si>
  <si>
    <t>EDET B. AKPAKPAN</t>
  </si>
  <si>
    <t>SABATICAL</t>
  </si>
  <si>
    <t>UKPONG INYANG ONOYOM</t>
  </si>
  <si>
    <t>HEAD PUBLICATION</t>
  </si>
  <si>
    <t>DR MOBOLAJI HAKEEM</t>
  </si>
  <si>
    <t>16(70</t>
  </si>
  <si>
    <t>CHRISTIAN MADUABUCHI ODO</t>
  </si>
  <si>
    <t>ICT ASSISTANT</t>
  </si>
  <si>
    <t>44</t>
  </si>
  <si>
    <t>TONDO IORWUESE EDWARD</t>
  </si>
  <si>
    <t>Sab.</t>
  </si>
  <si>
    <t>GRADE</t>
  </si>
  <si>
    <t>NAMES</t>
  </si>
  <si>
    <t>S/N</t>
  </si>
  <si>
    <t>DONALD E. MKAPANAM</t>
  </si>
  <si>
    <t>IT OFFICER</t>
  </si>
  <si>
    <t>KABIR M. SULAIMAN</t>
  </si>
  <si>
    <t>MANAGER ADMIN/ HR</t>
  </si>
  <si>
    <t>MANAGER ACCOUNTS</t>
  </si>
  <si>
    <t>EID EL KABIR TRANSPORT ALLOWANCE TO NILS DEPLOYED STAFF</t>
  </si>
  <si>
    <t>PROF. EDET AKPAKPAN</t>
  </si>
  <si>
    <t>TERFA W. ABRAHAM</t>
  </si>
  <si>
    <t>DONALD E. MKPANAM</t>
  </si>
  <si>
    <t>AM PROTOCOL</t>
  </si>
  <si>
    <t>IBRAHIM OKPE</t>
  </si>
  <si>
    <t>12</t>
  </si>
  <si>
    <t>14</t>
  </si>
  <si>
    <t>2013 END OF YEAR  STAFF WELFARE  TO ASSIST WITH TRANSPORTATION AND LOGISTICS.</t>
  </si>
  <si>
    <t>ASST. MANAGER, ACCOUNTS</t>
  </si>
  <si>
    <t>DEPUTY DIRECTOR</t>
  </si>
  <si>
    <t>17/8</t>
  </si>
  <si>
    <t>16/8</t>
  </si>
  <si>
    <t>15(8)</t>
  </si>
  <si>
    <t>13(8)</t>
  </si>
  <si>
    <t>9(8)</t>
  </si>
  <si>
    <t>8(10)</t>
  </si>
  <si>
    <t>4(8)</t>
  </si>
  <si>
    <t>OMOUDU QUEEN PRISCILLA</t>
  </si>
  <si>
    <t>GARBA ADAMU</t>
  </si>
  <si>
    <t>RAHILA NURUDEEN HABU</t>
  </si>
  <si>
    <t>OFFICER ACCOUNTS</t>
  </si>
  <si>
    <t>DR ADEYEMI AKEEB FAJINGBESI</t>
  </si>
  <si>
    <t>MUSTAPHA SAIDI ATANDA</t>
  </si>
  <si>
    <t>SALARY AREARS</t>
  </si>
  <si>
    <t>ADVANCE</t>
  </si>
  <si>
    <t>SALARY DETAILS OF NILS RESEARCH FELLOW II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</si>
  <si>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</si>
  <si>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</si>
  <si>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</si>
  <si>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</si>
  <si>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</si>
  <si>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GRADE LEVEL 13 STEP 8</t>
  </si>
  <si>
    <t xml:space="preserve">ABDULKADIR </t>
  </si>
  <si>
    <t>ABDULKADIR I. AHMED</t>
  </si>
  <si>
    <t>CHIEF LIBRARIAN</t>
  </si>
  <si>
    <t>16(9)</t>
  </si>
  <si>
    <t>17(9)</t>
  </si>
  <si>
    <t>14(9)</t>
  </si>
  <si>
    <t>13(9)</t>
  </si>
  <si>
    <t>10(9)</t>
  </si>
  <si>
    <t>9(9)</t>
  </si>
  <si>
    <t>8(11)</t>
  </si>
  <si>
    <t>4(9)</t>
  </si>
  <si>
    <t>DR AREMU FATAI AYINDE</t>
  </si>
  <si>
    <t>TAIWO A. ADEREMI</t>
  </si>
  <si>
    <t xml:space="preserve">BETHEL UZOMA </t>
  </si>
  <si>
    <t>BETHEL UZOMA IHUGBA</t>
  </si>
  <si>
    <t>DR ADAM GAMBO SALEH</t>
  </si>
  <si>
    <t>INSTITUTE LIBRARIAN</t>
  </si>
  <si>
    <t>MANAGER ADMIN &amp; HR</t>
  </si>
  <si>
    <t>ABUBAKAR MUSA DANLAMI</t>
  </si>
  <si>
    <t>DR ASEMOTA O. JOSEPH</t>
  </si>
  <si>
    <t>ASST. MANAGER, TRAINING</t>
  </si>
  <si>
    <t>OFFICER, ASSETS &amp; MAINT.</t>
  </si>
  <si>
    <t>OFFICER ICT</t>
  </si>
  <si>
    <t>SEN. CONF. SECRETARY</t>
  </si>
  <si>
    <t>5(8)</t>
  </si>
  <si>
    <t>SENIOR DRIVER</t>
  </si>
  <si>
    <t>RESEARCH FELLOW I TRAINING</t>
  </si>
  <si>
    <t>OFFICER M&amp;E</t>
  </si>
  <si>
    <t>NWAJEI KANAYO</t>
  </si>
  <si>
    <t>COMMUNICATION ADVISER</t>
  </si>
  <si>
    <t>OKWUOSA UCHECH AMAECHI</t>
  </si>
  <si>
    <t>h</t>
  </si>
  <si>
    <t>HAMIDU FATIMA BASHIR</t>
  </si>
  <si>
    <t>CASUAL &amp; SABBATICAL STAFF</t>
  </si>
  <si>
    <t>The net Salary Increase/(Decrease) is reconciled as follows:</t>
  </si>
  <si>
    <t>ASST SECRETARY</t>
  </si>
  <si>
    <t>GARDENER</t>
  </si>
  <si>
    <t>SABBATICAL</t>
  </si>
  <si>
    <t>OLAGUNJU OLALEKAN</t>
  </si>
  <si>
    <t>EDITOR</t>
  </si>
  <si>
    <t>TERFA WILLIAMS ABRAHAM</t>
  </si>
  <si>
    <t>42</t>
  </si>
  <si>
    <t>EGWUATU ONYEJELEM</t>
  </si>
  <si>
    <t>RANK</t>
  </si>
  <si>
    <t>BENJAMIN SOLOMON AKHERE</t>
  </si>
  <si>
    <t>PROF. NUHU MOHAMMED JAMO</t>
  </si>
  <si>
    <t xml:space="preserve">ABUBAKAR LAMIDO </t>
  </si>
  <si>
    <t>ABUBAKAR LAMIDO TANKO</t>
  </si>
  <si>
    <t>AM ICT</t>
  </si>
  <si>
    <t>9(12)</t>
  </si>
  <si>
    <t>Okoro Sergius Nnamdi</t>
  </si>
  <si>
    <t>Consultancy</t>
  </si>
  <si>
    <t>Alfred Tokunboh Aduloju</t>
  </si>
  <si>
    <t>Terfa Gbahabo</t>
  </si>
  <si>
    <t>Jibrin Chinbana Luguja</t>
  </si>
  <si>
    <t>Christopher O. Edeimo</t>
  </si>
  <si>
    <t>DR Jeremiah Shola Omotola</t>
  </si>
  <si>
    <t>Dahiru Abdullahi</t>
  </si>
  <si>
    <t>Deployed</t>
  </si>
  <si>
    <t>Moshood M. Olarele</t>
  </si>
  <si>
    <t>Aminci Thomas</t>
  </si>
  <si>
    <t>Aminu F. Hammanjoda</t>
  </si>
  <si>
    <t>Ibrahim Babangishiri</t>
  </si>
  <si>
    <t>Abdulmalik Dahiru</t>
  </si>
  <si>
    <t>Jibirin Ushama Ahmed</t>
  </si>
  <si>
    <t>Takwasa A. Galadima</t>
  </si>
  <si>
    <t>Dr Aremu Fatai</t>
  </si>
  <si>
    <t>Sabbatical</t>
  </si>
  <si>
    <t>Benjamin Solomon Akhere</t>
  </si>
  <si>
    <t>Prof Nuhu Mohammed Jamo</t>
  </si>
  <si>
    <t>Olagunju Olalekan</t>
  </si>
  <si>
    <t>Abdulwahab Dahiru</t>
  </si>
  <si>
    <t>Dispatch Clerk</t>
  </si>
  <si>
    <t>Gideon B. Lamido</t>
  </si>
  <si>
    <t>Ewelikwa Ijeoma Nkolikwa</t>
  </si>
  <si>
    <t>Hussain Hazeem Mohammed</t>
  </si>
  <si>
    <t>Asst. Secretary</t>
  </si>
  <si>
    <t>Eguwatu Onyejelem</t>
  </si>
  <si>
    <t>Casual M&amp;E</t>
  </si>
  <si>
    <t>Ayuba Sule</t>
  </si>
  <si>
    <t>Gardener</t>
  </si>
  <si>
    <t>13(10)</t>
  </si>
  <si>
    <t>8(12)</t>
  </si>
  <si>
    <t>5(9)</t>
  </si>
  <si>
    <t>Nass Deployed</t>
  </si>
  <si>
    <t>Saratu Adamu Attajiri</t>
  </si>
  <si>
    <t>Office Assistant</t>
  </si>
  <si>
    <t>Aboaman Innocent</t>
  </si>
  <si>
    <t>Kusai E. Richard</t>
  </si>
  <si>
    <t>Oluma Joseph Oluma</t>
  </si>
  <si>
    <t>Steward</t>
  </si>
  <si>
    <t>Plumber</t>
  </si>
  <si>
    <t>Dr John Niyi Olarenwaju</t>
  </si>
  <si>
    <t xml:space="preserve">          </t>
  </si>
  <si>
    <t>BLESSING EKOLEYA IKANYI</t>
  </si>
  <si>
    <t>COOP SOCIETY</t>
  </si>
  <si>
    <t>OTENUDA ESE MAUREEN</t>
  </si>
  <si>
    <t>COOP SOCIETY DEDUCTIONS</t>
  </si>
  <si>
    <t>PAYE DEDUCTIONS</t>
  </si>
  <si>
    <t>Saratu H. Gwalem</t>
  </si>
  <si>
    <t>Receptionist</t>
  </si>
  <si>
    <t>YAHAYA SHAMSU</t>
  </si>
  <si>
    <t>AM LEGAL</t>
  </si>
  <si>
    <t>HARUNA BELLO</t>
  </si>
  <si>
    <t>ADANHOU V. ALFRED</t>
  </si>
  <si>
    <t>DR IKEME ARTHUR J. O</t>
  </si>
  <si>
    <t>MANAGER M&amp;E</t>
  </si>
  <si>
    <t>MANAGER ICT</t>
  </si>
  <si>
    <t>DR ABDULHAMID OBA YUSUF</t>
  </si>
  <si>
    <t>Sabatical</t>
  </si>
  <si>
    <t>54</t>
  </si>
  <si>
    <t>Effect of PAYE variations</t>
  </si>
  <si>
    <t>COOP ADVANCE RECOVERY</t>
  </si>
  <si>
    <t>Salisu Mohammad Adamu</t>
  </si>
  <si>
    <t>JANUARY, 2017</t>
  </si>
  <si>
    <t>NET PAY AS PER JANUARY, 2017 PAYROLL</t>
  </si>
  <si>
    <t>14(11)</t>
  </si>
  <si>
    <t>SCALE</t>
  </si>
  <si>
    <t>Admin. Assisatant</t>
  </si>
  <si>
    <t>13(11)</t>
  </si>
  <si>
    <t>9(10)</t>
  </si>
  <si>
    <t>8(8)</t>
  </si>
  <si>
    <t>8(13)</t>
  </si>
  <si>
    <t>4(11)</t>
  </si>
  <si>
    <t>5(10)</t>
  </si>
  <si>
    <t>OJOGIWA ABISOLA GANIAT</t>
  </si>
  <si>
    <t>TOKUNBO ALFRED ADULOJU</t>
  </si>
  <si>
    <t>AM LIAISON OFFICE</t>
  </si>
  <si>
    <t>ADMIN ASSISTANT</t>
  </si>
  <si>
    <t>BASSEY NSONGURUA UDOFIA</t>
  </si>
  <si>
    <t>COOP. LOAN RECOVERY</t>
  </si>
  <si>
    <t>14(10)</t>
  </si>
  <si>
    <t>OSOLAFIA MUHAMMAD EGYE</t>
  </si>
  <si>
    <t>Subject: Payroll for the month  of February, 2017</t>
  </si>
  <si>
    <t>FEBRUARY, 2017</t>
  </si>
  <si>
    <t>VARIATION IN FEBRUARY 2017 OVER JANUARY,2017 SALARIES</t>
  </si>
  <si>
    <t>GROSS SALARY FOR FEBRUARY, 2017</t>
  </si>
  <si>
    <t>TOTAL DEDUCTIONS FOR FEBRUARY</t>
  </si>
  <si>
    <t>NET PAY AS PER FEBRUARY, 2017 PAYROLL</t>
  </si>
  <si>
    <t xml:space="preserve">NET INCREASE/ (DECREASE)  IN PAY FOR FEBRUARY, 2017   </t>
  </si>
  <si>
    <t>STAFF PAYROLL FOR THE MONTH OF FEBRUARY, 2017</t>
  </si>
  <si>
    <t>Jan. 2016</t>
  </si>
  <si>
    <t>Feb. 2017</t>
  </si>
  <si>
    <t>Effect of COOP Salary Advance/Loan Recovery and  Savings</t>
  </si>
  <si>
    <t>ARCH. TIJO ZARA BORYO</t>
  </si>
  <si>
    <t>MANAGER, ASSETS/MAINT.</t>
  </si>
  <si>
    <t>Effect of Recruitment of Assets and Maintainance Manager Arch Tijo Z. Boryo</t>
  </si>
  <si>
    <t>Effect of payment of responsibility allowance to Finance Officers (Rahila and Tondo)</t>
  </si>
  <si>
    <t>Effect of Salary adjustment to Dr Olarenwaju Niyi John eqivalence to SRF</t>
  </si>
  <si>
    <t>Effect of termination of responsibility allowancws to Eze Nwosu and Chris Ngara</t>
  </si>
  <si>
    <t>7TH MARCH, 2017</t>
  </si>
  <si>
    <t>Find below the details of  NILS Staff Payroll for the month of February, 2017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</si>
  <si>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N22,563,074.76  </t>
    </r>
    <r>
      <rPr>
        <sz val="14"/>
        <rFont val="Times New Roman"/>
        <family val="1"/>
      </rPr>
      <t xml:space="preserve">to Guaranty Trust Bank  being February, 2017 Salary, </t>
    </r>
    <r>
      <rPr>
        <b/>
        <sz val="14"/>
        <rFont val="Times New Roman"/>
        <family val="1"/>
      </rPr>
      <t xml:space="preserve">N1,064,638.00 </t>
    </r>
    <r>
      <rPr>
        <sz val="14"/>
        <rFont val="Times New Roman"/>
        <family val="1"/>
      </rPr>
      <t>being NILS Coop Society deductions for February and</t>
    </r>
    <r>
      <rPr>
        <b/>
        <sz val="14"/>
        <rFont val="Times New Roman"/>
        <family val="1"/>
      </rPr>
      <t xml:space="preserve"> N716,093.05 being</t>
    </r>
    <r>
      <rPr>
        <sz val="14"/>
        <rFont val="Times New Roman"/>
        <family val="1"/>
      </rPr>
      <t xml:space="preserve"> PAYE TAX Deductions from Staff Salary for the month of February, 2017.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</si>
</sst>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7" x14ac:knownFonts="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u/>
      <sz val="14"/>
      <name val="Times New Roman"/>
      <family val="1"/>
    </font>
    <font>
      <b/>
      <u val="double"/>
      <sz val="14"/>
      <name val="Times New Roman"/>
      <family val="1"/>
    </font>
    <font>
      <b/>
      <u val="double"/>
      <sz val="16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u val="double"/>
      <sz val="14"/>
      <name val="Tahoma"/>
      <family val="2"/>
    </font>
    <font>
      <sz val="14"/>
      <name val="Tahoma"/>
      <family val="2"/>
    </font>
    <font>
      <b/>
      <sz val="14"/>
      <name val="Tahoma"/>
      <family val="2"/>
    </font>
    <font>
      <b/>
      <u/>
      <sz val="14"/>
      <name val="Tahoma"/>
      <family val="2"/>
    </font>
    <font>
      <sz val="14"/>
      <color indexed="9"/>
      <name val="Tahoma"/>
      <family val="2"/>
    </font>
    <font>
      <b/>
      <u/>
      <sz val="14"/>
      <color indexed="8"/>
      <name val="Tahoma"/>
      <family val="2"/>
    </font>
    <font>
      <b/>
      <sz val="14"/>
      <color indexed="8"/>
      <name val="Tahoma"/>
      <family val="2"/>
    </font>
    <font>
      <b/>
      <strike/>
      <sz val="14"/>
      <name val="Tahoma"/>
      <family val="2"/>
    </font>
    <font>
      <sz val="14"/>
      <color indexed="8"/>
      <name val="Tahoma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16"/>
      <name val="Tahoma"/>
      <family val="2"/>
    </font>
    <font>
      <sz val="10"/>
      <name val="Tahoma"/>
      <family val="2"/>
    </font>
    <font>
      <b/>
      <sz val="14"/>
      <name val="Arial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4"/>
      <color rgb="FFFF0000"/>
      <name val="Tahoma"/>
      <family val="2"/>
    </font>
    <font>
      <sz val="14"/>
      <color theme="1"/>
      <name val="Tahoma"/>
      <family val="2"/>
    </font>
    <font>
      <b/>
      <sz val="12"/>
      <name val="Tahoma"/>
      <family val="2"/>
    </font>
    <font>
      <u val="singleAccounting"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/>
    <xf numFmtId="0" fontId="10" fillId="0" borderId="0" xfId="0" applyFont="1"/>
    <xf numFmtId="17" fontId="4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" fontId="2" fillId="0" borderId="0" xfId="0" applyNumberFormat="1" applyFont="1"/>
    <xf numFmtId="4" fontId="7" fillId="0" borderId="0" xfId="0" applyNumberFormat="1" applyFont="1"/>
    <xf numFmtId="164" fontId="8" fillId="0" borderId="0" xfId="1" applyFont="1" applyBorder="1" applyAlignment="1"/>
    <xf numFmtId="0" fontId="5" fillId="0" borderId="1" xfId="0" applyFont="1" applyBorder="1" applyAlignment="1">
      <alignment horizontal="center"/>
    </xf>
    <xf numFmtId="164" fontId="12" fillId="2" borderId="1" xfId="1" applyFont="1" applyFill="1" applyBorder="1" applyAlignment="1">
      <alignment horizontal="right"/>
    </xf>
    <xf numFmtId="0" fontId="15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49" fontId="12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12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16" fillId="0" borderId="0" xfId="0" applyFont="1" applyAlignment="1">
      <alignment horizontal="left"/>
    </xf>
    <xf numFmtId="0" fontId="17" fillId="0" borderId="0" xfId="0" applyFont="1"/>
    <xf numFmtId="4" fontId="17" fillId="0" borderId="0" xfId="0" applyNumberFormat="1" applyFont="1"/>
    <xf numFmtId="0" fontId="19" fillId="0" borderId="0" xfId="0" applyFont="1" applyAlignment="1">
      <alignment horizontal="left"/>
    </xf>
    <xf numFmtId="17" fontId="19" fillId="0" borderId="0" xfId="0" applyNumberFormat="1" applyFont="1" applyAlignment="1">
      <alignment horizontal="left"/>
    </xf>
    <xf numFmtId="4" fontId="20" fillId="0" borderId="0" xfId="0" applyNumberFormat="1" applyFont="1"/>
    <xf numFmtId="0" fontId="20" fillId="0" borderId="0" xfId="0" applyFont="1"/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left"/>
    </xf>
    <xf numFmtId="49" fontId="24" fillId="0" borderId="1" xfId="0" applyNumberFormat="1" applyFont="1" applyBorder="1" applyAlignment="1">
      <alignment horizontal="left"/>
    </xf>
    <xf numFmtId="0" fontId="17" fillId="0" borderId="1" xfId="0" applyFont="1" applyBorder="1"/>
    <xf numFmtId="20" fontId="17" fillId="0" borderId="1" xfId="0" applyNumberFormat="1" applyFont="1" applyBorder="1"/>
    <xf numFmtId="0" fontId="18" fillId="0" borderId="1" xfId="0" applyFont="1" applyBorder="1"/>
    <xf numFmtId="0" fontId="19" fillId="0" borderId="1" xfId="0" applyFont="1" applyBorder="1" applyAlignment="1">
      <alignment horizontal="left"/>
    </xf>
    <xf numFmtId="49" fontId="24" fillId="0" borderId="1" xfId="0" applyNumberFormat="1" applyFont="1" applyBorder="1"/>
    <xf numFmtId="49" fontId="22" fillId="0" borderId="1" xfId="0" applyNumberFormat="1" applyFont="1" applyBorder="1"/>
    <xf numFmtId="16" fontId="17" fillId="0" borderId="1" xfId="0" applyNumberFormat="1" applyFont="1" applyBorder="1"/>
    <xf numFmtId="49" fontId="22" fillId="0" borderId="2" xfId="0" applyNumberFormat="1" applyFont="1" applyBorder="1" applyAlignment="1">
      <alignment horizontal="left"/>
    </xf>
    <xf numFmtId="49" fontId="22" fillId="0" borderId="3" xfId="0" applyNumberFormat="1" applyFont="1" applyBorder="1" applyAlignment="1">
      <alignment horizontal="left"/>
    </xf>
    <xf numFmtId="49" fontId="22" fillId="0" borderId="4" xfId="0" applyNumberFormat="1" applyFont="1" applyBorder="1" applyAlignment="1">
      <alignment horizontal="left"/>
    </xf>
    <xf numFmtId="0" fontId="17" fillId="4" borderId="1" xfId="0" applyFont="1" applyFill="1" applyBorder="1" applyAlignment="1">
      <alignment horizontal="center"/>
    </xf>
    <xf numFmtId="49" fontId="24" fillId="4" borderId="1" xfId="0" applyNumberFormat="1" applyFont="1" applyFill="1" applyBorder="1" applyAlignment="1">
      <alignment horizontal="center"/>
    </xf>
    <xf numFmtId="20" fontId="17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49" fontId="22" fillId="4" borderId="1" xfId="0" applyNumberFormat="1" applyFont="1" applyFill="1" applyBorder="1"/>
    <xf numFmtId="49" fontId="22" fillId="4" borderId="1" xfId="0" applyNumberFormat="1" applyFont="1" applyFill="1" applyBorder="1" applyAlignment="1">
      <alignment horizontal="center"/>
    </xf>
    <xf numFmtId="4" fontId="18" fillId="4" borderId="1" xfId="0" applyNumberFormat="1" applyFont="1" applyFill="1" applyBorder="1" applyAlignment="1">
      <alignment horizontal="left"/>
    </xf>
    <xf numFmtId="4" fontId="18" fillId="4" borderId="1" xfId="0" applyNumberFormat="1" applyFont="1" applyFill="1" applyBorder="1" applyAlignment="1">
      <alignment horizontal="center"/>
    </xf>
    <xf numFmtId="4" fontId="16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2" fillId="4" borderId="1" xfId="0" applyFont="1" applyFill="1" applyBorder="1"/>
    <xf numFmtId="0" fontId="5" fillId="0" borderId="1" xfId="0" applyFont="1" applyBorder="1"/>
    <xf numFmtId="49" fontId="12" fillId="4" borderId="1" xfId="0" applyNumberFormat="1" applyFont="1" applyFill="1" applyBorder="1" applyAlignment="1">
      <alignment horizontal="left"/>
    </xf>
    <xf numFmtId="49" fontId="12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5" fillId="0" borderId="1" xfId="1" applyFont="1" applyBorder="1"/>
    <xf numFmtId="0" fontId="2" fillId="4" borderId="1" xfId="0" applyFont="1" applyFill="1" applyBorder="1" applyAlignment="1">
      <alignment horizontal="center"/>
    </xf>
    <xf numFmtId="0" fontId="14" fillId="0" borderId="0" xfId="0" applyFont="1"/>
    <xf numFmtId="0" fontId="6" fillId="0" borderId="1" xfId="0" applyFont="1" applyBorder="1" applyAlignment="1">
      <alignment horizontal="center"/>
    </xf>
    <xf numFmtId="0" fontId="17" fillId="4" borderId="1" xfId="0" applyFont="1" applyFill="1" applyBorder="1" applyAlignment="1">
      <alignment horizontal="left"/>
    </xf>
    <xf numFmtId="49" fontId="24" fillId="4" borderId="1" xfId="0" applyNumberFormat="1" applyFont="1" applyFill="1" applyBorder="1" applyAlignment="1">
      <alignment horizontal="left"/>
    </xf>
    <xf numFmtId="0" fontId="17" fillId="4" borderId="1" xfId="0" applyFont="1" applyFill="1" applyBorder="1"/>
    <xf numFmtId="164" fontId="17" fillId="0" borderId="1" xfId="1" applyFont="1" applyBorder="1"/>
    <xf numFmtId="0" fontId="0" fillId="0" borderId="1" xfId="0" applyBorder="1"/>
    <xf numFmtId="49" fontId="24" fillId="4" borderId="1" xfId="0" applyNumberFormat="1" applyFont="1" applyFill="1" applyBorder="1"/>
    <xf numFmtId="164" fontId="18" fillId="0" borderId="1" xfId="1" applyFont="1" applyBorder="1"/>
    <xf numFmtId="164" fontId="26" fillId="0" borderId="1" xfId="0" applyNumberFormat="1" applyFont="1" applyBorder="1"/>
    <xf numFmtId="0" fontId="28" fillId="0" borderId="1" xfId="0" applyFont="1" applyBorder="1"/>
    <xf numFmtId="164" fontId="18" fillId="0" borderId="1" xfId="0" applyNumberFormat="1" applyFont="1" applyBorder="1"/>
    <xf numFmtId="0" fontId="17" fillId="4" borderId="2" xfId="0" applyFont="1" applyFill="1" applyBorder="1"/>
    <xf numFmtId="0" fontId="17" fillId="4" borderId="4" xfId="0" applyFont="1" applyFill="1" applyBorder="1"/>
    <xf numFmtId="0" fontId="18" fillId="0" borderId="0" xfId="0" applyFont="1"/>
    <xf numFmtId="0" fontId="17" fillId="0" borderId="0" xfId="0" applyFont="1" applyAlignment="1">
      <alignment horizont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/>
    <xf numFmtId="0" fontId="17" fillId="0" borderId="1" xfId="0" applyFont="1" applyBorder="1" applyAlignment="1">
      <alignment horizontal="center"/>
    </xf>
    <xf numFmtId="0" fontId="29" fillId="0" borderId="1" xfId="0" applyFont="1" applyBorder="1"/>
    <xf numFmtId="164" fontId="29" fillId="0" borderId="1" xfId="0" applyNumberFormat="1" applyFont="1" applyBorder="1"/>
    <xf numFmtId="0" fontId="5" fillId="0" borderId="1" xfId="0" applyFont="1" applyBorder="1" applyAlignment="1">
      <alignment horizontal="left"/>
    </xf>
    <xf numFmtId="49" fontId="30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2" fillId="4" borderId="2" xfId="0" applyNumberFormat="1" applyFont="1" applyFill="1" applyBorder="1"/>
    <xf numFmtId="49" fontId="12" fillId="4" borderId="3" xfId="0" applyNumberFormat="1" applyFont="1" applyFill="1" applyBorder="1"/>
    <xf numFmtId="49" fontId="12" fillId="4" borderId="4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49" fontId="12" fillId="4" borderId="2" xfId="0" applyNumberFormat="1" applyFont="1" applyFill="1" applyBorder="1" applyAlignment="1">
      <alignment horizontal="left"/>
    </xf>
    <xf numFmtId="49" fontId="12" fillId="4" borderId="3" xfId="0" applyNumberFormat="1" applyFont="1" applyFill="1" applyBorder="1" applyAlignment="1">
      <alignment horizontal="left"/>
    </xf>
    <xf numFmtId="49" fontId="30" fillId="4" borderId="1" xfId="0" applyNumberFormat="1" applyFont="1" applyFill="1" applyBorder="1" applyAlignment="1">
      <alignment horizontal="center"/>
    </xf>
    <xf numFmtId="49" fontId="30" fillId="4" borderId="4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center"/>
    </xf>
    <xf numFmtId="164" fontId="5" fillId="4" borderId="1" xfId="1" quotePrefix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49" fontId="30" fillId="4" borderId="2" xfId="0" applyNumberFormat="1" applyFont="1" applyFill="1" applyBorder="1" applyAlignment="1">
      <alignment horizontal="left"/>
    </xf>
    <xf numFmtId="49" fontId="30" fillId="4" borderId="3" xfId="0" applyNumberFormat="1" applyFont="1" applyFill="1" applyBorder="1" applyAlignment="1">
      <alignment horizontal="left"/>
    </xf>
    <xf numFmtId="164" fontId="5" fillId="4" borderId="1" xfId="1" applyFont="1" applyFill="1" applyBorder="1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164" fontId="19" fillId="4" borderId="2" xfId="1" applyFont="1" applyFill="1" applyBorder="1" applyAlignment="1">
      <alignment horizontal="right"/>
    </xf>
    <xf numFmtId="164" fontId="18" fillId="4" borderId="2" xfId="1" quotePrefix="1" applyFont="1" applyFill="1" applyBorder="1" applyAlignment="1">
      <alignment horizontal="right"/>
    </xf>
    <xf numFmtId="4" fontId="16" fillId="4" borderId="2" xfId="0" applyNumberFormat="1" applyFont="1" applyFill="1" applyBorder="1" applyAlignment="1">
      <alignment horizontal="right"/>
    </xf>
    <xf numFmtId="0" fontId="2" fillId="0" borderId="1" xfId="0" applyFont="1" applyBorder="1"/>
    <xf numFmtId="164" fontId="5" fillId="0" borderId="0" xfId="0" applyNumberFormat="1" applyFont="1"/>
    <xf numFmtId="164" fontId="5" fillId="0" borderId="9" xfId="1" applyFont="1" applyBorder="1" applyAlignment="1"/>
    <xf numFmtId="0" fontId="19" fillId="0" borderId="0" xfId="0" applyFont="1"/>
    <xf numFmtId="0" fontId="2" fillId="0" borderId="0" xfId="0" applyFont="1" applyAlignment="1">
      <alignment horizontal="left" wrapText="1"/>
    </xf>
    <xf numFmtId="164" fontId="2" fillId="0" borderId="0" xfId="1" applyFont="1"/>
    <xf numFmtId="0" fontId="3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0" fillId="0" borderId="1" xfId="1" applyFont="1" applyBorder="1"/>
    <xf numFmtId="164" fontId="31" fillId="0" borderId="1" xfId="1" applyFont="1" applyBorder="1"/>
    <xf numFmtId="0" fontId="0" fillId="0" borderId="0" xfId="0" applyAlignment="1">
      <alignment horizontal="center"/>
    </xf>
    <xf numFmtId="0" fontId="31" fillId="0" borderId="0" xfId="0" applyFont="1"/>
    <xf numFmtId="164" fontId="31" fillId="0" borderId="0" xfId="1" applyFont="1" applyBorder="1"/>
    <xf numFmtId="164" fontId="0" fillId="0" borderId="0" xfId="1" applyFont="1" applyBorder="1"/>
    <xf numFmtId="0" fontId="32" fillId="0" borderId="1" xfId="0" applyFont="1" applyBorder="1"/>
    <xf numFmtId="164" fontId="32" fillId="0" borderId="1" xfId="0" applyNumberFormat="1" applyFont="1" applyBorder="1"/>
    <xf numFmtId="0" fontId="0" fillId="0" borderId="0" xfId="0" applyAlignment="1">
      <alignment horizontal="center" vertical="center"/>
    </xf>
    <xf numFmtId="164" fontId="2" fillId="0" borderId="0" xfId="0" applyNumberFormat="1" applyFont="1"/>
    <xf numFmtId="0" fontId="34" fillId="0" borderId="1" xfId="0" applyFont="1" applyBorder="1" applyAlignment="1">
      <alignment horizontal="center"/>
    </xf>
    <xf numFmtId="49" fontId="22" fillId="4" borderId="1" xfId="0" applyNumberFormat="1" applyFont="1" applyFill="1" applyBorder="1" applyAlignment="1">
      <alignment horizontal="left"/>
    </xf>
    <xf numFmtId="0" fontId="19" fillId="4" borderId="1" xfId="0" applyFont="1" applyFill="1" applyBorder="1" applyAlignment="1">
      <alignment horizontal="left"/>
    </xf>
    <xf numFmtId="4" fontId="16" fillId="4" borderId="1" xfId="0" applyNumberFormat="1" applyFont="1" applyFill="1" applyBorder="1" applyAlignment="1">
      <alignment horizontal="left"/>
    </xf>
    <xf numFmtId="0" fontId="2" fillId="0" borderId="2" xfId="0" applyFont="1" applyBorder="1"/>
    <xf numFmtId="49" fontId="17" fillId="4" borderId="1" xfId="0" applyNumberFormat="1" applyFont="1" applyFill="1" applyBorder="1"/>
    <xf numFmtId="49" fontId="33" fillId="4" borderId="1" xfId="0" applyNumberFormat="1" applyFont="1" applyFill="1" applyBorder="1"/>
    <xf numFmtId="49" fontId="24" fillId="3" borderId="1" xfId="0" applyNumberFormat="1" applyFont="1" applyFill="1" applyBorder="1" applyAlignment="1">
      <alignment horizontal="left"/>
    </xf>
    <xf numFmtId="164" fontId="17" fillId="4" borderId="2" xfId="1" quotePrefix="1" applyFont="1" applyFill="1" applyBorder="1" applyAlignment="1">
      <alignment horizontal="right"/>
    </xf>
    <xf numFmtId="164" fontId="16" fillId="4" borderId="2" xfId="1" applyFont="1" applyFill="1" applyBorder="1" applyAlignment="1">
      <alignment horizontal="right"/>
    </xf>
    <xf numFmtId="164" fontId="19" fillId="0" borderId="1" xfId="1" applyFont="1" applyFill="1" applyBorder="1" applyAlignment="1">
      <alignment horizontal="right"/>
    </xf>
    <xf numFmtId="0" fontId="1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4" fontId="17" fillId="0" borderId="1" xfId="1" applyFont="1" applyFill="1" applyBorder="1" applyAlignment="1">
      <alignment horizontal="right"/>
    </xf>
    <xf numFmtId="49" fontId="24" fillId="0" borderId="1" xfId="0" applyNumberFormat="1" applyFont="1" applyBorder="1" applyAlignment="1">
      <alignment horizontal="center"/>
    </xf>
    <xf numFmtId="164" fontId="17" fillId="0" borderId="1" xfId="1" quotePrefix="1" applyFont="1" applyFill="1" applyBorder="1" applyAlignment="1">
      <alignment horizontal="right"/>
    </xf>
    <xf numFmtId="20" fontId="17" fillId="0" borderId="1" xfId="0" applyNumberFormat="1" applyFont="1" applyBorder="1" applyAlignment="1">
      <alignment horizontal="center"/>
    </xf>
    <xf numFmtId="164" fontId="17" fillId="0" borderId="1" xfId="1" applyFont="1" applyFill="1" applyBorder="1"/>
    <xf numFmtId="164" fontId="18" fillId="0" borderId="1" xfId="1" applyFont="1" applyFill="1" applyBorder="1" applyAlignment="1">
      <alignment horizontal="right"/>
    </xf>
    <xf numFmtId="164" fontId="20" fillId="0" borderId="1" xfId="1" applyFont="1" applyFill="1" applyBorder="1" applyAlignment="1">
      <alignment horizontal="right"/>
    </xf>
    <xf numFmtId="164" fontId="18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center"/>
    </xf>
    <xf numFmtId="164" fontId="34" fillId="0" borderId="1" xfId="1" quotePrefix="1" applyFont="1" applyFill="1" applyBorder="1" applyAlignment="1">
      <alignment horizontal="right"/>
    </xf>
    <xf numFmtId="164" fontId="34" fillId="0" borderId="1" xfId="1" applyFont="1" applyFill="1" applyBorder="1" applyAlignment="1">
      <alignment horizontal="right"/>
    </xf>
    <xf numFmtId="49" fontId="22" fillId="0" borderId="1" xfId="0" applyNumberFormat="1" applyFont="1" applyBorder="1" applyAlignment="1">
      <alignment horizontal="center"/>
    </xf>
    <xf numFmtId="4" fontId="18" fillId="0" borderId="1" xfId="0" applyNumberFormat="1" applyFont="1" applyBorder="1" applyAlignment="1">
      <alignment horizontal="left"/>
    </xf>
    <xf numFmtId="4" fontId="18" fillId="0" borderId="1" xfId="0" applyNumberFormat="1" applyFont="1" applyBorder="1" applyAlignment="1">
      <alignment horizontal="center"/>
    </xf>
    <xf numFmtId="164" fontId="16" fillId="0" borderId="1" xfId="1" applyFont="1" applyFill="1" applyBorder="1" applyAlignment="1">
      <alignment horizontal="right"/>
    </xf>
    <xf numFmtId="4" fontId="16" fillId="0" borderId="1" xfId="0" applyNumberFormat="1" applyFont="1" applyBorder="1" applyAlignment="1">
      <alignment horizontal="left"/>
    </xf>
    <xf numFmtId="4" fontId="16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right"/>
    </xf>
    <xf numFmtId="4" fontId="35" fillId="0" borderId="1" xfId="0" applyNumberFormat="1" applyFont="1" applyBorder="1" applyAlignment="1">
      <alignment horizontal="center"/>
    </xf>
    <xf numFmtId="164" fontId="17" fillId="0" borderId="1" xfId="0" applyNumberFormat="1" applyFont="1" applyBorder="1"/>
    <xf numFmtId="0" fontId="19" fillId="0" borderId="1" xfId="0" applyFont="1" applyBorder="1" applyAlignment="1">
      <alignment horizontal="center" wrapText="1"/>
    </xf>
    <xf numFmtId="164" fontId="36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5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4" fillId="0" borderId="2" xfId="0" applyNumberFormat="1" applyFont="1" applyBorder="1" applyAlignment="1">
      <alignment horizontal="left"/>
    </xf>
    <xf numFmtId="49" fontId="24" fillId="0" borderId="4" xfId="0" applyNumberFormat="1" applyFont="1" applyBorder="1" applyAlignment="1">
      <alignment horizontal="left"/>
    </xf>
    <xf numFmtId="49" fontId="17" fillId="0" borderId="2" xfId="0" applyNumberFormat="1" applyFont="1" applyBorder="1" applyAlignment="1">
      <alignment horizontal="left"/>
    </xf>
    <xf numFmtId="49" fontId="17" fillId="0" borderId="4" xfId="0" applyNumberFormat="1" applyFont="1" applyBorder="1" applyAlignment="1">
      <alignment horizontal="left"/>
    </xf>
    <xf numFmtId="49" fontId="24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49" fontId="22" fillId="0" borderId="1" xfId="0" applyNumberFormat="1" applyFont="1" applyBorder="1" applyAlignment="1">
      <alignment horizontal="left"/>
    </xf>
    <xf numFmtId="49" fontId="24" fillId="0" borderId="1" xfId="0" applyNumberFormat="1" applyFont="1" applyBorder="1"/>
    <xf numFmtId="49" fontId="22" fillId="0" borderId="1" xfId="0" applyNumberFormat="1" applyFont="1" applyBorder="1" applyAlignment="1">
      <alignment horizontal="center"/>
    </xf>
    <xf numFmtId="49" fontId="22" fillId="0" borderId="2" xfId="0" applyNumberFormat="1" applyFont="1" applyBorder="1" applyAlignment="1">
      <alignment horizontal="left"/>
    </xf>
    <xf numFmtId="49" fontId="22" fillId="0" borderId="4" xfId="0" applyNumberFormat="1" applyFont="1" applyBorder="1" applyAlignment="1">
      <alignment horizontal="left"/>
    </xf>
    <xf numFmtId="0" fontId="19" fillId="0" borderId="0" xfId="0" applyFont="1" applyAlignment="1">
      <alignment horizontal="left"/>
    </xf>
    <xf numFmtId="49" fontId="21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left"/>
    </xf>
    <xf numFmtId="4" fontId="35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4" fontId="35" fillId="0" borderId="1" xfId="0" applyNumberFormat="1" applyFont="1" applyBorder="1" applyAlignment="1">
      <alignment horizontal="left"/>
    </xf>
    <xf numFmtId="4" fontId="16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4" fontId="16" fillId="4" borderId="1" xfId="0" applyNumberFormat="1" applyFont="1" applyFill="1" applyBorder="1" applyAlignment="1">
      <alignment horizontal="left"/>
    </xf>
    <xf numFmtId="4" fontId="16" fillId="4" borderId="1" xfId="0" applyNumberFormat="1" applyFont="1" applyFill="1" applyBorder="1" applyAlignment="1">
      <alignment horizontal="center"/>
    </xf>
    <xf numFmtId="49" fontId="24" fillId="4" borderId="1" xfId="0" applyNumberFormat="1" applyFont="1" applyFill="1" applyBorder="1" applyAlignment="1">
      <alignment horizontal="left"/>
    </xf>
    <xf numFmtId="49" fontId="24" fillId="4" borderId="1" xfId="0" applyNumberFormat="1" applyFont="1" applyFill="1" applyBorder="1"/>
    <xf numFmtId="0" fontId="17" fillId="4" borderId="1" xfId="0" applyFont="1" applyFill="1" applyBorder="1" applyAlignment="1">
      <alignment horizontal="left"/>
    </xf>
    <xf numFmtId="49" fontId="22" fillId="4" borderId="1" xfId="0" applyNumberFormat="1" applyFont="1" applyFill="1" applyBorder="1" applyAlignment="1">
      <alignment horizontal="left"/>
    </xf>
    <xf numFmtId="49" fontId="22" fillId="4" borderId="1" xfId="0" applyNumberFormat="1" applyFont="1" applyFill="1" applyBorder="1" applyAlignment="1">
      <alignment horizontal="center"/>
    </xf>
    <xf numFmtId="0" fontId="18" fillId="4" borderId="1" xfId="0" applyFont="1" applyFill="1" applyBorder="1"/>
    <xf numFmtId="0" fontId="17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left"/>
    </xf>
    <xf numFmtId="49" fontId="21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49" fontId="12" fillId="3" borderId="2" xfId="0" applyNumberFormat="1" applyFont="1" applyFill="1" applyBorder="1" applyAlignment="1">
      <alignment horizontal="left"/>
    </xf>
    <xf numFmtId="49" fontId="12" fillId="3" borderId="3" xfId="0" applyNumberFormat="1" applyFont="1" applyFill="1" applyBorder="1" applyAlignment="1">
      <alignment horizontal="left"/>
    </xf>
    <xf numFmtId="49" fontId="12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5" fillId="0" borderId="0" xfId="0" applyFont="1" applyAlignment="1">
      <alignment horizontal="center"/>
    </xf>
    <xf numFmtId="49" fontId="22" fillId="0" borderId="3" xfId="0" applyNumberFormat="1" applyFont="1" applyBorder="1" applyAlignment="1">
      <alignment horizontal="left"/>
    </xf>
    <xf numFmtId="49" fontId="24" fillId="0" borderId="3" xfId="0" applyNumberFormat="1" applyFont="1" applyBorder="1" applyAlignment="1">
      <alignment horizontal="left"/>
    </xf>
    <xf numFmtId="49" fontId="22" fillId="0" borderId="2" xfId="0" applyNumberFormat="1" applyFont="1" applyBorder="1" applyAlignment="1">
      <alignment horizontal="center"/>
    </xf>
    <xf numFmtId="49" fontId="22" fillId="0" borderId="3" xfId="0" applyNumberFormat="1" applyFont="1" applyBorder="1" applyAlignment="1">
      <alignment horizontal="center"/>
    </xf>
    <xf numFmtId="49" fontId="22" fillId="0" borderId="4" xfId="0" applyNumberFormat="1" applyFont="1" applyBorder="1" applyAlignment="1">
      <alignment horizontal="center"/>
    </xf>
    <xf numFmtId="0" fontId="17" fillId="0" borderId="1" xfId="0" applyFont="1" applyBorder="1"/>
    <xf numFmtId="0" fontId="19" fillId="0" borderId="2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164" fontId="5" fillId="0" borderId="1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7" fillId="0" borderId="2" xfId="0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49" fontId="24" fillId="4" borderId="2" xfId="0" applyNumberFormat="1" applyFont="1" applyFill="1" applyBorder="1" applyAlignment="1">
      <alignment horizontal="left"/>
    </xf>
    <xf numFmtId="49" fontId="24" fillId="4" borderId="3" xfId="0" applyNumberFormat="1" applyFont="1" applyFill="1" applyBorder="1" applyAlignment="1">
      <alignment horizontal="left"/>
    </xf>
    <xf numFmtId="49" fontId="24" fillId="4" borderId="4" xfId="0" applyNumberFormat="1" applyFont="1" applyFill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49" fontId="30" fillId="4" borderId="2" xfId="0" applyNumberFormat="1" applyFont="1" applyFill="1" applyBorder="1" applyAlignment="1">
      <alignment horizontal="left"/>
    </xf>
    <xf numFmtId="49" fontId="30" fillId="4" borderId="3" xfId="0" applyNumberFormat="1" applyFont="1" applyFill="1" applyBorder="1" applyAlignment="1">
      <alignment horizontal="left"/>
    </xf>
    <xf numFmtId="49" fontId="30" fillId="4" borderId="4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2" fillId="4" borderId="2" xfId="0" applyNumberFormat="1" applyFont="1" applyFill="1" applyBorder="1" applyAlignment="1">
      <alignment horizontal="left"/>
    </xf>
    <xf numFmtId="49" fontId="12" fillId="4" borderId="4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4" borderId="2" xfId="0" applyNumberFormat="1" applyFont="1" applyFill="1" applyBorder="1"/>
    <xf numFmtId="49" fontId="12" fillId="4" borderId="3" xfId="0" applyNumberFormat="1" applyFont="1" applyFill="1" applyBorder="1"/>
    <xf numFmtId="49" fontId="12" fillId="4" borderId="4" xfId="0" applyNumberFormat="1" applyFont="1" applyFill="1" applyBorder="1"/>
    <xf numFmtId="49" fontId="12" fillId="4" borderId="3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/>
    </xf>
    <xf numFmtId="49" fontId="12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49" fontId="30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4" fontId="8" fillId="4" borderId="1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3"/>
  <sheetViews>
    <sheetView tabSelected="1" view="pageBreakPreview" zoomScale="85" zoomScaleSheetLayoutView="85" workbookViewId="0">
      <selection activeCell="B3" sqref="B3:E3"/>
    </sheetView>
  </sheetViews>
  <sheetFormatPr defaultColWidth="9.140625" defaultRowHeight="20.100000000000001" customHeight="1" x14ac:dyDescent="0.3"/>
  <cols>
    <col min="1" max="1" width="5.5703125" style="1" customWidth="1"/>
    <col min="2" max="2" width="4.85546875" style="1" customWidth="1"/>
    <col min="3" max="3" width="34.85546875" style="1" customWidth="1"/>
    <col min="4" max="4" width="32.5703125" style="1" customWidth="1"/>
    <col min="5" max="5" width="10.28515625" style="1" customWidth="1"/>
    <col min="6" max="6" width="21.28515625" style="1" customWidth="1"/>
    <col min="7" max="7" width="21.7109375" style="1" customWidth="1"/>
    <col min="8" max="8" width="21.42578125" style="1" customWidth="1"/>
    <col min="9" max="9" width="18.7109375" style="1" customWidth="1"/>
    <col min="10" max="10" width="19.28515625" style="1" customWidth="1"/>
    <col min="11" max="11" width="21.7109375" style="1" customWidth="1"/>
    <col min="12" max="12" width="21.42578125" style="1" customWidth="1"/>
    <col min="13" max="13" width="17.42578125" style="1" customWidth="1"/>
    <col min="14" max="14" width="22.140625" style="1" customWidth="1"/>
    <col min="15" max="15" width="21.5703125" style="1" customWidth="1"/>
    <col min="16" max="16" width="19.28515625" style="1" customWidth="1"/>
    <col min="17" max="17" width="21.85546875" style="1" customWidth="1"/>
    <col min="18" max="18" width="20.42578125" style="1" customWidth="1"/>
    <col min="19" max="19" width="23" style="1" customWidth="1"/>
    <col min="20" max="20" width="21.140625" style="1" customWidth="1"/>
    <col min="21" max="21" width="21.5703125" style="1" customWidth="1"/>
    <col min="22" max="22" width="18.85546875" style="1" customWidth="1"/>
    <col min="23" max="23" width="21.85546875" style="1" customWidth="1"/>
    <col min="24" max="24" width="22.85546875" style="1" customWidth="1"/>
    <col min="25" max="25" width="23.7109375" style="1" customWidth="1"/>
    <col min="26" max="26" width="28.42578125" style="1" customWidth="1"/>
    <col min="27" max="16384" width="9.140625" style="1"/>
  </cols>
  <sheetData>
    <row r="1" spans="1:31" ht="29.25" customHeight="1" x14ac:dyDescent="0.3">
      <c r="B1" s="25" t="s">
        <v>247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  <c r="T1" s="26"/>
      <c r="U1" s="26"/>
      <c r="V1" s="26"/>
      <c r="W1" s="26"/>
      <c r="X1" s="26"/>
      <c r="Y1" s="26"/>
      <c r="AE1" s="1" t="s">
        <v>247</v>
      </c>
    </row>
    <row r="2" spans="1:31" ht="5.25" customHeight="1" x14ac:dyDescent="0.3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7"/>
      <c r="T2" s="27"/>
      <c r="U2" s="27"/>
      <c r="V2" s="27"/>
      <c r="W2" s="27"/>
      <c r="X2" s="27"/>
      <c r="Y2" s="27"/>
    </row>
    <row r="3" spans="1:31" ht="20.100000000000001" customHeight="1" x14ac:dyDescent="0.3">
      <c r="A3" s="26"/>
      <c r="B3" s="198" t="s">
        <v>507</v>
      </c>
      <c r="C3" s="198"/>
      <c r="D3" s="198"/>
      <c r="E3" s="198"/>
      <c r="F3" s="28"/>
      <c r="G3" s="28"/>
      <c r="H3" s="28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0"/>
      <c r="U3" s="30"/>
      <c r="V3" s="30"/>
      <c r="W3" s="30"/>
      <c r="X3" s="30"/>
      <c r="Y3" s="30"/>
    </row>
    <row r="4" spans="1:31" ht="2.25" customHeight="1" x14ac:dyDescent="0.3">
      <c r="A4" s="26"/>
      <c r="B4" s="26"/>
      <c r="C4" s="26"/>
      <c r="D4" s="26"/>
      <c r="E4" s="26"/>
      <c r="F4" s="31">
        <f>'[1]FEB 08'!E8/'[1]FEB 08'!M8</f>
        <v>0.22</v>
      </c>
      <c r="G4" s="31"/>
      <c r="H4" s="31"/>
      <c r="I4" s="31">
        <f>'[1]FEB 08'!F8/'[1]FEB 08'!Q8</f>
        <v>0.3</v>
      </c>
      <c r="J4" s="31"/>
      <c r="K4" s="31"/>
      <c r="L4" s="31"/>
      <c r="M4" s="31"/>
      <c r="N4" s="31"/>
      <c r="O4" s="31"/>
      <c r="P4" s="31"/>
      <c r="Q4" s="31"/>
      <c r="R4" s="31"/>
      <c r="S4" s="26"/>
      <c r="T4" s="26"/>
      <c r="U4" s="26"/>
      <c r="V4" s="26"/>
      <c r="W4" s="26"/>
      <c r="X4" s="26"/>
      <c r="Y4" s="26"/>
    </row>
    <row r="5" spans="1:31" ht="20.100000000000001" customHeight="1" x14ac:dyDescent="0.3">
      <c r="A5" s="26"/>
      <c r="B5" s="198" t="s">
        <v>0</v>
      </c>
      <c r="C5" s="198"/>
      <c r="D5" s="32"/>
      <c r="E5" s="32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204" t="s">
        <v>239</v>
      </c>
      <c r="U5" s="204"/>
      <c r="V5" s="204"/>
      <c r="W5" s="204"/>
      <c r="X5" s="32"/>
      <c r="Y5" s="32" t="s">
        <v>61</v>
      </c>
    </row>
    <row r="6" spans="1:31" ht="20.100000000000001" customHeight="1" x14ac:dyDescent="0.3">
      <c r="A6" s="37"/>
      <c r="B6" s="200"/>
      <c r="C6" s="200"/>
      <c r="D6" s="33" t="s">
        <v>13</v>
      </c>
      <c r="E6" s="33" t="s">
        <v>59</v>
      </c>
      <c r="F6" s="150" t="s">
        <v>1</v>
      </c>
      <c r="G6" s="150" t="s">
        <v>358</v>
      </c>
      <c r="H6" s="150"/>
      <c r="I6" s="150"/>
      <c r="J6" s="150"/>
      <c r="K6" s="150"/>
      <c r="L6" s="150"/>
      <c r="M6" s="150" t="s">
        <v>52</v>
      </c>
      <c r="N6" s="150" t="s">
        <v>70</v>
      </c>
      <c r="O6" s="150" t="s">
        <v>143</v>
      </c>
      <c r="P6" s="150" t="s">
        <v>66</v>
      </c>
      <c r="Q6" s="150" t="s">
        <v>72</v>
      </c>
      <c r="R6" s="150" t="s">
        <v>73</v>
      </c>
      <c r="S6" s="150" t="s">
        <v>4</v>
      </c>
      <c r="T6" s="150"/>
      <c r="U6" s="150"/>
      <c r="V6" s="34"/>
      <c r="W6" s="34"/>
      <c r="X6" s="34" t="s">
        <v>508</v>
      </c>
      <c r="Y6" s="34" t="s">
        <v>509</v>
      </c>
    </row>
    <row r="7" spans="1:31" ht="33" customHeight="1" x14ac:dyDescent="0.3">
      <c r="A7" s="37"/>
      <c r="B7" s="201"/>
      <c r="C7" s="201"/>
      <c r="D7" s="33"/>
      <c r="E7" s="33" t="s">
        <v>57</v>
      </c>
      <c r="F7" s="150" t="s">
        <v>58</v>
      </c>
      <c r="G7" s="150" t="s">
        <v>359</v>
      </c>
      <c r="H7" s="150" t="s">
        <v>2</v>
      </c>
      <c r="I7" s="150" t="s">
        <v>3</v>
      </c>
      <c r="J7" s="150" t="s">
        <v>53</v>
      </c>
      <c r="K7" s="150" t="s">
        <v>67</v>
      </c>
      <c r="L7" s="150" t="s">
        <v>68</v>
      </c>
      <c r="M7" s="150" t="s">
        <v>69</v>
      </c>
      <c r="N7" s="150" t="s">
        <v>71</v>
      </c>
      <c r="O7" s="150" t="s">
        <v>144</v>
      </c>
      <c r="P7" s="150" t="s">
        <v>54</v>
      </c>
      <c r="Q7" s="150" t="s">
        <v>54</v>
      </c>
      <c r="R7" s="150" t="s">
        <v>74</v>
      </c>
      <c r="S7" s="150" t="s">
        <v>58</v>
      </c>
      <c r="T7" s="172" t="s">
        <v>462</v>
      </c>
      <c r="U7" s="172" t="s">
        <v>497</v>
      </c>
      <c r="V7" s="150" t="s">
        <v>60</v>
      </c>
      <c r="W7" s="150" t="s">
        <v>20</v>
      </c>
      <c r="X7" s="150"/>
      <c r="Y7" s="150"/>
    </row>
    <row r="8" spans="1:31" ht="20.100000000000001" customHeight="1" x14ac:dyDescent="0.3">
      <c r="A8" s="39" t="s">
        <v>328</v>
      </c>
      <c r="B8" s="199" t="s">
        <v>22</v>
      </c>
      <c r="C8" s="199"/>
      <c r="D8" s="35"/>
      <c r="E8" s="35"/>
      <c r="F8" s="151" t="s">
        <v>5</v>
      </c>
      <c r="G8" s="34"/>
      <c r="H8" s="151"/>
      <c r="I8" s="151" t="s">
        <v>5</v>
      </c>
      <c r="J8" s="151"/>
      <c r="K8" s="151"/>
      <c r="L8" s="151"/>
      <c r="M8" s="151"/>
      <c r="N8" s="151"/>
      <c r="O8" s="151"/>
      <c r="P8" s="151"/>
      <c r="Q8" s="151"/>
      <c r="R8" s="151"/>
      <c r="S8" s="151" t="s">
        <v>5</v>
      </c>
      <c r="T8" s="151"/>
      <c r="U8" s="151"/>
      <c r="V8" s="151" t="s">
        <v>5</v>
      </c>
      <c r="W8" s="151"/>
      <c r="X8" s="151"/>
      <c r="Y8" s="151"/>
    </row>
    <row r="9" spans="1:31" ht="20.100000000000001" customHeight="1" x14ac:dyDescent="0.3">
      <c r="A9" s="86">
        <v>1</v>
      </c>
      <c r="B9" s="191" t="s">
        <v>46</v>
      </c>
      <c r="C9" s="191"/>
      <c r="D9" s="36" t="s">
        <v>224</v>
      </c>
      <c r="E9" s="36" t="s">
        <v>55</v>
      </c>
      <c r="F9" s="152">
        <v>160488.75</v>
      </c>
      <c r="G9" s="152"/>
      <c r="H9" s="152">
        <v>320977.5</v>
      </c>
      <c r="I9" s="152">
        <v>48146.63</v>
      </c>
      <c r="J9" s="152">
        <v>120366.57</v>
      </c>
      <c r="K9" s="152">
        <v>72219.94</v>
      </c>
      <c r="L9" s="152">
        <v>481466.25</v>
      </c>
      <c r="M9" s="152">
        <v>40122.19</v>
      </c>
      <c r="N9" s="152">
        <v>120366.57</v>
      </c>
      <c r="O9" s="152">
        <v>100000</v>
      </c>
      <c r="P9" s="152">
        <v>16048.88</v>
      </c>
      <c r="Q9" s="152">
        <v>25000</v>
      </c>
      <c r="R9" s="152">
        <v>25235</v>
      </c>
      <c r="S9" s="152">
        <f>SUM(F9:R9)</f>
        <v>1530438.2799999998</v>
      </c>
      <c r="T9" s="152"/>
      <c r="U9" s="152"/>
      <c r="V9" s="152">
        <v>113176.97</v>
      </c>
      <c r="W9" s="152">
        <f>T9+U9+V9</f>
        <v>113176.97</v>
      </c>
      <c r="X9" s="152">
        <v>1417261.31</v>
      </c>
      <c r="Y9" s="152">
        <f>S9-W9</f>
        <v>1417261.3099999998</v>
      </c>
    </row>
    <row r="10" spans="1:31" ht="20.100000000000001" customHeight="1" x14ac:dyDescent="0.3">
      <c r="A10" s="86">
        <v>2</v>
      </c>
      <c r="B10" s="187" t="s">
        <v>395</v>
      </c>
      <c r="C10" s="188"/>
      <c r="D10" s="36" t="s">
        <v>396</v>
      </c>
      <c r="E10" s="153" t="s">
        <v>49</v>
      </c>
      <c r="F10" s="154">
        <v>39662.25</v>
      </c>
      <c r="G10" s="154"/>
      <c r="H10" s="154">
        <f>F10*300%</f>
        <v>118986.75</v>
      </c>
      <c r="I10" s="154">
        <f>F10*7.5%</f>
        <v>2974.6687499999998</v>
      </c>
      <c r="J10" s="154">
        <v>40122.19</v>
      </c>
      <c r="K10" s="154">
        <f>F10*50%</f>
        <v>19831.125</v>
      </c>
      <c r="L10" s="154">
        <f>F10*350%</f>
        <v>138817.875</v>
      </c>
      <c r="M10" s="154"/>
      <c r="N10" s="154">
        <f>F10*100%</f>
        <v>39662.25</v>
      </c>
      <c r="O10" s="154">
        <v>100000</v>
      </c>
      <c r="P10" s="154">
        <f>F10*10%</f>
        <v>3966.2250000000004</v>
      </c>
      <c r="Q10" s="154">
        <v>20000</v>
      </c>
      <c r="R10" s="154"/>
      <c r="S10" s="152">
        <f>SUM(F10:R10)</f>
        <v>524023.33374999999</v>
      </c>
      <c r="T10" s="154">
        <v>50000</v>
      </c>
      <c r="U10" s="154">
        <f>105000</f>
        <v>105000</v>
      </c>
      <c r="V10" s="152">
        <v>21618.09</v>
      </c>
      <c r="W10" s="152">
        <f t="shared" ref="W10:W32" si="0">T10+U10+V10</f>
        <v>176618.09</v>
      </c>
      <c r="X10" s="152">
        <v>347405.24</v>
      </c>
      <c r="Y10" s="152">
        <f t="shared" ref="Y10:Y32" si="1">S10-W10</f>
        <v>347405.24375000002</v>
      </c>
    </row>
    <row r="11" spans="1:31" ht="20.100000000000001" customHeight="1" x14ac:dyDescent="0.3">
      <c r="A11" s="86">
        <v>3</v>
      </c>
      <c r="B11" s="189" t="s">
        <v>475</v>
      </c>
      <c r="C11" s="190"/>
      <c r="D11" s="36" t="s">
        <v>82</v>
      </c>
      <c r="E11" s="153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2">
        <v>484969.83</v>
      </c>
      <c r="T11" s="154"/>
      <c r="U11" s="154"/>
      <c r="V11" s="152">
        <v>21618.09</v>
      </c>
      <c r="W11" s="152">
        <f t="shared" si="0"/>
        <v>21618.09</v>
      </c>
      <c r="X11" s="152">
        <v>463351.74</v>
      </c>
      <c r="Y11" s="152">
        <f t="shared" si="1"/>
        <v>463351.74</v>
      </c>
    </row>
    <row r="12" spans="1:31" ht="20.100000000000001" customHeight="1" x14ac:dyDescent="0.3">
      <c r="A12" s="86">
        <v>4</v>
      </c>
      <c r="B12" s="194" t="s">
        <v>177</v>
      </c>
      <c r="C12" s="194"/>
      <c r="D12" s="36" t="s">
        <v>178</v>
      </c>
      <c r="E12" s="155" t="s">
        <v>119</v>
      </c>
      <c r="F12" s="154">
        <v>33507.5</v>
      </c>
      <c r="G12" s="154"/>
      <c r="H12" s="154">
        <f>F12*300%</f>
        <v>100522.5</v>
      </c>
      <c r="I12" s="154">
        <f>F12*7.5%</f>
        <v>2513.0625</v>
      </c>
      <c r="J12" s="154">
        <v>40122.19</v>
      </c>
      <c r="K12" s="154">
        <f>F12*50%</f>
        <v>16753.75</v>
      </c>
      <c r="L12" s="154">
        <f>F12*350%</f>
        <v>117276.25</v>
      </c>
      <c r="M12" s="154">
        <v>0</v>
      </c>
      <c r="N12" s="154">
        <f>F12*100%</f>
        <v>33507.5</v>
      </c>
      <c r="O12" s="154">
        <v>0</v>
      </c>
      <c r="P12" s="154">
        <f>F12*10%</f>
        <v>3350.75</v>
      </c>
      <c r="Q12" s="154">
        <v>20000</v>
      </c>
      <c r="R12" s="154">
        <v>0</v>
      </c>
      <c r="S12" s="152">
        <f>SUM(F12:R12)</f>
        <v>367553.5025</v>
      </c>
      <c r="T12" s="154">
        <v>50000</v>
      </c>
      <c r="U12" s="154">
        <v>0</v>
      </c>
      <c r="V12" s="152">
        <v>15548.33</v>
      </c>
      <c r="W12" s="152">
        <f t="shared" si="0"/>
        <v>65548.33</v>
      </c>
      <c r="X12" s="152">
        <v>198255.17</v>
      </c>
      <c r="Y12" s="152">
        <f t="shared" si="1"/>
        <v>302005.17249999999</v>
      </c>
    </row>
    <row r="13" spans="1:31" ht="20.100000000000001" customHeight="1" x14ac:dyDescent="0.3">
      <c r="A13" s="86">
        <v>5</v>
      </c>
      <c r="B13" s="187" t="s">
        <v>472</v>
      </c>
      <c r="C13" s="188"/>
      <c r="D13" s="36" t="s">
        <v>473</v>
      </c>
      <c r="E13" s="155" t="s">
        <v>347</v>
      </c>
      <c r="F13" s="154">
        <v>32263.200000000001</v>
      </c>
      <c r="G13" s="154"/>
      <c r="H13" s="154">
        <f>F13*300%</f>
        <v>96789.6</v>
      </c>
      <c r="I13" s="154">
        <f>F13*7.5%</f>
        <v>2419.7399999999998</v>
      </c>
      <c r="J13" s="154">
        <v>40122.19</v>
      </c>
      <c r="K13" s="154">
        <f>F13*50%</f>
        <v>16131.6</v>
      </c>
      <c r="L13" s="154">
        <f>F13*350%</f>
        <v>112921.2</v>
      </c>
      <c r="M13" s="154"/>
      <c r="N13" s="154">
        <f>F13*100%</f>
        <v>32263.200000000001</v>
      </c>
      <c r="O13" s="154">
        <v>0</v>
      </c>
      <c r="P13" s="154">
        <f>F13*10%</f>
        <v>3226.32</v>
      </c>
      <c r="Q13" s="154">
        <v>20000</v>
      </c>
      <c r="R13" s="154">
        <v>0</v>
      </c>
      <c r="S13" s="152">
        <f>SUM(F13:R13)</f>
        <v>356137.05000000005</v>
      </c>
      <c r="T13" s="154"/>
      <c r="U13" s="154"/>
      <c r="V13" s="152">
        <v>15548.33</v>
      </c>
      <c r="W13" s="152">
        <f t="shared" si="0"/>
        <v>15548.33</v>
      </c>
      <c r="X13" s="152">
        <v>340588.72</v>
      </c>
      <c r="Y13" s="152">
        <f t="shared" si="1"/>
        <v>340588.72000000003</v>
      </c>
    </row>
    <row r="14" spans="1:31" ht="20.100000000000001" customHeight="1" x14ac:dyDescent="0.3">
      <c r="A14" s="86">
        <v>6</v>
      </c>
      <c r="B14" s="187" t="s">
        <v>23</v>
      </c>
      <c r="C14" s="188"/>
      <c r="D14" s="36" t="s">
        <v>474</v>
      </c>
      <c r="E14" s="155" t="s">
        <v>50</v>
      </c>
      <c r="F14" s="154"/>
      <c r="G14" s="154">
        <v>0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2">
        <f>385000+G14</f>
        <v>385000</v>
      </c>
      <c r="T14" s="154">
        <v>50000</v>
      </c>
      <c r="U14" s="154"/>
      <c r="V14" s="152">
        <v>15548.33</v>
      </c>
      <c r="W14" s="152">
        <f t="shared" si="0"/>
        <v>65548.33</v>
      </c>
      <c r="X14" s="152">
        <v>319451.67</v>
      </c>
      <c r="Y14" s="152">
        <f t="shared" si="1"/>
        <v>319451.67</v>
      </c>
    </row>
    <row r="15" spans="1:31" ht="20.100000000000001" customHeight="1" x14ac:dyDescent="0.3">
      <c r="A15" s="86">
        <v>7</v>
      </c>
      <c r="B15" s="192" t="s">
        <v>194</v>
      </c>
      <c r="C15" s="192"/>
      <c r="D15" s="37" t="s">
        <v>195</v>
      </c>
      <c r="E15" s="155" t="s">
        <v>50</v>
      </c>
      <c r="F15" s="154">
        <v>31018.84</v>
      </c>
      <c r="G15" s="154"/>
      <c r="H15" s="154">
        <f t="shared" ref="H15:H27" si="2">F15*300%</f>
        <v>93056.52</v>
      </c>
      <c r="I15" s="154">
        <f t="shared" ref="I15:I27" si="3">F15*7.5%</f>
        <v>2326.413</v>
      </c>
      <c r="J15" s="154">
        <v>40122.19</v>
      </c>
      <c r="K15" s="154">
        <f t="shared" ref="K15:K21" si="4">F15*50%</f>
        <v>15509.42</v>
      </c>
      <c r="L15" s="154">
        <f t="shared" ref="L15:L27" si="5">F15*350%</f>
        <v>108565.94</v>
      </c>
      <c r="M15" s="154">
        <v>0</v>
      </c>
      <c r="N15" s="154">
        <f t="shared" ref="N15:N27" si="6">F15*100%</f>
        <v>31018.84</v>
      </c>
      <c r="P15" s="154">
        <f t="shared" ref="P15:P27" si="7">F15*10%</f>
        <v>3101.884</v>
      </c>
      <c r="Q15" s="154">
        <v>20000</v>
      </c>
      <c r="R15" s="154">
        <v>0</v>
      </c>
      <c r="S15" s="152">
        <f t="shared" ref="S15:S32" si="8">SUM(F15:R15)</f>
        <v>344720.04700000002</v>
      </c>
      <c r="T15" s="152">
        <v>15000</v>
      </c>
      <c r="U15" s="152">
        <f>95833</f>
        <v>95833</v>
      </c>
      <c r="V15" s="152">
        <v>15548.33</v>
      </c>
      <c r="W15" s="152">
        <f t="shared" si="0"/>
        <v>126381.33</v>
      </c>
      <c r="X15" s="152">
        <v>329171.71999999997</v>
      </c>
      <c r="Y15" s="152">
        <f t="shared" si="1"/>
        <v>218338.717</v>
      </c>
    </row>
    <row r="16" spans="1:31" ht="20.100000000000001" customHeight="1" x14ac:dyDescent="0.3">
      <c r="A16" s="86">
        <v>8</v>
      </c>
      <c r="B16" s="202" t="s">
        <v>511</v>
      </c>
      <c r="C16" s="203"/>
      <c r="D16" s="37" t="s">
        <v>512</v>
      </c>
      <c r="E16" s="155" t="s">
        <v>50</v>
      </c>
      <c r="F16" s="154"/>
      <c r="G16" s="154"/>
      <c r="H16" s="154"/>
      <c r="I16" s="154"/>
      <c r="J16" s="154"/>
      <c r="K16" s="154"/>
      <c r="L16" s="154"/>
      <c r="M16" s="154"/>
      <c r="N16" s="154"/>
      <c r="P16" s="154"/>
      <c r="Q16" s="154"/>
      <c r="R16" s="154"/>
      <c r="S16" s="152">
        <v>344720</v>
      </c>
      <c r="T16" s="152"/>
      <c r="U16" s="152"/>
      <c r="V16" s="152">
        <v>15548.33</v>
      </c>
      <c r="W16" s="152">
        <f t="shared" si="0"/>
        <v>15548.33</v>
      </c>
      <c r="X16" s="152">
        <v>0</v>
      </c>
      <c r="Y16" s="152">
        <f t="shared" si="1"/>
        <v>329171.67</v>
      </c>
    </row>
    <row r="17" spans="1:26" ht="20.100000000000001" customHeight="1" x14ac:dyDescent="0.3">
      <c r="A17" s="86">
        <v>9</v>
      </c>
      <c r="B17" s="202" t="s">
        <v>468</v>
      </c>
      <c r="C17" s="203"/>
      <c r="D17" s="37" t="s">
        <v>469</v>
      </c>
      <c r="E17" s="155" t="s">
        <v>348</v>
      </c>
      <c r="F17" s="154">
        <v>23891.119999999999</v>
      </c>
      <c r="G17" s="154">
        <v>0</v>
      </c>
      <c r="H17" s="154">
        <f t="shared" si="2"/>
        <v>71673.36</v>
      </c>
      <c r="I17" s="154">
        <f t="shared" si="3"/>
        <v>1791.8339999999998</v>
      </c>
      <c r="J17" s="154"/>
      <c r="K17" s="154">
        <f t="shared" si="4"/>
        <v>11945.56</v>
      </c>
      <c r="L17" s="154">
        <f t="shared" si="5"/>
        <v>83618.92</v>
      </c>
      <c r="M17" s="154"/>
      <c r="N17" s="154">
        <f t="shared" si="6"/>
        <v>23891.119999999999</v>
      </c>
      <c r="P17" s="154">
        <f t="shared" si="7"/>
        <v>2389.1120000000001</v>
      </c>
      <c r="Q17" s="154">
        <v>15000</v>
      </c>
      <c r="R17" s="154"/>
      <c r="S17" s="152">
        <f t="shared" si="8"/>
        <v>234201.02599999998</v>
      </c>
      <c r="T17" s="152"/>
      <c r="U17" s="152"/>
      <c r="V17" s="152">
        <v>7709</v>
      </c>
      <c r="W17" s="152">
        <f t="shared" si="0"/>
        <v>7709</v>
      </c>
      <c r="X17" s="152">
        <v>226492.03</v>
      </c>
      <c r="Y17" s="152">
        <f t="shared" si="1"/>
        <v>226492.02599999998</v>
      </c>
    </row>
    <row r="18" spans="1:26" ht="20.100000000000001" customHeight="1" x14ac:dyDescent="0.3">
      <c r="A18" s="86">
        <v>10</v>
      </c>
      <c r="B18" s="202" t="s">
        <v>493</v>
      </c>
      <c r="C18" s="203"/>
      <c r="D18" s="37" t="s">
        <v>494</v>
      </c>
      <c r="E18" s="155" t="s">
        <v>184</v>
      </c>
      <c r="F18" s="154">
        <v>23074.99</v>
      </c>
      <c r="G18" s="154"/>
      <c r="H18" s="154">
        <f t="shared" si="2"/>
        <v>69224.97</v>
      </c>
      <c r="I18" s="154">
        <f t="shared" si="3"/>
        <v>1730.6242500000001</v>
      </c>
      <c r="J18" s="154"/>
      <c r="K18" s="154">
        <f t="shared" si="4"/>
        <v>11537.495000000001</v>
      </c>
      <c r="L18" s="154">
        <f t="shared" si="5"/>
        <v>80762.465000000011</v>
      </c>
      <c r="M18" s="154"/>
      <c r="N18" s="154">
        <f t="shared" si="6"/>
        <v>23074.99</v>
      </c>
      <c r="P18" s="154">
        <f t="shared" si="7"/>
        <v>2307.4990000000003</v>
      </c>
      <c r="Q18" s="154">
        <v>15000</v>
      </c>
      <c r="R18" s="154"/>
      <c r="S18" s="152">
        <f t="shared" si="8"/>
        <v>226713.03325000001</v>
      </c>
      <c r="T18" s="152">
        <f>20000</f>
        <v>20000</v>
      </c>
      <c r="U18" s="152">
        <f>91333</f>
        <v>91333</v>
      </c>
      <c r="V18" s="152">
        <v>7709</v>
      </c>
      <c r="W18" s="152">
        <f t="shared" si="0"/>
        <v>119042</v>
      </c>
      <c r="X18" s="152">
        <v>199004.03</v>
      </c>
      <c r="Y18" s="152">
        <f t="shared" si="1"/>
        <v>107671.03325000001</v>
      </c>
    </row>
    <row r="19" spans="1:26" ht="19.5" customHeight="1" x14ac:dyDescent="0.3">
      <c r="A19" s="86">
        <v>11</v>
      </c>
      <c r="B19" s="202" t="s">
        <v>310</v>
      </c>
      <c r="C19" s="203"/>
      <c r="D19" s="37" t="s">
        <v>311</v>
      </c>
      <c r="E19" s="86" t="s">
        <v>184</v>
      </c>
      <c r="F19" s="154">
        <v>23074.99</v>
      </c>
      <c r="G19" s="154"/>
      <c r="H19" s="154">
        <f t="shared" si="2"/>
        <v>69224.97</v>
      </c>
      <c r="I19" s="154">
        <f t="shared" si="3"/>
        <v>1730.6242500000001</v>
      </c>
      <c r="J19" s="154"/>
      <c r="K19" s="154">
        <f t="shared" si="4"/>
        <v>11537.495000000001</v>
      </c>
      <c r="L19" s="152">
        <f t="shared" si="5"/>
        <v>80762.465000000011</v>
      </c>
      <c r="M19" s="154"/>
      <c r="N19" s="154">
        <f t="shared" si="6"/>
        <v>23074.99</v>
      </c>
      <c r="O19" s="154">
        <v>0</v>
      </c>
      <c r="P19" s="154">
        <f t="shared" si="7"/>
        <v>2307.4990000000003</v>
      </c>
      <c r="Q19" s="154">
        <v>15000</v>
      </c>
      <c r="R19" s="154">
        <v>0</v>
      </c>
      <c r="S19" s="152">
        <f t="shared" si="8"/>
        <v>226713.03325000001</v>
      </c>
      <c r="T19" s="152">
        <v>20000</v>
      </c>
      <c r="U19" s="152">
        <f>34167</f>
        <v>34167</v>
      </c>
      <c r="V19" s="152">
        <v>3369.51</v>
      </c>
      <c r="W19" s="152">
        <f t="shared" si="0"/>
        <v>57536.51</v>
      </c>
      <c r="X19" s="152">
        <v>209176.52</v>
      </c>
      <c r="Y19" s="152">
        <f t="shared" si="1"/>
        <v>169176.52325</v>
      </c>
    </row>
    <row r="20" spans="1:26" ht="19.5" customHeight="1" x14ac:dyDescent="0.3">
      <c r="A20" s="86">
        <v>12</v>
      </c>
      <c r="B20" s="202" t="s">
        <v>312</v>
      </c>
      <c r="C20" s="203"/>
      <c r="D20" s="37" t="s">
        <v>233</v>
      </c>
      <c r="E20" s="86" t="s">
        <v>80</v>
      </c>
      <c r="F20" s="154">
        <v>19276.95</v>
      </c>
      <c r="G20" s="154"/>
      <c r="H20" s="154">
        <f t="shared" si="2"/>
        <v>57830.850000000006</v>
      </c>
      <c r="I20" s="154">
        <f t="shared" si="3"/>
        <v>1445.77125</v>
      </c>
      <c r="J20" s="154"/>
      <c r="K20" s="154">
        <f t="shared" si="4"/>
        <v>9638.4750000000004</v>
      </c>
      <c r="L20" s="152">
        <f t="shared" si="5"/>
        <v>67469.324999999997</v>
      </c>
      <c r="M20" s="154"/>
      <c r="N20" s="154">
        <f t="shared" si="6"/>
        <v>19276.95</v>
      </c>
      <c r="O20" s="154"/>
      <c r="P20" s="154">
        <f t="shared" si="7"/>
        <v>1927.6950000000002</v>
      </c>
      <c r="Q20" s="154">
        <v>10000</v>
      </c>
      <c r="R20" s="154"/>
      <c r="S20" s="152">
        <f t="shared" si="8"/>
        <v>186866.01625000004</v>
      </c>
      <c r="T20" s="152"/>
      <c r="U20" s="152"/>
      <c r="V20" s="152">
        <v>3369.51</v>
      </c>
      <c r="W20" s="152">
        <f t="shared" si="0"/>
        <v>3369.51</v>
      </c>
      <c r="X20" s="152">
        <v>183496.51</v>
      </c>
      <c r="Y20" s="152">
        <f t="shared" si="1"/>
        <v>183496.50625000003</v>
      </c>
      <c r="Z20" s="138"/>
    </row>
    <row r="21" spans="1:26" ht="19.5" customHeight="1" x14ac:dyDescent="0.3">
      <c r="A21" s="86">
        <v>13</v>
      </c>
      <c r="B21" s="202" t="s">
        <v>337</v>
      </c>
      <c r="C21" s="203"/>
      <c r="D21" s="37" t="s">
        <v>415</v>
      </c>
      <c r="E21" s="86" t="s">
        <v>448</v>
      </c>
      <c r="F21" s="154">
        <v>25523.45</v>
      </c>
      <c r="G21" s="154"/>
      <c r="H21" s="154">
        <f t="shared" si="2"/>
        <v>76570.350000000006</v>
      </c>
      <c r="I21" s="154">
        <f t="shared" si="3"/>
        <v>1914.25875</v>
      </c>
      <c r="J21" s="154"/>
      <c r="K21" s="154">
        <f t="shared" si="4"/>
        <v>12761.725</v>
      </c>
      <c r="L21" s="152">
        <f t="shared" si="5"/>
        <v>89332.074999999997</v>
      </c>
      <c r="M21" s="154"/>
      <c r="N21" s="154">
        <f t="shared" si="6"/>
        <v>25523.45</v>
      </c>
      <c r="O21" s="154"/>
      <c r="P21" s="154">
        <f t="shared" si="7"/>
        <v>2552.3450000000003</v>
      </c>
      <c r="Q21" s="154">
        <v>15000</v>
      </c>
      <c r="R21" s="154"/>
      <c r="S21" s="152">
        <f t="shared" si="8"/>
        <v>249177.65375000003</v>
      </c>
      <c r="T21" s="152"/>
      <c r="U21" s="152"/>
      <c r="V21" s="152">
        <v>7709.76</v>
      </c>
      <c r="W21" s="152">
        <f t="shared" si="0"/>
        <v>7709.76</v>
      </c>
      <c r="X21" s="152">
        <v>241467.89</v>
      </c>
      <c r="Y21" s="152">
        <f t="shared" si="1"/>
        <v>241467.89375000002</v>
      </c>
    </row>
    <row r="22" spans="1:26" ht="19.5" customHeight="1" x14ac:dyDescent="0.3">
      <c r="A22" s="86">
        <v>14</v>
      </c>
      <c r="B22" s="202" t="s">
        <v>414</v>
      </c>
      <c r="C22" s="203"/>
      <c r="D22" s="37" t="s">
        <v>25</v>
      </c>
      <c r="E22" s="86" t="s">
        <v>374</v>
      </c>
      <c r="F22" s="154">
        <v>18281.64</v>
      </c>
      <c r="G22" s="154"/>
      <c r="H22" s="154">
        <f t="shared" si="2"/>
        <v>54844.92</v>
      </c>
      <c r="I22" s="154">
        <f t="shared" si="3"/>
        <v>1371.1229999999998</v>
      </c>
      <c r="J22" s="154"/>
      <c r="K22" s="154">
        <v>8643.17</v>
      </c>
      <c r="L22" s="152">
        <f t="shared" si="5"/>
        <v>63985.74</v>
      </c>
      <c r="M22" s="154"/>
      <c r="N22" s="154">
        <f t="shared" si="6"/>
        <v>18281.64</v>
      </c>
      <c r="O22" s="154"/>
      <c r="P22" s="154">
        <f t="shared" si="7"/>
        <v>1828.164</v>
      </c>
      <c r="Q22" s="154">
        <v>10000</v>
      </c>
      <c r="R22" s="154"/>
      <c r="S22" s="152">
        <f t="shared" si="8"/>
        <v>177236.397</v>
      </c>
      <c r="T22" s="152">
        <v>10000</v>
      </c>
      <c r="U22" s="152"/>
      <c r="V22" s="152">
        <v>3369.51</v>
      </c>
      <c r="W22" s="152">
        <f t="shared" si="0"/>
        <v>13369.51</v>
      </c>
      <c r="X22" s="152">
        <v>163866.89000000001</v>
      </c>
      <c r="Y22" s="152">
        <f t="shared" si="1"/>
        <v>163866.88699999999</v>
      </c>
    </row>
    <row r="23" spans="1:26" ht="19.5" customHeight="1" x14ac:dyDescent="0.3">
      <c r="A23" s="86">
        <v>15</v>
      </c>
      <c r="B23" s="191" t="s">
        <v>138</v>
      </c>
      <c r="C23" s="191"/>
      <c r="D23" s="36" t="s">
        <v>139</v>
      </c>
      <c r="E23" s="153" t="s">
        <v>184</v>
      </c>
      <c r="F23" s="154">
        <v>23074.99</v>
      </c>
      <c r="G23" s="154"/>
      <c r="H23" s="154">
        <f t="shared" si="2"/>
        <v>69224.97</v>
      </c>
      <c r="I23" s="154">
        <f t="shared" si="3"/>
        <v>1730.6242500000001</v>
      </c>
      <c r="J23" s="154">
        <v>0</v>
      </c>
      <c r="K23" s="154">
        <f t="shared" ref="K23:K27" si="9">F23*50%</f>
        <v>11537.495000000001</v>
      </c>
      <c r="L23" s="152">
        <f t="shared" si="5"/>
        <v>80762.465000000011</v>
      </c>
      <c r="M23" s="154">
        <v>0</v>
      </c>
      <c r="N23" s="154">
        <f t="shared" si="6"/>
        <v>23074.99</v>
      </c>
      <c r="O23" s="154">
        <v>0</v>
      </c>
      <c r="P23" s="154">
        <f t="shared" si="7"/>
        <v>2307.4990000000003</v>
      </c>
      <c r="Q23" s="154">
        <v>15000</v>
      </c>
      <c r="R23" s="154">
        <v>0</v>
      </c>
      <c r="S23" s="152">
        <f t="shared" si="8"/>
        <v>226713.03325000001</v>
      </c>
      <c r="T23" s="152">
        <v>50000</v>
      </c>
      <c r="U23" s="152">
        <v>42000</v>
      </c>
      <c r="V23" s="154">
        <v>3369.51</v>
      </c>
      <c r="W23" s="152">
        <f t="shared" si="0"/>
        <v>95369.51</v>
      </c>
      <c r="X23" s="152">
        <v>131343.51999999999</v>
      </c>
      <c r="Y23" s="152">
        <f t="shared" si="1"/>
        <v>131343.52325000003</v>
      </c>
      <c r="Z23" s="138"/>
    </row>
    <row r="24" spans="1:26" ht="20.100000000000001" customHeight="1" x14ac:dyDescent="0.3">
      <c r="A24" s="86">
        <v>16</v>
      </c>
      <c r="B24" s="194" t="s">
        <v>188</v>
      </c>
      <c r="C24" s="194"/>
      <c r="D24" s="36" t="s">
        <v>189</v>
      </c>
      <c r="E24" s="153" t="s">
        <v>165</v>
      </c>
      <c r="F24" s="154">
        <v>17286.330000000002</v>
      </c>
      <c r="G24" s="154"/>
      <c r="H24" s="154">
        <f t="shared" si="2"/>
        <v>51858.990000000005</v>
      </c>
      <c r="I24" s="154">
        <f t="shared" si="3"/>
        <v>1296.4747500000001</v>
      </c>
      <c r="J24" s="154">
        <v>0</v>
      </c>
      <c r="K24" s="154">
        <f t="shared" si="9"/>
        <v>8643.1650000000009</v>
      </c>
      <c r="L24" s="152">
        <f t="shared" si="5"/>
        <v>60502.155000000006</v>
      </c>
      <c r="M24" s="154">
        <v>0</v>
      </c>
      <c r="N24" s="154">
        <f t="shared" si="6"/>
        <v>17286.330000000002</v>
      </c>
      <c r="O24" s="154">
        <v>0</v>
      </c>
      <c r="P24" s="154">
        <f t="shared" si="7"/>
        <v>1728.6330000000003</v>
      </c>
      <c r="Q24" s="154">
        <v>10000</v>
      </c>
      <c r="R24" s="154">
        <v>0</v>
      </c>
      <c r="S24" s="152">
        <f t="shared" si="8"/>
        <v>168602.07775000003</v>
      </c>
      <c r="T24" s="152"/>
      <c r="U24" s="152">
        <f>24917</f>
        <v>24917</v>
      </c>
      <c r="V24" s="154">
        <v>1484.37</v>
      </c>
      <c r="W24" s="152">
        <f t="shared" si="0"/>
        <v>26401.37</v>
      </c>
      <c r="X24" s="152">
        <v>167117.71</v>
      </c>
      <c r="Y24" s="152">
        <f t="shared" si="1"/>
        <v>142200.70775000003</v>
      </c>
    </row>
    <row r="25" spans="1:26" ht="20.100000000000001" customHeight="1" x14ac:dyDescent="0.3">
      <c r="A25" s="86">
        <v>17</v>
      </c>
      <c r="B25" s="191" t="s">
        <v>26</v>
      </c>
      <c r="C25" s="191"/>
      <c r="D25" s="36" t="s">
        <v>389</v>
      </c>
      <c r="E25" s="153" t="s">
        <v>374</v>
      </c>
      <c r="F25" s="154">
        <v>18281.64</v>
      </c>
      <c r="G25" s="154"/>
      <c r="H25" s="154">
        <f t="shared" si="2"/>
        <v>54844.92</v>
      </c>
      <c r="I25" s="154">
        <f t="shared" si="3"/>
        <v>1371.1229999999998</v>
      </c>
      <c r="J25" s="152">
        <v>0</v>
      </c>
      <c r="K25" s="154">
        <f t="shared" si="9"/>
        <v>9140.82</v>
      </c>
      <c r="L25" s="152">
        <f t="shared" si="5"/>
        <v>63985.74</v>
      </c>
      <c r="M25" s="154">
        <v>0</v>
      </c>
      <c r="N25" s="154">
        <f t="shared" si="6"/>
        <v>18281.64</v>
      </c>
      <c r="O25" s="154">
        <v>0</v>
      </c>
      <c r="P25" s="154">
        <f t="shared" si="7"/>
        <v>1828.164</v>
      </c>
      <c r="Q25" s="154">
        <v>10000</v>
      </c>
      <c r="R25" s="154">
        <v>0</v>
      </c>
      <c r="S25" s="152">
        <f t="shared" si="8"/>
        <v>177734.04699999996</v>
      </c>
      <c r="T25" s="152">
        <f>5000</f>
        <v>5000</v>
      </c>
      <c r="U25" s="152"/>
      <c r="V25" s="154">
        <v>3369.51</v>
      </c>
      <c r="W25" s="152">
        <f t="shared" si="0"/>
        <v>8369.51</v>
      </c>
      <c r="X25" s="152">
        <v>169364.54</v>
      </c>
      <c r="Y25" s="152">
        <f t="shared" si="1"/>
        <v>169364.53699999995</v>
      </c>
    </row>
    <row r="26" spans="1:26" ht="20.100000000000001" customHeight="1" x14ac:dyDescent="0.3">
      <c r="A26" s="86">
        <v>18</v>
      </c>
      <c r="B26" s="191" t="s">
        <v>197</v>
      </c>
      <c r="C26" s="191"/>
      <c r="D26" s="36" t="s">
        <v>198</v>
      </c>
      <c r="E26" s="153" t="s">
        <v>165</v>
      </c>
      <c r="F26" s="154">
        <v>17286.330000000002</v>
      </c>
      <c r="G26" s="154"/>
      <c r="H26" s="154">
        <f t="shared" si="2"/>
        <v>51858.990000000005</v>
      </c>
      <c r="I26" s="154">
        <f t="shared" si="3"/>
        <v>1296.4747500000001</v>
      </c>
      <c r="J26" s="152">
        <v>0</v>
      </c>
      <c r="K26" s="154">
        <f t="shared" si="9"/>
        <v>8643.1650000000009</v>
      </c>
      <c r="L26" s="152">
        <f t="shared" si="5"/>
        <v>60502.155000000006</v>
      </c>
      <c r="M26" s="154">
        <v>0</v>
      </c>
      <c r="N26" s="154">
        <f t="shared" si="6"/>
        <v>17286.330000000002</v>
      </c>
      <c r="O26" s="154">
        <v>0</v>
      </c>
      <c r="P26" s="154">
        <f t="shared" si="7"/>
        <v>1728.6330000000003</v>
      </c>
      <c r="Q26" s="154">
        <v>10000</v>
      </c>
      <c r="R26" s="154">
        <v>0</v>
      </c>
      <c r="S26" s="152">
        <f t="shared" si="8"/>
        <v>168602.07775000003</v>
      </c>
      <c r="T26" s="152">
        <v>30000</v>
      </c>
      <c r="U26" s="152"/>
      <c r="V26" s="154">
        <v>1484.37</v>
      </c>
      <c r="W26" s="152">
        <f t="shared" si="0"/>
        <v>31484.37</v>
      </c>
      <c r="X26" s="156">
        <v>137117.71</v>
      </c>
      <c r="Y26" s="152">
        <f t="shared" si="1"/>
        <v>137117.70775000003</v>
      </c>
    </row>
    <row r="27" spans="1:26" ht="18.75" customHeight="1" x14ac:dyDescent="0.3">
      <c r="A27" s="86">
        <v>19</v>
      </c>
      <c r="B27" s="191" t="s">
        <v>321</v>
      </c>
      <c r="C27" s="191"/>
      <c r="D27" s="36" t="s">
        <v>322</v>
      </c>
      <c r="E27" s="153" t="s">
        <v>165</v>
      </c>
      <c r="F27" s="154">
        <v>17286.330000000002</v>
      </c>
      <c r="G27" s="154"/>
      <c r="H27" s="154">
        <f t="shared" si="2"/>
        <v>51858.990000000005</v>
      </c>
      <c r="I27" s="154">
        <f t="shared" si="3"/>
        <v>1296.4747500000001</v>
      </c>
      <c r="J27" s="152"/>
      <c r="K27" s="154">
        <f t="shared" si="9"/>
        <v>8643.1650000000009</v>
      </c>
      <c r="L27" s="152">
        <f t="shared" si="5"/>
        <v>60502.155000000006</v>
      </c>
      <c r="M27" s="154"/>
      <c r="N27" s="154">
        <f t="shared" si="6"/>
        <v>17286.330000000002</v>
      </c>
      <c r="O27" s="154"/>
      <c r="P27" s="154">
        <f t="shared" si="7"/>
        <v>1728.6330000000003</v>
      </c>
      <c r="Q27" s="154">
        <v>10000</v>
      </c>
      <c r="R27" s="154"/>
      <c r="S27" s="152">
        <f t="shared" si="8"/>
        <v>168602.07775000003</v>
      </c>
      <c r="T27" s="152"/>
      <c r="U27" s="152"/>
      <c r="V27" s="154">
        <v>1484.37</v>
      </c>
      <c r="W27" s="152">
        <f t="shared" si="0"/>
        <v>1484.37</v>
      </c>
      <c r="X27" s="156">
        <v>167117.71</v>
      </c>
      <c r="Y27" s="152">
        <f t="shared" si="1"/>
        <v>167117.70775000003</v>
      </c>
    </row>
    <row r="28" spans="1:26" ht="19.5" customHeight="1" x14ac:dyDescent="0.3">
      <c r="A28" s="86">
        <v>20</v>
      </c>
      <c r="B28" s="202" t="s">
        <v>424</v>
      </c>
      <c r="C28" s="203"/>
      <c r="D28" s="37" t="s">
        <v>451</v>
      </c>
      <c r="E28" s="86"/>
      <c r="F28" s="152">
        <v>101161.25</v>
      </c>
      <c r="G28" s="157"/>
      <c r="H28" s="157">
        <v>0</v>
      </c>
      <c r="I28" s="157">
        <v>0</v>
      </c>
      <c r="J28" s="157">
        <v>0</v>
      </c>
      <c r="K28" s="157">
        <v>0</v>
      </c>
      <c r="L28" s="157">
        <v>0</v>
      </c>
      <c r="M28" s="157">
        <v>0</v>
      </c>
      <c r="N28" s="157">
        <v>0</v>
      </c>
      <c r="O28" s="157">
        <v>0</v>
      </c>
      <c r="P28" s="157">
        <v>0</v>
      </c>
      <c r="Q28" s="157">
        <v>0</v>
      </c>
      <c r="R28" s="157">
        <v>0</v>
      </c>
      <c r="S28" s="152">
        <f t="shared" si="8"/>
        <v>101161.25</v>
      </c>
      <c r="T28" s="149"/>
      <c r="U28" s="149"/>
      <c r="V28" s="157">
        <v>0</v>
      </c>
      <c r="W28" s="152">
        <f t="shared" si="0"/>
        <v>0</v>
      </c>
      <c r="X28" s="152">
        <v>101161.25</v>
      </c>
      <c r="Y28" s="152">
        <f t="shared" si="1"/>
        <v>101161.25</v>
      </c>
    </row>
    <row r="29" spans="1:26" ht="19.5" customHeight="1" x14ac:dyDescent="0.3">
      <c r="A29" s="86">
        <v>21</v>
      </c>
      <c r="B29" s="202" t="s">
        <v>426</v>
      </c>
      <c r="C29" s="203"/>
      <c r="D29" s="37" t="s">
        <v>451</v>
      </c>
      <c r="E29" s="86"/>
      <c r="F29" s="152">
        <v>160520.62</v>
      </c>
      <c r="G29" s="149"/>
      <c r="H29" s="157">
        <v>0</v>
      </c>
      <c r="I29" s="157">
        <v>0</v>
      </c>
      <c r="J29" s="157">
        <v>0</v>
      </c>
      <c r="K29" s="157">
        <v>0</v>
      </c>
      <c r="L29" s="157">
        <v>0</v>
      </c>
      <c r="M29" s="157">
        <v>0</v>
      </c>
      <c r="N29" s="157">
        <v>0</v>
      </c>
      <c r="O29" s="157">
        <v>0</v>
      </c>
      <c r="P29" s="157">
        <v>0</v>
      </c>
      <c r="Q29" s="157">
        <v>0</v>
      </c>
      <c r="R29" s="157">
        <v>0</v>
      </c>
      <c r="S29" s="152">
        <f t="shared" si="8"/>
        <v>160520.62</v>
      </c>
      <c r="T29" s="152">
        <v>5000</v>
      </c>
      <c r="U29" s="152"/>
      <c r="V29" s="157">
        <v>0</v>
      </c>
      <c r="W29" s="152">
        <f t="shared" si="0"/>
        <v>5000</v>
      </c>
      <c r="X29" s="152">
        <v>155520.62</v>
      </c>
      <c r="Y29" s="152">
        <f t="shared" si="1"/>
        <v>155520.62</v>
      </c>
    </row>
    <row r="30" spans="1:26" ht="19.5" customHeight="1" x14ac:dyDescent="0.3">
      <c r="A30" s="86">
        <v>22</v>
      </c>
      <c r="B30" s="202" t="s">
        <v>429</v>
      </c>
      <c r="C30" s="203"/>
      <c r="D30" s="37" t="s">
        <v>451</v>
      </c>
      <c r="E30" s="86"/>
      <c r="F30" s="152">
        <v>101161.25</v>
      </c>
      <c r="G30" s="149"/>
      <c r="H30" s="152">
        <v>0</v>
      </c>
      <c r="I30" s="157">
        <v>0</v>
      </c>
      <c r="J30" s="157">
        <v>0</v>
      </c>
      <c r="K30" s="157">
        <v>0</v>
      </c>
      <c r="L30" s="157">
        <v>0</v>
      </c>
      <c r="M30" s="157">
        <v>0</v>
      </c>
      <c r="N30" s="157">
        <v>0</v>
      </c>
      <c r="O30" s="157">
        <v>0</v>
      </c>
      <c r="P30" s="157">
        <v>0</v>
      </c>
      <c r="Q30" s="157">
        <v>0</v>
      </c>
      <c r="R30" s="157">
        <v>0</v>
      </c>
      <c r="S30" s="152">
        <f t="shared" si="8"/>
        <v>101161.25</v>
      </c>
      <c r="T30" s="149"/>
      <c r="U30" s="149"/>
      <c r="V30" s="157">
        <v>0</v>
      </c>
      <c r="W30" s="152">
        <f t="shared" si="0"/>
        <v>0</v>
      </c>
      <c r="X30" s="152">
        <v>101161.25</v>
      </c>
      <c r="Y30" s="152">
        <f t="shared" si="1"/>
        <v>101161.25</v>
      </c>
    </row>
    <row r="31" spans="1:26" ht="19.5" customHeight="1" x14ac:dyDescent="0.3">
      <c r="A31" s="86">
        <v>23</v>
      </c>
      <c r="B31" s="202" t="s">
        <v>430</v>
      </c>
      <c r="C31" s="203"/>
      <c r="D31" s="37" t="s">
        <v>451</v>
      </c>
      <c r="E31" s="86"/>
      <c r="F31" s="152">
        <v>101161.25</v>
      </c>
      <c r="G31" s="149"/>
      <c r="H31" s="157">
        <v>0</v>
      </c>
      <c r="I31" s="157">
        <v>0</v>
      </c>
      <c r="J31" s="157">
        <v>0</v>
      </c>
      <c r="K31" s="157">
        <v>0</v>
      </c>
      <c r="L31" s="157">
        <v>0</v>
      </c>
      <c r="M31" s="157">
        <v>0</v>
      </c>
      <c r="N31" s="157">
        <v>0</v>
      </c>
      <c r="O31" s="157">
        <v>0</v>
      </c>
      <c r="P31" s="157">
        <v>0</v>
      </c>
      <c r="Q31" s="157">
        <v>0</v>
      </c>
      <c r="R31" s="157">
        <v>0</v>
      </c>
      <c r="S31" s="152">
        <f t="shared" si="8"/>
        <v>101161.25</v>
      </c>
      <c r="T31" s="149"/>
      <c r="U31" s="149"/>
      <c r="V31" s="157">
        <v>0</v>
      </c>
      <c r="W31" s="152">
        <f t="shared" si="0"/>
        <v>0</v>
      </c>
      <c r="X31" s="152">
        <v>101161.25</v>
      </c>
      <c r="Y31" s="152">
        <f t="shared" si="1"/>
        <v>101161.25</v>
      </c>
    </row>
    <row r="32" spans="1:26" ht="19.5" customHeight="1" x14ac:dyDescent="0.3">
      <c r="A32" s="86">
        <v>24</v>
      </c>
      <c r="B32" s="202" t="s">
        <v>432</v>
      </c>
      <c r="C32" s="203"/>
      <c r="D32" s="37" t="s">
        <v>451</v>
      </c>
      <c r="E32" s="86"/>
      <c r="F32" s="152">
        <v>114649.42</v>
      </c>
      <c r="G32" s="149"/>
      <c r="H32" s="157">
        <v>0</v>
      </c>
      <c r="I32" s="157">
        <v>0</v>
      </c>
      <c r="J32" s="157">
        <v>0</v>
      </c>
      <c r="K32" s="157">
        <v>0</v>
      </c>
      <c r="L32" s="157">
        <v>0</v>
      </c>
      <c r="M32" s="157">
        <v>0</v>
      </c>
      <c r="N32" s="157">
        <v>0</v>
      </c>
      <c r="O32" s="157">
        <v>0</v>
      </c>
      <c r="P32" s="157">
        <v>0</v>
      </c>
      <c r="Q32" s="157">
        <v>0</v>
      </c>
      <c r="R32" s="157">
        <v>0</v>
      </c>
      <c r="S32" s="152">
        <f t="shared" si="8"/>
        <v>114649.42</v>
      </c>
      <c r="T32" s="152">
        <v>10000</v>
      </c>
      <c r="U32" s="152"/>
      <c r="V32" s="157">
        <v>0</v>
      </c>
      <c r="W32" s="152">
        <f t="shared" si="0"/>
        <v>10000</v>
      </c>
      <c r="X32" s="152">
        <v>104649.42</v>
      </c>
      <c r="Y32" s="152">
        <f t="shared" si="1"/>
        <v>104649.42</v>
      </c>
    </row>
    <row r="33" spans="1:26" ht="19.5" customHeight="1" x14ac:dyDescent="0.3">
      <c r="A33" s="86"/>
      <c r="B33" s="37"/>
      <c r="C33" s="39" t="s">
        <v>20</v>
      </c>
      <c r="D33" s="34">
        <v>24</v>
      </c>
      <c r="E33" s="86"/>
      <c r="F33" s="149">
        <f t="shared" ref="F33:Y33" si="10">SUM(F9:F32)</f>
        <v>1101933.0900000001</v>
      </c>
      <c r="G33" s="157">
        <f t="shared" si="10"/>
        <v>0</v>
      </c>
      <c r="H33" s="149">
        <f t="shared" si="10"/>
        <v>1409349.1499999997</v>
      </c>
      <c r="I33" s="149">
        <f t="shared" si="10"/>
        <v>75355.921249999985</v>
      </c>
      <c r="J33" s="149">
        <f t="shared" si="10"/>
        <v>280855.33</v>
      </c>
      <c r="K33" s="149">
        <f t="shared" si="10"/>
        <v>253117.56500000006</v>
      </c>
      <c r="L33" s="149">
        <f t="shared" si="10"/>
        <v>1751233.175</v>
      </c>
      <c r="M33" s="149">
        <f t="shared" si="10"/>
        <v>40122.19</v>
      </c>
      <c r="N33" s="149">
        <f t="shared" si="10"/>
        <v>483157.12000000011</v>
      </c>
      <c r="O33" s="149">
        <f t="shared" si="10"/>
        <v>200000</v>
      </c>
      <c r="P33" s="149">
        <f t="shared" si="10"/>
        <v>52327.935000000012</v>
      </c>
      <c r="Q33" s="149">
        <f t="shared" si="10"/>
        <v>240000</v>
      </c>
      <c r="R33" s="149">
        <f t="shared" si="10"/>
        <v>25235</v>
      </c>
      <c r="S33" s="149">
        <f t="shared" si="10"/>
        <v>7127376.3062500013</v>
      </c>
      <c r="T33" s="149">
        <f t="shared" si="10"/>
        <v>315000</v>
      </c>
      <c r="U33" s="149">
        <f t="shared" si="10"/>
        <v>393250</v>
      </c>
      <c r="V33" s="149">
        <f t="shared" si="10"/>
        <v>278583.21999999997</v>
      </c>
      <c r="W33" s="149">
        <f t="shared" si="10"/>
        <v>986833.22000000009</v>
      </c>
      <c r="X33" s="149">
        <f t="shared" si="10"/>
        <v>5974704.4199999981</v>
      </c>
      <c r="Y33" s="149">
        <f t="shared" si="10"/>
        <v>6140543.0862499988</v>
      </c>
    </row>
    <row r="34" spans="1:26" ht="20.100000000000001" customHeight="1" x14ac:dyDescent="0.3">
      <c r="A34" s="37"/>
      <c r="B34" s="210"/>
      <c r="C34" s="210"/>
      <c r="D34" s="37"/>
      <c r="E34" s="86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52"/>
      <c r="X34" s="152"/>
      <c r="Y34" s="152"/>
      <c r="Z34" s="138"/>
    </row>
    <row r="35" spans="1:26" ht="20.100000000000001" customHeight="1" x14ac:dyDescent="0.3">
      <c r="A35" s="37"/>
      <c r="B35" s="205" t="s">
        <v>94</v>
      </c>
      <c r="C35" s="205"/>
      <c r="D35" s="40"/>
      <c r="E35" s="150"/>
      <c r="F35" s="149"/>
      <c r="G35" s="149"/>
      <c r="H35" s="149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8"/>
      <c r="T35" s="158"/>
      <c r="U35" s="158"/>
      <c r="V35" s="158"/>
      <c r="W35" s="152"/>
      <c r="X35" s="152"/>
      <c r="Y35" s="152"/>
    </row>
    <row r="36" spans="1:26" ht="19.899999999999999" customHeight="1" x14ac:dyDescent="0.3">
      <c r="A36" s="86">
        <v>1</v>
      </c>
      <c r="B36" s="191" t="s">
        <v>12</v>
      </c>
      <c r="C36" s="191"/>
      <c r="D36" s="36" t="s">
        <v>225</v>
      </c>
      <c r="E36" s="153" t="s">
        <v>370</v>
      </c>
      <c r="F36" s="154">
        <f>F46</f>
        <v>42653.17</v>
      </c>
      <c r="G36" s="154"/>
      <c r="H36" s="154">
        <f>F36*300%</f>
        <v>127959.51</v>
      </c>
      <c r="I36" s="154">
        <f>F36*7.5%</f>
        <v>3198.9877499999998</v>
      </c>
      <c r="J36" s="154">
        <v>40122.19</v>
      </c>
      <c r="K36" s="154">
        <f>F36*50%</f>
        <v>21326.584999999999</v>
      </c>
      <c r="L36" s="154">
        <f>F36*350%</f>
        <v>149286.095</v>
      </c>
      <c r="M36" s="154">
        <v>0</v>
      </c>
      <c r="N36" s="154">
        <f>F36*100%</f>
        <v>42653.17</v>
      </c>
      <c r="O36" s="154">
        <v>100000</v>
      </c>
      <c r="P36" s="154">
        <f>F36*10%</f>
        <v>4265.317</v>
      </c>
      <c r="Q36" s="154">
        <v>20000</v>
      </c>
      <c r="R36" s="154">
        <v>0</v>
      </c>
      <c r="S36" s="152">
        <f t="shared" ref="S36:S41" si="11">SUM(F36:R36)</f>
        <v>551465.0247500001</v>
      </c>
      <c r="T36" s="152"/>
      <c r="U36" s="152"/>
      <c r="V36" s="154">
        <v>21618.09</v>
      </c>
      <c r="W36" s="152">
        <f>V36+U36+T36</f>
        <v>21618.09</v>
      </c>
      <c r="X36" s="152">
        <v>529846.93000000005</v>
      </c>
      <c r="Y36" s="152">
        <f t="shared" ref="Y36:Y41" si="12">S36-W36</f>
        <v>529846.93475000013</v>
      </c>
    </row>
    <row r="37" spans="1:26" ht="20.100000000000001" customHeight="1" x14ac:dyDescent="0.3">
      <c r="A37" s="86">
        <v>2</v>
      </c>
      <c r="B37" s="191" t="s">
        <v>213</v>
      </c>
      <c r="C37" s="191"/>
      <c r="D37" s="37" t="s">
        <v>127</v>
      </c>
      <c r="E37" s="86" t="s">
        <v>486</v>
      </c>
      <c r="F37" s="154">
        <v>26339.52</v>
      </c>
      <c r="G37" s="154"/>
      <c r="H37" s="154">
        <f>F37*300%</f>
        <v>79018.559999999998</v>
      </c>
      <c r="I37" s="154">
        <f>F37*7.5%</f>
        <v>1975.4639999999999</v>
      </c>
      <c r="J37" s="154">
        <f>J61</f>
        <v>0</v>
      </c>
      <c r="K37" s="154">
        <f>F37*50%</f>
        <v>13169.76</v>
      </c>
      <c r="L37" s="154">
        <f>F37*350%</f>
        <v>92188.32</v>
      </c>
      <c r="M37" s="154">
        <v>0</v>
      </c>
      <c r="N37" s="154">
        <f>F37*100%</f>
        <v>26339.52</v>
      </c>
      <c r="O37" s="154">
        <v>100000</v>
      </c>
      <c r="P37" s="154">
        <f>F37*10%</f>
        <v>2633.9520000000002</v>
      </c>
      <c r="Q37" s="154">
        <v>15000</v>
      </c>
      <c r="R37" s="154">
        <v>0</v>
      </c>
      <c r="S37" s="152">
        <f t="shared" si="11"/>
        <v>356665.09599999996</v>
      </c>
      <c r="T37" s="152">
        <f>7000</f>
        <v>7000</v>
      </c>
      <c r="U37" s="152"/>
      <c r="V37" s="154">
        <v>7709.76</v>
      </c>
      <c r="W37" s="152">
        <f t="shared" ref="W37:W41" si="13">V37+U37+T37</f>
        <v>14709.76</v>
      </c>
      <c r="X37" s="152">
        <v>348955.34</v>
      </c>
      <c r="Y37" s="152">
        <f t="shared" si="12"/>
        <v>341955.33599999995</v>
      </c>
    </row>
    <row r="38" spans="1:26" ht="20.100000000000001" customHeight="1" x14ac:dyDescent="0.3">
      <c r="A38" s="86">
        <v>3</v>
      </c>
      <c r="B38" s="191" t="s">
        <v>207</v>
      </c>
      <c r="C38" s="191"/>
      <c r="D38" s="37" t="s">
        <v>131</v>
      </c>
      <c r="E38" s="86" t="s">
        <v>80</v>
      </c>
      <c r="F38" s="154">
        <v>19276.95</v>
      </c>
      <c r="G38" s="154"/>
      <c r="H38" s="154">
        <f>F38*300%</f>
        <v>57830.850000000006</v>
      </c>
      <c r="I38" s="154">
        <f>F38*7.5%</f>
        <v>1445.77125</v>
      </c>
      <c r="J38" s="154">
        <v>0</v>
      </c>
      <c r="K38" s="154">
        <f>F38*50%</f>
        <v>9638.4750000000004</v>
      </c>
      <c r="L38" s="154">
        <f>F38*350%</f>
        <v>67469.324999999997</v>
      </c>
      <c r="M38" s="154">
        <v>0</v>
      </c>
      <c r="N38" s="154">
        <f>F38*100%</f>
        <v>19276.95</v>
      </c>
      <c r="O38" s="154">
        <v>100000</v>
      </c>
      <c r="P38" s="154">
        <f>F38*10%</f>
        <v>1927.6950000000002</v>
      </c>
      <c r="Q38" s="154">
        <v>10000</v>
      </c>
      <c r="R38" s="154">
        <v>0</v>
      </c>
      <c r="S38" s="152">
        <f t="shared" si="11"/>
        <v>286866.01625000004</v>
      </c>
      <c r="T38" s="152"/>
      <c r="U38" s="152"/>
      <c r="V38" s="154">
        <v>3369.51</v>
      </c>
      <c r="W38" s="152">
        <f t="shared" si="13"/>
        <v>3369.51</v>
      </c>
      <c r="X38" s="152">
        <v>283496.51</v>
      </c>
      <c r="Y38" s="152">
        <f t="shared" si="12"/>
        <v>283496.50625000003</v>
      </c>
    </row>
    <row r="39" spans="1:26" ht="20.100000000000001" customHeight="1" x14ac:dyDescent="0.3">
      <c r="A39" s="86">
        <v>4</v>
      </c>
      <c r="B39" s="187" t="s">
        <v>280</v>
      </c>
      <c r="C39" s="188"/>
      <c r="D39" s="37" t="s">
        <v>131</v>
      </c>
      <c r="E39" s="86" t="s">
        <v>80</v>
      </c>
      <c r="F39" s="154">
        <v>19276.95</v>
      </c>
      <c r="G39" s="154"/>
      <c r="H39" s="154">
        <f>F39*300%</f>
        <v>57830.850000000006</v>
      </c>
      <c r="I39" s="154">
        <f>F39*7.5%</f>
        <v>1445.77125</v>
      </c>
      <c r="J39" s="154">
        <v>0</v>
      </c>
      <c r="K39" s="154">
        <f>F39*50%</f>
        <v>9638.4750000000004</v>
      </c>
      <c r="L39" s="154">
        <f>F39*350%</f>
        <v>67469.324999999997</v>
      </c>
      <c r="M39" s="154">
        <v>0</v>
      </c>
      <c r="N39" s="154">
        <f>F39*100%</f>
        <v>19276.95</v>
      </c>
      <c r="O39" s="154">
        <v>100000</v>
      </c>
      <c r="P39" s="154">
        <f>F39*10%</f>
        <v>1927.6950000000002</v>
      </c>
      <c r="Q39" s="154">
        <v>10000</v>
      </c>
      <c r="R39" s="154">
        <v>0</v>
      </c>
      <c r="S39" s="152">
        <f t="shared" si="11"/>
        <v>286866.01625000004</v>
      </c>
      <c r="T39" s="152"/>
      <c r="U39" s="152"/>
      <c r="V39" s="154">
        <v>3369.51</v>
      </c>
      <c r="W39" s="152">
        <f t="shared" si="13"/>
        <v>3369.51</v>
      </c>
      <c r="X39" s="152">
        <v>283496.51</v>
      </c>
      <c r="Y39" s="152">
        <f t="shared" si="12"/>
        <v>283496.50625000003</v>
      </c>
    </row>
    <row r="40" spans="1:26" ht="20.100000000000001" customHeight="1" x14ac:dyDescent="0.3">
      <c r="A40" s="86">
        <v>5</v>
      </c>
      <c r="B40" s="191" t="s">
        <v>205</v>
      </c>
      <c r="C40" s="191"/>
      <c r="D40" s="37" t="s">
        <v>131</v>
      </c>
      <c r="E40" s="86" t="s">
        <v>374</v>
      </c>
      <c r="F40" s="154">
        <v>18281.64</v>
      </c>
      <c r="G40" s="154"/>
      <c r="H40" s="154">
        <f>F40*300%</f>
        <v>54844.92</v>
      </c>
      <c r="I40" s="154">
        <f>F40*7.5%</f>
        <v>1371.1229999999998</v>
      </c>
      <c r="J40" s="154">
        <f>J25</f>
        <v>0</v>
      </c>
      <c r="K40" s="154">
        <f>F40*50%</f>
        <v>9140.82</v>
      </c>
      <c r="L40" s="154">
        <f>F40*350%</f>
        <v>63985.74</v>
      </c>
      <c r="M40" s="154">
        <v>0</v>
      </c>
      <c r="N40" s="154">
        <f>F40*100%</f>
        <v>18281.64</v>
      </c>
      <c r="O40" s="154">
        <v>100000</v>
      </c>
      <c r="P40" s="154">
        <f>F40*10%</f>
        <v>1828.164</v>
      </c>
      <c r="Q40" s="154">
        <v>10000</v>
      </c>
      <c r="R40" s="154">
        <v>0</v>
      </c>
      <c r="S40" s="152">
        <f t="shared" si="11"/>
        <v>277734.04699999996</v>
      </c>
      <c r="T40" s="152">
        <v>0</v>
      </c>
      <c r="U40" s="152"/>
      <c r="V40" s="154">
        <v>3369.51</v>
      </c>
      <c r="W40" s="152">
        <f t="shared" si="13"/>
        <v>3369.51</v>
      </c>
      <c r="X40" s="152">
        <v>274364.53999999998</v>
      </c>
      <c r="Y40" s="152">
        <f t="shared" si="12"/>
        <v>274364.53699999995</v>
      </c>
    </row>
    <row r="41" spans="1:26" ht="20.100000000000001" customHeight="1" x14ac:dyDescent="0.3">
      <c r="A41" s="86">
        <v>6</v>
      </c>
      <c r="B41" s="202" t="s">
        <v>431</v>
      </c>
      <c r="C41" s="203"/>
      <c r="D41" s="37" t="s">
        <v>451</v>
      </c>
      <c r="E41" s="86"/>
      <c r="F41" s="152">
        <v>125161.25</v>
      </c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2">
        <f t="shared" si="11"/>
        <v>125161.25</v>
      </c>
      <c r="T41" s="152"/>
      <c r="U41" s="152"/>
      <c r="V41" s="154"/>
      <c r="W41" s="152">
        <f t="shared" si="13"/>
        <v>0</v>
      </c>
      <c r="X41" s="152">
        <v>125161.25</v>
      </c>
      <c r="Y41" s="152">
        <f t="shared" si="12"/>
        <v>125161.25</v>
      </c>
    </row>
    <row r="42" spans="1:26" ht="20.100000000000001" customHeight="1" x14ac:dyDescent="0.3">
      <c r="A42" s="37"/>
      <c r="B42" s="193" t="s">
        <v>20</v>
      </c>
      <c r="C42" s="193"/>
      <c r="D42" s="34">
        <v>6</v>
      </c>
      <c r="E42" s="34"/>
      <c r="F42" s="159">
        <f t="shared" ref="F42:T42" si="14">SUM(F36:F41)</f>
        <v>250989.47999999998</v>
      </c>
      <c r="G42" s="159">
        <f t="shared" si="14"/>
        <v>0</v>
      </c>
      <c r="H42" s="159">
        <f t="shared" si="14"/>
        <v>377484.69</v>
      </c>
      <c r="I42" s="159">
        <f t="shared" si="14"/>
        <v>9437.1172499999993</v>
      </c>
      <c r="J42" s="159">
        <f t="shared" si="14"/>
        <v>40122.19</v>
      </c>
      <c r="K42" s="159">
        <f t="shared" si="14"/>
        <v>62914.114999999998</v>
      </c>
      <c r="L42" s="159">
        <f t="shared" si="14"/>
        <v>440398.80499999999</v>
      </c>
      <c r="M42" s="159">
        <f t="shared" si="14"/>
        <v>0</v>
      </c>
      <c r="N42" s="159">
        <f t="shared" si="14"/>
        <v>125828.23</v>
      </c>
      <c r="O42" s="159">
        <f t="shared" si="14"/>
        <v>500000</v>
      </c>
      <c r="P42" s="159">
        <f t="shared" si="14"/>
        <v>12582.823</v>
      </c>
      <c r="Q42" s="159">
        <f t="shared" si="14"/>
        <v>65000</v>
      </c>
      <c r="R42" s="159">
        <f t="shared" si="14"/>
        <v>0</v>
      </c>
      <c r="S42" s="159">
        <f t="shared" si="14"/>
        <v>1884757.4502500002</v>
      </c>
      <c r="T42" s="159">
        <f t="shared" si="14"/>
        <v>7000</v>
      </c>
      <c r="U42" s="159"/>
      <c r="V42" s="159">
        <f>SUM(V36:V41)</f>
        <v>39436.380000000005</v>
      </c>
      <c r="W42" s="159">
        <f>SUM(W36:W41)</f>
        <v>46436.380000000005</v>
      </c>
      <c r="X42" s="159">
        <f>SUM(X36:X41)</f>
        <v>1845321.08</v>
      </c>
      <c r="Y42" s="159">
        <f>SUM(Y36:Y41)</f>
        <v>1838321.0702500003</v>
      </c>
      <c r="Z42" s="138"/>
    </row>
    <row r="43" spans="1:26" ht="20.100000000000001" customHeight="1" x14ac:dyDescent="0.3">
      <c r="A43" s="37"/>
      <c r="B43" s="195"/>
      <c r="C43" s="195"/>
      <c r="D43" s="34"/>
      <c r="E43" s="34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7"/>
      <c r="T43" s="157"/>
      <c r="U43" s="157"/>
      <c r="V43" s="159"/>
      <c r="W43" s="152">
        <f>SUM(T43:V43)*0.075</f>
        <v>0</v>
      </c>
      <c r="X43" s="152"/>
      <c r="Y43" s="152"/>
      <c r="Z43" s="138"/>
    </row>
    <row r="44" spans="1:26" ht="20.100000000000001" customHeight="1" x14ac:dyDescent="0.3">
      <c r="A44" s="37"/>
      <c r="B44" s="196" t="s">
        <v>95</v>
      </c>
      <c r="C44" s="197"/>
      <c r="D44" s="42"/>
      <c r="E44" s="34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7"/>
      <c r="T44" s="157"/>
      <c r="U44" s="157"/>
      <c r="V44" s="159"/>
      <c r="W44" s="152">
        <f>SUM(T44:V44)*0.075</f>
        <v>0</v>
      </c>
      <c r="X44" s="152"/>
      <c r="Y44" s="152"/>
    </row>
    <row r="45" spans="1:26" ht="20.100000000000001" customHeight="1" x14ac:dyDescent="0.3">
      <c r="A45" s="86">
        <v>1</v>
      </c>
      <c r="B45" s="191" t="s">
        <v>356</v>
      </c>
      <c r="C45" s="191"/>
      <c r="D45" s="36" t="s">
        <v>273</v>
      </c>
      <c r="E45" s="153" t="s">
        <v>151</v>
      </c>
      <c r="F45" s="154">
        <v>76339.3</v>
      </c>
      <c r="G45" s="154"/>
      <c r="H45" s="154">
        <f>F45*300%</f>
        <v>229017.90000000002</v>
      </c>
      <c r="I45" s="154">
        <f>F45*7.5%</f>
        <v>5725.4475000000002</v>
      </c>
      <c r="J45" s="154">
        <v>80244.38</v>
      </c>
      <c r="K45" s="154">
        <f>F45*50%</f>
        <v>38169.65</v>
      </c>
      <c r="L45" s="154">
        <f>F45*350%</f>
        <v>267187.55</v>
      </c>
      <c r="M45" s="154">
        <v>0</v>
      </c>
      <c r="N45" s="154">
        <f>F45*100%</f>
        <v>76339.3</v>
      </c>
      <c r="O45" s="154">
        <v>100000</v>
      </c>
      <c r="P45" s="154">
        <f>F45*10%</f>
        <v>7633.93</v>
      </c>
      <c r="Q45" s="154">
        <v>20000</v>
      </c>
      <c r="R45" s="154">
        <v>0</v>
      </c>
      <c r="S45" s="152">
        <f>SUM(F45:R45)</f>
        <v>900657.45750000014</v>
      </c>
      <c r="T45" s="152">
        <v>100000</v>
      </c>
      <c r="U45" s="152"/>
      <c r="V45" s="154">
        <v>52776.63</v>
      </c>
      <c r="W45" s="152">
        <f>V45+T45+U45</f>
        <v>152776.63</v>
      </c>
      <c r="X45" s="152">
        <v>747880.83</v>
      </c>
      <c r="Y45" s="152">
        <f>S45-W45</f>
        <v>747880.82750000013</v>
      </c>
    </row>
    <row r="46" spans="1:26" ht="20.100000000000001" customHeight="1" x14ac:dyDescent="0.3">
      <c r="A46" s="86">
        <v>2</v>
      </c>
      <c r="B46" s="191" t="s">
        <v>31</v>
      </c>
      <c r="C46" s="191"/>
      <c r="D46" s="37" t="s">
        <v>96</v>
      </c>
      <c r="E46" s="86" t="s">
        <v>370</v>
      </c>
      <c r="F46" s="154">
        <f>F73</f>
        <v>42653.17</v>
      </c>
      <c r="G46" s="154"/>
      <c r="H46" s="154">
        <f>F46*300%</f>
        <v>127959.51</v>
      </c>
      <c r="I46" s="154">
        <f>F46*7.5%</f>
        <v>3198.9877499999998</v>
      </c>
      <c r="J46" s="154">
        <v>40122.19</v>
      </c>
      <c r="K46" s="154">
        <f>F46*50%</f>
        <v>21326.584999999999</v>
      </c>
      <c r="L46" s="154">
        <f>F46*350%</f>
        <v>149286.095</v>
      </c>
      <c r="M46" s="154">
        <v>0</v>
      </c>
      <c r="N46" s="154">
        <f>F46*100%</f>
        <v>42653.17</v>
      </c>
      <c r="O46" s="154">
        <v>100000</v>
      </c>
      <c r="P46" s="154">
        <f>F46*10%</f>
        <v>4265.317</v>
      </c>
      <c r="Q46" s="154">
        <v>20000</v>
      </c>
      <c r="R46" s="154">
        <v>100000</v>
      </c>
      <c r="S46" s="152">
        <f>SUM(F46:R46)</f>
        <v>651465.0247500001</v>
      </c>
      <c r="T46" s="152">
        <v>100000</v>
      </c>
      <c r="U46" s="152"/>
      <c r="V46" s="154">
        <v>21618.09</v>
      </c>
      <c r="W46" s="152">
        <f t="shared" ref="W46:W68" si="15">V46+T46+U46</f>
        <v>121618.09</v>
      </c>
      <c r="X46" s="152">
        <v>529846.93000000005</v>
      </c>
      <c r="Y46" s="152">
        <f t="shared" ref="Y46:Y68" si="16">S46-W46</f>
        <v>529846.93475000013</v>
      </c>
    </row>
    <row r="47" spans="1:26" ht="20.100000000000001" customHeight="1" x14ac:dyDescent="0.3">
      <c r="A47" s="86">
        <v>3</v>
      </c>
      <c r="B47" s="191" t="s">
        <v>216</v>
      </c>
      <c r="C47" s="191"/>
      <c r="D47" s="37" t="s">
        <v>226</v>
      </c>
      <c r="E47" s="86" t="s">
        <v>119</v>
      </c>
      <c r="F47" s="154">
        <v>33507.5</v>
      </c>
      <c r="G47" s="154"/>
      <c r="H47" s="154">
        <f>F47*300%</f>
        <v>100522.5</v>
      </c>
      <c r="I47" s="154">
        <f>F47*7.5%</f>
        <v>2513.0625</v>
      </c>
      <c r="J47" s="154">
        <v>40122.19</v>
      </c>
      <c r="K47" s="154">
        <f>F47*50%</f>
        <v>16753.75</v>
      </c>
      <c r="L47" s="154">
        <f>F47*350%</f>
        <v>117276.25</v>
      </c>
      <c r="M47" s="154">
        <v>0</v>
      </c>
      <c r="N47" s="154">
        <f>F47*100%</f>
        <v>33507.5</v>
      </c>
      <c r="O47" s="154">
        <f>100000</f>
        <v>100000</v>
      </c>
      <c r="P47" s="154">
        <f>F47*10%</f>
        <v>3350.75</v>
      </c>
      <c r="Q47" s="154">
        <v>20000</v>
      </c>
      <c r="R47" s="154">
        <v>0</v>
      </c>
      <c r="S47" s="152">
        <f>226002.54+7775.09</f>
        <v>233777.63</v>
      </c>
      <c r="T47" s="152"/>
      <c r="U47" s="152"/>
      <c r="V47" s="154">
        <f>15548.33/2</f>
        <v>7774.165</v>
      </c>
      <c r="W47" s="152">
        <f t="shared" si="15"/>
        <v>7774.165</v>
      </c>
      <c r="X47" s="152">
        <v>226002.54</v>
      </c>
      <c r="Y47" s="152">
        <f>226002.54-U47</f>
        <v>226002.54</v>
      </c>
    </row>
    <row r="48" spans="1:26" ht="20.100000000000001" customHeight="1" x14ac:dyDescent="0.3">
      <c r="A48" s="86">
        <v>4</v>
      </c>
      <c r="B48" s="189" t="s">
        <v>459</v>
      </c>
      <c r="C48" s="190"/>
      <c r="D48" s="37" t="s">
        <v>476</v>
      </c>
      <c r="E48" s="86" t="s">
        <v>50</v>
      </c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2">
        <v>444720</v>
      </c>
      <c r="T48" s="152"/>
      <c r="U48" s="152"/>
      <c r="V48" s="154">
        <v>15548.33</v>
      </c>
      <c r="W48" s="152">
        <f t="shared" si="15"/>
        <v>15548.33</v>
      </c>
      <c r="X48" s="152">
        <v>445935.41</v>
      </c>
      <c r="Y48" s="152">
        <f>S48-W48</f>
        <v>429171.67</v>
      </c>
    </row>
    <row r="49" spans="1:25" ht="20.100000000000001" customHeight="1" x14ac:dyDescent="0.3">
      <c r="A49" s="86">
        <v>5</v>
      </c>
      <c r="B49" s="202" t="s">
        <v>269</v>
      </c>
      <c r="C49" s="203"/>
      <c r="D49" s="37" t="s">
        <v>451</v>
      </c>
      <c r="E49" s="160">
        <v>0</v>
      </c>
      <c r="F49" s="152">
        <v>273682.23</v>
      </c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52">
        <f t="shared" ref="S49:S54" si="17">SUM(F49:R49)</f>
        <v>273682.23</v>
      </c>
      <c r="T49" s="162">
        <v>30000</v>
      </c>
      <c r="U49" s="162"/>
      <c r="V49" s="154">
        <v>3369.51</v>
      </c>
      <c r="W49" s="152">
        <f t="shared" si="15"/>
        <v>33369.51</v>
      </c>
      <c r="X49" s="152">
        <v>240312.72</v>
      </c>
      <c r="Y49" s="152">
        <f t="shared" si="16"/>
        <v>240312.71999999997</v>
      </c>
    </row>
    <row r="50" spans="1:25" ht="19.5" customHeight="1" x14ac:dyDescent="0.3">
      <c r="A50" s="86">
        <v>6</v>
      </c>
      <c r="B50" s="194" t="s">
        <v>187</v>
      </c>
      <c r="C50" s="194"/>
      <c r="D50" s="37" t="s">
        <v>228</v>
      </c>
      <c r="E50" s="86" t="s">
        <v>483</v>
      </c>
      <c r="F50" s="154">
        <v>28489.81</v>
      </c>
      <c r="G50" s="154"/>
      <c r="H50" s="154">
        <f>F50*300%</f>
        <v>85469.430000000008</v>
      </c>
      <c r="I50" s="154">
        <f>F50*7.5%</f>
        <v>2136.7357499999998</v>
      </c>
      <c r="J50" s="154">
        <v>0</v>
      </c>
      <c r="K50" s="154">
        <f>F50*50%</f>
        <v>14244.905000000001</v>
      </c>
      <c r="L50" s="154">
        <f>F50*350%</f>
        <v>99714.335000000006</v>
      </c>
      <c r="M50" s="154">
        <v>0</v>
      </c>
      <c r="N50" s="154">
        <f>F50*100%</f>
        <v>28489.81</v>
      </c>
      <c r="O50" s="154">
        <v>100000</v>
      </c>
      <c r="P50" s="154">
        <f>F50*10%</f>
        <v>2848.9810000000002</v>
      </c>
      <c r="Q50" s="154">
        <v>20000</v>
      </c>
      <c r="R50" s="154">
        <v>0</v>
      </c>
      <c r="S50" s="152">
        <f t="shared" si="17"/>
        <v>381394.00675000006</v>
      </c>
      <c r="T50" s="152">
        <v>40000</v>
      </c>
      <c r="U50" s="152"/>
      <c r="V50" s="154">
        <v>8998.33</v>
      </c>
      <c r="W50" s="152">
        <f t="shared" si="15"/>
        <v>48998.33</v>
      </c>
      <c r="X50" s="152">
        <v>332395.68</v>
      </c>
      <c r="Y50" s="152">
        <f t="shared" si="16"/>
        <v>332395.67675000004</v>
      </c>
    </row>
    <row r="51" spans="1:25" ht="19.5" customHeight="1" x14ac:dyDescent="0.3">
      <c r="A51" s="86">
        <v>7</v>
      </c>
      <c r="B51" s="187" t="s">
        <v>364</v>
      </c>
      <c r="C51" s="188"/>
      <c r="D51" s="37" t="s">
        <v>125</v>
      </c>
      <c r="E51" s="86" t="s">
        <v>372</v>
      </c>
      <c r="F51" s="154">
        <v>26732.66</v>
      </c>
      <c r="G51" s="154"/>
      <c r="H51" s="154">
        <f>F51*300%</f>
        <v>80197.98</v>
      </c>
      <c r="I51" s="154">
        <f>F51*7.5%</f>
        <v>2004.9494999999999</v>
      </c>
      <c r="J51" s="154"/>
      <c r="K51" s="154">
        <f>F51*50%</f>
        <v>13366.33</v>
      </c>
      <c r="L51" s="154">
        <f>F51*350%</f>
        <v>93564.31</v>
      </c>
      <c r="M51" s="154"/>
      <c r="N51" s="154">
        <f>F51*100%</f>
        <v>26732.66</v>
      </c>
      <c r="O51" s="154">
        <v>100000</v>
      </c>
      <c r="P51" s="154">
        <f>F51*10%</f>
        <v>2673.2660000000001</v>
      </c>
      <c r="Q51" s="154">
        <v>20000</v>
      </c>
      <c r="R51" s="154">
        <v>0</v>
      </c>
      <c r="S51" s="152">
        <f t="shared" si="17"/>
        <v>365272.15550000005</v>
      </c>
      <c r="T51" s="152">
        <v>50000</v>
      </c>
      <c r="U51" s="152"/>
      <c r="V51" s="154">
        <v>8998.33</v>
      </c>
      <c r="W51" s="152">
        <f t="shared" si="15"/>
        <v>58998.33</v>
      </c>
      <c r="X51" s="152">
        <v>306273.83</v>
      </c>
      <c r="Y51" s="152">
        <f t="shared" si="16"/>
        <v>306273.82550000004</v>
      </c>
    </row>
    <row r="52" spans="1:25" ht="19.5" customHeight="1" x14ac:dyDescent="0.3">
      <c r="A52" s="86">
        <v>8</v>
      </c>
      <c r="B52" s="187" t="s">
        <v>368</v>
      </c>
      <c r="C52" s="188"/>
      <c r="D52" s="37" t="s">
        <v>369</v>
      </c>
      <c r="E52" s="86" t="s">
        <v>372</v>
      </c>
      <c r="F52" s="154">
        <v>26732.66</v>
      </c>
      <c r="G52" s="154"/>
      <c r="H52" s="154">
        <f>F52*300%</f>
        <v>80197.98</v>
      </c>
      <c r="I52" s="154">
        <f>F52*7.5%</f>
        <v>2004.9494999999999</v>
      </c>
      <c r="J52" s="154"/>
      <c r="K52" s="154">
        <f>F52*50%</f>
        <v>13366.33</v>
      </c>
      <c r="L52" s="154">
        <f>F52*350%</f>
        <v>93564.31</v>
      </c>
      <c r="M52" s="154"/>
      <c r="N52" s="154">
        <f>F52*100%</f>
        <v>26732.66</v>
      </c>
      <c r="O52" s="154">
        <v>100000</v>
      </c>
      <c r="P52" s="154">
        <f>F52*10%</f>
        <v>2673.2660000000001</v>
      </c>
      <c r="Q52" s="154">
        <v>20000</v>
      </c>
      <c r="R52" s="154"/>
      <c r="S52" s="152">
        <f t="shared" si="17"/>
        <v>365272.15550000005</v>
      </c>
      <c r="T52" s="152"/>
      <c r="U52" s="152"/>
      <c r="V52" s="154">
        <v>8998.33</v>
      </c>
      <c r="W52" s="152">
        <f t="shared" si="15"/>
        <v>8998.33</v>
      </c>
      <c r="X52" s="152">
        <v>356273.83</v>
      </c>
      <c r="Y52" s="152">
        <f t="shared" si="16"/>
        <v>356273.82550000004</v>
      </c>
    </row>
    <row r="53" spans="1:25" ht="20.100000000000001" customHeight="1" x14ac:dyDescent="0.3">
      <c r="A53" s="86">
        <v>9</v>
      </c>
      <c r="B53" s="187" t="s">
        <v>386</v>
      </c>
      <c r="C53" s="188"/>
      <c r="D53" s="37" t="s">
        <v>125</v>
      </c>
      <c r="E53" s="86" t="s">
        <v>372</v>
      </c>
      <c r="F53" s="154">
        <v>26732.66</v>
      </c>
      <c r="G53" s="154">
        <v>0</v>
      </c>
      <c r="H53" s="154">
        <f>F53*300%</f>
        <v>80197.98</v>
      </c>
      <c r="I53" s="154">
        <f>F53*7.5%</f>
        <v>2004.9494999999999</v>
      </c>
      <c r="J53" s="154"/>
      <c r="K53" s="154">
        <f>F53*50%</f>
        <v>13366.33</v>
      </c>
      <c r="L53" s="154">
        <f>F53*350%</f>
        <v>93564.31</v>
      </c>
      <c r="M53" s="154"/>
      <c r="N53" s="154">
        <f>F53*100%</f>
        <v>26732.66</v>
      </c>
      <c r="O53" s="154">
        <v>100000</v>
      </c>
      <c r="P53" s="154">
        <f>F53*10%</f>
        <v>2673.2660000000001</v>
      </c>
      <c r="Q53" s="154">
        <v>20000</v>
      </c>
      <c r="R53" s="154"/>
      <c r="S53" s="152">
        <f t="shared" si="17"/>
        <v>365272.15550000005</v>
      </c>
      <c r="T53" s="152"/>
      <c r="U53" s="152"/>
      <c r="V53" s="154">
        <v>8998.33</v>
      </c>
      <c r="W53" s="152">
        <f t="shared" si="15"/>
        <v>8998.33</v>
      </c>
      <c r="X53" s="152">
        <v>356273.83</v>
      </c>
      <c r="Y53" s="152">
        <f t="shared" si="16"/>
        <v>356273.82550000004</v>
      </c>
    </row>
    <row r="54" spans="1:25" ht="20.100000000000001" customHeight="1" x14ac:dyDescent="0.3">
      <c r="A54" s="86">
        <v>10</v>
      </c>
      <c r="B54" s="191" t="s">
        <v>274</v>
      </c>
      <c r="C54" s="191"/>
      <c r="D54" s="37" t="s">
        <v>127</v>
      </c>
      <c r="E54" s="86" t="s">
        <v>498</v>
      </c>
      <c r="F54" s="154">
        <v>27611.23</v>
      </c>
      <c r="G54" s="154"/>
      <c r="H54" s="154">
        <f>F54*300%</f>
        <v>82833.69</v>
      </c>
      <c r="I54" s="154">
        <f>F54*7.5%</f>
        <v>2070.8422499999997</v>
      </c>
      <c r="J54" s="154">
        <v>0</v>
      </c>
      <c r="K54" s="154">
        <f>F54*50%</f>
        <v>13805.615</v>
      </c>
      <c r="L54" s="154">
        <f>F54*350%</f>
        <v>96639.304999999993</v>
      </c>
      <c r="M54" s="154">
        <v>0</v>
      </c>
      <c r="N54" s="154">
        <f>F54*100%</f>
        <v>27611.23</v>
      </c>
      <c r="O54" s="154">
        <v>100000</v>
      </c>
      <c r="P54" s="154">
        <f>F54*10%</f>
        <v>2761.123</v>
      </c>
      <c r="Q54" s="154">
        <v>20000</v>
      </c>
      <c r="R54" s="154">
        <v>0</v>
      </c>
      <c r="S54" s="152">
        <f t="shared" si="17"/>
        <v>373333.03525000007</v>
      </c>
      <c r="T54" s="152">
        <v>10000</v>
      </c>
      <c r="U54" s="152"/>
      <c r="V54" s="154">
        <v>7709.76</v>
      </c>
      <c r="W54" s="152">
        <f t="shared" si="15"/>
        <v>17709.760000000002</v>
      </c>
      <c r="X54" s="152">
        <v>355623.28</v>
      </c>
      <c r="Y54" s="152">
        <f t="shared" si="16"/>
        <v>355623.27525000006</v>
      </c>
    </row>
    <row r="55" spans="1:25" ht="19.5" customHeight="1" x14ac:dyDescent="0.3">
      <c r="A55" s="86">
        <v>11</v>
      </c>
      <c r="B55" s="187" t="s">
        <v>365</v>
      </c>
      <c r="C55" s="188"/>
      <c r="D55" s="37" t="s">
        <v>127</v>
      </c>
      <c r="E55" s="86" t="s">
        <v>448</v>
      </c>
      <c r="F55" s="154">
        <v>25523.45</v>
      </c>
      <c r="G55" s="154"/>
      <c r="H55" s="154">
        <f t="shared" ref="H55:H68" si="18">F55*300%</f>
        <v>76570.350000000006</v>
      </c>
      <c r="I55" s="154">
        <f t="shared" ref="I55:I68" si="19">F55*7.5%</f>
        <v>1914.25875</v>
      </c>
      <c r="J55" s="154"/>
      <c r="K55" s="154">
        <f t="shared" ref="K55:K68" si="20">F55*50%</f>
        <v>12761.725</v>
      </c>
      <c r="L55" s="154">
        <f t="shared" ref="L55:L68" si="21">F55*350%</f>
        <v>89332.074999999997</v>
      </c>
      <c r="M55" s="154"/>
      <c r="N55" s="154">
        <f t="shared" ref="N55:N68" si="22">F55*100%</f>
        <v>25523.45</v>
      </c>
      <c r="O55" s="154">
        <v>100000</v>
      </c>
      <c r="P55" s="154">
        <f t="shared" ref="P55:P68" si="23">F55*10%</f>
        <v>2552.3450000000003</v>
      </c>
      <c r="Q55" s="154">
        <v>15000</v>
      </c>
      <c r="R55" s="154"/>
      <c r="S55" s="152">
        <f t="shared" ref="S55:S68" si="24">SUM(F55:R55)</f>
        <v>349177.65375</v>
      </c>
      <c r="T55" s="152">
        <v>30000</v>
      </c>
      <c r="U55" s="152"/>
      <c r="V55" s="154">
        <v>7709.76</v>
      </c>
      <c r="W55" s="152">
        <f t="shared" si="15"/>
        <v>37709.760000000002</v>
      </c>
      <c r="X55" s="152">
        <v>311467.89</v>
      </c>
      <c r="Y55" s="152">
        <f t="shared" si="16"/>
        <v>311467.89374999999</v>
      </c>
    </row>
    <row r="56" spans="1:25" ht="19.5" customHeight="1" x14ac:dyDescent="0.3">
      <c r="A56" s="86">
        <v>12</v>
      </c>
      <c r="B56" s="191" t="s">
        <v>307</v>
      </c>
      <c r="C56" s="191"/>
      <c r="D56" s="37" t="s">
        <v>393</v>
      </c>
      <c r="E56" s="86" t="s">
        <v>372</v>
      </c>
      <c r="F56" s="154">
        <v>26732.66</v>
      </c>
      <c r="G56" s="154">
        <v>0</v>
      </c>
      <c r="H56" s="154">
        <f t="shared" si="18"/>
        <v>80197.98</v>
      </c>
      <c r="I56" s="154">
        <f t="shared" si="19"/>
        <v>2004.9494999999999</v>
      </c>
      <c r="J56" s="154">
        <v>0</v>
      </c>
      <c r="K56" s="154">
        <f t="shared" si="20"/>
        <v>13366.33</v>
      </c>
      <c r="L56" s="154">
        <f t="shared" si="21"/>
        <v>93564.31</v>
      </c>
      <c r="M56" s="154"/>
      <c r="N56" s="154">
        <f t="shared" si="22"/>
        <v>26732.66</v>
      </c>
      <c r="O56" s="154">
        <v>100000</v>
      </c>
      <c r="P56" s="154">
        <f t="shared" si="23"/>
        <v>2673.2660000000001</v>
      </c>
      <c r="Q56" s="154">
        <v>20000</v>
      </c>
      <c r="R56" s="154">
        <v>200000</v>
      </c>
      <c r="S56" s="152">
        <f t="shared" si="24"/>
        <v>565272.15550000011</v>
      </c>
      <c r="T56" s="152"/>
      <c r="U56" s="152"/>
      <c r="V56" s="154">
        <v>8998.33</v>
      </c>
      <c r="W56" s="152">
        <f t="shared" si="15"/>
        <v>8998.33</v>
      </c>
      <c r="X56" s="152">
        <v>556273.82999999996</v>
      </c>
      <c r="Y56" s="152">
        <f t="shared" si="16"/>
        <v>556273.82550000015</v>
      </c>
    </row>
    <row r="57" spans="1:25" ht="19.5" customHeight="1" x14ac:dyDescent="0.3">
      <c r="A57" s="86">
        <v>13</v>
      </c>
      <c r="B57" s="187" t="s">
        <v>379</v>
      </c>
      <c r="C57" s="188"/>
      <c r="D57" s="37" t="s">
        <v>127</v>
      </c>
      <c r="E57" s="86" t="s">
        <v>448</v>
      </c>
      <c r="F57" s="154">
        <v>25523.45</v>
      </c>
      <c r="G57" s="154"/>
      <c r="H57" s="154">
        <f t="shared" si="18"/>
        <v>76570.350000000006</v>
      </c>
      <c r="I57" s="154">
        <f t="shared" si="19"/>
        <v>1914.25875</v>
      </c>
      <c r="J57" s="154"/>
      <c r="K57" s="154">
        <f t="shared" si="20"/>
        <v>12761.725</v>
      </c>
      <c r="L57" s="154">
        <f t="shared" si="21"/>
        <v>89332.074999999997</v>
      </c>
      <c r="M57" s="154"/>
      <c r="N57" s="154">
        <f t="shared" si="22"/>
        <v>25523.45</v>
      </c>
      <c r="O57" s="154">
        <v>100000</v>
      </c>
      <c r="P57" s="154">
        <f t="shared" si="23"/>
        <v>2552.3450000000003</v>
      </c>
      <c r="Q57" s="154">
        <v>15000</v>
      </c>
      <c r="R57" s="154"/>
      <c r="S57" s="152">
        <f t="shared" si="24"/>
        <v>349177.65375</v>
      </c>
      <c r="T57" s="152"/>
      <c r="U57" s="152"/>
      <c r="V57" s="154">
        <v>7709.76</v>
      </c>
      <c r="W57" s="152">
        <f t="shared" si="15"/>
        <v>7709.76</v>
      </c>
      <c r="X57" s="152">
        <v>341467.89</v>
      </c>
      <c r="Y57" s="152">
        <f t="shared" si="16"/>
        <v>341467.89374999999</v>
      </c>
    </row>
    <row r="58" spans="1:25" ht="19.5" customHeight="1" x14ac:dyDescent="0.3">
      <c r="A58" s="86">
        <v>14</v>
      </c>
      <c r="B58" s="187" t="s">
        <v>381</v>
      </c>
      <c r="C58" s="188"/>
      <c r="D58" s="37" t="s">
        <v>127</v>
      </c>
      <c r="E58" s="86" t="s">
        <v>448</v>
      </c>
      <c r="F58" s="154">
        <v>25523.45</v>
      </c>
      <c r="G58" s="154"/>
      <c r="H58" s="154">
        <f t="shared" si="18"/>
        <v>76570.350000000006</v>
      </c>
      <c r="I58" s="154">
        <f t="shared" si="19"/>
        <v>1914.25875</v>
      </c>
      <c r="J58" s="154"/>
      <c r="K58" s="154">
        <f t="shared" si="20"/>
        <v>12761.725</v>
      </c>
      <c r="L58" s="154">
        <f t="shared" si="21"/>
        <v>89332.074999999997</v>
      </c>
      <c r="M58" s="154"/>
      <c r="N58" s="154">
        <f t="shared" si="22"/>
        <v>25523.45</v>
      </c>
      <c r="O58" s="154">
        <v>100000</v>
      </c>
      <c r="P58" s="154">
        <f t="shared" si="23"/>
        <v>2552.3450000000003</v>
      </c>
      <c r="Q58" s="154">
        <v>15000</v>
      </c>
      <c r="R58" s="154"/>
      <c r="S58" s="152">
        <f t="shared" si="24"/>
        <v>349177.65375</v>
      </c>
      <c r="T58" s="152">
        <v>30000</v>
      </c>
      <c r="U58" s="152"/>
      <c r="V58" s="154">
        <v>7709.76</v>
      </c>
      <c r="W58" s="152">
        <f t="shared" si="15"/>
        <v>37709.760000000002</v>
      </c>
      <c r="X58" s="152">
        <v>311467.89</v>
      </c>
      <c r="Y58" s="152">
        <f t="shared" si="16"/>
        <v>311467.89374999999</v>
      </c>
    </row>
    <row r="59" spans="1:25" ht="19.5" customHeight="1" x14ac:dyDescent="0.3">
      <c r="A59" s="86">
        <v>15</v>
      </c>
      <c r="B59" s="187" t="s">
        <v>357</v>
      </c>
      <c r="C59" s="188"/>
      <c r="D59" s="37" t="s">
        <v>127</v>
      </c>
      <c r="E59" s="86" t="s">
        <v>448</v>
      </c>
      <c r="F59" s="154">
        <v>25523.45</v>
      </c>
      <c r="G59" s="154"/>
      <c r="H59" s="154">
        <f t="shared" si="18"/>
        <v>76570.350000000006</v>
      </c>
      <c r="I59" s="154">
        <f t="shared" si="19"/>
        <v>1914.25875</v>
      </c>
      <c r="J59" s="154"/>
      <c r="K59" s="154">
        <f t="shared" si="20"/>
        <v>12761.725</v>
      </c>
      <c r="L59" s="154">
        <f t="shared" si="21"/>
        <v>89332.074999999997</v>
      </c>
      <c r="M59" s="154"/>
      <c r="N59" s="154">
        <f t="shared" si="22"/>
        <v>25523.45</v>
      </c>
      <c r="O59" s="154">
        <v>100000</v>
      </c>
      <c r="P59" s="154">
        <f t="shared" si="23"/>
        <v>2552.3450000000003</v>
      </c>
      <c r="Q59" s="154">
        <v>15000</v>
      </c>
      <c r="R59" s="154"/>
      <c r="S59" s="152">
        <f t="shared" si="24"/>
        <v>349177.65375</v>
      </c>
      <c r="T59" s="152"/>
      <c r="U59" s="152"/>
      <c r="V59" s="154">
        <v>7709.76</v>
      </c>
      <c r="W59" s="152">
        <f t="shared" si="15"/>
        <v>7709.76</v>
      </c>
      <c r="X59" s="152">
        <v>341467.89</v>
      </c>
      <c r="Y59" s="152">
        <f t="shared" si="16"/>
        <v>341467.89374999999</v>
      </c>
    </row>
    <row r="60" spans="1:25" ht="20.100000000000001" customHeight="1" x14ac:dyDescent="0.3">
      <c r="A60" s="86">
        <v>16</v>
      </c>
      <c r="B60" s="187" t="s">
        <v>407</v>
      </c>
      <c r="C60" s="188"/>
      <c r="D60" s="37" t="s">
        <v>127</v>
      </c>
      <c r="E60" s="86" t="s">
        <v>448</v>
      </c>
      <c r="F60" s="154">
        <v>25523.45</v>
      </c>
      <c r="G60" s="154"/>
      <c r="H60" s="154">
        <f t="shared" si="18"/>
        <v>76570.350000000006</v>
      </c>
      <c r="I60" s="154">
        <f t="shared" si="19"/>
        <v>1914.25875</v>
      </c>
      <c r="J60" s="154"/>
      <c r="K60" s="154">
        <f t="shared" si="20"/>
        <v>12761.725</v>
      </c>
      <c r="L60" s="154">
        <f t="shared" si="21"/>
        <v>89332.074999999997</v>
      </c>
      <c r="M60" s="154"/>
      <c r="N60" s="154">
        <f t="shared" si="22"/>
        <v>25523.45</v>
      </c>
      <c r="O60" s="154">
        <v>100000</v>
      </c>
      <c r="P60" s="154">
        <f t="shared" si="23"/>
        <v>2552.3450000000003</v>
      </c>
      <c r="Q60" s="154">
        <v>15000</v>
      </c>
      <c r="R60" s="154"/>
      <c r="S60" s="152">
        <f t="shared" si="24"/>
        <v>349177.65375</v>
      </c>
      <c r="T60" s="152"/>
      <c r="U60" s="152"/>
      <c r="V60" s="154">
        <v>7709.76</v>
      </c>
      <c r="W60" s="152">
        <f t="shared" si="15"/>
        <v>7709.76</v>
      </c>
      <c r="X60" s="152">
        <v>341467.89</v>
      </c>
      <c r="Y60" s="152">
        <f t="shared" si="16"/>
        <v>341467.89374999999</v>
      </c>
    </row>
    <row r="61" spans="1:25" ht="20.100000000000001" customHeight="1" x14ac:dyDescent="0.3">
      <c r="A61" s="86">
        <v>17</v>
      </c>
      <c r="B61" s="192" t="s">
        <v>24</v>
      </c>
      <c r="C61" s="192"/>
      <c r="D61" s="37" t="s">
        <v>387</v>
      </c>
      <c r="E61" s="86" t="s">
        <v>486</v>
      </c>
      <c r="F61" s="154">
        <v>26339.52</v>
      </c>
      <c r="G61" s="154"/>
      <c r="H61" s="154">
        <f t="shared" si="18"/>
        <v>79018.559999999998</v>
      </c>
      <c r="I61" s="154">
        <f t="shared" si="19"/>
        <v>1975.4639999999999</v>
      </c>
      <c r="J61" s="154">
        <v>0</v>
      </c>
      <c r="K61" s="154">
        <f t="shared" si="20"/>
        <v>13169.76</v>
      </c>
      <c r="L61" s="152">
        <f t="shared" si="21"/>
        <v>92188.32</v>
      </c>
      <c r="M61" s="154">
        <v>0</v>
      </c>
      <c r="N61" s="154">
        <f t="shared" si="22"/>
        <v>26339.52</v>
      </c>
      <c r="O61" s="154">
        <v>100000</v>
      </c>
      <c r="P61" s="154">
        <f t="shared" si="23"/>
        <v>2633.9520000000002</v>
      </c>
      <c r="Q61" s="154">
        <v>15000</v>
      </c>
      <c r="R61" s="154">
        <v>0</v>
      </c>
      <c r="S61" s="152">
        <f t="shared" si="24"/>
        <v>356665.09599999996</v>
      </c>
      <c r="T61" s="152">
        <v>5000</v>
      </c>
      <c r="U61" s="152"/>
      <c r="V61" s="152">
        <v>3369.51</v>
      </c>
      <c r="W61" s="152">
        <f t="shared" si="15"/>
        <v>8369.51</v>
      </c>
      <c r="X61" s="152">
        <v>348295.59</v>
      </c>
      <c r="Y61" s="152">
        <f t="shared" si="16"/>
        <v>348295.58599999995</v>
      </c>
    </row>
    <row r="62" spans="1:25" ht="20.100000000000001" customHeight="1" x14ac:dyDescent="0.3">
      <c r="A62" s="86">
        <v>18</v>
      </c>
      <c r="B62" s="187" t="s">
        <v>185</v>
      </c>
      <c r="C62" s="188"/>
      <c r="D62" s="37" t="s">
        <v>186</v>
      </c>
      <c r="E62" s="86" t="s">
        <v>184</v>
      </c>
      <c r="F62" s="154">
        <v>23074.99</v>
      </c>
      <c r="G62" s="154"/>
      <c r="H62" s="154">
        <f t="shared" si="18"/>
        <v>69224.97</v>
      </c>
      <c r="I62" s="154">
        <f t="shared" si="19"/>
        <v>1730.6242500000001</v>
      </c>
      <c r="J62" s="154">
        <v>0</v>
      </c>
      <c r="K62" s="154">
        <f t="shared" si="20"/>
        <v>11537.495000000001</v>
      </c>
      <c r="L62" s="154">
        <f t="shared" si="21"/>
        <v>80762.465000000011</v>
      </c>
      <c r="M62" s="154">
        <v>0</v>
      </c>
      <c r="N62" s="154">
        <f t="shared" si="22"/>
        <v>23074.99</v>
      </c>
      <c r="O62" s="154">
        <v>100000</v>
      </c>
      <c r="P62" s="154">
        <f t="shared" si="23"/>
        <v>2307.4990000000003</v>
      </c>
      <c r="Q62" s="154">
        <v>15000</v>
      </c>
      <c r="R62" s="154">
        <v>0</v>
      </c>
      <c r="S62" s="152">
        <f t="shared" si="24"/>
        <v>326713.03325000004</v>
      </c>
      <c r="T62" s="152">
        <v>30000</v>
      </c>
      <c r="U62" s="152"/>
      <c r="V62" s="152">
        <v>3369.51</v>
      </c>
      <c r="W62" s="152">
        <f t="shared" si="15"/>
        <v>33369.51</v>
      </c>
      <c r="X62" s="152">
        <v>313343.52</v>
      </c>
      <c r="Y62" s="152">
        <f t="shared" si="16"/>
        <v>293343.52325000003</v>
      </c>
    </row>
    <row r="63" spans="1:25" ht="20.100000000000001" customHeight="1" x14ac:dyDescent="0.3">
      <c r="A63" s="86">
        <v>19</v>
      </c>
      <c r="B63" s="191" t="s">
        <v>196</v>
      </c>
      <c r="C63" s="191"/>
      <c r="D63" s="37" t="s">
        <v>131</v>
      </c>
      <c r="E63" s="86" t="s">
        <v>184</v>
      </c>
      <c r="F63" s="154">
        <v>23074.99</v>
      </c>
      <c r="G63" s="154"/>
      <c r="H63" s="154">
        <f t="shared" si="18"/>
        <v>69224.97</v>
      </c>
      <c r="I63" s="154">
        <f t="shared" si="19"/>
        <v>1730.6242500000001</v>
      </c>
      <c r="J63" s="154">
        <v>0</v>
      </c>
      <c r="K63" s="154">
        <f t="shared" si="20"/>
        <v>11537.495000000001</v>
      </c>
      <c r="L63" s="154">
        <f t="shared" si="21"/>
        <v>80762.465000000011</v>
      </c>
      <c r="M63" s="154">
        <v>0</v>
      </c>
      <c r="N63" s="154">
        <f t="shared" si="22"/>
        <v>23074.99</v>
      </c>
      <c r="O63" s="154">
        <v>100000</v>
      </c>
      <c r="P63" s="154">
        <f t="shared" si="23"/>
        <v>2307.4990000000003</v>
      </c>
      <c r="Q63" s="154">
        <v>15000</v>
      </c>
      <c r="R63" s="154">
        <v>0</v>
      </c>
      <c r="S63" s="152">
        <f t="shared" si="24"/>
        <v>326713.03325000004</v>
      </c>
      <c r="T63" s="152">
        <v>5000</v>
      </c>
      <c r="U63" s="152"/>
      <c r="V63" s="152">
        <v>3369.51</v>
      </c>
      <c r="W63" s="152">
        <f t="shared" si="15"/>
        <v>8369.51</v>
      </c>
      <c r="X63" s="152">
        <v>318343.52</v>
      </c>
      <c r="Y63" s="152">
        <f t="shared" si="16"/>
        <v>318343.52325000003</v>
      </c>
    </row>
    <row r="64" spans="1:25" ht="20.100000000000001" customHeight="1" x14ac:dyDescent="0.3">
      <c r="A64" s="86">
        <v>20</v>
      </c>
      <c r="B64" s="187" t="s">
        <v>303</v>
      </c>
      <c r="C64" s="188"/>
      <c r="D64" s="37" t="s">
        <v>304</v>
      </c>
      <c r="E64" s="86" t="s">
        <v>80</v>
      </c>
      <c r="F64" s="154">
        <v>19276.95</v>
      </c>
      <c r="G64" s="154"/>
      <c r="H64" s="154">
        <f t="shared" si="18"/>
        <v>57830.850000000006</v>
      </c>
      <c r="I64" s="154">
        <f t="shared" si="19"/>
        <v>1445.77125</v>
      </c>
      <c r="J64" s="154">
        <v>0</v>
      </c>
      <c r="K64" s="154">
        <f t="shared" si="20"/>
        <v>9638.4750000000004</v>
      </c>
      <c r="L64" s="154">
        <f t="shared" si="21"/>
        <v>67469.324999999997</v>
      </c>
      <c r="M64" s="154"/>
      <c r="N64" s="154">
        <f t="shared" si="22"/>
        <v>19276.95</v>
      </c>
      <c r="O64" s="154">
        <v>100000</v>
      </c>
      <c r="P64" s="154">
        <f t="shared" si="23"/>
        <v>1927.6950000000002</v>
      </c>
      <c r="Q64" s="154">
        <v>10000</v>
      </c>
      <c r="R64" s="154"/>
      <c r="S64" s="152">
        <f t="shared" si="24"/>
        <v>286866.01625000004</v>
      </c>
      <c r="T64" s="152">
        <v>30000</v>
      </c>
      <c r="U64" s="152"/>
      <c r="V64" s="152">
        <v>3369.51</v>
      </c>
      <c r="W64" s="152">
        <f t="shared" si="15"/>
        <v>33369.51</v>
      </c>
      <c r="X64" s="152">
        <v>263496.51</v>
      </c>
      <c r="Y64" s="152">
        <f t="shared" si="16"/>
        <v>253496.50625000003</v>
      </c>
    </row>
    <row r="65" spans="1:26" ht="20.100000000000001" customHeight="1" x14ac:dyDescent="0.3">
      <c r="A65" s="86">
        <v>21</v>
      </c>
      <c r="B65" s="191" t="s">
        <v>208</v>
      </c>
      <c r="C65" s="191"/>
      <c r="D65" s="37" t="s">
        <v>131</v>
      </c>
      <c r="E65" s="86" t="s">
        <v>374</v>
      </c>
      <c r="F65" s="154">
        <v>18281.64</v>
      </c>
      <c r="G65" s="154"/>
      <c r="H65" s="154">
        <f t="shared" si="18"/>
        <v>54844.92</v>
      </c>
      <c r="I65" s="154">
        <f t="shared" si="19"/>
        <v>1371.1229999999998</v>
      </c>
      <c r="J65" s="154">
        <v>0</v>
      </c>
      <c r="K65" s="154">
        <f t="shared" si="20"/>
        <v>9140.82</v>
      </c>
      <c r="L65" s="154">
        <f t="shared" si="21"/>
        <v>63985.74</v>
      </c>
      <c r="M65" s="154">
        <v>0</v>
      </c>
      <c r="N65" s="154">
        <f t="shared" si="22"/>
        <v>18281.64</v>
      </c>
      <c r="O65" s="154">
        <v>100000</v>
      </c>
      <c r="P65" s="154">
        <f t="shared" si="23"/>
        <v>1828.164</v>
      </c>
      <c r="Q65" s="154">
        <v>10000</v>
      </c>
      <c r="R65" s="154">
        <v>0</v>
      </c>
      <c r="S65" s="152">
        <f t="shared" si="24"/>
        <v>277734.04699999996</v>
      </c>
      <c r="T65" s="152">
        <v>10000</v>
      </c>
      <c r="U65" s="152"/>
      <c r="V65" s="154">
        <v>3369.51</v>
      </c>
      <c r="W65" s="152">
        <f t="shared" si="15"/>
        <v>13369.51</v>
      </c>
      <c r="X65" s="152">
        <v>264364.53999999998</v>
      </c>
      <c r="Y65" s="152">
        <f t="shared" si="16"/>
        <v>264364.53699999995</v>
      </c>
    </row>
    <row r="66" spans="1:26" ht="20.100000000000001" customHeight="1" x14ac:dyDescent="0.3">
      <c r="A66" s="86">
        <v>22</v>
      </c>
      <c r="B66" s="191" t="s">
        <v>162</v>
      </c>
      <c r="C66" s="191"/>
      <c r="D66" s="37" t="s">
        <v>200</v>
      </c>
      <c r="E66" s="153" t="s">
        <v>487</v>
      </c>
      <c r="F66" s="154">
        <v>16093.74</v>
      </c>
      <c r="G66" s="154"/>
      <c r="H66" s="154">
        <f t="shared" si="18"/>
        <v>48281.22</v>
      </c>
      <c r="I66" s="154">
        <f t="shared" si="19"/>
        <v>1207.0304999999998</v>
      </c>
      <c r="J66" s="154">
        <v>0</v>
      </c>
      <c r="K66" s="154">
        <f t="shared" si="20"/>
        <v>8046.87</v>
      </c>
      <c r="L66" s="152">
        <f t="shared" si="21"/>
        <v>56328.09</v>
      </c>
      <c r="M66" s="154">
        <v>0</v>
      </c>
      <c r="N66" s="154">
        <f t="shared" si="22"/>
        <v>16093.74</v>
      </c>
      <c r="O66" s="154">
        <v>100000</v>
      </c>
      <c r="P66" s="154">
        <f t="shared" si="23"/>
        <v>1609.374</v>
      </c>
      <c r="Q66" s="154">
        <v>10000</v>
      </c>
      <c r="R66" s="154">
        <v>0</v>
      </c>
      <c r="S66" s="152">
        <f t="shared" si="24"/>
        <v>257660.06450000001</v>
      </c>
      <c r="T66" s="152"/>
      <c r="U66" s="152"/>
      <c r="V66" s="154">
        <v>2443.88</v>
      </c>
      <c r="W66" s="152">
        <f t="shared" si="15"/>
        <v>2443.88</v>
      </c>
      <c r="X66" s="152">
        <v>255216.18</v>
      </c>
      <c r="Y66" s="152">
        <f t="shared" si="16"/>
        <v>255216.1845</v>
      </c>
    </row>
    <row r="67" spans="1:26" ht="20.100000000000001" customHeight="1" x14ac:dyDescent="0.3">
      <c r="A67" s="3">
        <v>23</v>
      </c>
      <c r="B67" s="191" t="s">
        <v>159</v>
      </c>
      <c r="C67" s="191"/>
      <c r="D67" s="37" t="s">
        <v>200</v>
      </c>
      <c r="E67" s="153" t="s">
        <v>487</v>
      </c>
      <c r="F67" s="154">
        <v>16093.74</v>
      </c>
      <c r="G67" s="154"/>
      <c r="H67" s="154">
        <f t="shared" si="18"/>
        <v>48281.22</v>
      </c>
      <c r="I67" s="154">
        <f t="shared" si="19"/>
        <v>1207.0304999999998</v>
      </c>
      <c r="J67" s="154">
        <v>0</v>
      </c>
      <c r="K67" s="154">
        <f t="shared" si="20"/>
        <v>8046.87</v>
      </c>
      <c r="L67" s="152">
        <f t="shared" si="21"/>
        <v>56328.09</v>
      </c>
      <c r="M67" s="154">
        <v>0</v>
      </c>
      <c r="N67" s="154">
        <f t="shared" si="22"/>
        <v>16093.74</v>
      </c>
      <c r="O67" s="154">
        <v>100000</v>
      </c>
      <c r="P67" s="154">
        <f t="shared" si="23"/>
        <v>1609.374</v>
      </c>
      <c r="Q67" s="154">
        <v>10000</v>
      </c>
      <c r="R67" s="154">
        <v>0</v>
      </c>
      <c r="S67" s="152">
        <f t="shared" si="24"/>
        <v>257660.06450000001</v>
      </c>
      <c r="T67" s="152"/>
      <c r="U67" s="152"/>
      <c r="V67" s="154">
        <v>2443.88</v>
      </c>
      <c r="W67" s="152">
        <f t="shared" si="15"/>
        <v>2443.88</v>
      </c>
      <c r="X67" s="152">
        <v>255216.18</v>
      </c>
      <c r="Y67" s="152">
        <f t="shared" si="16"/>
        <v>255216.1845</v>
      </c>
    </row>
    <row r="68" spans="1:26" ht="20.100000000000001" customHeight="1" x14ac:dyDescent="0.3">
      <c r="A68" s="3">
        <v>24</v>
      </c>
      <c r="B68" s="191" t="s">
        <v>45</v>
      </c>
      <c r="C68" s="191"/>
      <c r="D68" s="37" t="s">
        <v>394</v>
      </c>
      <c r="E68" s="153" t="s">
        <v>374</v>
      </c>
      <c r="F68" s="154">
        <v>18281.64</v>
      </c>
      <c r="G68" s="154">
        <v>0</v>
      </c>
      <c r="H68" s="154">
        <f t="shared" si="18"/>
        <v>54844.92</v>
      </c>
      <c r="I68" s="154">
        <f t="shared" si="19"/>
        <v>1371.1229999999998</v>
      </c>
      <c r="J68" s="154">
        <v>0</v>
      </c>
      <c r="K68" s="154">
        <f t="shared" si="20"/>
        <v>9140.82</v>
      </c>
      <c r="L68" s="152">
        <f t="shared" si="21"/>
        <v>63985.74</v>
      </c>
      <c r="M68" s="154">
        <v>0</v>
      </c>
      <c r="N68" s="154">
        <f t="shared" si="22"/>
        <v>18281.64</v>
      </c>
      <c r="O68" s="154">
        <v>100000</v>
      </c>
      <c r="P68" s="154">
        <f t="shared" si="23"/>
        <v>1828.164</v>
      </c>
      <c r="Q68" s="154">
        <v>10000</v>
      </c>
      <c r="R68" s="154">
        <v>0</v>
      </c>
      <c r="S68" s="152">
        <f t="shared" si="24"/>
        <v>277734.04699999996</v>
      </c>
      <c r="T68" s="152">
        <v>10000</v>
      </c>
      <c r="U68" s="152"/>
      <c r="V68" s="154">
        <v>3369.51</v>
      </c>
      <c r="W68" s="152">
        <f t="shared" si="15"/>
        <v>13369.51</v>
      </c>
      <c r="X68" s="152">
        <v>264364.53999999998</v>
      </c>
      <c r="Y68" s="152">
        <f t="shared" si="16"/>
        <v>264364.53699999995</v>
      </c>
    </row>
    <row r="69" spans="1:26" ht="20.100000000000001" customHeight="1" x14ac:dyDescent="0.3">
      <c r="A69" s="37"/>
      <c r="B69" s="193" t="s">
        <v>20</v>
      </c>
      <c r="C69" s="193"/>
      <c r="D69" s="34">
        <v>24</v>
      </c>
      <c r="E69" s="34"/>
      <c r="F69" s="159">
        <f t="shared" ref="F69:Y69" si="25">SUM(F45:F68)</f>
        <v>877348.33999999962</v>
      </c>
      <c r="G69" s="159">
        <f t="shared" si="25"/>
        <v>0</v>
      </c>
      <c r="H69" s="159">
        <f t="shared" si="25"/>
        <v>1810998.33</v>
      </c>
      <c r="I69" s="159">
        <f t="shared" si="25"/>
        <v>45274.958249999996</v>
      </c>
      <c r="J69" s="159">
        <f t="shared" si="25"/>
        <v>160488.76</v>
      </c>
      <c r="K69" s="159">
        <f t="shared" si="25"/>
        <v>301833.05499999999</v>
      </c>
      <c r="L69" s="159">
        <f t="shared" si="25"/>
        <v>2112831.3850000002</v>
      </c>
      <c r="M69" s="159">
        <f t="shared" si="25"/>
        <v>0</v>
      </c>
      <c r="N69" s="159">
        <f t="shared" si="25"/>
        <v>603666.11</v>
      </c>
      <c r="O69" s="159">
        <f t="shared" si="25"/>
        <v>2200000</v>
      </c>
      <c r="P69" s="159">
        <f t="shared" si="25"/>
        <v>60366.611000000012</v>
      </c>
      <c r="Q69" s="159">
        <f t="shared" si="25"/>
        <v>350000</v>
      </c>
      <c r="R69" s="159">
        <f t="shared" si="25"/>
        <v>300000</v>
      </c>
      <c r="S69" s="159">
        <f t="shared" si="25"/>
        <v>9033751.6767500006</v>
      </c>
      <c r="T69" s="159">
        <f t="shared" si="25"/>
        <v>480000</v>
      </c>
      <c r="U69" s="159">
        <f t="shared" si="25"/>
        <v>0</v>
      </c>
      <c r="V69" s="159">
        <f t="shared" si="25"/>
        <v>217441.75500000009</v>
      </c>
      <c r="W69" s="159">
        <f t="shared" si="25"/>
        <v>697441.75500000012</v>
      </c>
      <c r="X69" s="159">
        <f t="shared" si="25"/>
        <v>8383072.7399999984</v>
      </c>
      <c r="Y69" s="159">
        <f t="shared" si="25"/>
        <v>8336308.996749999</v>
      </c>
      <c r="Z69" s="138"/>
    </row>
    <row r="70" spans="1:26" ht="20.100000000000001" customHeight="1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138"/>
    </row>
    <row r="71" spans="1:26" ht="20.100000000000001" customHeight="1" x14ac:dyDescent="0.3">
      <c r="A71" s="37"/>
      <c r="B71" s="193" t="s">
        <v>153</v>
      </c>
      <c r="C71" s="193"/>
      <c r="D71" s="34"/>
      <c r="E71" s="34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7"/>
      <c r="T71" s="157"/>
      <c r="U71" s="157"/>
      <c r="V71" s="159"/>
      <c r="W71" s="152"/>
      <c r="X71" s="152"/>
      <c r="Y71" s="152"/>
    </row>
    <row r="72" spans="1:26" ht="20.100000000000001" customHeight="1" x14ac:dyDescent="0.3">
      <c r="A72" s="86">
        <v>1</v>
      </c>
      <c r="B72" s="191" t="s">
        <v>149</v>
      </c>
      <c r="C72" s="191"/>
      <c r="D72" s="36" t="s">
        <v>229</v>
      </c>
      <c r="E72" s="153" t="s">
        <v>371</v>
      </c>
      <c r="F72" s="154">
        <v>81740.02</v>
      </c>
      <c r="G72" s="154"/>
      <c r="H72" s="154">
        <f t="shared" ref="H72:H113" si="26">F72*300%</f>
        <v>245220.06</v>
      </c>
      <c r="I72" s="154">
        <f t="shared" ref="I72:I113" si="27">F72*7.5%</f>
        <v>6130.5015000000003</v>
      </c>
      <c r="J72" s="154">
        <v>80244.38</v>
      </c>
      <c r="K72" s="154">
        <f t="shared" ref="K72:K113" si="28">F72*50%</f>
        <v>40870.01</v>
      </c>
      <c r="L72" s="154">
        <f t="shared" ref="L72:L113" si="29">F72*350%</f>
        <v>286090.07</v>
      </c>
      <c r="M72" s="154">
        <v>0</v>
      </c>
      <c r="N72" s="154">
        <f t="shared" ref="N72:N108" si="30">F72*100%</f>
        <v>81740.02</v>
      </c>
      <c r="O72" s="154">
        <v>0</v>
      </c>
      <c r="P72" s="154">
        <f t="shared" ref="P72:P113" si="31">F72*10%</f>
        <v>8174.0020000000004</v>
      </c>
      <c r="Q72" s="154">
        <v>20000</v>
      </c>
      <c r="R72" s="154">
        <v>0</v>
      </c>
      <c r="S72" s="152">
        <f t="shared" ref="S72:S118" si="32">SUM(F72:R72)</f>
        <v>850209.06350000005</v>
      </c>
      <c r="T72" s="152">
        <v>50000</v>
      </c>
      <c r="U72" s="152">
        <v>131250</v>
      </c>
      <c r="V72" s="154">
        <v>52776.63</v>
      </c>
      <c r="W72" s="152">
        <f>V72+T72+U72</f>
        <v>234026.63</v>
      </c>
      <c r="X72" s="152">
        <v>697432.43</v>
      </c>
      <c r="Y72" s="152">
        <f>S72-W72</f>
        <v>616182.43350000004</v>
      </c>
    </row>
    <row r="73" spans="1:26" ht="20.100000000000001" customHeight="1" x14ac:dyDescent="0.3">
      <c r="A73" s="86">
        <v>2</v>
      </c>
      <c r="B73" s="191" t="s">
        <v>34</v>
      </c>
      <c r="C73" s="191"/>
      <c r="D73" s="36" t="s">
        <v>35</v>
      </c>
      <c r="E73" s="153" t="s">
        <v>370</v>
      </c>
      <c r="F73" s="154">
        <v>42653.17</v>
      </c>
      <c r="G73" s="154"/>
      <c r="H73" s="154">
        <f t="shared" si="26"/>
        <v>127959.51</v>
      </c>
      <c r="I73" s="154">
        <f t="shared" si="27"/>
        <v>3198.9877499999998</v>
      </c>
      <c r="J73" s="154">
        <v>40122.19</v>
      </c>
      <c r="K73" s="154">
        <f t="shared" si="28"/>
        <v>21326.584999999999</v>
      </c>
      <c r="L73" s="154">
        <f t="shared" si="29"/>
        <v>149286.095</v>
      </c>
      <c r="M73" s="154">
        <v>0</v>
      </c>
      <c r="N73" s="154">
        <f t="shared" si="30"/>
        <v>42653.17</v>
      </c>
      <c r="O73" s="154">
        <v>0</v>
      </c>
      <c r="P73" s="154">
        <f t="shared" si="31"/>
        <v>4265.317</v>
      </c>
      <c r="Q73" s="154">
        <v>20000</v>
      </c>
      <c r="R73" s="154">
        <v>0</v>
      </c>
      <c r="S73" s="152">
        <f t="shared" si="32"/>
        <v>451465.02474999998</v>
      </c>
      <c r="T73" s="152">
        <v>20000</v>
      </c>
      <c r="U73" s="152">
        <f>210000</f>
        <v>210000</v>
      </c>
      <c r="V73" s="154">
        <v>21618.09</v>
      </c>
      <c r="W73" s="152">
        <f t="shared" ref="W73:W125" si="33">V73+T73+U73</f>
        <v>251618.09</v>
      </c>
      <c r="X73" s="152">
        <v>199846.93</v>
      </c>
      <c r="Y73" s="152">
        <f t="shared" ref="Y73:Y125" si="34">S73-W73</f>
        <v>199846.93474999999</v>
      </c>
    </row>
    <row r="74" spans="1:26" ht="20.100000000000001" customHeight="1" x14ac:dyDescent="0.3">
      <c r="A74" s="86">
        <v>3</v>
      </c>
      <c r="B74" s="191" t="s">
        <v>36</v>
      </c>
      <c r="C74" s="191"/>
      <c r="D74" s="36" t="s">
        <v>51</v>
      </c>
      <c r="E74" s="153" t="s">
        <v>370</v>
      </c>
      <c r="F74" s="154">
        <v>42653.17</v>
      </c>
      <c r="G74" s="154"/>
      <c r="H74" s="154">
        <f t="shared" si="26"/>
        <v>127959.51</v>
      </c>
      <c r="I74" s="154">
        <f t="shared" si="27"/>
        <v>3198.9877499999998</v>
      </c>
      <c r="J74" s="154">
        <v>40122.19</v>
      </c>
      <c r="K74" s="154">
        <f t="shared" si="28"/>
        <v>21326.584999999999</v>
      </c>
      <c r="L74" s="154">
        <f t="shared" si="29"/>
        <v>149286.095</v>
      </c>
      <c r="M74" s="154">
        <v>0</v>
      </c>
      <c r="N74" s="154">
        <f t="shared" si="30"/>
        <v>42653.17</v>
      </c>
      <c r="O74" s="154">
        <v>0</v>
      </c>
      <c r="P74" s="154">
        <f t="shared" si="31"/>
        <v>4265.317</v>
      </c>
      <c r="Q74" s="154">
        <v>20000</v>
      </c>
      <c r="R74" s="154">
        <v>0</v>
      </c>
      <c r="S74" s="152">
        <f t="shared" si="32"/>
        <v>451465.02474999998</v>
      </c>
      <c r="T74" s="152">
        <v>3000</v>
      </c>
      <c r="U74" s="152"/>
      <c r="V74" s="154">
        <v>21618.09</v>
      </c>
      <c r="W74" s="152">
        <f t="shared" si="33"/>
        <v>24618.09</v>
      </c>
      <c r="X74" s="152">
        <v>426846.93</v>
      </c>
      <c r="Y74" s="152">
        <f t="shared" si="34"/>
        <v>426846.93474999996</v>
      </c>
    </row>
    <row r="75" spans="1:26" ht="20.100000000000001" customHeight="1" x14ac:dyDescent="0.3">
      <c r="A75" s="86">
        <v>4</v>
      </c>
      <c r="B75" s="191" t="s">
        <v>155</v>
      </c>
      <c r="C75" s="191"/>
      <c r="D75" s="36" t="s">
        <v>156</v>
      </c>
      <c r="E75" s="153" t="s">
        <v>119</v>
      </c>
      <c r="F75" s="154">
        <v>33507.5</v>
      </c>
      <c r="G75" s="154"/>
      <c r="H75" s="154">
        <f t="shared" si="26"/>
        <v>100522.5</v>
      </c>
      <c r="I75" s="154">
        <f t="shared" si="27"/>
        <v>2513.0625</v>
      </c>
      <c r="J75" s="154">
        <v>40122.19</v>
      </c>
      <c r="K75" s="154">
        <f t="shared" si="28"/>
        <v>16753.75</v>
      </c>
      <c r="L75" s="154">
        <f t="shared" si="29"/>
        <v>117276.25</v>
      </c>
      <c r="M75" s="154">
        <v>0</v>
      </c>
      <c r="N75" s="154">
        <f t="shared" si="30"/>
        <v>33507.5</v>
      </c>
      <c r="O75" s="154">
        <v>0</v>
      </c>
      <c r="P75" s="154">
        <f t="shared" si="31"/>
        <v>3350.75</v>
      </c>
      <c r="Q75" s="154">
        <v>20000</v>
      </c>
      <c r="R75" s="154">
        <v>0</v>
      </c>
      <c r="S75" s="152">
        <f t="shared" si="32"/>
        <v>367553.5025</v>
      </c>
      <c r="T75" s="152">
        <v>50000</v>
      </c>
      <c r="U75" s="152">
        <v>42917</v>
      </c>
      <c r="V75" s="154">
        <v>15548.33</v>
      </c>
      <c r="W75" s="152">
        <f t="shared" si="33"/>
        <v>108465.33</v>
      </c>
      <c r="X75" s="152">
        <v>259088.17</v>
      </c>
      <c r="Y75" s="152">
        <f t="shared" si="34"/>
        <v>259088.17249999999</v>
      </c>
    </row>
    <row r="76" spans="1:26" ht="20.100000000000001" customHeight="1" x14ac:dyDescent="0.3">
      <c r="A76" s="86">
        <v>5</v>
      </c>
      <c r="B76" s="194" t="s">
        <v>179</v>
      </c>
      <c r="C76" s="194"/>
      <c r="D76" s="36" t="s">
        <v>180</v>
      </c>
      <c r="E76" s="153" t="s">
        <v>119</v>
      </c>
      <c r="F76" s="154">
        <v>33507.5</v>
      </c>
      <c r="G76" s="154"/>
      <c r="H76" s="154">
        <f t="shared" si="26"/>
        <v>100522.5</v>
      </c>
      <c r="I76" s="154">
        <f t="shared" si="27"/>
        <v>2513.0625</v>
      </c>
      <c r="J76" s="154">
        <v>40122.19</v>
      </c>
      <c r="K76" s="154">
        <f t="shared" si="28"/>
        <v>16753.75</v>
      </c>
      <c r="L76" s="154">
        <f t="shared" si="29"/>
        <v>117276.25</v>
      </c>
      <c r="M76" s="154">
        <v>0</v>
      </c>
      <c r="N76" s="154">
        <f t="shared" si="30"/>
        <v>33507.5</v>
      </c>
      <c r="O76" s="154">
        <v>0</v>
      </c>
      <c r="P76" s="154">
        <f t="shared" si="31"/>
        <v>3350.75</v>
      </c>
      <c r="Q76" s="154">
        <v>20000</v>
      </c>
      <c r="R76" s="154">
        <v>0</v>
      </c>
      <c r="S76" s="152">
        <f t="shared" si="32"/>
        <v>367553.5025</v>
      </c>
      <c r="T76" s="152">
        <v>20000</v>
      </c>
      <c r="U76" s="152">
        <f>51250</f>
        <v>51250</v>
      </c>
      <c r="V76" s="154">
        <v>15548.33</v>
      </c>
      <c r="W76" s="152">
        <f t="shared" si="33"/>
        <v>86798.33</v>
      </c>
      <c r="X76" s="152">
        <v>280755.17</v>
      </c>
      <c r="Y76" s="152">
        <f t="shared" si="34"/>
        <v>280755.17249999999</v>
      </c>
    </row>
    <row r="77" spans="1:26" ht="20.100000000000001" customHeight="1" x14ac:dyDescent="0.3">
      <c r="A77" s="86">
        <v>6</v>
      </c>
      <c r="B77" s="191" t="s">
        <v>354</v>
      </c>
      <c r="C77" s="191"/>
      <c r="D77" s="36" t="s">
        <v>343</v>
      </c>
      <c r="E77" s="153" t="s">
        <v>486</v>
      </c>
      <c r="F77" s="154">
        <v>26339.52</v>
      </c>
      <c r="G77" s="154"/>
      <c r="H77" s="154">
        <f t="shared" si="26"/>
        <v>79018.559999999998</v>
      </c>
      <c r="I77" s="154">
        <f t="shared" si="27"/>
        <v>1975.4639999999999</v>
      </c>
      <c r="J77" s="154">
        <v>0</v>
      </c>
      <c r="K77" s="154">
        <f t="shared" si="28"/>
        <v>13169.76</v>
      </c>
      <c r="L77" s="152">
        <f t="shared" si="29"/>
        <v>92188.32</v>
      </c>
      <c r="M77" s="154">
        <v>0</v>
      </c>
      <c r="N77" s="154">
        <f t="shared" si="30"/>
        <v>26339.52</v>
      </c>
      <c r="O77" s="154">
        <v>100000</v>
      </c>
      <c r="P77" s="154">
        <f t="shared" si="31"/>
        <v>2633.9520000000002</v>
      </c>
      <c r="Q77" s="154">
        <v>15000</v>
      </c>
      <c r="R77" s="154">
        <v>0</v>
      </c>
      <c r="S77" s="152">
        <f t="shared" si="32"/>
        <v>356665.09599999996</v>
      </c>
      <c r="T77" s="152">
        <v>30000</v>
      </c>
      <c r="U77" s="152"/>
      <c r="V77" s="154">
        <v>7709.76</v>
      </c>
      <c r="W77" s="152">
        <f t="shared" si="33"/>
        <v>37709.760000000002</v>
      </c>
      <c r="X77" s="152">
        <v>248955.34</v>
      </c>
      <c r="Y77" s="152">
        <f t="shared" si="34"/>
        <v>318955.33599999995</v>
      </c>
    </row>
    <row r="78" spans="1:26" ht="20.100000000000001" customHeight="1" x14ac:dyDescent="0.3">
      <c r="A78" s="86">
        <v>7</v>
      </c>
      <c r="B78" s="191" t="s">
        <v>157</v>
      </c>
      <c r="C78" s="191"/>
      <c r="D78" s="36" t="s">
        <v>164</v>
      </c>
      <c r="E78" s="153" t="s">
        <v>184</v>
      </c>
      <c r="F78" s="154">
        <f>F23</f>
        <v>23074.99</v>
      </c>
      <c r="G78" s="154"/>
      <c r="H78" s="154">
        <f t="shared" si="26"/>
        <v>69224.97</v>
      </c>
      <c r="I78" s="154">
        <f t="shared" si="27"/>
        <v>1730.6242500000001</v>
      </c>
      <c r="J78" s="154">
        <v>0</v>
      </c>
      <c r="K78" s="154">
        <f t="shared" si="28"/>
        <v>11537.495000000001</v>
      </c>
      <c r="L78" s="152">
        <f t="shared" si="29"/>
        <v>80762.465000000011</v>
      </c>
      <c r="M78" s="154">
        <v>0</v>
      </c>
      <c r="N78" s="154">
        <f t="shared" si="30"/>
        <v>23074.99</v>
      </c>
      <c r="O78" s="154">
        <v>0</v>
      </c>
      <c r="P78" s="154">
        <f t="shared" si="31"/>
        <v>2307.4990000000003</v>
      </c>
      <c r="Q78" s="154">
        <v>15000</v>
      </c>
      <c r="R78" s="154">
        <v>0</v>
      </c>
      <c r="S78" s="152">
        <f t="shared" si="32"/>
        <v>226713.03325000001</v>
      </c>
      <c r="T78" s="152">
        <f>3000</f>
        <v>3000</v>
      </c>
      <c r="U78" s="152">
        <f>38333</f>
        <v>38333</v>
      </c>
      <c r="V78" s="154">
        <v>3369.51</v>
      </c>
      <c r="W78" s="152">
        <f t="shared" si="33"/>
        <v>44702.51</v>
      </c>
      <c r="X78" s="152">
        <v>180010.52</v>
      </c>
      <c r="Y78" s="152">
        <f t="shared" si="34"/>
        <v>182010.52325</v>
      </c>
    </row>
    <row r="79" spans="1:26" ht="20.100000000000001" customHeight="1" x14ac:dyDescent="0.3">
      <c r="A79" s="86">
        <v>8</v>
      </c>
      <c r="B79" s="191" t="s">
        <v>168</v>
      </c>
      <c r="C79" s="191"/>
      <c r="D79" s="36" t="s">
        <v>169</v>
      </c>
      <c r="E79" s="153" t="s">
        <v>184</v>
      </c>
      <c r="F79" s="154">
        <f>F78</f>
        <v>23074.99</v>
      </c>
      <c r="G79" s="154"/>
      <c r="H79" s="154">
        <f t="shared" si="26"/>
        <v>69224.97</v>
      </c>
      <c r="I79" s="154">
        <f t="shared" si="27"/>
        <v>1730.6242500000001</v>
      </c>
      <c r="J79" s="154">
        <v>0</v>
      </c>
      <c r="K79" s="154">
        <f t="shared" si="28"/>
        <v>11537.495000000001</v>
      </c>
      <c r="L79" s="152">
        <f t="shared" si="29"/>
        <v>80762.465000000011</v>
      </c>
      <c r="M79" s="154">
        <v>0</v>
      </c>
      <c r="N79" s="154">
        <f t="shared" si="30"/>
        <v>23074.99</v>
      </c>
      <c r="O79" s="154">
        <v>0</v>
      </c>
      <c r="P79" s="154">
        <f t="shared" si="31"/>
        <v>2307.4990000000003</v>
      </c>
      <c r="Q79" s="154">
        <v>15000</v>
      </c>
      <c r="R79" s="154">
        <v>0</v>
      </c>
      <c r="S79" s="152">
        <f t="shared" si="32"/>
        <v>226713.03325000001</v>
      </c>
      <c r="T79" s="152"/>
      <c r="U79" s="152"/>
      <c r="V79" s="154">
        <v>3369.51</v>
      </c>
      <c r="W79" s="152">
        <f t="shared" si="33"/>
        <v>3369.51</v>
      </c>
      <c r="X79" s="152">
        <v>223343.52</v>
      </c>
      <c r="Y79" s="152">
        <f t="shared" si="34"/>
        <v>223343.52325</v>
      </c>
    </row>
    <row r="80" spans="1:26" ht="20.100000000000001" customHeight="1" x14ac:dyDescent="0.3">
      <c r="A80" s="86">
        <v>9</v>
      </c>
      <c r="B80" s="191" t="s">
        <v>190</v>
      </c>
      <c r="C80" s="191"/>
      <c r="D80" s="36" t="s">
        <v>191</v>
      </c>
      <c r="E80" s="153" t="s">
        <v>184</v>
      </c>
      <c r="F80" s="154">
        <f t="shared" ref="F80:F81" si="35">F79</f>
        <v>23074.99</v>
      </c>
      <c r="G80" s="154"/>
      <c r="H80" s="154">
        <f t="shared" si="26"/>
        <v>69224.97</v>
      </c>
      <c r="I80" s="154">
        <f t="shared" si="27"/>
        <v>1730.6242500000001</v>
      </c>
      <c r="J80" s="154">
        <v>0</v>
      </c>
      <c r="K80" s="154">
        <f t="shared" si="28"/>
        <v>11537.495000000001</v>
      </c>
      <c r="L80" s="152">
        <f t="shared" si="29"/>
        <v>80762.465000000011</v>
      </c>
      <c r="M80" s="154">
        <v>0</v>
      </c>
      <c r="N80" s="154">
        <f t="shared" si="30"/>
        <v>23074.99</v>
      </c>
      <c r="O80" s="154">
        <v>0</v>
      </c>
      <c r="P80" s="154">
        <f t="shared" si="31"/>
        <v>2307.4990000000003</v>
      </c>
      <c r="Q80" s="154">
        <v>15000</v>
      </c>
      <c r="R80" s="154">
        <v>0</v>
      </c>
      <c r="S80" s="152">
        <f t="shared" si="32"/>
        <v>226713.03325000001</v>
      </c>
      <c r="T80" s="152">
        <v>30000</v>
      </c>
      <c r="U80" s="152"/>
      <c r="V80" s="154">
        <v>3369.51</v>
      </c>
      <c r="W80" s="152">
        <f t="shared" si="33"/>
        <v>33369.51</v>
      </c>
      <c r="X80" s="152">
        <v>193343.52</v>
      </c>
      <c r="Y80" s="152">
        <f t="shared" si="34"/>
        <v>193343.52325</v>
      </c>
    </row>
    <row r="81" spans="1:26" ht="20.100000000000001" customHeight="1" x14ac:dyDescent="0.3">
      <c r="A81" s="86">
        <v>10</v>
      </c>
      <c r="B81" s="192" t="s">
        <v>324</v>
      </c>
      <c r="C81" s="192"/>
      <c r="D81" s="37" t="s">
        <v>355</v>
      </c>
      <c r="E81" s="153" t="s">
        <v>184</v>
      </c>
      <c r="F81" s="154">
        <f t="shared" si="35"/>
        <v>23074.99</v>
      </c>
      <c r="G81" s="154"/>
      <c r="H81" s="154">
        <f t="shared" si="26"/>
        <v>69224.97</v>
      </c>
      <c r="I81" s="154">
        <f t="shared" si="27"/>
        <v>1730.6242500000001</v>
      </c>
      <c r="J81" s="154">
        <v>0</v>
      </c>
      <c r="K81" s="154">
        <f t="shared" si="28"/>
        <v>11537.495000000001</v>
      </c>
      <c r="L81" s="152">
        <f t="shared" si="29"/>
        <v>80762.465000000011</v>
      </c>
      <c r="M81" s="154">
        <v>0</v>
      </c>
      <c r="N81" s="154">
        <f t="shared" si="30"/>
        <v>23074.99</v>
      </c>
      <c r="O81" s="154">
        <v>30000</v>
      </c>
      <c r="P81" s="154">
        <f t="shared" si="31"/>
        <v>2307.4990000000003</v>
      </c>
      <c r="Q81" s="154">
        <v>15000</v>
      </c>
      <c r="R81" s="154">
        <v>0</v>
      </c>
      <c r="S81" s="152">
        <f t="shared" si="32"/>
        <v>256713.03325000001</v>
      </c>
      <c r="T81" s="152">
        <v>80000</v>
      </c>
      <c r="U81" s="152"/>
      <c r="V81" s="152">
        <v>3369.51</v>
      </c>
      <c r="W81" s="152">
        <f t="shared" si="33"/>
        <v>83369.509999999995</v>
      </c>
      <c r="X81" s="152">
        <v>173343.52</v>
      </c>
      <c r="Y81" s="152">
        <f t="shared" si="34"/>
        <v>173343.52325000003</v>
      </c>
    </row>
    <row r="82" spans="1:26" ht="20.100000000000001" customHeight="1" x14ac:dyDescent="0.3">
      <c r="A82" s="86">
        <v>11</v>
      </c>
      <c r="B82" s="191" t="s">
        <v>499</v>
      </c>
      <c r="C82" s="191"/>
      <c r="D82" s="36" t="s">
        <v>166</v>
      </c>
      <c r="E82" s="153" t="s">
        <v>165</v>
      </c>
      <c r="F82" s="154">
        <v>17286.330000000002</v>
      </c>
      <c r="G82" s="154"/>
      <c r="H82" s="154">
        <f t="shared" si="26"/>
        <v>51858.990000000005</v>
      </c>
      <c r="I82" s="154">
        <f t="shared" si="27"/>
        <v>1296.4747500000001</v>
      </c>
      <c r="J82" s="154">
        <v>0</v>
      </c>
      <c r="K82" s="154">
        <f t="shared" si="28"/>
        <v>8643.1650000000009</v>
      </c>
      <c r="L82" s="152">
        <f t="shared" si="29"/>
        <v>60502.155000000006</v>
      </c>
      <c r="M82" s="154">
        <v>0</v>
      </c>
      <c r="N82" s="154">
        <f t="shared" si="30"/>
        <v>17286.330000000002</v>
      </c>
      <c r="O82" s="154">
        <v>0</v>
      </c>
      <c r="P82" s="154">
        <f t="shared" si="31"/>
        <v>1728.6330000000003</v>
      </c>
      <c r="Q82" s="154">
        <v>10000</v>
      </c>
      <c r="R82" s="154">
        <v>0</v>
      </c>
      <c r="S82" s="152">
        <f t="shared" si="32"/>
        <v>168602.07775000003</v>
      </c>
      <c r="T82" s="152">
        <v>20000</v>
      </c>
      <c r="U82" s="152">
        <f>37608</f>
        <v>37608</v>
      </c>
      <c r="V82" s="154">
        <v>1484.37</v>
      </c>
      <c r="W82" s="152">
        <f t="shared" si="33"/>
        <v>59092.369999999995</v>
      </c>
      <c r="X82" s="152">
        <v>109509.71</v>
      </c>
      <c r="Y82" s="152">
        <f t="shared" si="34"/>
        <v>109509.70775000003</v>
      </c>
    </row>
    <row r="83" spans="1:26" ht="20.100000000000001" customHeight="1" x14ac:dyDescent="0.3">
      <c r="A83" s="86">
        <v>12</v>
      </c>
      <c r="B83" s="187" t="s">
        <v>161</v>
      </c>
      <c r="C83" s="188"/>
      <c r="D83" s="36" t="s">
        <v>166</v>
      </c>
      <c r="E83" s="153" t="s">
        <v>376</v>
      </c>
      <c r="F83" s="154">
        <v>13872.4</v>
      </c>
      <c r="G83" s="154"/>
      <c r="H83" s="154">
        <f t="shared" si="26"/>
        <v>41617.199999999997</v>
      </c>
      <c r="I83" s="154">
        <f t="shared" si="27"/>
        <v>1040.4299999999998</v>
      </c>
      <c r="J83" s="154">
        <v>0</v>
      </c>
      <c r="K83" s="154">
        <f t="shared" si="28"/>
        <v>6936.2</v>
      </c>
      <c r="L83" s="152">
        <f t="shared" si="29"/>
        <v>48553.4</v>
      </c>
      <c r="M83" s="154">
        <v>0</v>
      </c>
      <c r="N83" s="154">
        <f t="shared" si="30"/>
        <v>13872.4</v>
      </c>
      <c r="O83" s="154">
        <v>0</v>
      </c>
      <c r="P83" s="154">
        <f t="shared" si="31"/>
        <v>1387.24</v>
      </c>
      <c r="Q83" s="154">
        <v>10000</v>
      </c>
      <c r="R83" s="154">
        <v>0</v>
      </c>
      <c r="S83" s="152">
        <f t="shared" si="32"/>
        <v>137279.27000000002</v>
      </c>
      <c r="T83" s="152">
        <v>10000</v>
      </c>
      <c r="U83" s="152"/>
      <c r="V83" s="154">
        <v>1484.37</v>
      </c>
      <c r="W83" s="152">
        <f t="shared" si="33"/>
        <v>11484.369999999999</v>
      </c>
      <c r="X83" s="152">
        <v>125794.9</v>
      </c>
      <c r="Y83" s="152">
        <f t="shared" si="34"/>
        <v>125794.90000000002</v>
      </c>
    </row>
    <row r="84" spans="1:26" ht="20.100000000000001" customHeight="1" x14ac:dyDescent="0.3">
      <c r="A84" s="86">
        <v>13</v>
      </c>
      <c r="B84" s="194" t="s">
        <v>181</v>
      </c>
      <c r="C84" s="194"/>
      <c r="D84" s="36" t="s">
        <v>182</v>
      </c>
      <c r="E84" s="153" t="s">
        <v>165</v>
      </c>
      <c r="F84" s="154">
        <v>17286.330000000002</v>
      </c>
      <c r="G84" s="154"/>
      <c r="H84" s="154">
        <f t="shared" si="26"/>
        <v>51858.990000000005</v>
      </c>
      <c r="I84" s="154">
        <f t="shared" si="27"/>
        <v>1296.4747500000001</v>
      </c>
      <c r="J84" s="154">
        <v>0</v>
      </c>
      <c r="K84" s="154">
        <f t="shared" si="28"/>
        <v>8643.1650000000009</v>
      </c>
      <c r="L84" s="152">
        <f t="shared" si="29"/>
        <v>60502.155000000006</v>
      </c>
      <c r="M84" s="154">
        <v>0</v>
      </c>
      <c r="N84" s="154">
        <f t="shared" si="30"/>
        <v>17286.330000000002</v>
      </c>
      <c r="O84" s="154">
        <v>0</v>
      </c>
      <c r="P84" s="154">
        <f t="shared" si="31"/>
        <v>1728.6330000000003</v>
      </c>
      <c r="Q84" s="154">
        <v>10000</v>
      </c>
      <c r="R84" s="154">
        <v>0</v>
      </c>
      <c r="S84" s="152">
        <f t="shared" si="32"/>
        <v>168602.07775000003</v>
      </c>
      <c r="T84" s="152">
        <f>10000</f>
        <v>10000</v>
      </c>
      <c r="U84" s="152">
        <f>9583</f>
        <v>9583</v>
      </c>
      <c r="V84" s="154">
        <v>1484.37</v>
      </c>
      <c r="W84" s="152">
        <f t="shared" si="33"/>
        <v>21067.37</v>
      </c>
      <c r="X84" s="152">
        <v>145534.71</v>
      </c>
      <c r="Y84" s="152">
        <f t="shared" si="34"/>
        <v>147534.70775000003</v>
      </c>
    </row>
    <row r="85" spans="1:26" ht="20.100000000000001" customHeight="1" x14ac:dyDescent="0.3">
      <c r="A85" s="86">
        <v>14</v>
      </c>
      <c r="B85" s="191" t="s">
        <v>492</v>
      </c>
      <c r="C85" s="191"/>
      <c r="D85" s="36" t="s">
        <v>182</v>
      </c>
      <c r="E85" s="153" t="s">
        <v>165</v>
      </c>
      <c r="F85" s="154">
        <v>17286.330000000002</v>
      </c>
      <c r="G85" s="154"/>
      <c r="H85" s="154">
        <f t="shared" si="26"/>
        <v>51858.990000000005</v>
      </c>
      <c r="I85" s="154">
        <f t="shared" si="27"/>
        <v>1296.4747500000001</v>
      </c>
      <c r="J85" s="154"/>
      <c r="K85" s="154">
        <f t="shared" si="28"/>
        <v>8643.1650000000009</v>
      </c>
      <c r="L85" s="152">
        <f t="shared" si="29"/>
        <v>60502.155000000006</v>
      </c>
      <c r="M85" s="154"/>
      <c r="N85" s="154">
        <f t="shared" si="30"/>
        <v>17286.330000000002</v>
      </c>
      <c r="O85" s="154"/>
      <c r="P85" s="154">
        <f t="shared" si="31"/>
        <v>1728.6330000000003</v>
      </c>
      <c r="Q85" s="154">
        <v>10000</v>
      </c>
      <c r="R85" s="154"/>
      <c r="S85" s="152">
        <f t="shared" si="32"/>
        <v>168602.07775000003</v>
      </c>
      <c r="T85" s="152">
        <v>10000</v>
      </c>
      <c r="U85" s="152"/>
      <c r="V85" s="154">
        <v>1484.37</v>
      </c>
      <c r="W85" s="152">
        <f t="shared" si="33"/>
        <v>11484.369999999999</v>
      </c>
      <c r="X85" s="152">
        <v>157117.71</v>
      </c>
      <c r="Y85" s="152">
        <f t="shared" si="34"/>
        <v>157117.70775000003</v>
      </c>
    </row>
    <row r="86" spans="1:26" ht="20.100000000000001" customHeight="1" x14ac:dyDescent="0.3">
      <c r="A86" s="86">
        <v>15</v>
      </c>
      <c r="B86" s="191" t="s">
        <v>290</v>
      </c>
      <c r="C86" s="191"/>
      <c r="D86" s="36" t="s">
        <v>182</v>
      </c>
      <c r="E86" s="153" t="s">
        <v>165</v>
      </c>
      <c r="F86" s="154">
        <v>17286.330000000002</v>
      </c>
      <c r="G86" s="154"/>
      <c r="H86" s="154">
        <f t="shared" si="26"/>
        <v>51858.990000000005</v>
      </c>
      <c r="I86" s="154">
        <f t="shared" si="27"/>
        <v>1296.4747500000001</v>
      </c>
      <c r="J86" s="154"/>
      <c r="K86" s="154">
        <f t="shared" si="28"/>
        <v>8643.1650000000009</v>
      </c>
      <c r="L86" s="152">
        <f t="shared" si="29"/>
        <v>60502.155000000006</v>
      </c>
      <c r="M86" s="154"/>
      <c r="N86" s="154">
        <f t="shared" si="30"/>
        <v>17286.330000000002</v>
      </c>
      <c r="O86" s="154"/>
      <c r="P86" s="154">
        <f t="shared" si="31"/>
        <v>1728.6330000000003</v>
      </c>
      <c r="Q86" s="154">
        <v>10000</v>
      </c>
      <c r="R86" s="154"/>
      <c r="S86" s="152">
        <f t="shared" si="32"/>
        <v>168602.07775000003</v>
      </c>
      <c r="T86" s="152">
        <v>10000</v>
      </c>
      <c r="U86" s="152"/>
      <c r="V86" s="154">
        <v>1484.37</v>
      </c>
      <c r="W86" s="152">
        <f t="shared" si="33"/>
        <v>11484.369999999999</v>
      </c>
      <c r="X86" s="152">
        <v>162117.71</v>
      </c>
      <c r="Y86" s="152">
        <f t="shared" si="34"/>
        <v>157117.70775000003</v>
      </c>
    </row>
    <row r="87" spans="1:26" ht="20.100000000000001" customHeight="1" x14ac:dyDescent="0.3">
      <c r="A87" s="86">
        <v>16</v>
      </c>
      <c r="B87" s="191" t="s">
        <v>170</v>
      </c>
      <c r="C87" s="191"/>
      <c r="D87" s="36" t="s">
        <v>388</v>
      </c>
      <c r="E87" s="153" t="s">
        <v>374</v>
      </c>
      <c r="F87" s="154">
        <v>18281.64</v>
      </c>
      <c r="G87" s="154"/>
      <c r="H87" s="154">
        <f t="shared" si="26"/>
        <v>54844.92</v>
      </c>
      <c r="I87" s="154">
        <f t="shared" si="27"/>
        <v>1371.1229999999998</v>
      </c>
      <c r="J87" s="154">
        <v>0</v>
      </c>
      <c r="K87" s="154">
        <f t="shared" si="28"/>
        <v>9140.82</v>
      </c>
      <c r="L87" s="152">
        <f t="shared" si="29"/>
        <v>63985.74</v>
      </c>
      <c r="M87" s="154">
        <v>0</v>
      </c>
      <c r="N87" s="154">
        <f t="shared" si="30"/>
        <v>18281.64</v>
      </c>
      <c r="O87" s="154">
        <v>0</v>
      </c>
      <c r="P87" s="154">
        <f t="shared" si="31"/>
        <v>1828.164</v>
      </c>
      <c r="Q87" s="154">
        <v>10000</v>
      </c>
      <c r="R87" s="154">
        <v>0</v>
      </c>
      <c r="S87" s="152">
        <f t="shared" si="32"/>
        <v>177734.04699999996</v>
      </c>
      <c r="T87" s="152">
        <v>40000</v>
      </c>
      <c r="U87" s="152"/>
      <c r="V87" s="154">
        <v>3369.51</v>
      </c>
      <c r="W87" s="152">
        <f t="shared" si="33"/>
        <v>43369.51</v>
      </c>
      <c r="X87" s="152">
        <v>134364.54</v>
      </c>
      <c r="Y87" s="152">
        <f t="shared" si="34"/>
        <v>134364.53699999995</v>
      </c>
    </row>
    <row r="88" spans="1:26" ht="20.100000000000001" customHeight="1" x14ac:dyDescent="0.3">
      <c r="A88" s="86">
        <v>17</v>
      </c>
      <c r="B88" s="187" t="s">
        <v>399</v>
      </c>
      <c r="C88" s="188"/>
      <c r="D88" s="36" t="s">
        <v>223</v>
      </c>
      <c r="E88" s="153" t="s">
        <v>374</v>
      </c>
      <c r="F88" s="154">
        <v>18281.64</v>
      </c>
      <c r="G88" s="154">
        <v>0</v>
      </c>
      <c r="H88" s="154">
        <f t="shared" si="26"/>
        <v>54844.92</v>
      </c>
      <c r="I88" s="154">
        <f t="shared" si="27"/>
        <v>1371.1229999999998</v>
      </c>
      <c r="J88" s="154"/>
      <c r="K88" s="154">
        <f t="shared" si="28"/>
        <v>9140.82</v>
      </c>
      <c r="L88" s="152">
        <f t="shared" si="29"/>
        <v>63985.74</v>
      </c>
      <c r="M88" s="154"/>
      <c r="N88" s="154">
        <f t="shared" si="30"/>
        <v>18281.64</v>
      </c>
      <c r="O88" s="154"/>
      <c r="P88" s="154">
        <f t="shared" si="31"/>
        <v>1828.164</v>
      </c>
      <c r="Q88" s="154">
        <v>10000</v>
      </c>
      <c r="R88" s="154"/>
      <c r="S88" s="152">
        <f t="shared" si="32"/>
        <v>177734.04699999996</v>
      </c>
      <c r="T88" s="152">
        <v>30000</v>
      </c>
      <c r="U88" s="152"/>
      <c r="V88" s="154">
        <v>3369.51</v>
      </c>
      <c r="W88" s="152">
        <f t="shared" si="33"/>
        <v>33369.51</v>
      </c>
      <c r="X88" s="152">
        <v>164364.54</v>
      </c>
      <c r="Y88" s="152">
        <f t="shared" si="34"/>
        <v>144364.53699999995</v>
      </c>
    </row>
    <row r="89" spans="1:26" ht="20.100000000000001" customHeight="1" x14ac:dyDescent="0.3">
      <c r="A89" s="86">
        <v>18</v>
      </c>
      <c r="B89" s="191" t="s">
        <v>6</v>
      </c>
      <c r="C89" s="191"/>
      <c r="D89" s="36" t="s">
        <v>390</v>
      </c>
      <c r="E89" s="153" t="s">
        <v>374</v>
      </c>
      <c r="F89" s="154">
        <v>18281.64</v>
      </c>
      <c r="G89" s="154"/>
      <c r="H89" s="154">
        <f t="shared" si="26"/>
        <v>54844.92</v>
      </c>
      <c r="I89" s="154">
        <f t="shared" si="27"/>
        <v>1371.1229999999998</v>
      </c>
      <c r="J89" s="154">
        <v>0</v>
      </c>
      <c r="K89" s="154">
        <f t="shared" si="28"/>
        <v>9140.82</v>
      </c>
      <c r="L89" s="152">
        <f t="shared" si="29"/>
        <v>63985.74</v>
      </c>
      <c r="M89" s="154">
        <v>0</v>
      </c>
      <c r="N89" s="154">
        <f t="shared" si="30"/>
        <v>18281.64</v>
      </c>
      <c r="O89" s="154">
        <v>0</v>
      </c>
      <c r="P89" s="154">
        <f t="shared" si="31"/>
        <v>1828.164</v>
      </c>
      <c r="Q89" s="154">
        <v>10000</v>
      </c>
      <c r="R89" s="154">
        <v>0</v>
      </c>
      <c r="S89" s="152">
        <f t="shared" si="32"/>
        <v>177734.04699999996</v>
      </c>
      <c r="T89" s="152">
        <v>3000</v>
      </c>
      <c r="U89" s="152">
        <f>8750</f>
        <v>8750</v>
      </c>
      <c r="V89" s="154">
        <v>3369.51</v>
      </c>
      <c r="W89" s="152">
        <f t="shared" si="33"/>
        <v>15119.51</v>
      </c>
      <c r="X89" s="152">
        <v>162614.54</v>
      </c>
      <c r="Y89" s="152">
        <f t="shared" si="34"/>
        <v>162614.53699999995</v>
      </c>
    </row>
    <row r="90" spans="1:26" ht="20.100000000000001" customHeight="1" x14ac:dyDescent="0.3">
      <c r="A90" s="86">
        <v>19</v>
      </c>
      <c r="B90" s="191" t="s">
        <v>7</v>
      </c>
      <c r="C90" s="191"/>
      <c r="D90" s="37" t="s">
        <v>390</v>
      </c>
      <c r="E90" s="153" t="s">
        <v>374</v>
      </c>
      <c r="F90" s="154">
        <v>18281.64</v>
      </c>
      <c r="G90" s="154"/>
      <c r="H90" s="154">
        <f t="shared" si="26"/>
        <v>54844.92</v>
      </c>
      <c r="I90" s="154">
        <f t="shared" si="27"/>
        <v>1371.1229999999998</v>
      </c>
      <c r="J90" s="154">
        <v>0</v>
      </c>
      <c r="K90" s="154">
        <f t="shared" si="28"/>
        <v>9140.82</v>
      </c>
      <c r="L90" s="152">
        <f t="shared" si="29"/>
        <v>63985.74</v>
      </c>
      <c r="M90" s="154">
        <v>0</v>
      </c>
      <c r="N90" s="154">
        <f t="shared" si="30"/>
        <v>18281.64</v>
      </c>
      <c r="O90" s="154">
        <v>0</v>
      </c>
      <c r="P90" s="154">
        <f t="shared" si="31"/>
        <v>1828.164</v>
      </c>
      <c r="Q90" s="154">
        <v>10000</v>
      </c>
      <c r="R90" s="154">
        <v>0</v>
      </c>
      <c r="S90" s="152">
        <f t="shared" si="32"/>
        <v>177734.04699999996</v>
      </c>
      <c r="T90" s="152">
        <v>10000</v>
      </c>
      <c r="U90" s="152"/>
      <c r="V90" s="154">
        <v>3369.51</v>
      </c>
      <c r="W90" s="152">
        <f t="shared" si="33"/>
        <v>13369.51</v>
      </c>
      <c r="X90" s="152">
        <v>164364.54</v>
      </c>
      <c r="Y90" s="152">
        <f t="shared" si="34"/>
        <v>164364.53699999995</v>
      </c>
    </row>
    <row r="91" spans="1:26" ht="20.100000000000001" customHeight="1" x14ac:dyDescent="0.3">
      <c r="A91" s="86">
        <v>20</v>
      </c>
      <c r="B91" s="191" t="s">
        <v>461</v>
      </c>
      <c r="C91" s="191"/>
      <c r="D91" s="36" t="s">
        <v>30</v>
      </c>
      <c r="E91" s="153" t="s">
        <v>488</v>
      </c>
      <c r="F91" s="152">
        <v>12732</v>
      </c>
      <c r="G91" s="154"/>
      <c r="H91" s="154">
        <f t="shared" si="26"/>
        <v>38196</v>
      </c>
      <c r="I91" s="154">
        <f t="shared" si="27"/>
        <v>954.9</v>
      </c>
      <c r="J91" s="152">
        <v>0</v>
      </c>
      <c r="K91" s="154">
        <f t="shared" si="28"/>
        <v>6366</v>
      </c>
      <c r="L91" s="152">
        <f t="shared" si="29"/>
        <v>44562</v>
      </c>
      <c r="M91" s="154">
        <v>0</v>
      </c>
      <c r="N91" s="154">
        <f t="shared" si="30"/>
        <v>12732</v>
      </c>
      <c r="O91" s="154">
        <v>0</v>
      </c>
      <c r="P91" s="154">
        <f t="shared" si="31"/>
        <v>1273.2</v>
      </c>
      <c r="Q91" s="154">
        <v>10000</v>
      </c>
      <c r="R91" s="154">
        <v>0</v>
      </c>
      <c r="S91" s="152">
        <f t="shared" si="32"/>
        <v>126816.09999999999</v>
      </c>
      <c r="T91" s="152"/>
      <c r="U91" s="152"/>
      <c r="V91" s="154">
        <v>1484.37</v>
      </c>
      <c r="W91" s="152">
        <f t="shared" si="33"/>
        <v>1484.37</v>
      </c>
      <c r="X91" s="152">
        <v>125331.73</v>
      </c>
      <c r="Y91" s="152">
        <f t="shared" si="34"/>
        <v>125331.73</v>
      </c>
      <c r="Z91" s="138"/>
    </row>
    <row r="92" spans="1:26" ht="20.100000000000001" customHeight="1" x14ac:dyDescent="0.3">
      <c r="A92" s="86">
        <v>21</v>
      </c>
      <c r="B92" s="187" t="s">
        <v>463</v>
      </c>
      <c r="C92" s="188"/>
      <c r="D92" s="36" t="s">
        <v>30</v>
      </c>
      <c r="E92" s="153" t="s">
        <v>488</v>
      </c>
      <c r="F92" s="152">
        <v>12732</v>
      </c>
      <c r="G92" s="154"/>
      <c r="H92" s="154">
        <f t="shared" si="26"/>
        <v>38196</v>
      </c>
      <c r="I92" s="154">
        <f t="shared" si="27"/>
        <v>954.9</v>
      </c>
      <c r="J92" s="152"/>
      <c r="K92" s="154">
        <f t="shared" si="28"/>
        <v>6366</v>
      </c>
      <c r="L92" s="152">
        <f t="shared" si="29"/>
        <v>44562</v>
      </c>
      <c r="M92" s="154"/>
      <c r="N92" s="154">
        <f t="shared" si="30"/>
        <v>12732</v>
      </c>
      <c r="O92" s="154"/>
      <c r="P92" s="154">
        <f t="shared" si="31"/>
        <v>1273.2</v>
      </c>
      <c r="Q92" s="154">
        <v>10000</v>
      </c>
      <c r="R92" s="154"/>
      <c r="S92" s="152">
        <f t="shared" si="32"/>
        <v>126816.09999999999</v>
      </c>
      <c r="T92" s="152">
        <v>50000</v>
      </c>
      <c r="U92" s="152"/>
      <c r="V92" s="154">
        <v>1484.37</v>
      </c>
      <c r="W92" s="152">
        <f t="shared" si="33"/>
        <v>51484.37</v>
      </c>
      <c r="X92" s="152">
        <v>75331.73</v>
      </c>
      <c r="Y92" s="152">
        <f t="shared" si="34"/>
        <v>75331.729999999981</v>
      </c>
      <c r="Z92" s="138"/>
    </row>
    <row r="93" spans="1:26" ht="20.100000000000001" customHeight="1" x14ac:dyDescent="0.3">
      <c r="A93" s="86">
        <v>22</v>
      </c>
      <c r="B93" s="191" t="s">
        <v>262</v>
      </c>
      <c r="C93" s="191"/>
      <c r="D93" s="36" t="s">
        <v>30</v>
      </c>
      <c r="E93" s="153" t="s">
        <v>489</v>
      </c>
      <c r="F93" s="152">
        <v>14632.59</v>
      </c>
      <c r="G93" s="154"/>
      <c r="H93" s="154">
        <f t="shared" si="26"/>
        <v>43897.770000000004</v>
      </c>
      <c r="I93" s="154">
        <f t="shared" si="27"/>
        <v>1097.44425</v>
      </c>
      <c r="J93" s="152">
        <v>0</v>
      </c>
      <c r="K93" s="154">
        <f t="shared" si="28"/>
        <v>7316.2950000000001</v>
      </c>
      <c r="L93" s="152">
        <f t="shared" si="29"/>
        <v>51214.065000000002</v>
      </c>
      <c r="M93" s="154">
        <v>0</v>
      </c>
      <c r="N93" s="154">
        <f t="shared" si="30"/>
        <v>14632.59</v>
      </c>
      <c r="O93" s="154">
        <v>0</v>
      </c>
      <c r="P93" s="154">
        <f t="shared" si="31"/>
        <v>1463.259</v>
      </c>
      <c r="Q93" s="154">
        <v>10000</v>
      </c>
      <c r="R93" s="154">
        <v>0</v>
      </c>
      <c r="S93" s="152">
        <f t="shared" si="32"/>
        <v>144254.01324999999</v>
      </c>
      <c r="T93" s="152">
        <v>5000</v>
      </c>
      <c r="U93" s="152">
        <f>8750</f>
        <v>8750</v>
      </c>
      <c r="V93" s="154">
        <v>1484.37</v>
      </c>
      <c r="W93" s="152">
        <f t="shared" si="33"/>
        <v>15234.369999999999</v>
      </c>
      <c r="X93" s="152">
        <v>129019.64</v>
      </c>
      <c r="Y93" s="152">
        <f t="shared" si="34"/>
        <v>129019.64324999999</v>
      </c>
    </row>
    <row r="94" spans="1:26" ht="20.100000000000001" customHeight="1" x14ac:dyDescent="0.3">
      <c r="A94" s="86">
        <v>23</v>
      </c>
      <c r="B94" s="187" t="s">
        <v>85</v>
      </c>
      <c r="C94" s="188"/>
      <c r="D94" s="36" t="s">
        <v>495</v>
      </c>
      <c r="E94" s="153" t="s">
        <v>167</v>
      </c>
      <c r="F94" s="156">
        <v>12351.94</v>
      </c>
      <c r="G94" s="152"/>
      <c r="H94" s="154">
        <f t="shared" si="26"/>
        <v>37055.82</v>
      </c>
      <c r="I94" s="154">
        <f t="shared" si="27"/>
        <v>926.39549999999997</v>
      </c>
      <c r="J94" s="154"/>
      <c r="K94" s="154">
        <f t="shared" si="28"/>
        <v>6175.97</v>
      </c>
      <c r="L94" s="152">
        <f t="shared" si="29"/>
        <v>43231.79</v>
      </c>
      <c r="M94" s="154"/>
      <c r="N94" s="154">
        <f t="shared" si="30"/>
        <v>12351.94</v>
      </c>
      <c r="O94" s="154"/>
      <c r="P94" s="154">
        <f t="shared" si="31"/>
        <v>1235.1940000000002</v>
      </c>
      <c r="Q94" s="154">
        <v>10000</v>
      </c>
      <c r="R94" s="154"/>
      <c r="S94" s="152">
        <f>SUM(F94:R94)</f>
        <v>123329.04950000001</v>
      </c>
      <c r="T94" s="152">
        <f>10000</f>
        <v>10000</v>
      </c>
      <c r="U94" s="152">
        <f>10500</f>
        <v>10500</v>
      </c>
      <c r="V94" s="154">
        <v>1484.37</v>
      </c>
      <c r="W94" s="152">
        <f>V94+T94+U94</f>
        <v>21984.37</v>
      </c>
      <c r="X94" s="152">
        <v>101344.68</v>
      </c>
      <c r="Y94" s="152">
        <f>S94-W94</f>
        <v>101344.67950000001</v>
      </c>
    </row>
    <row r="95" spans="1:26" ht="20.100000000000001" customHeight="1" x14ac:dyDescent="0.3">
      <c r="A95" s="86">
        <v>24</v>
      </c>
      <c r="B95" s="187" t="s">
        <v>352</v>
      </c>
      <c r="C95" s="188"/>
      <c r="D95" s="36" t="s">
        <v>30</v>
      </c>
      <c r="E95" s="153" t="s">
        <v>449</v>
      </c>
      <c r="F95" s="152">
        <v>14252.45</v>
      </c>
      <c r="G95" s="154"/>
      <c r="H95" s="154">
        <f t="shared" si="26"/>
        <v>42757.350000000006</v>
      </c>
      <c r="I95" s="154">
        <f t="shared" si="27"/>
        <v>1068.9337499999999</v>
      </c>
      <c r="J95" s="152"/>
      <c r="K95" s="154">
        <f t="shared" si="28"/>
        <v>7126.2250000000004</v>
      </c>
      <c r="L95" s="152">
        <f t="shared" si="29"/>
        <v>49883.575000000004</v>
      </c>
      <c r="M95" s="154"/>
      <c r="N95" s="154">
        <f t="shared" si="30"/>
        <v>14252.45</v>
      </c>
      <c r="O95" s="154"/>
      <c r="P95" s="154">
        <f t="shared" si="31"/>
        <v>1425.2450000000001</v>
      </c>
      <c r="Q95" s="154">
        <v>10000</v>
      </c>
      <c r="R95" s="154"/>
      <c r="S95" s="152">
        <f t="shared" si="32"/>
        <v>140766.22875000001</v>
      </c>
      <c r="T95" s="152"/>
      <c r="U95" s="152"/>
      <c r="V95" s="154">
        <v>1484.37</v>
      </c>
      <c r="W95" s="152">
        <f t="shared" si="33"/>
        <v>1484.37</v>
      </c>
      <c r="X95" s="152">
        <v>139281.85999999999</v>
      </c>
      <c r="Y95" s="152">
        <f t="shared" si="34"/>
        <v>139281.85875000001</v>
      </c>
    </row>
    <row r="96" spans="1:26" ht="20.100000000000001" customHeight="1" x14ac:dyDescent="0.3">
      <c r="A96" s="86">
        <v>25</v>
      </c>
      <c r="B96" s="187" t="s">
        <v>496</v>
      </c>
      <c r="C96" s="188"/>
      <c r="D96" s="36" t="s">
        <v>282</v>
      </c>
      <c r="E96" s="153"/>
      <c r="F96" s="152"/>
      <c r="G96" s="154"/>
      <c r="H96" s="154"/>
      <c r="I96" s="154"/>
      <c r="J96" s="152"/>
      <c r="K96" s="154"/>
      <c r="L96" s="152"/>
      <c r="M96" s="154"/>
      <c r="N96" s="154"/>
      <c r="O96" s="154"/>
      <c r="P96" s="154"/>
      <c r="Q96" s="154"/>
      <c r="R96" s="154"/>
      <c r="S96" s="152">
        <v>123329.05</v>
      </c>
      <c r="T96" s="152"/>
      <c r="U96" s="152"/>
      <c r="V96" s="154"/>
      <c r="W96" s="152"/>
      <c r="X96" s="152">
        <v>123329.05</v>
      </c>
      <c r="Y96" s="152">
        <f t="shared" si="34"/>
        <v>123329.05</v>
      </c>
    </row>
    <row r="97" spans="1:25" ht="20.100000000000001" customHeight="1" x14ac:dyDescent="0.3">
      <c r="A97" s="86">
        <v>26</v>
      </c>
      <c r="B97" s="191" t="s">
        <v>40</v>
      </c>
      <c r="C97" s="191"/>
      <c r="D97" s="36" t="s">
        <v>392</v>
      </c>
      <c r="E97" s="153" t="s">
        <v>491</v>
      </c>
      <c r="F97" s="156">
        <v>5257.44</v>
      </c>
      <c r="G97" s="152"/>
      <c r="H97" s="154">
        <f t="shared" si="26"/>
        <v>15772.32</v>
      </c>
      <c r="I97" s="154">
        <f t="shared" si="27"/>
        <v>394.30799999999994</v>
      </c>
      <c r="J97" s="156">
        <v>0</v>
      </c>
      <c r="K97" s="154">
        <f t="shared" si="28"/>
        <v>2628.72</v>
      </c>
      <c r="L97" s="152">
        <f t="shared" si="29"/>
        <v>18401.039999999997</v>
      </c>
      <c r="M97" s="154">
        <v>0</v>
      </c>
      <c r="N97" s="154">
        <f t="shared" si="30"/>
        <v>5257.44</v>
      </c>
      <c r="O97" s="154">
        <v>0</v>
      </c>
      <c r="P97" s="154">
        <f t="shared" si="31"/>
        <v>525.74400000000003</v>
      </c>
      <c r="Q97" s="156">
        <v>5000</v>
      </c>
      <c r="R97" s="154">
        <v>0</v>
      </c>
      <c r="S97" s="152">
        <f t="shared" si="32"/>
        <v>53237.011999999995</v>
      </c>
      <c r="T97" s="152">
        <v>10000</v>
      </c>
      <c r="U97" s="152"/>
      <c r="V97" s="152">
        <v>236.04</v>
      </c>
      <c r="W97" s="152">
        <f t="shared" si="33"/>
        <v>10236.040000000001</v>
      </c>
      <c r="X97" s="152">
        <v>43000.97</v>
      </c>
      <c r="Y97" s="152">
        <f t="shared" si="34"/>
        <v>43000.971999999994</v>
      </c>
    </row>
    <row r="98" spans="1:25" ht="20.100000000000001" customHeight="1" x14ac:dyDescent="0.3">
      <c r="A98" s="86">
        <v>27</v>
      </c>
      <c r="B98" s="191" t="s">
        <v>17</v>
      </c>
      <c r="C98" s="191"/>
      <c r="D98" s="36" t="s">
        <v>392</v>
      </c>
      <c r="E98" s="153" t="s">
        <v>491</v>
      </c>
      <c r="F98" s="156">
        <v>5257.44</v>
      </c>
      <c r="G98" s="152"/>
      <c r="H98" s="154">
        <f t="shared" si="26"/>
        <v>15772.32</v>
      </c>
      <c r="I98" s="154">
        <f t="shared" si="27"/>
        <v>394.30799999999994</v>
      </c>
      <c r="J98" s="156">
        <v>0</v>
      </c>
      <c r="K98" s="154">
        <f t="shared" si="28"/>
        <v>2628.72</v>
      </c>
      <c r="L98" s="152">
        <f t="shared" si="29"/>
        <v>18401.039999999997</v>
      </c>
      <c r="M98" s="154">
        <v>0</v>
      </c>
      <c r="N98" s="154">
        <f t="shared" si="30"/>
        <v>5257.44</v>
      </c>
      <c r="O98" s="154">
        <v>0</v>
      </c>
      <c r="P98" s="154">
        <f t="shared" si="31"/>
        <v>525.74400000000003</v>
      </c>
      <c r="Q98" s="156">
        <v>5000</v>
      </c>
      <c r="R98" s="154">
        <v>0</v>
      </c>
      <c r="S98" s="152">
        <f t="shared" si="32"/>
        <v>53237.011999999995</v>
      </c>
      <c r="T98" s="152">
        <v>5000</v>
      </c>
      <c r="U98" s="152"/>
      <c r="V98" s="152">
        <v>236.04</v>
      </c>
      <c r="W98" s="152">
        <f t="shared" si="33"/>
        <v>5236.04</v>
      </c>
      <c r="X98" s="152">
        <v>48000.97</v>
      </c>
      <c r="Y98" s="152">
        <f t="shared" si="34"/>
        <v>48000.971999999994</v>
      </c>
    </row>
    <row r="99" spans="1:25" ht="20.100000000000001" customHeight="1" x14ac:dyDescent="0.3">
      <c r="A99" s="86">
        <v>28</v>
      </c>
      <c r="B99" s="191" t="s">
        <v>41</v>
      </c>
      <c r="C99" s="191"/>
      <c r="D99" s="36" t="s">
        <v>392</v>
      </c>
      <c r="E99" s="153" t="s">
        <v>491</v>
      </c>
      <c r="F99" s="156">
        <v>5257.44</v>
      </c>
      <c r="G99" s="152"/>
      <c r="H99" s="154">
        <f t="shared" si="26"/>
        <v>15772.32</v>
      </c>
      <c r="I99" s="154">
        <f t="shared" si="27"/>
        <v>394.30799999999994</v>
      </c>
      <c r="J99" s="154">
        <v>0</v>
      </c>
      <c r="K99" s="154">
        <f t="shared" si="28"/>
        <v>2628.72</v>
      </c>
      <c r="L99" s="152">
        <f t="shared" si="29"/>
        <v>18401.039999999997</v>
      </c>
      <c r="M99" s="154">
        <v>0</v>
      </c>
      <c r="N99" s="154">
        <f t="shared" si="30"/>
        <v>5257.44</v>
      </c>
      <c r="O99" s="154">
        <v>0</v>
      </c>
      <c r="P99" s="154">
        <f t="shared" si="31"/>
        <v>525.74400000000003</v>
      </c>
      <c r="Q99" s="154">
        <v>5000</v>
      </c>
      <c r="R99" s="154">
        <v>0</v>
      </c>
      <c r="S99" s="152">
        <f t="shared" si="32"/>
        <v>53237.011999999995</v>
      </c>
      <c r="T99" s="152">
        <v>5000</v>
      </c>
      <c r="U99" s="152"/>
      <c r="V99" s="152">
        <v>236.04</v>
      </c>
      <c r="W99" s="152">
        <f t="shared" si="33"/>
        <v>5236.04</v>
      </c>
      <c r="X99" s="152">
        <v>48000.97</v>
      </c>
      <c r="Y99" s="152">
        <f t="shared" si="34"/>
        <v>48000.971999999994</v>
      </c>
    </row>
    <row r="100" spans="1:25" ht="20.100000000000001" customHeight="1" x14ac:dyDescent="0.3">
      <c r="A100" s="86">
        <v>29</v>
      </c>
      <c r="B100" s="191" t="s">
        <v>42</v>
      </c>
      <c r="C100" s="191"/>
      <c r="D100" s="36" t="s">
        <v>392</v>
      </c>
      <c r="E100" s="153" t="s">
        <v>491</v>
      </c>
      <c r="F100" s="156">
        <v>5257.44</v>
      </c>
      <c r="G100" s="152"/>
      <c r="H100" s="154">
        <f t="shared" si="26"/>
        <v>15772.32</v>
      </c>
      <c r="I100" s="154">
        <f t="shared" si="27"/>
        <v>394.30799999999994</v>
      </c>
      <c r="J100" s="154">
        <v>0</v>
      </c>
      <c r="K100" s="154">
        <f t="shared" si="28"/>
        <v>2628.72</v>
      </c>
      <c r="L100" s="152">
        <f t="shared" si="29"/>
        <v>18401.039999999997</v>
      </c>
      <c r="M100" s="154">
        <v>0</v>
      </c>
      <c r="N100" s="154">
        <f t="shared" si="30"/>
        <v>5257.44</v>
      </c>
      <c r="O100" s="154">
        <v>0</v>
      </c>
      <c r="P100" s="154">
        <f t="shared" si="31"/>
        <v>525.74400000000003</v>
      </c>
      <c r="Q100" s="154">
        <v>5000</v>
      </c>
      <c r="R100" s="154">
        <v>0</v>
      </c>
      <c r="S100" s="152">
        <f t="shared" si="32"/>
        <v>53237.011999999995</v>
      </c>
      <c r="T100" s="152">
        <v>3000</v>
      </c>
      <c r="U100" s="152">
        <f>6300</f>
        <v>6300</v>
      </c>
      <c r="V100" s="152">
        <v>236.04</v>
      </c>
      <c r="W100" s="152">
        <f t="shared" si="33"/>
        <v>9536.0400000000009</v>
      </c>
      <c r="X100" s="152">
        <v>43700.97</v>
      </c>
      <c r="Y100" s="152">
        <f t="shared" si="34"/>
        <v>43700.971999999994</v>
      </c>
    </row>
    <row r="101" spans="1:25" ht="20.100000000000001" customHeight="1" x14ac:dyDescent="0.3">
      <c r="A101" s="86">
        <v>30</v>
      </c>
      <c r="B101" s="191" t="s">
        <v>43</v>
      </c>
      <c r="C101" s="191"/>
      <c r="D101" s="36" t="s">
        <v>392</v>
      </c>
      <c r="E101" s="153" t="s">
        <v>491</v>
      </c>
      <c r="F101" s="156">
        <v>5257.44</v>
      </c>
      <c r="G101" s="152"/>
      <c r="H101" s="154">
        <f t="shared" si="26"/>
        <v>15772.32</v>
      </c>
      <c r="I101" s="154">
        <f t="shared" si="27"/>
        <v>394.30799999999994</v>
      </c>
      <c r="J101" s="154">
        <v>0</v>
      </c>
      <c r="K101" s="154">
        <f t="shared" si="28"/>
        <v>2628.72</v>
      </c>
      <c r="L101" s="152">
        <f t="shared" si="29"/>
        <v>18401.039999999997</v>
      </c>
      <c r="M101" s="154">
        <v>0</v>
      </c>
      <c r="N101" s="154">
        <f t="shared" si="30"/>
        <v>5257.44</v>
      </c>
      <c r="O101" s="154">
        <v>0</v>
      </c>
      <c r="P101" s="154">
        <f t="shared" si="31"/>
        <v>525.74400000000003</v>
      </c>
      <c r="Q101" s="154">
        <v>5000</v>
      </c>
      <c r="R101" s="154">
        <v>0</v>
      </c>
      <c r="S101" s="152">
        <f t="shared" si="32"/>
        <v>53237.011999999995</v>
      </c>
      <c r="T101" s="152"/>
      <c r="U101" s="152"/>
      <c r="V101" s="152">
        <v>236.04</v>
      </c>
      <c r="W101" s="152">
        <f t="shared" si="33"/>
        <v>236.04</v>
      </c>
      <c r="X101" s="152">
        <v>53000.97</v>
      </c>
      <c r="Y101" s="152">
        <f t="shared" si="34"/>
        <v>53000.971999999994</v>
      </c>
    </row>
    <row r="102" spans="1:25" ht="20.100000000000001" customHeight="1" x14ac:dyDescent="0.3">
      <c r="A102" s="86">
        <v>31</v>
      </c>
      <c r="B102" s="191" t="s">
        <v>44</v>
      </c>
      <c r="C102" s="191"/>
      <c r="D102" s="36" t="s">
        <v>392</v>
      </c>
      <c r="E102" s="153" t="s">
        <v>491</v>
      </c>
      <c r="F102" s="156">
        <v>5257.44</v>
      </c>
      <c r="G102" s="152"/>
      <c r="H102" s="154">
        <f t="shared" si="26"/>
        <v>15772.32</v>
      </c>
      <c r="I102" s="154">
        <f t="shared" si="27"/>
        <v>394.30799999999994</v>
      </c>
      <c r="J102" s="154">
        <v>0</v>
      </c>
      <c r="K102" s="154">
        <f t="shared" si="28"/>
        <v>2628.72</v>
      </c>
      <c r="L102" s="152">
        <f t="shared" si="29"/>
        <v>18401.039999999997</v>
      </c>
      <c r="M102" s="154">
        <v>0</v>
      </c>
      <c r="N102" s="154">
        <f t="shared" si="30"/>
        <v>5257.44</v>
      </c>
      <c r="O102" s="154">
        <v>0</v>
      </c>
      <c r="P102" s="154">
        <f t="shared" si="31"/>
        <v>525.74400000000003</v>
      </c>
      <c r="Q102" s="154">
        <v>5000</v>
      </c>
      <c r="R102" s="154">
        <v>0</v>
      </c>
      <c r="S102" s="152">
        <f t="shared" si="32"/>
        <v>53237.011999999995</v>
      </c>
      <c r="T102" s="152">
        <v>3000</v>
      </c>
      <c r="U102" s="152"/>
      <c r="V102" s="152">
        <v>236.04</v>
      </c>
      <c r="W102" s="152">
        <f t="shared" si="33"/>
        <v>3236.04</v>
      </c>
      <c r="X102" s="152">
        <v>50000.97</v>
      </c>
      <c r="Y102" s="152">
        <f t="shared" si="34"/>
        <v>50000.971999999994</v>
      </c>
    </row>
    <row r="103" spans="1:25" ht="20.100000000000001" customHeight="1" x14ac:dyDescent="0.3">
      <c r="A103" s="86">
        <v>32</v>
      </c>
      <c r="B103" s="191" t="s">
        <v>63</v>
      </c>
      <c r="C103" s="191"/>
      <c r="D103" s="36" t="s">
        <v>392</v>
      </c>
      <c r="E103" s="153" t="s">
        <v>491</v>
      </c>
      <c r="F103" s="156">
        <v>5257.44</v>
      </c>
      <c r="G103" s="152"/>
      <c r="H103" s="154">
        <f t="shared" si="26"/>
        <v>15772.32</v>
      </c>
      <c r="I103" s="154">
        <f t="shared" si="27"/>
        <v>394.30799999999994</v>
      </c>
      <c r="J103" s="154">
        <v>0</v>
      </c>
      <c r="K103" s="154">
        <f t="shared" si="28"/>
        <v>2628.72</v>
      </c>
      <c r="L103" s="152">
        <f t="shared" si="29"/>
        <v>18401.039999999997</v>
      </c>
      <c r="M103" s="154">
        <v>0</v>
      </c>
      <c r="N103" s="154">
        <f t="shared" si="30"/>
        <v>5257.44</v>
      </c>
      <c r="O103" s="154">
        <v>0</v>
      </c>
      <c r="P103" s="154">
        <f t="shared" si="31"/>
        <v>525.74400000000003</v>
      </c>
      <c r="Q103" s="154">
        <v>5000</v>
      </c>
      <c r="R103" s="154">
        <v>0</v>
      </c>
      <c r="S103" s="152">
        <f t="shared" si="32"/>
        <v>53237.011999999995</v>
      </c>
      <c r="T103" s="152">
        <v>3000</v>
      </c>
      <c r="U103" s="152">
        <f>10500</f>
        <v>10500</v>
      </c>
      <c r="V103" s="152">
        <v>236.04</v>
      </c>
      <c r="W103" s="152">
        <f t="shared" si="33"/>
        <v>13736.04</v>
      </c>
      <c r="X103" s="152">
        <v>39500.97</v>
      </c>
      <c r="Y103" s="152">
        <f t="shared" si="34"/>
        <v>39500.971999999994</v>
      </c>
    </row>
    <row r="104" spans="1:25" ht="20.100000000000001" customHeight="1" x14ac:dyDescent="0.3">
      <c r="A104" s="86">
        <v>33</v>
      </c>
      <c r="B104" s="191" t="s">
        <v>64</v>
      </c>
      <c r="C104" s="191"/>
      <c r="D104" s="36" t="s">
        <v>392</v>
      </c>
      <c r="E104" s="153" t="s">
        <v>491</v>
      </c>
      <c r="F104" s="156">
        <v>5257.44</v>
      </c>
      <c r="G104" s="152"/>
      <c r="H104" s="154">
        <f t="shared" si="26"/>
        <v>15772.32</v>
      </c>
      <c r="I104" s="154">
        <f t="shared" si="27"/>
        <v>394.30799999999994</v>
      </c>
      <c r="J104" s="154">
        <v>0</v>
      </c>
      <c r="K104" s="154">
        <f t="shared" si="28"/>
        <v>2628.72</v>
      </c>
      <c r="L104" s="152">
        <f t="shared" si="29"/>
        <v>18401.039999999997</v>
      </c>
      <c r="M104" s="154">
        <v>0</v>
      </c>
      <c r="N104" s="154">
        <f t="shared" si="30"/>
        <v>5257.44</v>
      </c>
      <c r="O104" s="154">
        <v>0</v>
      </c>
      <c r="P104" s="154">
        <f t="shared" si="31"/>
        <v>525.74400000000003</v>
      </c>
      <c r="Q104" s="154">
        <v>5000</v>
      </c>
      <c r="R104" s="154">
        <v>0</v>
      </c>
      <c r="S104" s="152">
        <f t="shared" si="32"/>
        <v>53237.011999999995</v>
      </c>
      <c r="T104" s="152">
        <v>3000</v>
      </c>
      <c r="U104" s="152">
        <f>7088</f>
        <v>7088</v>
      </c>
      <c r="V104" s="152">
        <v>236.04</v>
      </c>
      <c r="W104" s="152">
        <f t="shared" si="33"/>
        <v>10324.040000000001</v>
      </c>
      <c r="X104" s="152">
        <v>50000.97</v>
      </c>
      <c r="Y104" s="152">
        <f t="shared" si="34"/>
        <v>42912.971999999994</v>
      </c>
    </row>
    <row r="105" spans="1:25" ht="20.100000000000001" customHeight="1" x14ac:dyDescent="0.3">
      <c r="A105" s="86">
        <v>34</v>
      </c>
      <c r="B105" s="191" t="s">
        <v>261</v>
      </c>
      <c r="C105" s="191"/>
      <c r="D105" s="36" t="s">
        <v>14</v>
      </c>
      <c r="E105" s="153" t="s">
        <v>490</v>
      </c>
      <c r="F105" s="154">
        <v>4689.38</v>
      </c>
      <c r="G105" s="152"/>
      <c r="H105" s="154">
        <f t="shared" si="26"/>
        <v>14068.14</v>
      </c>
      <c r="I105" s="154">
        <f t="shared" si="27"/>
        <v>351.70350000000002</v>
      </c>
      <c r="J105" s="154">
        <v>0</v>
      </c>
      <c r="K105" s="154">
        <f t="shared" si="28"/>
        <v>2344.69</v>
      </c>
      <c r="L105" s="152">
        <f t="shared" si="29"/>
        <v>16412.830000000002</v>
      </c>
      <c r="M105" s="154">
        <v>0</v>
      </c>
      <c r="N105" s="154">
        <f t="shared" si="30"/>
        <v>4689.38</v>
      </c>
      <c r="O105" s="154">
        <v>0</v>
      </c>
      <c r="P105" s="154">
        <f t="shared" si="31"/>
        <v>468.93800000000005</v>
      </c>
      <c r="Q105" s="154">
        <v>5000</v>
      </c>
      <c r="R105" s="154">
        <v>0</v>
      </c>
      <c r="S105" s="152">
        <f t="shared" si="32"/>
        <v>48025.061499999996</v>
      </c>
      <c r="T105" s="152">
        <v>0</v>
      </c>
      <c r="U105" s="152">
        <f>25500</f>
        <v>25500</v>
      </c>
      <c r="V105" s="152">
        <v>236.04</v>
      </c>
      <c r="W105" s="152">
        <f t="shared" si="33"/>
        <v>25736.04</v>
      </c>
      <c r="X105" s="152">
        <v>44789.02</v>
      </c>
      <c r="Y105" s="152">
        <f t="shared" si="34"/>
        <v>22289.021499999995</v>
      </c>
    </row>
    <row r="106" spans="1:25" ht="20.100000000000001" customHeight="1" x14ac:dyDescent="0.3">
      <c r="A106" s="86">
        <v>35</v>
      </c>
      <c r="B106" s="191" t="s">
        <v>275</v>
      </c>
      <c r="C106" s="191"/>
      <c r="D106" s="36" t="s">
        <v>14</v>
      </c>
      <c r="E106" s="153" t="s">
        <v>490</v>
      </c>
      <c r="F106" s="154">
        <v>4689.38</v>
      </c>
      <c r="G106" s="152"/>
      <c r="H106" s="154">
        <f t="shared" si="26"/>
        <v>14068.14</v>
      </c>
      <c r="I106" s="154">
        <f t="shared" si="27"/>
        <v>351.70350000000002</v>
      </c>
      <c r="J106" s="154">
        <v>0</v>
      </c>
      <c r="K106" s="154">
        <f t="shared" si="28"/>
        <v>2344.69</v>
      </c>
      <c r="L106" s="152">
        <f t="shared" si="29"/>
        <v>16412.830000000002</v>
      </c>
      <c r="M106" s="154">
        <v>0</v>
      </c>
      <c r="N106" s="154">
        <f t="shared" si="30"/>
        <v>4689.38</v>
      </c>
      <c r="O106" s="154">
        <v>0</v>
      </c>
      <c r="P106" s="154">
        <f t="shared" si="31"/>
        <v>468.93800000000005</v>
      </c>
      <c r="Q106" s="154">
        <v>5000</v>
      </c>
      <c r="R106" s="154">
        <v>0</v>
      </c>
      <c r="S106" s="152">
        <f t="shared" si="32"/>
        <v>48025.061499999996</v>
      </c>
      <c r="T106" s="152">
        <v>5000</v>
      </c>
      <c r="U106" s="152">
        <v>6300</v>
      </c>
      <c r="V106" s="152">
        <v>236.04</v>
      </c>
      <c r="W106" s="152">
        <f t="shared" si="33"/>
        <v>11536.04</v>
      </c>
      <c r="X106" s="152">
        <v>36489.019999999997</v>
      </c>
      <c r="Y106" s="152">
        <f t="shared" si="34"/>
        <v>36489.021499999995</v>
      </c>
    </row>
    <row r="107" spans="1:25" ht="20.100000000000001" customHeight="1" x14ac:dyDescent="0.3">
      <c r="A107" s="86">
        <v>36</v>
      </c>
      <c r="B107" s="191" t="s">
        <v>276</v>
      </c>
      <c r="C107" s="191"/>
      <c r="D107" s="36" t="s">
        <v>14</v>
      </c>
      <c r="E107" s="153" t="s">
        <v>490</v>
      </c>
      <c r="F107" s="154">
        <v>4689.38</v>
      </c>
      <c r="G107" s="152"/>
      <c r="H107" s="154">
        <f t="shared" si="26"/>
        <v>14068.14</v>
      </c>
      <c r="I107" s="154">
        <f t="shared" si="27"/>
        <v>351.70350000000002</v>
      </c>
      <c r="J107" s="154">
        <v>0</v>
      </c>
      <c r="K107" s="154">
        <f t="shared" si="28"/>
        <v>2344.69</v>
      </c>
      <c r="L107" s="152">
        <f t="shared" si="29"/>
        <v>16412.830000000002</v>
      </c>
      <c r="M107" s="154">
        <v>0</v>
      </c>
      <c r="N107" s="154">
        <f t="shared" si="30"/>
        <v>4689.38</v>
      </c>
      <c r="O107" s="154">
        <v>0</v>
      </c>
      <c r="P107" s="154">
        <f t="shared" si="31"/>
        <v>468.93800000000005</v>
      </c>
      <c r="Q107" s="154">
        <v>5000</v>
      </c>
      <c r="R107" s="37"/>
      <c r="S107" s="152">
        <f t="shared" si="32"/>
        <v>48025.061499999996</v>
      </c>
      <c r="T107" s="152">
        <v>3000</v>
      </c>
      <c r="U107" s="152">
        <f>6300</f>
        <v>6300</v>
      </c>
      <c r="V107" s="152">
        <v>236.04</v>
      </c>
      <c r="W107" s="152">
        <f t="shared" si="33"/>
        <v>9536.0400000000009</v>
      </c>
      <c r="X107" s="152">
        <v>38489.019999999997</v>
      </c>
      <c r="Y107" s="152">
        <f t="shared" si="34"/>
        <v>38489.021499999995</v>
      </c>
    </row>
    <row r="108" spans="1:25" ht="20.100000000000001" customHeight="1" x14ac:dyDescent="0.3">
      <c r="A108" s="86">
        <v>37</v>
      </c>
      <c r="B108" s="191" t="s">
        <v>277</v>
      </c>
      <c r="C108" s="191"/>
      <c r="D108" s="36" t="s">
        <v>14</v>
      </c>
      <c r="E108" s="153" t="s">
        <v>490</v>
      </c>
      <c r="F108" s="154">
        <v>4689.38</v>
      </c>
      <c r="G108" s="152"/>
      <c r="H108" s="154">
        <f t="shared" si="26"/>
        <v>14068.14</v>
      </c>
      <c r="I108" s="154">
        <f t="shared" si="27"/>
        <v>351.70350000000002</v>
      </c>
      <c r="J108" s="154">
        <v>0</v>
      </c>
      <c r="K108" s="154">
        <f t="shared" si="28"/>
        <v>2344.69</v>
      </c>
      <c r="L108" s="152">
        <f t="shared" si="29"/>
        <v>16412.830000000002</v>
      </c>
      <c r="M108" s="154">
        <v>0</v>
      </c>
      <c r="N108" s="154">
        <f t="shared" si="30"/>
        <v>4689.38</v>
      </c>
      <c r="O108" s="154">
        <v>0</v>
      </c>
      <c r="P108" s="154">
        <f t="shared" si="31"/>
        <v>468.93800000000005</v>
      </c>
      <c r="Q108" s="154">
        <v>5000</v>
      </c>
      <c r="R108" s="154">
        <v>0</v>
      </c>
      <c r="S108" s="152">
        <f t="shared" si="32"/>
        <v>48025.061499999996</v>
      </c>
      <c r="T108" s="152">
        <v>3000</v>
      </c>
      <c r="U108" s="152"/>
      <c r="V108" s="152">
        <v>236.04</v>
      </c>
      <c r="W108" s="152">
        <f t="shared" si="33"/>
        <v>3236.04</v>
      </c>
      <c r="X108" s="152">
        <v>44789.02</v>
      </c>
      <c r="Y108" s="152">
        <f t="shared" si="34"/>
        <v>44789.021499999995</v>
      </c>
    </row>
    <row r="109" spans="1:25" ht="20.100000000000001" customHeight="1" x14ac:dyDescent="0.3">
      <c r="A109" s="86">
        <v>38</v>
      </c>
      <c r="B109" s="37" t="s">
        <v>305</v>
      </c>
      <c r="C109" s="37"/>
      <c r="D109" s="36" t="s">
        <v>14</v>
      </c>
      <c r="E109" s="153" t="s">
        <v>490</v>
      </c>
      <c r="F109" s="154">
        <v>4689.38</v>
      </c>
      <c r="G109" s="152"/>
      <c r="H109" s="154">
        <f t="shared" si="26"/>
        <v>14068.14</v>
      </c>
      <c r="I109" s="154">
        <f t="shared" si="27"/>
        <v>351.70350000000002</v>
      </c>
      <c r="J109" s="154">
        <v>0</v>
      </c>
      <c r="K109" s="154">
        <f t="shared" si="28"/>
        <v>2344.69</v>
      </c>
      <c r="L109" s="152">
        <f t="shared" si="29"/>
        <v>16412.830000000002</v>
      </c>
      <c r="M109" s="154">
        <v>0</v>
      </c>
      <c r="N109" s="154">
        <f>F108*100%</f>
        <v>4689.38</v>
      </c>
      <c r="O109" s="154"/>
      <c r="P109" s="154">
        <f t="shared" si="31"/>
        <v>468.93800000000005</v>
      </c>
      <c r="Q109" s="154">
        <v>5000</v>
      </c>
      <c r="R109" s="154"/>
      <c r="S109" s="152">
        <f t="shared" si="32"/>
        <v>48025.061499999996</v>
      </c>
      <c r="T109" s="152">
        <v>3000</v>
      </c>
      <c r="U109" s="152">
        <f>7875</f>
        <v>7875</v>
      </c>
      <c r="V109" s="152">
        <v>236.04</v>
      </c>
      <c r="W109" s="152">
        <f t="shared" si="33"/>
        <v>11111.04</v>
      </c>
      <c r="X109" s="152">
        <v>36914.019999999997</v>
      </c>
      <c r="Y109" s="152">
        <f t="shared" si="34"/>
        <v>36914.021499999995</v>
      </c>
    </row>
    <row r="110" spans="1:25" ht="20.100000000000001" customHeight="1" x14ac:dyDescent="0.3">
      <c r="A110" s="86">
        <v>39</v>
      </c>
      <c r="B110" s="187" t="s">
        <v>313</v>
      </c>
      <c r="C110" s="188"/>
      <c r="D110" s="36" t="s">
        <v>14</v>
      </c>
      <c r="E110" s="153" t="s">
        <v>490</v>
      </c>
      <c r="F110" s="154">
        <v>4689.38</v>
      </c>
      <c r="G110" s="152"/>
      <c r="H110" s="154">
        <f t="shared" si="26"/>
        <v>14068.14</v>
      </c>
      <c r="I110" s="154">
        <f t="shared" si="27"/>
        <v>351.70350000000002</v>
      </c>
      <c r="J110" s="154"/>
      <c r="K110" s="154">
        <f t="shared" si="28"/>
        <v>2344.69</v>
      </c>
      <c r="L110" s="152">
        <f t="shared" si="29"/>
        <v>16412.830000000002</v>
      </c>
      <c r="M110" s="154"/>
      <c r="N110" s="154">
        <f>F110*100%</f>
        <v>4689.38</v>
      </c>
      <c r="O110" s="154"/>
      <c r="P110" s="154">
        <f t="shared" si="31"/>
        <v>468.93800000000005</v>
      </c>
      <c r="Q110" s="154">
        <v>5000</v>
      </c>
      <c r="R110" s="154"/>
      <c r="S110" s="152">
        <f t="shared" si="32"/>
        <v>48025.061499999996</v>
      </c>
      <c r="T110" s="152">
        <f>3000</f>
        <v>3000</v>
      </c>
      <c r="U110" s="152">
        <f>7667</f>
        <v>7667</v>
      </c>
      <c r="V110" s="152">
        <v>236.04</v>
      </c>
      <c r="W110" s="152">
        <f t="shared" si="33"/>
        <v>10903.04</v>
      </c>
      <c r="X110" s="152">
        <v>35122.019999999997</v>
      </c>
      <c r="Y110" s="152">
        <f t="shared" si="34"/>
        <v>37122.021499999995</v>
      </c>
    </row>
    <row r="111" spans="1:25" ht="20.100000000000001" customHeight="1" x14ac:dyDescent="0.3">
      <c r="A111" s="86">
        <v>40</v>
      </c>
      <c r="B111" s="36" t="s">
        <v>353</v>
      </c>
      <c r="C111" s="120"/>
      <c r="D111" s="36" t="s">
        <v>14</v>
      </c>
      <c r="E111" s="153" t="s">
        <v>48</v>
      </c>
      <c r="F111" s="154">
        <v>4542.3500000000004</v>
      </c>
      <c r="G111" s="152"/>
      <c r="H111" s="154">
        <f t="shared" si="26"/>
        <v>13627.050000000001</v>
      </c>
      <c r="I111" s="154">
        <f t="shared" si="27"/>
        <v>340.67625000000004</v>
      </c>
      <c r="J111" s="154"/>
      <c r="K111" s="154">
        <f t="shared" si="28"/>
        <v>2271.1750000000002</v>
      </c>
      <c r="L111" s="152">
        <f t="shared" si="29"/>
        <v>15898.225000000002</v>
      </c>
      <c r="M111" s="154"/>
      <c r="N111" s="154">
        <f>F111*100%</f>
        <v>4542.3500000000004</v>
      </c>
      <c r="O111" s="154"/>
      <c r="P111" s="154">
        <f t="shared" si="31"/>
        <v>454.23500000000007</v>
      </c>
      <c r="Q111" s="154">
        <v>5000</v>
      </c>
      <c r="R111" s="154"/>
      <c r="S111" s="152">
        <f t="shared" si="32"/>
        <v>46676.061250000006</v>
      </c>
      <c r="T111" s="152">
        <f>3000</f>
        <v>3000</v>
      </c>
      <c r="U111" s="152">
        <f>4792</f>
        <v>4792</v>
      </c>
      <c r="V111" s="152">
        <v>236.04</v>
      </c>
      <c r="W111" s="152">
        <f t="shared" si="33"/>
        <v>8028.04</v>
      </c>
      <c r="X111" s="152">
        <v>36648.019999999997</v>
      </c>
      <c r="Y111" s="152">
        <f t="shared" si="34"/>
        <v>38648.021250000005</v>
      </c>
    </row>
    <row r="112" spans="1:25" ht="20.100000000000001" customHeight="1" x14ac:dyDescent="0.3">
      <c r="A112" s="86">
        <v>41</v>
      </c>
      <c r="B112" s="36" t="s">
        <v>283</v>
      </c>
      <c r="C112" s="120"/>
      <c r="D112" s="36" t="s">
        <v>14</v>
      </c>
      <c r="E112" s="153" t="s">
        <v>490</v>
      </c>
      <c r="F112" s="154">
        <v>4689.38</v>
      </c>
      <c r="G112" s="152"/>
      <c r="H112" s="154">
        <f t="shared" si="26"/>
        <v>14068.14</v>
      </c>
      <c r="I112" s="154">
        <f t="shared" si="27"/>
        <v>351.70350000000002</v>
      </c>
      <c r="J112" s="154"/>
      <c r="K112" s="154">
        <f t="shared" si="28"/>
        <v>2344.69</v>
      </c>
      <c r="L112" s="152">
        <f t="shared" si="29"/>
        <v>16412.830000000002</v>
      </c>
      <c r="M112" s="154"/>
      <c r="N112" s="154">
        <f>F112*100%</f>
        <v>4689.38</v>
      </c>
      <c r="O112" s="154"/>
      <c r="P112" s="154">
        <f t="shared" si="31"/>
        <v>468.93800000000005</v>
      </c>
      <c r="Q112" s="154">
        <v>5000</v>
      </c>
      <c r="R112" s="154"/>
      <c r="S112" s="152">
        <f t="shared" si="32"/>
        <v>48025.061499999996</v>
      </c>
      <c r="T112" s="152">
        <v>5000</v>
      </c>
      <c r="U112" s="152">
        <f>6125</f>
        <v>6125</v>
      </c>
      <c r="V112" s="152">
        <v>236.04</v>
      </c>
      <c r="W112" s="152">
        <f t="shared" si="33"/>
        <v>11361.04</v>
      </c>
      <c r="X112" s="152">
        <v>36664.019999999997</v>
      </c>
      <c r="Y112" s="152">
        <f t="shared" si="34"/>
        <v>36664.021499999995</v>
      </c>
    </row>
    <row r="113" spans="1:26" ht="20.100000000000001" customHeight="1" x14ac:dyDescent="0.3">
      <c r="A113" s="86">
        <v>42</v>
      </c>
      <c r="B113" s="36" t="s">
        <v>385</v>
      </c>
      <c r="C113" s="120"/>
      <c r="D113" s="36" t="s">
        <v>14</v>
      </c>
      <c r="E113" s="153" t="s">
        <v>48</v>
      </c>
      <c r="F113" s="154">
        <v>4542.3500000000004</v>
      </c>
      <c r="G113" s="152">
        <v>0</v>
      </c>
      <c r="H113" s="154">
        <f t="shared" si="26"/>
        <v>13627.050000000001</v>
      </c>
      <c r="I113" s="154">
        <f t="shared" si="27"/>
        <v>340.67625000000004</v>
      </c>
      <c r="J113" s="154"/>
      <c r="K113" s="154">
        <f t="shared" si="28"/>
        <v>2271.1750000000002</v>
      </c>
      <c r="L113" s="152">
        <f t="shared" si="29"/>
        <v>15898.225000000002</v>
      </c>
      <c r="M113" s="154"/>
      <c r="N113" s="154">
        <f>F113*100%</f>
        <v>4542.3500000000004</v>
      </c>
      <c r="O113" s="154"/>
      <c r="P113" s="154">
        <f t="shared" si="31"/>
        <v>454.23500000000007</v>
      </c>
      <c r="Q113" s="154">
        <v>5000</v>
      </c>
      <c r="R113" s="154"/>
      <c r="S113" s="152">
        <f t="shared" si="32"/>
        <v>46676.061250000006</v>
      </c>
      <c r="T113" s="152">
        <v>3000</v>
      </c>
      <c r="U113" s="152">
        <f>6300</f>
        <v>6300</v>
      </c>
      <c r="V113" s="152">
        <v>236.04</v>
      </c>
      <c r="W113" s="152">
        <f t="shared" si="33"/>
        <v>9536.0400000000009</v>
      </c>
      <c r="X113" s="152">
        <v>37140.019999999997</v>
      </c>
      <c r="Y113" s="152">
        <f t="shared" si="34"/>
        <v>37140.021250000005</v>
      </c>
    </row>
    <row r="114" spans="1:26" ht="20.100000000000001" customHeight="1" x14ac:dyDescent="0.3">
      <c r="A114" s="86">
        <v>43</v>
      </c>
      <c r="B114" s="36" t="s">
        <v>440</v>
      </c>
      <c r="C114" s="120"/>
      <c r="D114" s="36" t="s">
        <v>439</v>
      </c>
      <c r="E114" s="153"/>
      <c r="F114" s="156">
        <v>90000</v>
      </c>
      <c r="G114" s="152"/>
      <c r="H114" s="154"/>
      <c r="I114" s="154"/>
      <c r="J114" s="154"/>
      <c r="K114" s="154"/>
      <c r="L114" s="152"/>
      <c r="M114" s="154"/>
      <c r="N114" s="154"/>
      <c r="O114" s="154"/>
      <c r="P114" s="154"/>
      <c r="Q114" s="154"/>
      <c r="R114" s="154"/>
      <c r="S114" s="152">
        <f t="shared" si="32"/>
        <v>90000</v>
      </c>
      <c r="T114" s="152">
        <v>20000</v>
      </c>
      <c r="U114" s="152">
        <v>0</v>
      </c>
      <c r="V114" s="152">
        <v>0</v>
      </c>
      <c r="W114" s="152">
        <f t="shared" si="33"/>
        <v>20000</v>
      </c>
      <c r="X114" s="152">
        <v>59750</v>
      </c>
      <c r="Y114" s="152">
        <f t="shared" si="34"/>
        <v>70000</v>
      </c>
    </row>
    <row r="115" spans="1:26" ht="20.100000000000001" customHeight="1" x14ac:dyDescent="0.3">
      <c r="A115" s="86">
        <v>44</v>
      </c>
      <c r="B115" s="36" t="s">
        <v>441</v>
      </c>
      <c r="C115" s="120"/>
      <c r="D115" s="36" t="s">
        <v>439</v>
      </c>
      <c r="E115" s="153"/>
      <c r="F115" s="156">
        <v>90000</v>
      </c>
      <c r="G115" s="152"/>
      <c r="H115" s="154"/>
      <c r="I115" s="154"/>
      <c r="J115" s="154"/>
      <c r="K115" s="154"/>
      <c r="L115" s="152"/>
      <c r="M115" s="154"/>
      <c r="N115" s="154"/>
      <c r="O115" s="154"/>
      <c r="P115" s="154"/>
      <c r="Q115" s="154"/>
      <c r="R115" s="154"/>
      <c r="S115" s="152">
        <f t="shared" si="32"/>
        <v>90000</v>
      </c>
      <c r="T115" s="152">
        <v>10000</v>
      </c>
      <c r="U115" s="152"/>
      <c r="V115" s="152">
        <v>0</v>
      </c>
      <c r="W115" s="152">
        <f t="shared" si="33"/>
        <v>10000</v>
      </c>
      <c r="X115" s="152">
        <v>80000</v>
      </c>
      <c r="Y115" s="152">
        <f t="shared" si="34"/>
        <v>80000</v>
      </c>
    </row>
    <row r="116" spans="1:26" ht="20.100000000000001" customHeight="1" x14ac:dyDescent="0.3">
      <c r="A116" s="86">
        <v>45</v>
      </c>
      <c r="B116" s="36" t="s">
        <v>442</v>
      </c>
      <c r="C116" s="120"/>
      <c r="D116" s="36" t="s">
        <v>443</v>
      </c>
      <c r="E116" s="153"/>
      <c r="F116" s="156">
        <v>90000</v>
      </c>
      <c r="G116" s="152"/>
      <c r="H116" s="154"/>
      <c r="I116" s="154"/>
      <c r="J116" s="154"/>
      <c r="K116" s="154"/>
      <c r="L116" s="152"/>
      <c r="M116" s="154"/>
      <c r="N116" s="154"/>
      <c r="O116" s="154"/>
      <c r="P116" s="154"/>
      <c r="Q116" s="154"/>
      <c r="R116" s="154"/>
      <c r="S116" s="152">
        <f t="shared" si="32"/>
        <v>90000</v>
      </c>
      <c r="T116" s="152">
        <f>3200</f>
        <v>3200</v>
      </c>
      <c r="U116" s="152">
        <f>17200</f>
        <v>17200</v>
      </c>
      <c r="V116" s="152">
        <v>0</v>
      </c>
      <c r="W116" s="152">
        <f t="shared" si="33"/>
        <v>20400</v>
      </c>
      <c r="X116" s="152">
        <v>69600</v>
      </c>
      <c r="Y116" s="152">
        <f t="shared" si="34"/>
        <v>69600</v>
      </c>
    </row>
    <row r="117" spans="1:26" ht="20.100000000000001" customHeight="1" x14ac:dyDescent="0.3">
      <c r="A117" s="86">
        <v>46</v>
      </c>
      <c r="B117" s="36" t="s">
        <v>452</v>
      </c>
      <c r="C117" s="120"/>
      <c r="D117" s="36" t="s">
        <v>453</v>
      </c>
      <c r="E117" s="153"/>
      <c r="F117" s="156">
        <v>90000</v>
      </c>
      <c r="G117" s="152"/>
      <c r="H117" s="154"/>
      <c r="I117" s="154"/>
      <c r="J117" s="154"/>
      <c r="K117" s="154"/>
      <c r="L117" s="152"/>
      <c r="M117" s="154"/>
      <c r="N117" s="154"/>
      <c r="O117" s="154"/>
      <c r="P117" s="154"/>
      <c r="Q117" s="154"/>
      <c r="R117" s="154"/>
      <c r="S117" s="152">
        <f t="shared" si="32"/>
        <v>90000</v>
      </c>
      <c r="T117" s="152">
        <v>10000</v>
      </c>
      <c r="U117" s="152"/>
      <c r="V117" s="152">
        <v>0</v>
      </c>
      <c r="W117" s="152">
        <f t="shared" si="33"/>
        <v>10000</v>
      </c>
      <c r="X117" s="152">
        <v>80000</v>
      </c>
      <c r="Y117" s="152">
        <f t="shared" si="34"/>
        <v>80000</v>
      </c>
    </row>
    <row r="118" spans="1:26" ht="20.100000000000001" customHeight="1" x14ac:dyDescent="0.3">
      <c r="A118" s="86">
        <v>47</v>
      </c>
      <c r="B118" s="187" t="s">
        <v>466</v>
      </c>
      <c r="C118" s="188"/>
      <c r="D118" s="36" t="s">
        <v>467</v>
      </c>
      <c r="E118" s="153"/>
      <c r="F118" s="156">
        <v>90000</v>
      </c>
      <c r="G118" s="152"/>
      <c r="H118" s="154"/>
      <c r="I118" s="154"/>
      <c r="J118" s="154"/>
      <c r="K118" s="154"/>
      <c r="L118" s="152"/>
      <c r="M118" s="154"/>
      <c r="N118" s="154"/>
      <c r="O118" s="154"/>
      <c r="P118" s="154"/>
      <c r="Q118" s="154"/>
      <c r="R118" s="154"/>
      <c r="S118" s="152">
        <f t="shared" si="32"/>
        <v>90000</v>
      </c>
      <c r="T118" s="152"/>
      <c r="U118" s="152"/>
      <c r="V118" s="152"/>
      <c r="W118" s="152">
        <f t="shared" si="33"/>
        <v>0</v>
      </c>
      <c r="X118" s="152">
        <v>90000</v>
      </c>
      <c r="Y118" s="152">
        <v>90000</v>
      </c>
    </row>
    <row r="119" spans="1:26" ht="20.100000000000001" customHeight="1" x14ac:dyDescent="0.3">
      <c r="A119" s="86">
        <v>48</v>
      </c>
      <c r="B119" s="36" t="s">
        <v>454</v>
      </c>
      <c r="C119" s="120"/>
      <c r="D119" s="36" t="s">
        <v>457</v>
      </c>
      <c r="E119" s="153"/>
      <c r="F119" s="156">
        <v>45000</v>
      </c>
      <c r="G119" s="152">
        <v>0</v>
      </c>
      <c r="H119" s="154"/>
      <c r="I119" s="154"/>
      <c r="J119" s="154"/>
      <c r="K119" s="154"/>
      <c r="L119" s="152"/>
      <c r="M119" s="154"/>
      <c r="N119" s="154"/>
      <c r="O119" s="154"/>
      <c r="P119" s="154"/>
      <c r="Q119" s="154"/>
      <c r="R119" s="154"/>
      <c r="S119" s="152">
        <v>45000</v>
      </c>
      <c r="T119" s="152"/>
      <c r="U119" s="152"/>
      <c r="V119" s="152">
        <v>0</v>
      </c>
      <c r="W119" s="152">
        <f t="shared" si="33"/>
        <v>0</v>
      </c>
      <c r="X119" s="152">
        <v>45000</v>
      </c>
      <c r="Y119" s="152">
        <v>45000</v>
      </c>
    </row>
    <row r="120" spans="1:26" ht="20.100000000000001" customHeight="1" x14ac:dyDescent="0.3">
      <c r="A120" s="86">
        <v>49</v>
      </c>
      <c r="B120" s="187" t="s">
        <v>471</v>
      </c>
      <c r="C120" s="188"/>
      <c r="D120" s="36" t="s">
        <v>457</v>
      </c>
      <c r="E120" s="153"/>
      <c r="F120" s="156">
        <v>45000</v>
      </c>
      <c r="G120" s="152"/>
      <c r="H120" s="154"/>
      <c r="I120" s="154"/>
      <c r="J120" s="154"/>
      <c r="K120" s="154"/>
      <c r="L120" s="152"/>
      <c r="M120" s="154"/>
      <c r="N120" s="154"/>
      <c r="O120" s="154"/>
      <c r="P120" s="154"/>
      <c r="Q120" s="154"/>
      <c r="R120" s="154"/>
      <c r="S120" s="152">
        <f>F120+G120</f>
        <v>45000</v>
      </c>
      <c r="T120" s="152"/>
      <c r="U120" s="152"/>
      <c r="V120" s="152"/>
      <c r="W120" s="152">
        <f t="shared" si="33"/>
        <v>0</v>
      </c>
      <c r="X120" s="152">
        <v>45000</v>
      </c>
      <c r="Y120" s="152">
        <f>S120</f>
        <v>45000</v>
      </c>
    </row>
    <row r="121" spans="1:26" ht="20.100000000000001" customHeight="1" x14ac:dyDescent="0.3">
      <c r="A121" s="86">
        <v>50</v>
      </c>
      <c r="B121" s="36" t="s">
        <v>455</v>
      </c>
      <c r="C121" s="120"/>
      <c r="D121" s="36" t="s">
        <v>458</v>
      </c>
      <c r="E121" s="153"/>
      <c r="F121" s="156">
        <v>45000</v>
      </c>
      <c r="G121" s="152"/>
      <c r="H121" s="154"/>
      <c r="I121" s="154"/>
      <c r="J121" s="154"/>
      <c r="K121" s="154"/>
      <c r="L121" s="152"/>
      <c r="M121" s="154"/>
      <c r="N121" s="154"/>
      <c r="O121" s="154"/>
      <c r="P121" s="154"/>
      <c r="Q121" s="154"/>
      <c r="R121" s="154"/>
      <c r="S121" s="152">
        <f>SUM(F121:R121)</f>
        <v>45000</v>
      </c>
      <c r="T121" s="152"/>
      <c r="U121" s="152"/>
      <c r="V121" s="152">
        <v>0</v>
      </c>
      <c r="W121" s="152">
        <f t="shared" si="33"/>
        <v>0</v>
      </c>
      <c r="X121" s="152">
        <v>45000</v>
      </c>
      <c r="Y121" s="152">
        <v>45000</v>
      </c>
    </row>
    <row r="122" spans="1:26" ht="20.100000000000001" customHeight="1" x14ac:dyDescent="0.3">
      <c r="A122" s="86">
        <v>51</v>
      </c>
      <c r="B122" s="36" t="s">
        <v>456</v>
      </c>
      <c r="C122" s="120"/>
      <c r="D122" s="36" t="s">
        <v>457</v>
      </c>
      <c r="E122" s="153"/>
      <c r="F122" s="156">
        <v>45000</v>
      </c>
      <c r="G122" s="152"/>
      <c r="H122" s="154"/>
      <c r="I122" s="154"/>
      <c r="J122" s="154"/>
      <c r="K122" s="154"/>
      <c r="L122" s="152"/>
      <c r="M122" s="154"/>
      <c r="N122" s="154"/>
      <c r="O122" s="154"/>
      <c r="P122" s="154"/>
      <c r="Q122" s="154"/>
      <c r="R122" s="154"/>
      <c r="S122" s="152">
        <f>SUM(F122:R122)</f>
        <v>45000</v>
      </c>
      <c r="T122" s="152"/>
      <c r="U122" s="152"/>
      <c r="V122" s="152">
        <v>0</v>
      </c>
      <c r="W122" s="152">
        <f t="shared" si="33"/>
        <v>0</v>
      </c>
      <c r="X122" s="152">
        <v>45000</v>
      </c>
      <c r="Y122" s="152">
        <f t="shared" si="34"/>
        <v>45000</v>
      </c>
    </row>
    <row r="123" spans="1:26" ht="20.100000000000001" customHeight="1" x14ac:dyDescent="0.3">
      <c r="A123" s="86">
        <v>52</v>
      </c>
      <c r="B123" s="187" t="s">
        <v>470</v>
      </c>
      <c r="C123" s="188"/>
      <c r="D123" s="36" t="s">
        <v>403</v>
      </c>
      <c r="E123" s="153"/>
      <c r="F123" s="156">
        <v>45000</v>
      </c>
      <c r="G123" s="152"/>
      <c r="H123" s="154"/>
      <c r="I123" s="154"/>
      <c r="J123" s="154"/>
      <c r="K123" s="154"/>
      <c r="L123" s="152"/>
      <c r="M123" s="154"/>
      <c r="N123" s="154"/>
      <c r="O123" s="154"/>
      <c r="P123" s="154"/>
      <c r="Q123" s="154"/>
      <c r="R123" s="154"/>
      <c r="S123" s="152">
        <f>SUM(F123:R123)</f>
        <v>45000</v>
      </c>
      <c r="T123" s="152"/>
      <c r="U123" s="152"/>
      <c r="V123" s="152"/>
      <c r="W123" s="152">
        <f t="shared" si="33"/>
        <v>0</v>
      </c>
      <c r="X123" s="152">
        <v>45000</v>
      </c>
      <c r="Y123" s="152">
        <f t="shared" si="34"/>
        <v>45000</v>
      </c>
    </row>
    <row r="124" spans="1:26" ht="20.100000000000001" customHeight="1" x14ac:dyDescent="0.3">
      <c r="A124" s="86">
        <v>53</v>
      </c>
      <c r="B124" s="187" t="s">
        <v>480</v>
      </c>
      <c r="C124" s="188"/>
      <c r="D124" s="36" t="s">
        <v>14</v>
      </c>
      <c r="E124" s="153"/>
      <c r="F124" s="156">
        <v>35000</v>
      </c>
      <c r="G124" s="152">
        <v>0</v>
      </c>
      <c r="H124" s="154"/>
      <c r="I124" s="154"/>
      <c r="J124" s="154"/>
      <c r="K124" s="154"/>
      <c r="L124" s="152"/>
      <c r="M124" s="154"/>
      <c r="N124" s="154"/>
      <c r="O124" s="154"/>
      <c r="P124" s="154"/>
      <c r="Q124" s="154"/>
      <c r="R124" s="154"/>
      <c r="S124" s="152">
        <f>SUM(F124:R124)</f>
        <v>35000</v>
      </c>
      <c r="T124" s="152">
        <v>0</v>
      </c>
      <c r="U124" s="152"/>
      <c r="V124" s="152">
        <v>0</v>
      </c>
      <c r="W124" s="152">
        <v>0</v>
      </c>
      <c r="X124" s="152">
        <v>35000</v>
      </c>
      <c r="Y124" s="152">
        <f t="shared" si="34"/>
        <v>35000</v>
      </c>
    </row>
    <row r="125" spans="1:26" ht="20.100000000000001" customHeight="1" x14ac:dyDescent="0.3">
      <c r="A125" s="86">
        <v>54</v>
      </c>
      <c r="B125" s="36" t="s">
        <v>446</v>
      </c>
      <c r="C125" s="120"/>
      <c r="D125" s="36" t="s">
        <v>447</v>
      </c>
      <c r="E125" s="153"/>
      <c r="F125" s="156">
        <v>45000</v>
      </c>
      <c r="G125" s="152"/>
      <c r="H125" s="154"/>
      <c r="I125" s="154"/>
      <c r="J125" s="154"/>
      <c r="K125" s="154"/>
      <c r="L125" s="152"/>
      <c r="M125" s="154"/>
      <c r="N125" s="154"/>
      <c r="O125" s="154"/>
      <c r="P125" s="154"/>
      <c r="Q125" s="154"/>
      <c r="R125" s="154"/>
      <c r="S125" s="152">
        <f>SUM(F125:R125)</f>
        <v>45000</v>
      </c>
      <c r="T125" s="152">
        <v>3000</v>
      </c>
      <c r="U125" s="152">
        <f>10500</f>
        <v>10500</v>
      </c>
      <c r="V125" s="152">
        <v>0</v>
      </c>
      <c r="W125" s="152">
        <f t="shared" si="33"/>
        <v>13500</v>
      </c>
      <c r="X125" s="152">
        <v>31500</v>
      </c>
      <c r="Y125" s="152">
        <f t="shared" si="34"/>
        <v>31500</v>
      </c>
    </row>
    <row r="126" spans="1:26" ht="20.100000000000001" customHeight="1" x14ac:dyDescent="0.3">
      <c r="A126" s="37"/>
      <c r="B126" s="35" t="s">
        <v>20</v>
      </c>
      <c r="D126" s="163" t="s">
        <v>477</v>
      </c>
      <c r="E126" s="153"/>
      <c r="F126" s="159">
        <f t="shared" ref="F126:Y126" si="36">SUM(F72:F125)</f>
        <v>1414515.9799999995</v>
      </c>
      <c r="G126" s="159">
        <f t="shared" si="36"/>
        <v>0</v>
      </c>
      <c r="H126" s="159">
        <f t="shared" si="36"/>
        <v>1978547.9399999997</v>
      </c>
      <c r="I126" s="159">
        <f t="shared" si="36"/>
        <v>49463.698499999999</v>
      </c>
      <c r="J126" s="159">
        <f t="shared" si="36"/>
        <v>240733.14</v>
      </c>
      <c r="K126" s="159">
        <f t="shared" si="36"/>
        <v>329757.98999999976</v>
      </c>
      <c r="L126" s="159">
        <f t="shared" si="36"/>
        <v>2308305.9300000011</v>
      </c>
      <c r="M126" s="159">
        <f t="shared" si="36"/>
        <v>0</v>
      </c>
      <c r="N126" s="159">
        <f t="shared" si="36"/>
        <v>659515.97999999952</v>
      </c>
      <c r="O126" s="159">
        <f t="shared" si="36"/>
        <v>130000</v>
      </c>
      <c r="P126" s="159">
        <f t="shared" si="36"/>
        <v>65951.597999999998</v>
      </c>
      <c r="Q126" s="159">
        <f t="shared" si="36"/>
        <v>400000</v>
      </c>
      <c r="R126" s="159">
        <f t="shared" si="36"/>
        <v>0</v>
      </c>
      <c r="S126" s="159">
        <f t="shared" si="36"/>
        <v>7700121.306499999</v>
      </c>
      <c r="T126" s="159">
        <f t="shared" si="36"/>
        <v>600200</v>
      </c>
      <c r="U126" s="159">
        <f t="shared" si="36"/>
        <v>671388</v>
      </c>
      <c r="V126" s="159">
        <f t="shared" si="36"/>
        <v>180631.69000000018</v>
      </c>
      <c r="W126" s="159">
        <f t="shared" si="36"/>
        <v>1452219.6900000011</v>
      </c>
      <c r="X126" s="159">
        <f t="shared" si="36"/>
        <v>6295489.5799999936</v>
      </c>
      <c r="Y126" s="159">
        <f t="shared" si="36"/>
        <v>6247901.6164999995</v>
      </c>
      <c r="Z126" s="138"/>
    </row>
    <row r="127" spans="1:26" ht="20.100000000000001" customHeight="1" x14ac:dyDescent="0.3">
      <c r="A127" s="37"/>
      <c r="B127" s="209" t="s">
        <v>8</v>
      </c>
      <c r="C127" s="209"/>
      <c r="D127" s="164"/>
      <c r="E127" s="165"/>
      <c r="F127" s="166">
        <f t="shared" ref="F127:Y127" si="37">F33+F42+F69+F126</f>
        <v>3644786.8899999992</v>
      </c>
      <c r="G127" s="166">
        <f t="shared" si="37"/>
        <v>0</v>
      </c>
      <c r="H127" s="166">
        <f t="shared" si="37"/>
        <v>5576380.1099999994</v>
      </c>
      <c r="I127" s="166">
        <f t="shared" si="37"/>
        <v>179531.69524999999</v>
      </c>
      <c r="J127" s="166">
        <f t="shared" si="37"/>
        <v>722199.42</v>
      </c>
      <c r="K127" s="166">
        <f t="shared" si="37"/>
        <v>947622.72499999986</v>
      </c>
      <c r="L127" s="166">
        <f t="shared" si="37"/>
        <v>6612769.2950000018</v>
      </c>
      <c r="M127" s="166">
        <f t="shared" si="37"/>
        <v>40122.19</v>
      </c>
      <c r="N127" s="166">
        <f t="shared" si="37"/>
        <v>1872167.4399999995</v>
      </c>
      <c r="O127" s="166">
        <f t="shared" si="37"/>
        <v>3030000</v>
      </c>
      <c r="P127" s="166">
        <f t="shared" si="37"/>
        <v>191228.96700000003</v>
      </c>
      <c r="Q127" s="166">
        <f t="shared" si="37"/>
        <v>1055000</v>
      </c>
      <c r="R127" s="166">
        <f t="shared" si="37"/>
        <v>325235</v>
      </c>
      <c r="S127" s="166">
        <f t="shared" si="37"/>
        <v>25746006.739750002</v>
      </c>
      <c r="T127" s="166">
        <f t="shared" si="37"/>
        <v>1402200</v>
      </c>
      <c r="U127" s="166">
        <f t="shared" si="37"/>
        <v>1064638</v>
      </c>
      <c r="V127" s="166">
        <f t="shared" si="37"/>
        <v>716093.04500000027</v>
      </c>
      <c r="W127" s="166">
        <f t="shared" si="37"/>
        <v>3182931.0450000013</v>
      </c>
      <c r="X127" s="166">
        <f t="shared" si="37"/>
        <v>22498587.819999989</v>
      </c>
      <c r="Y127" s="166">
        <f t="shared" si="37"/>
        <v>22563074.769749999</v>
      </c>
      <c r="Z127" s="121"/>
    </row>
    <row r="128" spans="1:26" ht="20.100000000000001" customHeight="1" x14ac:dyDescent="0.3">
      <c r="A128" s="37"/>
      <c r="B128" s="207"/>
      <c r="C128" s="207"/>
      <c r="D128" s="167"/>
      <c r="E128" s="168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38"/>
    </row>
    <row r="129" spans="1:26" ht="20.100000000000001" customHeight="1" x14ac:dyDescent="0.3">
      <c r="A129" s="37"/>
      <c r="B129" s="207"/>
      <c r="C129" s="207"/>
      <c r="D129" s="208" t="s">
        <v>9</v>
      </c>
      <c r="E129" s="208"/>
      <c r="F129" s="208"/>
      <c r="G129" s="208"/>
      <c r="H129" s="208"/>
      <c r="I129" s="208"/>
      <c r="J129" s="208"/>
      <c r="K129" s="206" t="s">
        <v>91</v>
      </c>
      <c r="L129" s="206"/>
      <c r="M129" s="206"/>
      <c r="N129" s="206"/>
      <c r="O129" s="170"/>
      <c r="P129" s="206" t="s">
        <v>92</v>
      </c>
      <c r="Q129" s="206"/>
      <c r="R129" s="206"/>
      <c r="S129" s="206"/>
      <c r="T129" s="170"/>
      <c r="U129" s="170"/>
      <c r="V129" s="169"/>
      <c r="W129" s="169"/>
      <c r="X129" s="169"/>
      <c r="Y129" s="169"/>
      <c r="Z129" s="138"/>
    </row>
    <row r="130" spans="1:26" ht="20.100000000000001" customHeight="1" x14ac:dyDescent="0.3">
      <c r="A130" s="37"/>
      <c r="B130" s="207"/>
      <c r="C130" s="207"/>
      <c r="D130" s="208"/>
      <c r="E130" s="208"/>
      <c r="F130" s="208"/>
      <c r="G130" s="208"/>
      <c r="H130" s="208"/>
      <c r="I130" s="208"/>
      <c r="J130" s="208"/>
      <c r="K130" s="206"/>
      <c r="L130" s="206"/>
      <c r="M130" s="206"/>
      <c r="N130" s="206"/>
      <c r="O130" s="170"/>
      <c r="P130" s="206"/>
      <c r="Q130" s="206"/>
      <c r="R130" s="206"/>
      <c r="S130" s="206"/>
      <c r="T130" s="170"/>
      <c r="U130" s="170"/>
      <c r="V130" s="169"/>
      <c r="W130" s="169"/>
      <c r="X130" s="169"/>
      <c r="Y130" s="169"/>
    </row>
    <row r="132" spans="1:26" ht="20.100000000000001" customHeight="1" x14ac:dyDescent="0.3">
      <c r="Y132" s="138"/>
    </row>
    <row r="134" spans="1:26" ht="20.100000000000001" customHeight="1" x14ac:dyDescent="0.3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6" ht="20.100000000000001" customHeight="1" x14ac:dyDescent="0.3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6" ht="20.100000000000001" customHeight="1" x14ac:dyDescent="0.3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6" ht="20.100000000000001" customHeight="1" x14ac:dyDescent="0.3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6" ht="20.100000000000001" customHeight="1" x14ac:dyDescent="0.3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6" ht="20.100000000000001" customHeight="1" x14ac:dyDescent="0.3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6" ht="20.100000000000001" customHeight="1" x14ac:dyDescent="0.3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6" ht="20.100000000000001" customHeight="1" x14ac:dyDescent="0.3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6" ht="20.100000000000001" customHeight="1" x14ac:dyDescent="0.3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6" ht="20.100000000000001" customHeight="1" x14ac:dyDescent="0.3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</sheetData>
  <mergeCells count="119">
    <mergeCell ref="B110:C110"/>
    <mergeCell ref="B105:C105"/>
    <mergeCell ref="B106:C106"/>
    <mergeCell ref="B107:C107"/>
    <mergeCell ref="B108:C108"/>
    <mergeCell ref="B102:C102"/>
    <mergeCell ref="B27:C27"/>
    <mergeCell ref="B45:C45"/>
    <mergeCell ref="B40:C40"/>
    <mergeCell ref="B34:C34"/>
    <mergeCell ref="B28:C28"/>
    <mergeCell ref="B29:C29"/>
    <mergeCell ref="B30:C30"/>
    <mergeCell ref="B98:C98"/>
    <mergeCell ref="B93:C93"/>
    <mergeCell ref="B100:C100"/>
    <mergeCell ref="B60:C60"/>
    <mergeCell ref="B62:C62"/>
    <mergeCell ref="B32:C32"/>
    <mergeCell ref="B39:C39"/>
    <mergeCell ref="B41:C41"/>
    <mergeCell ref="B37:C37"/>
    <mergeCell ref="B36:C36"/>
    <mergeCell ref="B94:C94"/>
    <mergeCell ref="B118:C118"/>
    <mergeCell ref="B127:C127"/>
    <mergeCell ref="B64:C64"/>
    <mergeCell ref="B83:C83"/>
    <mergeCell ref="B88:C88"/>
    <mergeCell ref="B95:C95"/>
    <mergeCell ref="B74:C74"/>
    <mergeCell ref="B86:C86"/>
    <mergeCell ref="B87:C87"/>
    <mergeCell ref="B77:C77"/>
    <mergeCell ref="B85:C85"/>
    <mergeCell ref="B79:C79"/>
    <mergeCell ref="B82:C82"/>
    <mergeCell ref="B78:C78"/>
    <mergeCell ref="B76:C76"/>
    <mergeCell ref="B66:C66"/>
    <mergeCell ref="B92:C92"/>
    <mergeCell ref="B97:C97"/>
    <mergeCell ref="B91:C91"/>
    <mergeCell ref="B99:C99"/>
    <mergeCell ref="B68:C68"/>
    <mergeCell ref="B73:C73"/>
    <mergeCell ref="B75:C75"/>
    <mergeCell ref="B89:C89"/>
    <mergeCell ref="B120:C120"/>
    <mergeCell ref="Q129:S130"/>
    <mergeCell ref="B128:C128"/>
    <mergeCell ref="B129:C129"/>
    <mergeCell ref="B130:C130"/>
    <mergeCell ref="P129:P130"/>
    <mergeCell ref="L129:N130"/>
    <mergeCell ref="K129:K130"/>
    <mergeCell ref="E129:J130"/>
    <mergeCell ref="D129:D130"/>
    <mergeCell ref="B124:C124"/>
    <mergeCell ref="B123:C123"/>
    <mergeCell ref="T5:W5"/>
    <mergeCell ref="B67:C67"/>
    <mergeCell ref="B24:C24"/>
    <mergeCell ref="B5:C5"/>
    <mergeCell ref="B50:C50"/>
    <mergeCell ref="B65:C65"/>
    <mergeCell ref="B63:C63"/>
    <mergeCell ref="B35:C35"/>
    <mergeCell ref="B12:C12"/>
    <mergeCell ref="B26:C26"/>
    <mergeCell ref="B15:C15"/>
    <mergeCell ref="B61:C61"/>
    <mergeCell ref="B47:C47"/>
    <mergeCell ref="B46:C46"/>
    <mergeCell ref="B42:C42"/>
    <mergeCell ref="B49:C49"/>
    <mergeCell ref="B51:C51"/>
    <mergeCell ref="B53:C53"/>
    <mergeCell ref="B55:C55"/>
    <mergeCell ref="B57:C57"/>
    <mergeCell ref="B58:C58"/>
    <mergeCell ref="B59:C59"/>
    <mergeCell ref="B31:C31"/>
    <mergeCell ref="B3:E3"/>
    <mergeCell ref="B9:C9"/>
    <mergeCell ref="B25:C25"/>
    <mergeCell ref="B8:C8"/>
    <mergeCell ref="B6:C6"/>
    <mergeCell ref="B7:C7"/>
    <mergeCell ref="B19:C19"/>
    <mergeCell ref="B20:C20"/>
    <mergeCell ref="B21:C21"/>
    <mergeCell ref="B22:C22"/>
    <mergeCell ref="B10:C10"/>
    <mergeCell ref="B17:C17"/>
    <mergeCell ref="B14:C14"/>
    <mergeCell ref="B11:C11"/>
    <mergeCell ref="B13:C13"/>
    <mergeCell ref="B23:C23"/>
    <mergeCell ref="B18:C18"/>
    <mergeCell ref="B16:C16"/>
    <mergeCell ref="B96:C96"/>
    <mergeCell ref="B48:C48"/>
    <mergeCell ref="B103:C103"/>
    <mergeCell ref="B101:C101"/>
    <mergeCell ref="B104:C104"/>
    <mergeCell ref="B38:C38"/>
    <mergeCell ref="B81:C81"/>
    <mergeCell ref="B69:C69"/>
    <mergeCell ref="B72:C72"/>
    <mergeCell ref="B71:C71"/>
    <mergeCell ref="B54:C54"/>
    <mergeCell ref="B56:C56"/>
    <mergeCell ref="B80:C80"/>
    <mergeCell ref="B84:C84"/>
    <mergeCell ref="B90:C90"/>
    <mergeCell ref="B43:C43"/>
    <mergeCell ref="B52:C52"/>
    <mergeCell ref="B44:C44"/>
  </mergeCells>
  <phoneticPr fontId="0" type="noConversion"/>
  <pageMargins left="0" right="0" top="0.17" bottom="0.06" header="0.13" footer="0.01"/>
  <pageSetup paperSize="9" scale="2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"/>
  <sheetViews>
    <sheetView topLeftCell="A37" workbookViewId="0">
      <selection activeCell="A113" sqref="A113"/>
    </sheetView>
  </sheetViews>
  <sheetFormatPr defaultRowHeight="12.75" x14ac:dyDescent="0.2"/>
  <cols>
    <col min="2" max="2" width="30.140625" customWidth="1"/>
    <col min="3" max="3" width="26.28515625" customWidth="1"/>
    <col min="4" max="4" width="13.7109375" customWidth="1"/>
  </cols>
  <sheetData>
    <row r="1" spans="1:4" x14ac:dyDescent="0.2">
      <c r="A1" s="137">
        <v>1</v>
      </c>
      <c r="B1" t="s">
        <v>46</v>
      </c>
      <c r="C1" t="s">
        <v>224</v>
      </c>
      <c r="D1" t="s">
        <v>55</v>
      </c>
    </row>
    <row r="2" spans="1:4" x14ac:dyDescent="0.2">
      <c r="A2" s="137">
        <v>2</v>
      </c>
      <c r="B2" t="s">
        <v>81</v>
      </c>
      <c r="C2" t="s">
        <v>82</v>
      </c>
      <c r="D2" s="137" t="s">
        <v>370</v>
      </c>
    </row>
    <row r="3" spans="1:4" x14ac:dyDescent="0.2">
      <c r="A3" s="137">
        <v>3</v>
      </c>
      <c r="B3" t="s">
        <v>395</v>
      </c>
      <c r="C3" t="s">
        <v>396</v>
      </c>
      <c r="D3" s="137" t="s">
        <v>49</v>
      </c>
    </row>
    <row r="4" spans="1:4" x14ac:dyDescent="0.2">
      <c r="A4" s="137">
        <v>4</v>
      </c>
      <c r="B4" t="s">
        <v>177</v>
      </c>
      <c r="C4" t="s">
        <v>178</v>
      </c>
      <c r="D4" s="137" t="s">
        <v>119</v>
      </c>
    </row>
    <row r="5" spans="1:4" x14ac:dyDescent="0.2">
      <c r="A5" s="137">
        <v>5</v>
      </c>
      <c r="B5" t="s">
        <v>231</v>
      </c>
      <c r="C5" t="s">
        <v>127</v>
      </c>
      <c r="D5" s="137" t="s">
        <v>347</v>
      </c>
    </row>
    <row r="6" spans="1:4" x14ac:dyDescent="0.2">
      <c r="A6" s="137">
        <v>6</v>
      </c>
      <c r="B6" t="s">
        <v>194</v>
      </c>
      <c r="C6" t="s">
        <v>195</v>
      </c>
      <c r="D6" s="137" t="s">
        <v>373</v>
      </c>
    </row>
    <row r="7" spans="1:4" x14ac:dyDescent="0.2">
      <c r="A7" s="137">
        <v>7</v>
      </c>
      <c r="B7" t="s">
        <v>264</v>
      </c>
      <c r="C7" t="s">
        <v>263</v>
      </c>
      <c r="D7" s="137" t="s">
        <v>374</v>
      </c>
    </row>
    <row r="8" spans="1:4" x14ac:dyDescent="0.2">
      <c r="A8" s="137">
        <v>8</v>
      </c>
      <c r="B8" t="s">
        <v>310</v>
      </c>
      <c r="C8" t="s">
        <v>311</v>
      </c>
      <c r="D8" s="137" t="s">
        <v>374</v>
      </c>
    </row>
    <row r="9" spans="1:4" x14ac:dyDescent="0.2">
      <c r="A9" s="137">
        <v>9</v>
      </c>
      <c r="B9" t="s">
        <v>312</v>
      </c>
      <c r="C9" t="s">
        <v>233</v>
      </c>
      <c r="D9" s="137" t="s">
        <v>374</v>
      </c>
    </row>
    <row r="10" spans="1:4" x14ac:dyDescent="0.2">
      <c r="A10" s="137">
        <v>10</v>
      </c>
      <c r="B10" t="s">
        <v>337</v>
      </c>
      <c r="C10" t="s">
        <v>330</v>
      </c>
      <c r="D10" s="137" t="s">
        <v>374</v>
      </c>
    </row>
    <row r="11" spans="1:4" x14ac:dyDescent="0.2">
      <c r="A11" s="137"/>
      <c r="B11" t="s">
        <v>413</v>
      </c>
      <c r="C11" t="s">
        <v>25</v>
      </c>
      <c r="D11" s="137" t="s">
        <v>165</v>
      </c>
    </row>
    <row r="12" spans="1:4" x14ac:dyDescent="0.2">
      <c r="A12" s="137">
        <v>11</v>
      </c>
      <c r="B12" t="s">
        <v>138</v>
      </c>
      <c r="C12" t="s">
        <v>139</v>
      </c>
      <c r="D12" s="137" t="s">
        <v>374</v>
      </c>
    </row>
    <row r="13" spans="1:4" x14ac:dyDescent="0.2">
      <c r="A13" s="137">
        <v>12</v>
      </c>
      <c r="B13" t="s">
        <v>188</v>
      </c>
      <c r="C13" t="s">
        <v>189</v>
      </c>
      <c r="D13" s="137" t="s">
        <v>79</v>
      </c>
    </row>
    <row r="14" spans="1:4" x14ac:dyDescent="0.2">
      <c r="A14" s="137">
        <v>13</v>
      </c>
      <c r="B14" t="s">
        <v>26</v>
      </c>
      <c r="C14" t="s">
        <v>389</v>
      </c>
      <c r="D14" s="137" t="s">
        <v>165</v>
      </c>
    </row>
    <row r="15" spans="1:4" x14ac:dyDescent="0.2">
      <c r="A15" s="137">
        <v>14</v>
      </c>
      <c r="B15" t="s">
        <v>197</v>
      </c>
      <c r="C15" t="s">
        <v>198</v>
      </c>
      <c r="D15" s="137" t="s">
        <v>79</v>
      </c>
    </row>
    <row r="16" spans="1:4" x14ac:dyDescent="0.2">
      <c r="A16" s="137">
        <v>15</v>
      </c>
      <c r="B16" t="s">
        <v>321</v>
      </c>
      <c r="C16" t="s">
        <v>322</v>
      </c>
      <c r="D16" s="137" t="s">
        <v>79</v>
      </c>
    </row>
    <row r="17" spans="1:4" x14ac:dyDescent="0.2">
      <c r="A17" s="137"/>
      <c r="B17" t="s">
        <v>20</v>
      </c>
      <c r="C17">
        <v>15</v>
      </c>
      <c r="D17" s="137"/>
    </row>
    <row r="18" spans="1:4" x14ac:dyDescent="0.2">
      <c r="A18" s="137"/>
      <c r="D18" s="137"/>
    </row>
    <row r="19" spans="1:4" x14ac:dyDescent="0.2">
      <c r="A19" s="137"/>
      <c r="D19" s="137"/>
    </row>
    <row r="20" spans="1:4" x14ac:dyDescent="0.2">
      <c r="A20" s="137"/>
      <c r="B20" t="s">
        <v>94</v>
      </c>
      <c r="D20" s="137"/>
    </row>
    <row r="21" spans="1:4" x14ac:dyDescent="0.2">
      <c r="A21" s="137">
        <v>1</v>
      </c>
      <c r="B21" t="s">
        <v>240</v>
      </c>
      <c r="C21" t="s">
        <v>241</v>
      </c>
      <c r="D21" s="137" t="s">
        <v>371</v>
      </c>
    </row>
    <row r="22" spans="1:4" x14ac:dyDescent="0.2">
      <c r="A22" s="137">
        <v>2</v>
      </c>
      <c r="B22" t="s">
        <v>12</v>
      </c>
      <c r="C22" t="s">
        <v>225</v>
      </c>
      <c r="D22" s="137" t="s">
        <v>370</v>
      </c>
    </row>
    <row r="23" spans="1:4" x14ac:dyDescent="0.2">
      <c r="A23" s="137">
        <v>3</v>
      </c>
      <c r="B23" t="s">
        <v>213</v>
      </c>
      <c r="C23" t="s">
        <v>127</v>
      </c>
      <c r="D23" s="137" t="s">
        <v>373</v>
      </c>
    </row>
    <row r="24" spans="1:4" x14ac:dyDescent="0.2">
      <c r="A24" s="137">
        <v>4</v>
      </c>
      <c r="B24" t="s">
        <v>207</v>
      </c>
      <c r="C24" t="s">
        <v>131</v>
      </c>
      <c r="D24" s="137" t="s">
        <v>374</v>
      </c>
    </row>
    <row r="25" spans="1:4" x14ac:dyDescent="0.2">
      <c r="A25" s="137">
        <v>5</v>
      </c>
      <c r="B25" t="s">
        <v>280</v>
      </c>
      <c r="C25" t="s">
        <v>131</v>
      </c>
      <c r="D25" s="137" t="s">
        <v>374</v>
      </c>
    </row>
    <row r="26" spans="1:4" x14ac:dyDescent="0.2">
      <c r="A26" s="137">
        <v>6</v>
      </c>
      <c r="B26" t="s">
        <v>205</v>
      </c>
      <c r="C26" t="s">
        <v>131</v>
      </c>
      <c r="D26" s="137" t="s">
        <v>165</v>
      </c>
    </row>
    <row r="27" spans="1:4" x14ac:dyDescent="0.2">
      <c r="A27" s="137"/>
      <c r="B27" t="s">
        <v>20</v>
      </c>
      <c r="C27">
        <v>6</v>
      </c>
      <c r="D27" s="137"/>
    </row>
    <row r="28" spans="1:4" x14ac:dyDescent="0.2">
      <c r="A28" s="137"/>
      <c r="D28" s="137"/>
    </row>
    <row r="29" spans="1:4" x14ac:dyDescent="0.2">
      <c r="A29" s="137"/>
      <c r="B29" t="s">
        <v>95</v>
      </c>
      <c r="D29" s="137"/>
    </row>
    <row r="30" spans="1:4" x14ac:dyDescent="0.2">
      <c r="A30" s="137">
        <v>1</v>
      </c>
      <c r="B30" t="s">
        <v>356</v>
      </c>
      <c r="C30" t="s">
        <v>273</v>
      </c>
      <c r="D30" s="137" t="s">
        <v>151</v>
      </c>
    </row>
    <row r="31" spans="1:4" x14ac:dyDescent="0.2">
      <c r="A31" s="137">
        <v>2</v>
      </c>
      <c r="B31" t="s">
        <v>31</v>
      </c>
      <c r="C31" t="s">
        <v>96</v>
      </c>
      <c r="D31" s="137" t="s">
        <v>370</v>
      </c>
    </row>
    <row r="32" spans="1:4" x14ac:dyDescent="0.2">
      <c r="A32" s="137">
        <v>3</v>
      </c>
      <c r="B32" t="s">
        <v>216</v>
      </c>
      <c r="C32" t="s">
        <v>226</v>
      </c>
      <c r="D32" s="137" t="s">
        <v>119</v>
      </c>
    </row>
    <row r="33" spans="1:4" x14ac:dyDescent="0.2">
      <c r="A33" s="137">
        <v>4</v>
      </c>
      <c r="B33" t="s">
        <v>382</v>
      </c>
      <c r="C33" t="s">
        <v>383</v>
      </c>
      <c r="D33" s="137" t="s">
        <v>50</v>
      </c>
    </row>
    <row r="34" spans="1:4" x14ac:dyDescent="0.2">
      <c r="A34" s="137">
        <v>5</v>
      </c>
      <c r="B34" t="s">
        <v>203</v>
      </c>
      <c r="C34" t="s">
        <v>227</v>
      </c>
      <c r="D34" s="137" t="s">
        <v>372</v>
      </c>
    </row>
    <row r="35" spans="1:4" x14ac:dyDescent="0.2">
      <c r="A35" s="137">
        <v>6</v>
      </c>
      <c r="B35" t="s">
        <v>187</v>
      </c>
      <c r="C35" t="s">
        <v>228</v>
      </c>
      <c r="D35" s="137" t="s">
        <v>372</v>
      </c>
    </row>
    <row r="36" spans="1:4" x14ac:dyDescent="0.2">
      <c r="A36" s="137">
        <v>7</v>
      </c>
      <c r="C36" t="s">
        <v>125</v>
      </c>
      <c r="D36" s="137" t="s">
        <v>146</v>
      </c>
    </row>
    <row r="37" spans="1:4" x14ac:dyDescent="0.2">
      <c r="A37" s="137">
        <v>8</v>
      </c>
      <c r="B37" t="s">
        <v>367</v>
      </c>
      <c r="C37" t="s">
        <v>369</v>
      </c>
      <c r="D37" s="137" t="s">
        <v>146</v>
      </c>
    </row>
    <row r="38" spans="1:4" x14ac:dyDescent="0.2">
      <c r="A38" s="137">
        <v>9</v>
      </c>
      <c r="B38" t="s">
        <v>386</v>
      </c>
      <c r="C38" t="s">
        <v>125</v>
      </c>
      <c r="D38" s="137" t="s">
        <v>146</v>
      </c>
    </row>
    <row r="39" spans="1:4" x14ac:dyDescent="0.2">
      <c r="A39" s="137">
        <v>10</v>
      </c>
      <c r="B39" t="s">
        <v>274</v>
      </c>
      <c r="C39" t="s">
        <v>127</v>
      </c>
      <c r="D39" s="137" t="s">
        <v>373</v>
      </c>
    </row>
    <row r="40" spans="1:4" x14ac:dyDescent="0.2">
      <c r="A40" s="137">
        <v>11</v>
      </c>
      <c r="C40" t="s">
        <v>127</v>
      </c>
      <c r="D40" s="137" t="s">
        <v>348</v>
      </c>
    </row>
    <row r="41" spans="1:4" x14ac:dyDescent="0.2">
      <c r="A41" s="137">
        <v>12</v>
      </c>
      <c r="B41" t="s">
        <v>307</v>
      </c>
      <c r="C41" t="s">
        <v>393</v>
      </c>
      <c r="D41" s="137" t="s">
        <v>146</v>
      </c>
    </row>
    <row r="42" spans="1:4" x14ac:dyDescent="0.2">
      <c r="A42" s="137">
        <v>13</v>
      </c>
      <c r="B42" t="s">
        <v>379</v>
      </c>
      <c r="C42" t="s">
        <v>127</v>
      </c>
      <c r="D42" s="137" t="s">
        <v>184</v>
      </c>
    </row>
    <row r="43" spans="1:4" x14ac:dyDescent="0.2">
      <c r="A43" s="137">
        <v>14</v>
      </c>
      <c r="B43" t="s">
        <v>380</v>
      </c>
      <c r="C43" t="s">
        <v>127</v>
      </c>
      <c r="D43" s="137" t="s">
        <v>184</v>
      </c>
    </row>
    <row r="44" spans="1:4" x14ac:dyDescent="0.2">
      <c r="A44" s="137">
        <v>15</v>
      </c>
      <c r="C44" t="s">
        <v>127</v>
      </c>
      <c r="D44" s="137" t="s">
        <v>184</v>
      </c>
    </row>
    <row r="45" spans="1:4" x14ac:dyDescent="0.2">
      <c r="A45" s="137">
        <v>16</v>
      </c>
      <c r="C45" t="s">
        <v>127</v>
      </c>
      <c r="D45" s="137" t="s">
        <v>184</v>
      </c>
    </row>
    <row r="46" spans="1:4" x14ac:dyDescent="0.2">
      <c r="A46" s="137">
        <v>17</v>
      </c>
      <c r="B46" t="s">
        <v>24</v>
      </c>
      <c r="C46" t="s">
        <v>387</v>
      </c>
      <c r="D46" s="137" t="s">
        <v>184</v>
      </c>
    </row>
    <row r="47" spans="1:4" x14ac:dyDescent="0.2">
      <c r="A47" s="137">
        <v>18</v>
      </c>
      <c r="B47" t="s">
        <v>185</v>
      </c>
      <c r="C47" t="s">
        <v>186</v>
      </c>
      <c r="D47" s="137" t="s">
        <v>374</v>
      </c>
    </row>
    <row r="48" spans="1:4" x14ac:dyDescent="0.2">
      <c r="A48" s="137">
        <v>19</v>
      </c>
      <c r="B48" t="s">
        <v>196</v>
      </c>
      <c r="C48" t="s">
        <v>131</v>
      </c>
      <c r="D48" s="137" t="s">
        <v>374</v>
      </c>
    </row>
    <row r="49" spans="1:4" x14ac:dyDescent="0.2">
      <c r="A49" s="137">
        <v>20</v>
      </c>
      <c r="B49" t="s">
        <v>303</v>
      </c>
      <c r="C49" t="s">
        <v>304</v>
      </c>
      <c r="D49" s="137" t="s">
        <v>374</v>
      </c>
    </row>
    <row r="50" spans="1:4" x14ac:dyDescent="0.2">
      <c r="A50" s="137">
        <v>21</v>
      </c>
      <c r="B50" t="s">
        <v>208</v>
      </c>
      <c r="C50" t="s">
        <v>131</v>
      </c>
      <c r="D50" s="137" t="s">
        <v>165</v>
      </c>
    </row>
    <row r="51" spans="1:4" x14ac:dyDescent="0.2">
      <c r="A51" s="137">
        <v>22</v>
      </c>
      <c r="B51" t="s">
        <v>278</v>
      </c>
      <c r="C51" t="s">
        <v>200</v>
      </c>
      <c r="D51" s="137" t="s">
        <v>375</v>
      </c>
    </row>
    <row r="52" spans="1:4" x14ac:dyDescent="0.2">
      <c r="A52" s="137">
        <v>23</v>
      </c>
      <c r="B52" t="s">
        <v>162</v>
      </c>
      <c r="C52" t="s">
        <v>200</v>
      </c>
      <c r="D52" s="137" t="s">
        <v>349</v>
      </c>
    </row>
    <row r="53" spans="1:4" x14ac:dyDescent="0.2">
      <c r="A53" s="137">
        <v>24</v>
      </c>
      <c r="B53" t="s">
        <v>159</v>
      </c>
      <c r="C53" t="s">
        <v>200</v>
      </c>
      <c r="D53" s="137" t="s">
        <v>349</v>
      </c>
    </row>
    <row r="54" spans="1:4" x14ac:dyDescent="0.2">
      <c r="A54" s="137">
        <v>25</v>
      </c>
      <c r="B54" t="s">
        <v>45</v>
      </c>
      <c r="C54" t="s">
        <v>394</v>
      </c>
      <c r="D54" s="137" t="s">
        <v>165</v>
      </c>
    </row>
    <row r="55" spans="1:4" x14ac:dyDescent="0.2">
      <c r="A55" s="137"/>
      <c r="B55" t="s">
        <v>20</v>
      </c>
      <c r="C55">
        <v>25</v>
      </c>
      <c r="D55" s="137"/>
    </row>
    <row r="56" spans="1:4" x14ac:dyDescent="0.2">
      <c r="A56" s="137"/>
      <c r="D56" s="137"/>
    </row>
    <row r="57" spans="1:4" x14ac:dyDescent="0.2">
      <c r="A57" s="137"/>
      <c r="B57" t="s">
        <v>153</v>
      </c>
      <c r="D57" s="137"/>
    </row>
    <row r="58" spans="1:4" x14ac:dyDescent="0.2">
      <c r="A58" s="137">
        <v>1</v>
      </c>
      <c r="B58" t="s">
        <v>149</v>
      </c>
      <c r="C58" t="s">
        <v>229</v>
      </c>
      <c r="D58" s="137" t="s">
        <v>371</v>
      </c>
    </row>
    <row r="59" spans="1:4" x14ac:dyDescent="0.2">
      <c r="A59" s="137">
        <v>2</v>
      </c>
      <c r="B59" t="s">
        <v>34</v>
      </c>
      <c r="C59" t="s">
        <v>35</v>
      </c>
      <c r="D59" s="137" t="s">
        <v>370</v>
      </c>
    </row>
    <row r="60" spans="1:4" x14ac:dyDescent="0.2">
      <c r="A60" s="137">
        <v>3</v>
      </c>
      <c r="B60" t="s">
        <v>36</v>
      </c>
      <c r="C60" t="s">
        <v>51</v>
      </c>
      <c r="D60" s="137" t="s">
        <v>370</v>
      </c>
    </row>
    <row r="61" spans="1:4" x14ac:dyDescent="0.2">
      <c r="A61" s="137">
        <v>4</v>
      </c>
      <c r="B61" t="s">
        <v>155</v>
      </c>
      <c r="C61" t="s">
        <v>156</v>
      </c>
      <c r="D61" s="137" t="s">
        <v>119</v>
      </c>
    </row>
    <row r="62" spans="1:4" x14ac:dyDescent="0.2">
      <c r="A62" s="137">
        <v>5</v>
      </c>
      <c r="B62" t="s">
        <v>230</v>
      </c>
      <c r="C62" t="s">
        <v>384</v>
      </c>
      <c r="D62" s="137" t="s">
        <v>119</v>
      </c>
    </row>
    <row r="63" spans="1:4" x14ac:dyDescent="0.2">
      <c r="A63" s="137">
        <v>6</v>
      </c>
      <c r="B63" t="s">
        <v>179</v>
      </c>
      <c r="C63" t="s">
        <v>180</v>
      </c>
      <c r="D63" s="137" t="s">
        <v>119</v>
      </c>
    </row>
    <row r="64" spans="1:4" x14ac:dyDescent="0.2">
      <c r="A64" s="137">
        <v>7</v>
      </c>
      <c r="B64" t="s">
        <v>354</v>
      </c>
      <c r="C64" t="s">
        <v>343</v>
      </c>
      <c r="D64" s="137" t="s">
        <v>373</v>
      </c>
    </row>
    <row r="65" spans="1:4" x14ac:dyDescent="0.2">
      <c r="A65" s="137">
        <v>8</v>
      </c>
      <c r="B65" t="s">
        <v>157</v>
      </c>
      <c r="C65" t="s">
        <v>164</v>
      </c>
      <c r="D65" s="137" t="s">
        <v>374</v>
      </c>
    </row>
    <row r="66" spans="1:4" x14ac:dyDescent="0.2">
      <c r="A66" s="137">
        <v>9</v>
      </c>
      <c r="B66" t="s">
        <v>168</v>
      </c>
      <c r="C66" t="s">
        <v>169</v>
      </c>
      <c r="D66" s="137" t="s">
        <v>374</v>
      </c>
    </row>
    <row r="67" spans="1:4" x14ac:dyDescent="0.2">
      <c r="A67" s="137">
        <v>10</v>
      </c>
      <c r="B67" t="s">
        <v>190</v>
      </c>
      <c r="C67" t="s">
        <v>191</v>
      </c>
      <c r="D67" s="137" t="s">
        <v>374</v>
      </c>
    </row>
    <row r="68" spans="1:4" x14ac:dyDescent="0.2">
      <c r="A68" s="137">
        <v>11</v>
      </c>
      <c r="B68" t="s">
        <v>324</v>
      </c>
      <c r="C68" t="s">
        <v>355</v>
      </c>
      <c r="D68" s="137" t="s">
        <v>374</v>
      </c>
    </row>
    <row r="69" spans="1:4" x14ac:dyDescent="0.2">
      <c r="A69" s="137">
        <v>12</v>
      </c>
      <c r="B69" t="s">
        <v>160</v>
      </c>
      <c r="C69" t="s">
        <v>166</v>
      </c>
      <c r="D69" s="137" t="s">
        <v>79</v>
      </c>
    </row>
    <row r="70" spans="1:4" x14ac:dyDescent="0.2">
      <c r="A70" s="137">
        <v>13</v>
      </c>
      <c r="C70" t="s">
        <v>166</v>
      </c>
      <c r="D70" s="137" t="s">
        <v>79</v>
      </c>
    </row>
    <row r="71" spans="1:4" x14ac:dyDescent="0.2">
      <c r="A71" s="137">
        <v>14</v>
      </c>
      <c r="B71" t="s">
        <v>181</v>
      </c>
      <c r="C71" t="s">
        <v>182</v>
      </c>
      <c r="D71" s="137" t="s">
        <v>79</v>
      </c>
    </row>
    <row r="72" spans="1:4" x14ac:dyDescent="0.2">
      <c r="A72" s="137">
        <v>15</v>
      </c>
      <c r="B72" t="s">
        <v>289</v>
      </c>
      <c r="C72" t="s">
        <v>182</v>
      </c>
      <c r="D72" s="137" t="s">
        <v>79</v>
      </c>
    </row>
    <row r="73" spans="1:4" x14ac:dyDescent="0.2">
      <c r="A73" s="137">
        <v>16</v>
      </c>
      <c r="B73" t="s">
        <v>290</v>
      </c>
      <c r="C73" t="s">
        <v>182</v>
      </c>
      <c r="D73" s="137" t="s">
        <v>79</v>
      </c>
    </row>
    <row r="74" spans="1:4" x14ac:dyDescent="0.2">
      <c r="A74" s="137">
        <v>17</v>
      </c>
      <c r="B74" t="s">
        <v>170</v>
      </c>
      <c r="C74" t="s">
        <v>388</v>
      </c>
      <c r="D74" s="137" t="s">
        <v>165</v>
      </c>
    </row>
    <row r="75" spans="1:4" x14ac:dyDescent="0.2">
      <c r="A75" s="137">
        <v>18</v>
      </c>
      <c r="B75" t="s">
        <v>397</v>
      </c>
      <c r="C75" t="s">
        <v>223</v>
      </c>
      <c r="D75" s="137" t="s">
        <v>165</v>
      </c>
    </row>
    <row r="76" spans="1:4" x14ac:dyDescent="0.2">
      <c r="A76" s="137">
        <v>19</v>
      </c>
      <c r="B76" t="s">
        <v>398</v>
      </c>
      <c r="C76" t="s">
        <v>223</v>
      </c>
      <c r="D76" s="137" t="s">
        <v>165</v>
      </c>
    </row>
    <row r="77" spans="1:4" x14ac:dyDescent="0.2">
      <c r="A77" s="137">
        <v>20</v>
      </c>
      <c r="B77" t="s">
        <v>6</v>
      </c>
      <c r="C77" t="s">
        <v>390</v>
      </c>
      <c r="D77" s="137" t="s">
        <v>165</v>
      </c>
    </row>
    <row r="78" spans="1:4" x14ac:dyDescent="0.2">
      <c r="A78" s="137">
        <v>21</v>
      </c>
      <c r="B78" t="s">
        <v>7</v>
      </c>
      <c r="C78" t="s">
        <v>390</v>
      </c>
      <c r="D78" s="137" t="s">
        <v>165</v>
      </c>
    </row>
    <row r="79" spans="1:4" x14ac:dyDescent="0.2">
      <c r="A79" s="137">
        <v>22</v>
      </c>
      <c r="B79" t="s">
        <v>62</v>
      </c>
      <c r="C79" t="s">
        <v>30</v>
      </c>
      <c r="D79" s="137" t="s">
        <v>349</v>
      </c>
    </row>
    <row r="80" spans="1:4" x14ac:dyDescent="0.2">
      <c r="A80" s="137">
        <v>23</v>
      </c>
      <c r="B80" t="s">
        <v>262</v>
      </c>
      <c r="C80" t="s">
        <v>30</v>
      </c>
      <c r="D80" s="137" t="s">
        <v>376</v>
      </c>
    </row>
    <row r="81" spans="1:4" x14ac:dyDescent="0.2">
      <c r="A81" s="137">
        <v>24</v>
      </c>
      <c r="C81" t="s">
        <v>30</v>
      </c>
      <c r="D81" s="137" t="s">
        <v>350</v>
      </c>
    </row>
    <row r="82" spans="1:4" x14ac:dyDescent="0.2">
      <c r="A82" s="137">
        <v>25</v>
      </c>
      <c r="B82" t="s">
        <v>40</v>
      </c>
      <c r="C82" t="s">
        <v>392</v>
      </c>
      <c r="D82" s="137" t="s">
        <v>391</v>
      </c>
    </row>
    <row r="83" spans="1:4" x14ac:dyDescent="0.2">
      <c r="A83" s="137">
        <v>26</v>
      </c>
      <c r="B83" t="s">
        <v>17</v>
      </c>
      <c r="C83" t="s">
        <v>392</v>
      </c>
      <c r="D83" s="137" t="s">
        <v>391</v>
      </c>
    </row>
    <row r="84" spans="1:4" x14ac:dyDescent="0.2">
      <c r="A84" s="137">
        <v>27</v>
      </c>
      <c r="B84" t="s">
        <v>41</v>
      </c>
      <c r="C84" t="s">
        <v>392</v>
      </c>
      <c r="D84" s="137" t="s">
        <v>391</v>
      </c>
    </row>
    <row r="85" spans="1:4" x14ac:dyDescent="0.2">
      <c r="A85" s="137">
        <v>28</v>
      </c>
      <c r="B85" t="s">
        <v>42</v>
      </c>
      <c r="C85" t="s">
        <v>392</v>
      </c>
      <c r="D85" s="137" t="s">
        <v>391</v>
      </c>
    </row>
    <row r="86" spans="1:4" x14ac:dyDescent="0.2">
      <c r="A86" s="137">
        <v>29</v>
      </c>
      <c r="B86" t="s">
        <v>43</v>
      </c>
      <c r="C86" t="s">
        <v>392</v>
      </c>
      <c r="D86" s="137" t="s">
        <v>391</v>
      </c>
    </row>
    <row r="87" spans="1:4" x14ac:dyDescent="0.2">
      <c r="A87" s="137">
        <v>30</v>
      </c>
      <c r="B87" t="s">
        <v>44</v>
      </c>
      <c r="C87" t="s">
        <v>392</v>
      </c>
      <c r="D87" s="137" t="s">
        <v>391</v>
      </c>
    </row>
    <row r="88" spans="1:4" x14ac:dyDescent="0.2">
      <c r="A88" s="137">
        <v>31</v>
      </c>
      <c r="B88" t="s">
        <v>18</v>
      </c>
      <c r="C88" t="s">
        <v>392</v>
      </c>
      <c r="D88" s="137" t="s">
        <v>391</v>
      </c>
    </row>
    <row r="89" spans="1:4" x14ac:dyDescent="0.2">
      <c r="A89" s="137">
        <v>32</v>
      </c>
      <c r="B89" t="s">
        <v>63</v>
      </c>
      <c r="C89" t="s">
        <v>392</v>
      </c>
      <c r="D89" s="137" t="s">
        <v>391</v>
      </c>
    </row>
    <row r="90" spans="1:4" x14ac:dyDescent="0.2">
      <c r="A90" s="137">
        <v>33</v>
      </c>
      <c r="B90" t="s">
        <v>64</v>
      </c>
      <c r="C90" t="s">
        <v>392</v>
      </c>
      <c r="D90" s="137" t="s">
        <v>391</v>
      </c>
    </row>
    <row r="91" spans="1:4" x14ac:dyDescent="0.2">
      <c r="A91" s="137">
        <v>34</v>
      </c>
      <c r="B91" t="s">
        <v>261</v>
      </c>
      <c r="C91" t="s">
        <v>14</v>
      </c>
      <c r="D91" s="137" t="s">
        <v>377</v>
      </c>
    </row>
    <row r="92" spans="1:4" x14ac:dyDescent="0.2">
      <c r="A92" s="137">
        <v>35</v>
      </c>
      <c r="B92" t="s">
        <v>275</v>
      </c>
      <c r="C92" t="s">
        <v>14</v>
      </c>
      <c r="D92" s="137" t="s">
        <v>377</v>
      </c>
    </row>
    <row r="93" spans="1:4" x14ac:dyDescent="0.2">
      <c r="A93" s="137">
        <v>36</v>
      </c>
      <c r="B93" t="s">
        <v>276</v>
      </c>
      <c r="C93" t="s">
        <v>14</v>
      </c>
      <c r="D93" s="137" t="s">
        <v>377</v>
      </c>
    </row>
    <row r="94" spans="1:4" x14ac:dyDescent="0.2">
      <c r="A94" s="137">
        <v>37</v>
      </c>
      <c r="B94" t="s">
        <v>277</v>
      </c>
      <c r="C94" t="s">
        <v>14</v>
      </c>
      <c r="D94" s="137" t="s">
        <v>377</v>
      </c>
    </row>
    <row r="95" spans="1:4" x14ac:dyDescent="0.2">
      <c r="A95" s="137">
        <v>38</v>
      </c>
      <c r="B95" t="s">
        <v>305</v>
      </c>
      <c r="C95" t="s">
        <v>14</v>
      </c>
      <c r="D95" s="137" t="s">
        <v>377</v>
      </c>
    </row>
    <row r="96" spans="1:4" x14ac:dyDescent="0.2">
      <c r="A96" s="137">
        <v>39</v>
      </c>
      <c r="B96" t="s">
        <v>313</v>
      </c>
      <c r="C96" t="s">
        <v>14</v>
      </c>
      <c r="D96" s="137" t="s">
        <v>377</v>
      </c>
    </row>
    <row r="97" spans="1:4" x14ac:dyDescent="0.2">
      <c r="A97" s="137">
        <v>40</v>
      </c>
      <c r="B97" t="s">
        <v>353</v>
      </c>
      <c r="C97" t="s">
        <v>14</v>
      </c>
      <c r="D97" s="137" t="s">
        <v>351</v>
      </c>
    </row>
    <row r="98" spans="1:4" x14ac:dyDescent="0.2">
      <c r="A98" s="137">
        <v>41</v>
      </c>
      <c r="B98" t="s">
        <v>283</v>
      </c>
      <c r="C98" t="s">
        <v>14</v>
      </c>
      <c r="D98" s="137" t="s">
        <v>351</v>
      </c>
    </row>
    <row r="99" spans="1:4" x14ac:dyDescent="0.2">
      <c r="A99" s="137">
        <v>42</v>
      </c>
      <c r="B99" t="s">
        <v>385</v>
      </c>
      <c r="C99" t="s">
        <v>14</v>
      </c>
      <c r="D99" s="137" t="s">
        <v>351</v>
      </c>
    </row>
    <row r="100" spans="1:4" x14ac:dyDescent="0.2">
      <c r="A100" s="137"/>
      <c r="C100" t="s">
        <v>408</v>
      </c>
      <c r="D100" s="137"/>
    </row>
    <row r="101" spans="1:4" x14ac:dyDescent="0.2">
      <c r="A101" s="137"/>
      <c r="D101" s="137"/>
    </row>
    <row r="102" spans="1:4" x14ac:dyDescent="0.2">
      <c r="A102" s="137"/>
      <c r="B102" t="s">
        <v>400</v>
      </c>
      <c r="D102" s="137"/>
    </row>
    <row r="103" spans="1:4" x14ac:dyDescent="0.2">
      <c r="A103" s="137">
        <v>1</v>
      </c>
      <c r="B103" t="s">
        <v>378</v>
      </c>
      <c r="C103" t="s">
        <v>404</v>
      </c>
      <c r="D103" s="137"/>
    </row>
    <row r="104" spans="1:4" x14ac:dyDescent="0.2">
      <c r="A104" s="137">
        <v>2</v>
      </c>
      <c r="B104" t="s">
        <v>411</v>
      </c>
      <c r="C104" t="s">
        <v>404</v>
      </c>
      <c r="D104" s="137"/>
    </row>
    <row r="105" spans="1:4" x14ac:dyDescent="0.2">
      <c r="A105" s="137">
        <v>3</v>
      </c>
      <c r="B105" t="s">
        <v>412</v>
      </c>
      <c r="C105" t="s">
        <v>404</v>
      </c>
      <c r="D105" s="137"/>
    </row>
    <row r="106" spans="1:4" x14ac:dyDescent="0.2">
      <c r="A106" s="137">
        <v>4</v>
      </c>
      <c r="B106" t="s">
        <v>405</v>
      </c>
      <c r="C106" t="s">
        <v>406</v>
      </c>
      <c r="D106" s="137"/>
    </row>
    <row r="107" spans="1:4" x14ac:dyDescent="0.2">
      <c r="A107" s="137">
        <v>5</v>
      </c>
      <c r="B107" t="s">
        <v>85</v>
      </c>
      <c r="C107" t="s">
        <v>89</v>
      </c>
      <c r="D107" s="137"/>
    </row>
    <row r="108" spans="1:4" x14ac:dyDescent="0.2">
      <c r="A108" s="137">
        <v>6</v>
      </c>
      <c r="B108" t="s">
        <v>98</v>
      </c>
      <c r="C108" t="s">
        <v>89</v>
      </c>
      <c r="D108" s="137"/>
    </row>
    <row r="109" spans="1:4" x14ac:dyDescent="0.2">
      <c r="A109" s="137">
        <v>7</v>
      </c>
      <c r="B109" t="s">
        <v>88</v>
      </c>
      <c r="C109" t="s">
        <v>89</v>
      </c>
      <c r="D109" s="137"/>
    </row>
    <row r="110" spans="1:4" x14ac:dyDescent="0.2">
      <c r="A110" s="137">
        <v>8</v>
      </c>
      <c r="B110" t="s">
        <v>292</v>
      </c>
      <c r="C110" t="s">
        <v>402</v>
      </c>
      <c r="D110" s="137"/>
    </row>
    <row r="111" spans="1:4" x14ac:dyDescent="0.2">
      <c r="A111" s="137">
        <v>9</v>
      </c>
      <c r="B111" t="s">
        <v>409</v>
      </c>
      <c r="C111" t="s">
        <v>394</v>
      </c>
      <c r="D111" s="137"/>
    </row>
    <row r="112" spans="1:4" x14ac:dyDescent="0.2">
      <c r="A112" s="137">
        <v>10</v>
      </c>
      <c r="B112" t="s">
        <v>87</v>
      </c>
      <c r="C112" t="s">
        <v>403</v>
      </c>
      <c r="D112" s="137"/>
    </row>
    <row r="113" spans="2:4" x14ac:dyDescent="0.2">
      <c r="D113" s="137"/>
    </row>
    <row r="114" spans="2:4" x14ac:dyDescent="0.2">
      <c r="D114" s="137"/>
    </row>
    <row r="115" spans="2:4" x14ac:dyDescent="0.2">
      <c r="B115" t="s">
        <v>8</v>
      </c>
      <c r="D115" s="1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4"/>
  <sheetViews>
    <sheetView workbookViewId="0">
      <selection activeCell="H13" sqref="H13"/>
    </sheetView>
  </sheetViews>
  <sheetFormatPr defaultRowHeight="12.75" x14ac:dyDescent="0.2"/>
  <cols>
    <col min="1" max="1" width="5.5703125" customWidth="1"/>
    <col min="2" max="2" width="32.7109375" customWidth="1"/>
    <col min="3" max="3" width="30.7109375" customWidth="1"/>
    <col min="4" max="4" width="10.7109375" customWidth="1"/>
    <col min="5" max="5" width="15.5703125" customWidth="1"/>
  </cols>
  <sheetData>
    <row r="1" spans="1:5" ht="25.5" x14ac:dyDescent="0.2">
      <c r="A1" s="126" t="s">
        <v>328</v>
      </c>
      <c r="B1" s="126" t="s">
        <v>22</v>
      </c>
      <c r="C1" s="127" t="s">
        <v>410</v>
      </c>
      <c r="D1" s="128" t="s">
        <v>243</v>
      </c>
      <c r="E1" s="127" t="s">
        <v>238</v>
      </c>
    </row>
    <row r="2" spans="1:5" x14ac:dyDescent="0.2">
      <c r="A2" s="108">
        <v>1</v>
      </c>
      <c r="B2" s="74" t="s">
        <v>46</v>
      </c>
      <c r="C2" s="74" t="s">
        <v>224</v>
      </c>
      <c r="D2" s="74" t="s">
        <v>55</v>
      </c>
      <c r="E2" s="129">
        <v>250000</v>
      </c>
    </row>
    <row r="3" spans="1:5" x14ac:dyDescent="0.2">
      <c r="A3" s="108">
        <v>2</v>
      </c>
      <c r="B3" s="74" t="s">
        <v>81</v>
      </c>
      <c r="C3" s="74" t="s">
        <v>82</v>
      </c>
      <c r="D3" s="74" t="s">
        <v>370</v>
      </c>
      <c r="E3" s="129">
        <v>100000</v>
      </c>
    </row>
    <row r="4" spans="1:5" x14ac:dyDescent="0.2">
      <c r="A4" s="108">
        <v>3</v>
      </c>
      <c r="B4" s="74" t="s">
        <v>395</v>
      </c>
      <c r="C4" s="74" t="s">
        <v>396</v>
      </c>
      <c r="D4" s="74" t="s">
        <v>49</v>
      </c>
      <c r="E4" s="129">
        <v>100000</v>
      </c>
    </row>
    <row r="5" spans="1:5" x14ac:dyDescent="0.2">
      <c r="A5" s="108">
        <v>4</v>
      </c>
      <c r="B5" s="74" t="s">
        <v>177</v>
      </c>
      <c r="C5" s="74" t="s">
        <v>178</v>
      </c>
      <c r="D5" s="74" t="s">
        <v>119</v>
      </c>
      <c r="E5" s="129">
        <v>75000</v>
      </c>
    </row>
    <row r="6" spans="1:5" x14ac:dyDescent="0.2">
      <c r="A6" s="108">
        <v>5</v>
      </c>
      <c r="B6" s="74" t="s">
        <v>231</v>
      </c>
      <c r="C6" s="74" t="s">
        <v>127</v>
      </c>
      <c r="D6" s="74" t="s">
        <v>347</v>
      </c>
      <c r="E6" s="129">
        <v>75000</v>
      </c>
    </row>
    <row r="7" spans="1:5" x14ac:dyDescent="0.2">
      <c r="A7" s="108">
        <v>6</v>
      </c>
      <c r="B7" s="74" t="s">
        <v>194</v>
      </c>
      <c r="C7" s="74" t="s">
        <v>195</v>
      </c>
      <c r="D7" s="74" t="s">
        <v>373</v>
      </c>
      <c r="E7" s="129">
        <v>50000</v>
      </c>
    </row>
    <row r="8" spans="1:5" x14ac:dyDescent="0.2">
      <c r="A8" s="108">
        <v>7</v>
      </c>
      <c r="B8" s="74" t="s">
        <v>264</v>
      </c>
      <c r="C8" s="74" t="s">
        <v>263</v>
      </c>
      <c r="D8" s="74" t="s">
        <v>374</v>
      </c>
      <c r="E8" s="129">
        <v>30000</v>
      </c>
    </row>
    <row r="9" spans="1:5" x14ac:dyDescent="0.2">
      <c r="A9" s="108">
        <v>8</v>
      </c>
      <c r="B9" s="74" t="s">
        <v>310</v>
      </c>
      <c r="C9" s="74" t="s">
        <v>311</v>
      </c>
      <c r="D9" s="74" t="s">
        <v>374</v>
      </c>
      <c r="E9" s="129">
        <v>30000</v>
      </c>
    </row>
    <row r="10" spans="1:5" x14ac:dyDescent="0.2">
      <c r="A10" s="108">
        <v>9</v>
      </c>
      <c r="B10" s="74" t="s">
        <v>312</v>
      </c>
      <c r="C10" s="74" t="s">
        <v>233</v>
      </c>
      <c r="D10" s="74" t="s">
        <v>374</v>
      </c>
      <c r="E10" s="129">
        <v>30000</v>
      </c>
    </row>
    <row r="11" spans="1:5" x14ac:dyDescent="0.2">
      <c r="A11" s="108">
        <v>10</v>
      </c>
      <c r="B11" s="74" t="s">
        <v>337</v>
      </c>
      <c r="C11" s="74" t="s">
        <v>330</v>
      </c>
      <c r="D11" s="74" t="s">
        <v>374</v>
      </c>
      <c r="E11" s="129">
        <v>30000</v>
      </c>
    </row>
    <row r="12" spans="1:5" x14ac:dyDescent="0.2">
      <c r="A12" s="108">
        <v>11</v>
      </c>
      <c r="B12" s="74" t="s">
        <v>138</v>
      </c>
      <c r="C12" s="74" t="s">
        <v>139</v>
      </c>
      <c r="D12" s="74" t="s">
        <v>374</v>
      </c>
      <c r="E12" s="129">
        <v>30000</v>
      </c>
    </row>
    <row r="13" spans="1:5" x14ac:dyDescent="0.2">
      <c r="A13" s="108">
        <v>12</v>
      </c>
      <c r="B13" s="74" t="s">
        <v>188</v>
      </c>
      <c r="C13" s="74" t="s">
        <v>189</v>
      </c>
      <c r="D13" s="74" t="s">
        <v>79</v>
      </c>
      <c r="E13" s="129">
        <v>30000</v>
      </c>
    </row>
    <row r="14" spans="1:5" x14ac:dyDescent="0.2">
      <c r="A14" s="108">
        <v>13</v>
      </c>
      <c r="B14" s="74" t="s">
        <v>26</v>
      </c>
      <c r="C14" s="74" t="s">
        <v>389</v>
      </c>
      <c r="D14" s="74" t="s">
        <v>165</v>
      </c>
      <c r="E14" s="129">
        <v>30000</v>
      </c>
    </row>
    <row r="15" spans="1:5" x14ac:dyDescent="0.2">
      <c r="A15" s="108">
        <v>14</v>
      </c>
      <c r="B15" s="74" t="s">
        <v>197</v>
      </c>
      <c r="C15" s="74" t="s">
        <v>198</v>
      </c>
      <c r="D15" s="74" t="s">
        <v>79</v>
      </c>
      <c r="E15" s="129">
        <v>30000</v>
      </c>
    </row>
    <row r="16" spans="1:5" x14ac:dyDescent="0.2">
      <c r="A16" s="108">
        <v>15</v>
      </c>
      <c r="B16" s="74" t="s">
        <v>321</v>
      </c>
      <c r="C16" s="74" t="s">
        <v>322</v>
      </c>
      <c r="D16" s="74" t="s">
        <v>79</v>
      </c>
      <c r="E16" s="129">
        <v>30000</v>
      </c>
    </row>
    <row r="17" spans="1:5" x14ac:dyDescent="0.2">
      <c r="A17" s="108"/>
      <c r="B17" s="126" t="s">
        <v>20</v>
      </c>
      <c r="C17" s="126"/>
      <c r="D17" s="126"/>
      <c r="E17" s="130">
        <f>SUM(E2:E16)</f>
        <v>920000</v>
      </c>
    </row>
    <row r="18" spans="1:5" x14ac:dyDescent="0.2">
      <c r="A18" s="108"/>
      <c r="B18" s="74"/>
      <c r="C18" s="74"/>
      <c r="D18" s="74"/>
      <c r="E18" s="129"/>
    </row>
    <row r="19" spans="1:5" x14ac:dyDescent="0.2">
      <c r="A19" s="108"/>
      <c r="B19" s="74"/>
      <c r="C19" s="74"/>
      <c r="D19" s="74"/>
      <c r="E19" s="129"/>
    </row>
    <row r="20" spans="1:5" x14ac:dyDescent="0.2">
      <c r="A20" s="108"/>
      <c r="B20" s="126" t="s">
        <v>94</v>
      </c>
      <c r="C20" s="74"/>
      <c r="D20" s="74"/>
      <c r="E20" s="129"/>
    </row>
    <row r="21" spans="1:5" x14ac:dyDescent="0.2">
      <c r="A21" s="108">
        <v>1</v>
      </c>
      <c r="B21" s="74" t="s">
        <v>240</v>
      </c>
      <c r="C21" s="74" t="s">
        <v>241</v>
      </c>
      <c r="D21" s="74" t="s">
        <v>371</v>
      </c>
      <c r="E21" s="129">
        <v>200000</v>
      </c>
    </row>
    <row r="22" spans="1:5" x14ac:dyDescent="0.2">
      <c r="A22" s="108">
        <v>2</v>
      </c>
      <c r="B22" s="74" t="s">
        <v>12</v>
      </c>
      <c r="C22" s="74" t="s">
        <v>225</v>
      </c>
      <c r="D22" s="74" t="s">
        <v>370</v>
      </c>
      <c r="E22" s="129">
        <v>100000</v>
      </c>
    </row>
    <row r="23" spans="1:5" x14ac:dyDescent="0.2">
      <c r="A23" s="108">
        <v>3</v>
      </c>
      <c r="B23" s="74" t="s">
        <v>213</v>
      </c>
      <c r="C23" s="74" t="s">
        <v>127</v>
      </c>
      <c r="D23" s="74" t="s">
        <v>373</v>
      </c>
      <c r="E23" s="129">
        <v>50000</v>
      </c>
    </row>
    <row r="24" spans="1:5" x14ac:dyDescent="0.2">
      <c r="A24" s="108">
        <v>4</v>
      </c>
      <c r="B24" s="74" t="s">
        <v>207</v>
      </c>
      <c r="C24" s="74" t="s">
        <v>131</v>
      </c>
      <c r="D24" s="74" t="s">
        <v>374</v>
      </c>
      <c r="E24" s="129">
        <v>30000</v>
      </c>
    </row>
    <row r="25" spans="1:5" x14ac:dyDescent="0.2">
      <c r="A25" s="108">
        <v>5</v>
      </c>
      <c r="B25" s="74" t="s">
        <v>280</v>
      </c>
      <c r="C25" s="74" t="s">
        <v>131</v>
      </c>
      <c r="D25" s="74" t="s">
        <v>374</v>
      </c>
      <c r="E25" s="129">
        <v>30000</v>
      </c>
    </row>
    <row r="26" spans="1:5" x14ac:dyDescent="0.2">
      <c r="A26" s="108">
        <v>6</v>
      </c>
      <c r="B26" s="74" t="s">
        <v>205</v>
      </c>
      <c r="C26" s="74" t="s">
        <v>131</v>
      </c>
      <c r="D26" s="74" t="s">
        <v>165</v>
      </c>
      <c r="E26" s="129">
        <v>30000</v>
      </c>
    </row>
    <row r="27" spans="1:5" x14ac:dyDescent="0.2">
      <c r="A27" s="108"/>
      <c r="B27" s="126" t="s">
        <v>20</v>
      </c>
      <c r="C27" s="126"/>
      <c r="D27" s="126"/>
      <c r="E27" s="130">
        <f>SUM(E21:E26)</f>
        <v>440000</v>
      </c>
    </row>
    <row r="28" spans="1:5" x14ac:dyDescent="0.2">
      <c r="A28" s="108"/>
      <c r="B28" s="74"/>
      <c r="C28" s="74"/>
      <c r="D28" s="74"/>
      <c r="E28" s="129"/>
    </row>
    <row r="29" spans="1:5" x14ac:dyDescent="0.2">
      <c r="A29" s="108"/>
      <c r="B29" s="126" t="s">
        <v>95</v>
      </c>
      <c r="C29" s="74"/>
      <c r="D29" s="74"/>
      <c r="E29" s="129"/>
    </row>
    <row r="30" spans="1:5" x14ac:dyDescent="0.2">
      <c r="A30" s="108">
        <v>1</v>
      </c>
      <c r="B30" s="74" t="s">
        <v>356</v>
      </c>
      <c r="C30" s="74" t="s">
        <v>273</v>
      </c>
      <c r="D30" s="74" t="s">
        <v>151</v>
      </c>
      <c r="E30" s="129">
        <v>200000</v>
      </c>
    </row>
    <row r="31" spans="1:5" x14ac:dyDescent="0.2">
      <c r="A31" s="108">
        <v>2</v>
      </c>
      <c r="B31" s="74" t="s">
        <v>31</v>
      </c>
      <c r="C31" s="74" t="s">
        <v>96</v>
      </c>
      <c r="D31" s="74" t="s">
        <v>370</v>
      </c>
      <c r="E31" s="129">
        <v>100000</v>
      </c>
    </row>
    <row r="32" spans="1:5" x14ac:dyDescent="0.2">
      <c r="A32" s="108">
        <v>3</v>
      </c>
      <c r="B32" s="74" t="s">
        <v>216</v>
      </c>
      <c r="C32" s="74" t="s">
        <v>226</v>
      </c>
      <c r="D32" s="74" t="s">
        <v>119</v>
      </c>
      <c r="E32" s="129">
        <v>75000</v>
      </c>
    </row>
    <row r="33" spans="1:5" x14ac:dyDescent="0.2">
      <c r="A33" s="108">
        <v>4</v>
      </c>
      <c r="B33" s="74" t="s">
        <v>382</v>
      </c>
      <c r="C33" s="74" t="s">
        <v>383</v>
      </c>
      <c r="D33" s="74" t="s">
        <v>50</v>
      </c>
      <c r="E33" s="129">
        <v>75000</v>
      </c>
    </row>
    <row r="34" spans="1:5" x14ac:dyDescent="0.2">
      <c r="A34" s="108">
        <v>5</v>
      </c>
      <c r="B34" s="74" t="s">
        <v>203</v>
      </c>
      <c r="C34" s="74" t="s">
        <v>227</v>
      </c>
      <c r="D34" s="74" t="s">
        <v>372</v>
      </c>
      <c r="E34" s="129">
        <v>50000</v>
      </c>
    </row>
    <row r="35" spans="1:5" x14ac:dyDescent="0.2">
      <c r="A35" s="108">
        <v>6</v>
      </c>
      <c r="B35" s="74" t="s">
        <v>187</v>
      </c>
      <c r="C35" s="74" t="s">
        <v>228</v>
      </c>
      <c r="D35" s="74" t="s">
        <v>372</v>
      </c>
      <c r="E35" s="129">
        <v>50000</v>
      </c>
    </row>
    <row r="36" spans="1:5" x14ac:dyDescent="0.2">
      <c r="A36" s="108">
        <v>7</v>
      </c>
      <c r="B36" s="74" t="s">
        <v>364</v>
      </c>
      <c r="C36" s="74" t="s">
        <v>125</v>
      </c>
      <c r="D36" s="74" t="s">
        <v>146</v>
      </c>
      <c r="E36" s="129">
        <v>50000</v>
      </c>
    </row>
    <row r="37" spans="1:5" x14ac:dyDescent="0.2">
      <c r="A37" s="108">
        <v>8</v>
      </c>
      <c r="B37" s="74" t="s">
        <v>368</v>
      </c>
      <c r="C37" s="74" t="s">
        <v>369</v>
      </c>
      <c r="D37" s="74" t="s">
        <v>146</v>
      </c>
      <c r="E37" s="129">
        <v>50000</v>
      </c>
    </row>
    <row r="38" spans="1:5" x14ac:dyDescent="0.2">
      <c r="A38" s="108">
        <v>9</v>
      </c>
      <c r="B38" s="74" t="s">
        <v>386</v>
      </c>
      <c r="C38" s="74" t="s">
        <v>125</v>
      </c>
      <c r="D38" s="74" t="s">
        <v>146</v>
      </c>
      <c r="E38" s="129">
        <v>50000</v>
      </c>
    </row>
    <row r="39" spans="1:5" x14ac:dyDescent="0.2">
      <c r="A39" s="108">
        <v>10</v>
      </c>
      <c r="B39" s="74" t="s">
        <v>274</v>
      </c>
      <c r="C39" s="74" t="s">
        <v>127</v>
      </c>
      <c r="D39" s="74" t="s">
        <v>373</v>
      </c>
      <c r="E39" s="129">
        <v>50000</v>
      </c>
    </row>
    <row r="40" spans="1:5" x14ac:dyDescent="0.2">
      <c r="A40" s="108">
        <v>11</v>
      </c>
      <c r="B40" s="74" t="s">
        <v>365</v>
      </c>
      <c r="C40" s="74" t="s">
        <v>127</v>
      </c>
      <c r="D40" s="74" t="s">
        <v>348</v>
      </c>
      <c r="E40" s="129">
        <v>50000</v>
      </c>
    </row>
    <row r="41" spans="1:5" x14ac:dyDescent="0.2">
      <c r="A41" s="108">
        <v>12</v>
      </c>
      <c r="B41" s="74" t="s">
        <v>307</v>
      </c>
      <c r="C41" s="74" t="s">
        <v>393</v>
      </c>
      <c r="D41" s="74" t="s">
        <v>146</v>
      </c>
      <c r="E41" s="129">
        <v>50000</v>
      </c>
    </row>
    <row r="42" spans="1:5" x14ac:dyDescent="0.2">
      <c r="A42" s="108">
        <v>13</v>
      </c>
      <c r="B42" s="74" t="s">
        <v>379</v>
      </c>
      <c r="C42" s="74" t="s">
        <v>127</v>
      </c>
      <c r="D42" s="74" t="s">
        <v>184</v>
      </c>
      <c r="E42" s="129">
        <v>50000</v>
      </c>
    </row>
    <row r="43" spans="1:5" x14ac:dyDescent="0.2">
      <c r="A43" s="108">
        <v>14</v>
      </c>
      <c r="B43" s="74" t="s">
        <v>381</v>
      </c>
      <c r="C43" s="74" t="s">
        <v>127</v>
      </c>
      <c r="D43" s="74" t="s">
        <v>184</v>
      </c>
      <c r="E43" s="129">
        <v>50000</v>
      </c>
    </row>
    <row r="44" spans="1:5" x14ac:dyDescent="0.2">
      <c r="A44" s="108">
        <v>15</v>
      </c>
      <c r="B44" s="74" t="s">
        <v>357</v>
      </c>
      <c r="C44" s="74" t="s">
        <v>127</v>
      </c>
      <c r="D44" s="74" t="s">
        <v>184</v>
      </c>
      <c r="E44" s="129">
        <v>50000</v>
      </c>
    </row>
    <row r="45" spans="1:5" x14ac:dyDescent="0.2">
      <c r="A45" s="108">
        <v>16</v>
      </c>
      <c r="B45" s="74" t="s">
        <v>407</v>
      </c>
      <c r="C45" s="74" t="s">
        <v>127</v>
      </c>
      <c r="D45" s="74" t="s">
        <v>184</v>
      </c>
      <c r="E45" s="129">
        <v>50000</v>
      </c>
    </row>
    <row r="46" spans="1:5" x14ac:dyDescent="0.2">
      <c r="A46" s="108">
        <v>17</v>
      </c>
      <c r="B46" s="74" t="s">
        <v>24</v>
      </c>
      <c r="C46" s="74" t="s">
        <v>387</v>
      </c>
      <c r="D46" s="74" t="s">
        <v>184</v>
      </c>
      <c r="E46" s="129">
        <v>50000</v>
      </c>
    </row>
    <row r="47" spans="1:5" x14ac:dyDescent="0.2">
      <c r="A47" s="108">
        <v>18</v>
      </c>
      <c r="B47" s="74" t="s">
        <v>185</v>
      </c>
      <c r="C47" s="74" t="s">
        <v>186</v>
      </c>
      <c r="D47" s="74" t="s">
        <v>374</v>
      </c>
      <c r="E47" s="129">
        <v>30000</v>
      </c>
    </row>
    <row r="48" spans="1:5" x14ac:dyDescent="0.2">
      <c r="A48" s="108">
        <v>19</v>
      </c>
      <c r="B48" s="74" t="s">
        <v>196</v>
      </c>
      <c r="C48" s="74" t="s">
        <v>131</v>
      </c>
      <c r="D48" s="74" t="s">
        <v>374</v>
      </c>
      <c r="E48" s="129">
        <v>30000</v>
      </c>
    </row>
    <row r="49" spans="1:5" x14ac:dyDescent="0.2">
      <c r="A49" s="108">
        <v>20</v>
      </c>
      <c r="B49" s="74" t="s">
        <v>303</v>
      </c>
      <c r="C49" s="74" t="s">
        <v>304</v>
      </c>
      <c r="D49" s="74" t="s">
        <v>374</v>
      </c>
      <c r="E49" s="129">
        <v>30000</v>
      </c>
    </row>
    <row r="50" spans="1:5" x14ac:dyDescent="0.2">
      <c r="A50" s="108">
        <v>21</v>
      </c>
      <c r="B50" s="74" t="s">
        <v>208</v>
      </c>
      <c r="C50" s="74" t="s">
        <v>131</v>
      </c>
      <c r="D50" s="74" t="s">
        <v>165</v>
      </c>
      <c r="E50" s="129">
        <v>30000</v>
      </c>
    </row>
    <row r="51" spans="1:5" x14ac:dyDescent="0.2">
      <c r="A51" s="108">
        <v>22</v>
      </c>
      <c r="B51" s="74" t="s">
        <v>278</v>
      </c>
      <c r="C51" s="74" t="s">
        <v>200</v>
      </c>
      <c r="D51" s="74" t="s">
        <v>375</v>
      </c>
      <c r="E51" s="129">
        <v>30000</v>
      </c>
    </row>
    <row r="52" spans="1:5" x14ac:dyDescent="0.2">
      <c r="A52" s="108">
        <v>23</v>
      </c>
      <c r="B52" s="74" t="s">
        <v>162</v>
      </c>
      <c r="C52" s="74" t="s">
        <v>200</v>
      </c>
      <c r="D52" s="74" t="s">
        <v>349</v>
      </c>
      <c r="E52" s="129">
        <v>30000</v>
      </c>
    </row>
    <row r="53" spans="1:5" x14ac:dyDescent="0.2">
      <c r="A53" s="108">
        <v>24</v>
      </c>
      <c r="B53" s="74" t="s">
        <v>159</v>
      </c>
      <c r="C53" s="74" t="s">
        <v>200</v>
      </c>
      <c r="D53" s="74" t="s">
        <v>349</v>
      </c>
      <c r="E53" s="129">
        <v>30000</v>
      </c>
    </row>
    <row r="54" spans="1:5" x14ac:dyDescent="0.2">
      <c r="A54" s="108">
        <v>25</v>
      </c>
      <c r="B54" s="74" t="s">
        <v>45</v>
      </c>
      <c r="C54" s="74" t="s">
        <v>394</v>
      </c>
      <c r="D54" s="74" t="s">
        <v>165</v>
      </c>
      <c r="E54" s="129">
        <v>30000</v>
      </c>
    </row>
    <row r="55" spans="1:5" x14ac:dyDescent="0.2">
      <c r="A55" s="108"/>
      <c r="B55" s="126" t="s">
        <v>20</v>
      </c>
      <c r="C55" s="126"/>
      <c r="D55" s="126"/>
      <c r="E55" s="130">
        <f>SUM(E30:E54)</f>
        <v>1340000</v>
      </c>
    </row>
    <row r="56" spans="1:5" x14ac:dyDescent="0.2">
      <c r="A56" s="131"/>
      <c r="B56" s="132"/>
      <c r="C56" s="132"/>
      <c r="D56" s="132"/>
      <c r="E56" s="133"/>
    </row>
    <row r="57" spans="1:5" x14ac:dyDescent="0.2">
      <c r="A57" s="131"/>
      <c r="B57" s="132"/>
      <c r="C57" s="132"/>
      <c r="D57" s="132"/>
      <c r="E57" s="133"/>
    </row>
    <row r="58" spans="1:5" x14ac:dyDescent="0.2">
      <c r="A58" s="131"/>
      <c r="E58" s="134"/>
    </row>
    <row r="59" spans="1:5" x14ac:dyDescent="0.2">
      <c r="A59" s="108"/>
      <c r="B59" s="126" t="s">
        <v>153</v>
      </c>
      <c r="C59" s="74"/>
      <c r="D59" s="74"/>
      <c r="E59" s="129"/>
    </row>
    <row r="60" spans="1:5" x14ac:dyDescent="0.2">
      <c r="A60" s="108">
        <v>1</v>
      </c>
      <c r="B60" s="74" t="s">
        <v>149</v>
      </c>
      <c r="C60" s="74" t="s">
        <v>229</v>
      </c>
      <c r="D60" s="74" t="s">
        <v>371</v>
      </c>
      <c r="E60" s="129">
        <v>200000</v>
      </c>
    </row>
    <row r="61" spans="1:5" x14ac:dyDescent="0.2">
      <c r="A61" s="108">
        <v>2</v>
      </c>
      <c r="B61" s="74" t="s">
        <v>34</v>
      </c>
      <c r="C61" s="74" t="s">
        <v>35</v>
      </c>
      <c r="D61" s="74" t="s">
        <v>370</v>
      </c>
      <c r="E61" s="129">
        <v>100000</v>
      </c>
    </row>
    <row r="62" spans="1:5" x14ac:dyDescent="0.2">
      <c r="A62" s="108">
        <v>3</v>
      </c>
      <c r="B62" s="74" t="s">
        <v>36</v>
      </c>
      <c r="C62" s="74" t="s">
        <v>51</v>
      </c>
      <c r="D62" s="74" t="s">
        <v>370</v>
      </c>
      <c r="E62" s="129">
        <v>100000</v>
      </c>
    </row>
    <row r="63" spans="1:5" x14ac:dyDescent="0.2">
      <c r="A63" s="108">
        <v>4</v>
      </c>
      <c r="B63" s="74" t="s">
        <v>155</v>
      </c>
      <c r="C63" s="74" t="s">
        <v>156</v>
      </c>
      <c r="D63" s="74" t="s">
        <v>119</v>
      </c>
      <c r="E63" s="129">
        <v>75000</v>
      </c>
    </row>
    <row r="64" spans="1:5" x14ac:dyDescent="0.2">
      <c r="A64" s="108">
        <v>5</v>
      </c>
      <c r="B64" s="74" t="s">
        <v>230</v>
      </c>
      <c r="C64" s="74" t="s">
        <v>384</v>
      </c>
      <c r="D64" s="74" t="s">
        <v>119</v>
      </c>
      <c r="E64" s="129">
        <v>75000</v>
      </c>
    </row>
    <row r="65" spans="1:5" x14ac:dyDescent="0.2">
      <c r="A65" s="108">
        <v>6</v>
      </c>
      <c r="B65" s="74" t="s">
        <v>179</v>
      </c>
      <c r="C65" s="74" t="s">
        <v>180</v>
      </c>
      <c r="D65" s="74" t="s">
        <v>119</v>
      </c>
      <c r="E65" s="129">
        <v>75000</v>
      </c>
    </row>
    <row r="66" spans="1:5" x14ac:dyDescent="0.2">
      <c r="A66" s="108">
        <v>7</v>
      </c>
      <c r="B66" s="74" t="s">
        <v>354</v>
      </c>
      <c r="C66" s="74" t="s">
        <v>343</v>
      </c>
      <c r="D66" s="74" t="s">
        <v>373</v>
      </c>
      <c r="E66" s="129">
        <v>50000</v>
      </c>
    </row>
    <row r="67" spans="1:5" x14ac:dyDescent="0.2">
      <c r="A67" s="108">
        <v>8</v>
      </c>
      <c r="B67" s="74" t="s">
        <v>157</v>
      </c>
      <c r="C67" s="74" t="s">
        <v>164</v>
      </c>
      <c r="D67" s="74" t="s">
        <v>374</v>
      </c>
      <c r="E67" s="129">
        <v>30000</v>
      </c>
    </row>
    <row r="68" spans="1:5" x14ac:dyDescent="0.2">
      <c r="A68" s="108">
        <v>9</v>
      </c>
      <c r="B68" s="74" t="s">
        <v>168</v>
      </c>
      <c r="C68" s="74" t="s">
        <v>169</v>
      </c>
      <c r="D68" s="74" t="s">
        <v>374</v>
      </c>
      <c r="E68" s="129">
        <v>30000</v>
      </c>
    </row>
    <row r="69" spans="1:5" x14ac:dyDescent="0.2">
      <c r="A69" s="108">
        <v>10</v>
      </c>
      <c r="B69" s="74" t="s">
        <v>190</v>
      </c>
      <c r="C69" s="74" t="s">
        <v>191</v>
      </c>
      <c r="D69" s="74" t="s">
        <v>374</v>
      </c>
      <c r="E69" s="129">
        <v>30000</v>
      </c>
    </row>
    <row r="70" spans="1:5" x14ac:dyDescent="0.2">
      <c r="A70" s="108">
        <v>11</v>
      </c>
      <c r="B70" s="74" t="s">
        <v>324</v>
      </c>
      <c r="C70" s="74" t="s">
        <v>355</v>
      </c>
      <c r="D70" s="74" t="s">
        <v>374</v>
      </c>
      <c r="E70" s="129">
        <v>30000</v>
      </c>
    </row>
    <row r="71" spans="1:5" x14ac:dyDescent="0.2">
      <c r="A71" s="108">
        <v>12</v>
      </c>
      <c r="B71" s="74" t="s">
        <v>160</v>
      </c>
      <c r="C71" s="74" t="s">
        <v>166</v>
      </c>
      <c r="D71" s="74" t="s">
        <v>79</v>
      </c>
      <c r="E71" s="129">
        <v>30000</v>
      </c>
    </row>
    <row r="72" spans="1:5" x14ac:dyDescent="0.2">
      <c r="A72" s="108">
        <v>13</v>
      </c>
      <c r="B72" s="74" t="s">
        <v>161</v>
      </c>
      <c r="C72" s="74" t="s">
        <v>166</v>
      </c>
      <c r="D72" s="74" t="s">
        <v>79</v>
      </c>
      <c r="E72" s="129">
        <v>30000</v>
      </c>
    </row>
    <row r="73" spans="1:5" x14ac:dyDescent="0.2">
      <c r="A73" s="108">
        <v>14</v>
      </c>
      <c r="B73" s="74" t="s">
        <v>181</v>
      </c>
      <c r="C73" s="74" t="s">
        <v>182</v>
      </c>
      <c r="D73" s="74" t="s">
        <v>79</v>
      </c>
      <c r="E73" s="129">
        <v>30000</v>
      </c>
    </row>
    <row r="74" spans="1:5" x14ac:dyDescent="0.2">
      <c r="A74" s="108">
        <v>15</v>
      </c>
      <c r="B74" s="74" t="s">
        <v>289</v>
      </c>
      <c r="C74" s="74" t="s">
        <v>182</v>
      </c>
      <c r="D74" s="74" t="s">
        <v>79</v>
      </c>
      <c r="E74" s="129">
        <v>30000</v>
      </c>
    </row>
    <row r="75" spans="1:5" x14ac:dyDescent="0.2">
      <c r="A75" s="108">
        <v>16</v>
      </c>
      <c r="B75" s="74" t="s">
        <v>290</v>
      </c>
      <c r="C75" s="74" t="s">
        <v>182</v>
      </c>
      <c r="D75" s="74" t="s">
        <v>79</v>
      </c>
      <c r="E75" s="129">
        <v>30000</v>
      </c>
    </row>
    <row r="76" spans="1:5" x14ac:dyDescent="0.2">
      <c r="A76" s="108">
        <v>17</v>
      </c>
      <c r="B76" s="74" t="s">
        <v>170</v>
      </c>
      <c r="C76" s="74" t="s">
        <v>388</v>
      </c>
      <c r="D76" s="74" t="s">
        <v>165</v>
      </c>
      <c r="E76" s="129">
        <v>30000</v>
      </c>
    </row>
    <row r="77" spans="1:5" x14ac:dyDescent="0.2">
      <c r="A77" s="108">
        <v>18</v>
      </c>
      <c r="B77" s="74" t="s">
        <v>397</v>
      </c>
      <c r="C77" s="74" t="s">
        <v>223</v>
      </c>
      <c r="D77" s="74" t="s">
        <v>165</v>
      </c>
      <c r="E77" s="129">
        <v>30000</v>
      </c>
    </row>
    <row r="78" spans="1:5" x14ac:dyDescent="0.2">
      <c r="A78" s="108">
        <v>19</v>
      </c>
      <c r="B78" s="74" t="s">
        <v>399</v>
      </c>
      <c r="C78" s="74" t="s">
        <v>223</v>
      </c>
      <c r="D78" s="74" t="s">
        <v>165</v>
      </c>
      <c r="E78" s="129">
        <v>30000</v>
      </c>
    </row>
    <row r="79" spans="1:5" x14ac:dyDescent="0.2">
      <c r="A79" s="108">
        <v>20</v>
      </c>
      <c r="B79" s="74" t="s">
        <v>6</v>
      </c>
      <c r="C79" s="74" t="s">
        <v>390</v>
      </c>
      <c r="D79" s="74" t="s">
        <v>165</v>
      </c>
      <c r="E79" s="129">
        <v>30000</v>
      </c>
    </row>
    <row r="80" spans="1:5" x14ac:dyDescent="0.2">
      <c r="A80" s="108">
        <v>21</v>
      </c>
      <c r="B80" s="74" t="s">
        <v>7</v>
      </c>
      <c r="C80" s="74" t="s">
        <v>390</v>
      </c>
      <c r="D80" s="74" t="s">
        <v>165</v>
      </c>
      <c r="E80" s="129">
        <v>30000</v>
      </c>
    </row>
    <row r="81" spans="1:5" x14ac:dyDescent="0.2">
      <c r="A81" s="108">
        <v>22</v>
      </c>
      <c r="B81" s="74" t="s">
        <v>62</v>
      </c>
      <c r="C81" s="74" t="s">
        <v>30</v>
      </c>
      <c r="D81" s="74" t="s">
        <v>349</v>
      </c>
      <c r="E81" s="129">
        <v>30000</v>
      </c>
    </row>
    <row r="82" spans="1:5" x14ac:dyDescent="0.2">
      <c r="A82" s="108">
        <v>23</v>
      </c>
      <c r="B82" s="74" t="s">
        <v>262</v>
      </c>
      <c r="C82" s="74" t="s">
        <v>30</v>
      </c>
      <c r="D82" s="74" t="s">
        <v>376</v>
      </c>
      <c r="E82" s="129">
        <v>30000</v>
      </c>
    </row>
    <row r="83" spans="1:5" x14ac:dyDescent="0.2">
      <c r="A83" s="108">
        <v>24</v>
      </c>
      <c r="B83" s="74" t="s">
        <v>352</v>
      </c>
      <c r="C83" s="74" t="s">
        <v>30</v>
      </c>
      <c r="D83" s="74" t="s">
        <v>350</v>
      </c>
      <c r="E83" s="129">
        <v>30000</v>
      </c>
    </row>
    <row r="84" spans="1:5" x14ac:dyDescent="0.2">
      <c r="A84" s="108">
        <v>25</v>
      </c>
      <c r="B84" s="74" t="s">
        <v>40</v>
      </c>
      <c r="C84" s="74" t="s">
        <v>392</v>
      </c>
      <c r="D84" s="74" t="s">
        <v>391</v>
      </c>
      <c r="E84" s="129">
        <v>20000</v>
      </c>
    </row>
    <row r="85" spans="1:5" x14ac:dyDescent="0.2">
      <c r="A85" s="108">
        <v>26</v>
      </c>
      <c r="B85" s="74" t="s">
        <v>17</v>
      </c>
      <c r="C85" s="74" t="s">
        <v>392</v>
      </c>
      <c r="D85" s="74" t="s">
        <v>391</v>
      </c>
      <c r="E85" s="129">
        <v>20000</v>
      </c>
    </row>
    <row r="86" spans="1:5" x14ac:dyDescent="0.2">
      <c r="A86" s="108">
        <v>27</v>
      </c>
      <c r="B86" s="74" t="s">
        <v>41</v>
      </c>
      <c r="C86" s="74" t="s">
        <v>392</v>
      </c>
      <c r="D86" s="74" t="s">
        <v>391</v>
      </c>
      <c r="E86" s="129">
        <v>20000</v>
      </c>
    </row>
    <row r="87" spans="1:5" x14ac:dyDescent="0.2">
      <c r="A87" s="108">
        <v>28</v>
      </c>
      <c r="B87" s="74" t="s">
        <v>42</v>
      </c>
      <c r="C87" s="74" t="s">
        <v>392</v>
      </c>
      <c r="D87" s="74" t="s">
        <v>391</v>
      </c>
      <c r="E87" s="129">
        <v>20000</v>
      </c>
    </row>
    <row r="88" spans="1:5" x14ac:dyDescent="0.2">
      <c r="A88" s="108">
        <v>29</v>
      </c>
      <c r="B88" s="74" t="s">
        <v>43</v>
      </c>
      <c r="C88" s="74" t="s">
        <v>392</v>
      </c>
      <c r="D88" s="74" t="s">
        <v>391</v>
      </c>
      <c r="E88" s="129">
        <v>20000</v>
      </c>
    </row>
    <row r="89" spans="1:5" x14ac:dyDescent="0.2">
      <c r="A89" s="108">
        <v>30</v>
      </c>
      <c r="B89" s="74" t="s">
        <v>44</v>
      </c>
      <c r="C89" s="74" t="s">
        <v>392</v>
      </c>
      <c r="D89" s="74" t="s">
        <v>391</v>
      </c>
      <c r="E89" s="129">
        <v>20000</v>
      </c>
    </row>
    <row r="90" spans="1:5" x14ac:dyDescent="0.2">
      <c r="A90" s="108">
        <v>31</v>
      </c>
      <c r="B90" s="74" t="s">
        <v>18</v>
      </c>
      <c r="C90" s="74" t="s">
        <v>392</v>
      </c>
      <c r="D90" s="74" t="s">
        <v>391</v>
      </c>
      <c r="E90" s="129">
        <v>20000</v>
      </c>
    </row>
    <row r="91" spans="1:5" x14ac:dyDescent="0.2">
      <c r="A91" s="108">
        <v>32</v>
      </c>
      <c r="B91" s="74" t="s">
        <v>63</v>
      </c>
      <c r="C91" s="74" t="s">
        <v>392</v>
      </c>
      <c r="D91" s="74" t="s">
        <v>391</v>
      </c>
      <c r="E91" s="129">
        <v>20000</v>
      </c>
    </row>
    <row r="92" spans="1:5" x14ac:dyDescent="0.2">
      <c r="A92" s="108">
        <v>33</v>
      </c>
      <c r="B92" s="74" t="s">
        <v>64</v>
      </c>
      <c r="C92" s="74" t="s">
        <v>392</v>
      </c>
      <c r="D92" s="74" t="s">
        <v>391</v>
      </c>
      <c r="E92" s="129">
        <v>20000</v>
      </c>
    </row>
    <row r="93" spans="1:5" x14ac:dyDescent="0.2">
      <c r="A93" s="108">
        <v>34</v>
      </c>
      <c r="B93" s="74" t="s">
        <v>261</v>
      </c>
      <c r="C93" s="74" t="s">
        <v>14</v>
      </c>
      <c r="D93" s="74" t="s">
        <v>377</v>
      </c>
      <c r="E93" s="129">
        <v>20000</v>
      </c>
    </row>
    <row r="94" spans="1:5" x14ac:dyDescent="0.2">
      <c r="A94" s="108">
        <v>35</v>
      </c>
      <c r="B94" s="74" t="s">
        <v>275</v>
      </c>
      <c r="C94" s="74" t="s">
        <v>14</v>
      </c>
      <c r="D94" s="74" t="s">
        <v>377</v>
      </c>
      <c r="E94" s="129">
        <v>20000</v>
      </c>
    </row>
    <row r="95" spans="1:5" x14ac:dyDescent="0.2">
      <c r="A95" s="108">
        <v>36</v>
      </c>
      <c r="B95" s="74" t="s">
        <v>276</v>
      </c>
      <c r="C95" s="74" t="s">
        <v>14</v>
      </c>
      <c r="D95" s="74" t="s">
        <v>377</v>
      </c>
      <c r="E95" s="129">
        <v>20000</v>
      </c>
    </row>
    <row r="96" spans="1:5" x14ac:dyDescent="0.2">
      <c r="A96" s="108">
        <v>37</v>
      </c>
      <c r="B96" s="74" t="s">
        <v>277</v>
      </c>
      <c r="C96" s="74" t="s">
        <v>14</v>
      </c>
      <c r="D96" s="74" t="s">
        <v>377</v>
      </c>
      <c r="E96" s="129">
        <v>20000</v>
      </c>
    </row>
    <row r="97" spans="1:5" x14ac:dyDescent="0.2">
      <c r="A97" s="108">
        <v>38</v>
      </c>
      <c r="B97" s="74" t="s">
        <v>305</v>
      </c>
      <c r="C97" s="74" t="s">
        <v>14</v>
      </c>
      <c r="D97" s="74" t="s">
        <v>377</v>
      </c>
      <c r="E97" s="129">
        <v>20000</v>
      </c>
    </row>
    <row r="98" spans="1:5" x14ac:dyDescent="0.2">
      <c r="A98" s="108">
        <v>39</v>
      </c>
      <c r="B98" s="74" t="s">
        <v>313</v>
      </c>
      <c r="C98" s="74" t="s">
        <v>14</v>
      </c>
      <c r="D98" s="74" t="s">
        <v>377</v>
      </c>
      <c r="E98" s="129">
        <v>20000</v>
      </c>
    </row>
    <row r="99" spans="1:5" x14ac:dyDescent="0.2">
      <c r="A99" s="108">
        <v>40</v>
      </c>
      <c r="B99" s="74" t="s">
        <v>353</v>
      </c>
      <c r="C99" s="74" t="s">
        <v>14</v>
      </c>
      <c r="D99" s="74" t="s">
        <v>351</v>
      </c>
      <c r="E99" s="129">
        <v>20000</v>
      </c>
    </row>
    <row r="100" spans="1:5" x14ac:dyDescent="0.2">
      <c r="A100" s="108">
        <v>41</v>
      </c>
      <c r="B100" s="74" t="s">
        <v>283</v>
      </c>
      <c r="C100" s="74" t="s">
        <v>14</v>
      </c>
      <c r="D100" s="74" t="s">
        <v>351</v>
      </c>
      <c r="E100" s="129">
        <v>20000</v>
      </c>
    </row>
    <row r="101" spans="1:5" x14ac:dyDescent="0.2">
      <c r="A101" s="108">
        <v>42</v>
      </c>
      <c r="B101" s="74" t="s">
        <v>385</v>
      </c>
      <c r="C101" s="74" t="s">
        <v>14</v>
      </c>
      <c r="D101" s="74" t="s">
        <v>351</v>
      </c>
      <c r="E101" s="129">
        <v>20000</v>
      </c>
    </row>
    <row r="102" spans="1:5" x14ac:dyDescent="0.2">
      <c r="A102" s="108"/>
      <c r="B102" s="126" t="s">
        <v>20</v>
      </c>
      <c r="C102" s="126"/>
      <c r="D102" s="126"/>
      <c r="E102" s="130">
        <f>SUM(E60:E101)</f>
        <v>1545000</v>
      </c>
    </row>
    <row r="103" spans="1:5" x14ac:dyDescent="0.2">
      <c r="A103" s="108"/>
      <c r="B103" s="74"/>
      <c r="C103" s="74"/>
      <c r="D103" s="74"/>
      <c r="E103" s="129"/>
    </row>
    <row r="104" spans="1:5" x14ac:dyDescent="0.2">
      <c r="A104" s="108"/>
      <c r="B104" s="126" t="s">
        <v>400</v>
      </c>
      <c r="C104" s="74"/>
      <c r="D104" s="74"/>
      <c r="E104" s="129"/>
    </row>
    <row r="105" spans="1:5" x14ac:dyDescent="0.2">
      <c r="A105" s="108">
        <v>1</v>
      </c>
      <c r="B105" s="74" t="s">
        <v>378</v>
      </c>
      <c r="C105" s="74" t="s">
        <v>404</v>
      </c>
      <c r="D105" s="74"/>
      <c r="E105" s="129">
        <v>75000</v>
      </c>
    </row>
    <row r="106" spans="1:5" x14ac:dyDescent="0.2">
      <c r="A106" s="108">
        <v>2</v>
      </c>
      <c r="B106" s="74" t="s">
        <v>405</v>
      </c>
      <c r="C106" s="74" t="s">
        <v>406</v>
      </c>
      <c r="D106" s="74"/>
      <c r="E106" s="129">
        <v>50000</v>
      </c>
    </row>
    <row r="107" spans="1:5" x14ac:dyDescent="0.2">
      <c r="A107" s="108">
        <v>3</v>
      </c>
      <c r="B107" s="74" t="s">
        <v>85</v>
      </c>
      <c r="C107" s="74" t="s">
        <v>89</v>
      </c>
      <c r="D107" s="74"/>
      <c r="E107" s="129">
        <v>30000</v>
      </c>
    </row>
    <row r="108" spans="1:5" x14ac:dyDescent="0.2">
      <c r="A108" s="108">
        <v>4</v>
      </c>
      <c r="B108" s="74" t="s">
        <v>98</v>
      </c>
      <c r="C108" s="74" t="s">
        <v>89</v>
      </c>
      <c r="D108" s="74"/>
      <c r="E108" s="129">
        <v>30000</v>
      </c>
    </row>
    <row r="109" spans="1:5" x14ac:dyDescent="0.2">
      <c r="A109" s="108">
        <v>5</v>
      </c>
      <c r="B109" s="74" t="s">
        <v>88</v>
      </c>
      <c r="C109" s="74" t="s">
        <v>89</v>
      </c>
      <c r="D109" s="74"/>
      <c r="E109" s="129">
        <v>30000</v>
      </c>
    </row>
    <row r="110" spans="1:5" x14ac:dyDescent="0.2">
      <c r="A110" s="108">
        <v>6</v>
      </c>
      <c r="B110" s="74" t="s">
        <v>292</v>
      </c>
      <c r="C110" s="74" t="s">
        <v>402</v>
      </c>
      <c r="D110" s="74"/>
      <c r="E110" s="129">
        <v>30000</v>
      </c>
    </row>
    <row r="111" spans="1:5" x14ac:dyDescent="0.2">
      <c r="A111" s="108">
        <v>7</v>
      </c>
      <c r="B111" s="74" t="s">
        <v>409</v>
      </c>
      <c r="C111" s="74" t="s">
        <v>394</v>
      </c>
      <c r="D111" s="74"/>
      <c r="E111" s="129">
        <v>30000</v>
      </c>
    </row>
    <row r="112" spans="1:5" x14ac:dyDescent="0.2">
      <c r="A112" s="108">
        <v>8</v>
      </c>
      <c r="B112" s="74" t="s">
        <v>87</v>
      </c>
      <c r="C112" s="74" t="s">
        <v>403</v>
      </c>
      <c r="D112" s="74"/>
      <c r="E112" s="129">
        <v>20000</v>
      </c>
    </row>
    <row r="113" spans="1:5" x14ac:dyDescent="0.2">
      <c r="A113" s="108"/>
      <c r="B113" s="126" t="s">
        <v>20</v>
      </c>
      <c r="C113" s="126"/>
      <c r="D113" s="126"/>
      <c r="E113" s="130">
        <f>SUM(E105:E112)</f>
        <v>295000</v>
      </c>
    </row>
    <row r="114" spans="1:5" ht="22.9" customHeight="1" x14ac:dyDescent="0.25">
      <c r="A114" s="74"/>
      <c r="B114" s="135" t="s">
        <v>8</v>
      </c>
      <c r="C114" s="135"/>
      <c r="D114" s="135"/>
      <c r="E114" s="136">
        <f>E17+E27+E55+E102+E113</f>
        <v>4540000</v>
      </c>
    </row>
  </sheetData>
  <pageMargins left="0.7" right="0.7" top="0.75" bottom="0.75" header="0.3" footer="0.3"/>
  <pageSetup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4"/>
  <sheetViews>
    <sheetView workbookViewId="0">
      <selection activeCell="H13" sqref="H13"/>
    </sheetView>
  </sheetViews>
  <sheetFormatPr defaultRowHeight="12.75" x14ac:dyDescent="0.2"/>
  <cols>
    <col min="2" max="2" width="33.42578125" customWidth="1"/>
    <col min="3" max="3" width="28.140625" customWidth="1"/>
    <col min="4" max="4" width="12.85546875" customWidth="1"/>
    <col min="5" max="5" width="16.140625" customWidth="1"/>
  </cols>
  <sheetData>
    <row r="1" spans="1:5" ht="25.5" x14ac:dyDescent="0.2">
      <c r="A1" s="126" t="s">
        <v>328</v>
      </c>
      <c r="B1" s="126" t="s">
        <v>22</v>
      </c>
      <c r="C1" s="127" t="s">
        <v>410</v>
      </c>
      <c r="D1" s="128" t="s">
        <v>243</v>
      </c>
      <c r="E1" s="127" t="s">
        <v>238</v>
      </c>
    </row>
    <row r="2" spans="1:5" x14ac:dyDescent="0.2">
      <c r="A2" s="108">
        <v>1</v>
      </c>
      <c r="B2" s="74" t="s">
        <v>46</v>
      </c>
      <c r="C2" s="74" t="s">
        <v>224</v>
      </c>
      <c r="D2" s="74" t="s">
        <v>55</v>
      </c>
      <c r="E2" s="129">
        <v>250000</v>
      </c>
    </row>
    <row r="3" spans="1:5" x14ac:dyDescent="0.2">
      <c r="A3" s="108">
        <v>2</v>
      </c>
      <c r="B3" s="74" t="s">
        <v>81</v>
      </c>
      <c r="C3" s="74" t="s">
        <v>82</v>
      </c>
      <c r="D3" s="74" t="s">
        <v>370</v>
      </c>
      <c r="E3" s="129">
        <v>100000</v>
      </c>
    </row>
    <row r="4" spans="1:5" x14ac:dyDescent="0.2">
      <c r="A4" s="108">
        <v>3</v>
      </c>
      <c r="B4" s="74" t="s">
        <v>395</v>
      </c>
      <c r="C4" s="74" t="s">
        <v>396</v>
      </c>
      <c r="D4" s="74" t="s">
        <v>49</v>
      </c>
      <c r="E4" s="129">
        <v>100000</v>
      </c>
    </row>
    <row r="5" spans="1:5" x14ac:dyDescent="0.2">
      <c r="A5" s="108">
        <v>4</v>
      </c>
      <c r="B5" s="74" t="s">
        <v>177</v>
      </c>
      <c r="C5" s="74" t="s">
        <v>178</v>
      </c>
      <c r="D5" s="74" t="s">
        <v>119</v>
      </c>
      <c r="E5" s="129">
        <v>75000</v>
      </c>
    </row>
    <row r="6" spans="1:5" x14ac:dyDescent="0.2">
      <c r="A6" s="108">
        <v>5</v>
      </c>
      <c r="B6" s="74" t="s">
        <v>231</v>
      </c>
      <c r="C6" s="74" t="s">
        <v>127</v>
      </c>
      <c r="D6" s="74" t="s">
        <v>347</v>
      </c>
      <c r="E6" s="129">
        <v>75000</v>
      </c>
    </row>
    <row r="7" spans="1:5" x14ac:dyDescent="0.2">
      <c r="A7" s="108">
        <v>6</v>
      </c>
      <c r="B7" s="74" t="s">
        <v>194</v>
      </c>
      <c r="C7" s="74" t="s">
        <v>195</v>
      </c>
      <c r="D7" s="74" t="s">
        <v>373</v>
      </c>
      <c r="E7" s="129">
        <v>50000</v>
      </c>
    </row>
    <row r="8" spans="1:5" x14ac:dyDescent="0.2">
      <c r="A8" s="108">
        <v>7</v>
      </c>
      <c r="B8" s="74" t="s">
        <v>264</v>
      </c>
      <c r="C8" s="74" t="s">
        <v>263</v>
      </c>
      <c r="D8" s="74" t="s">
        <v>374</v>
      </c>
      <c r="E8" s="129">
        <v>30000</v>
      </c>
    </row>
    <row r="9" spans="1:5" x14ac:dyDescent="0.2">
      <c r="A9" s="108">
        <v>8</v>
      </c>
      <c r="B9" s="74" t="s">
        <v>310</v>
      </c>
      <c r="C9" s="74" t="s">
        <v>311</v>
      </c>
      <c r="D9" s="74" t="s">
        <v>374</v>
      </c>
      <c r="E9" s="129">
        <v>30000</v>
      </c>
    </row>
    <row r="10" spans="1:5" x14ac:dyDescent="0.2">
      <c r="A10" s="108">
        <v>9</v>
      </c>
      <c r="B10" s="74" t="s">
        <v>312</v>
      </c>
      <c r="C10" s="74" t="s">
        <v>233</v>
      </c>
      <c r="D10" s="74" t="s">
        <v>374</v>
      </c>
      <c r="E10" s="129">
        <v>30000</v>
      </c>
    </row>
    <row r="11" spans="1:5" x14ac:dyDescent="0.2">
      <c r="A11" s="108">
        <v>10</v>
      </c>
      <c r="B11" s="74" t="s">
        <v>337</v>
      </c>
      <c r="C11" s="74" t="s">
        <v>330</v>
      </c>
      <c r="D11" s="74" t="s">
        <v>374</v>
      </c>
      <c r="E11" s="129">
        <v>30000</v>
      </c>
    </row>
    <row r="12" spans="1:5" x14ac:dyDescent="0.2">
      <c r="A12" s="108">
        <v>11</v>
      </c>
      <c r="B12" s="74" t="s">
        <v>138</v>
      </c>
      <c r="C12" s="74" t="s">
        <v>139</v>
      </c>
      <c r="D12" s="74" t="s">
        <v>374</v>
      </c>
      <c r="E12" s="129">
        <v>30000</v>
      </c>
    </row>
    <row r="13" spans="1:5" x14ac:dyDescent="0.2">
      <c r="A13" s="108">
        <v>12</v>
      </c>
      <c r="B13" s="74" t="s">
        <v>188</v>
      </c>
      <c r="C13" s="74" t="s">
        <v>189</v>
      </c>
      <c r="D13" s="74" t="s">
        <v>79</v>
      </c>
      <c r="E13" s="129">
        <v>30000</v>
      </c>
    </row>
    <row r="14" spans="1:5" x14ac:dyDescent="0.2">
      <c r="A14" s="108">
        <v>13</v>
      </c>
      <c r="B14" s="74" t="s">
        <v>26</v>
      </c>
      <c r="C14" s="74" t="s">
        <v>389</v>
      </c>
      <c r="D14" s="74" t="s">
        <v>165</v>
      </c>
      <c r="E14" s="129">
        <v>30000</v>
      </c>
    </row>
    <row r="15" spans="1:5" x14ac:dyDescent="0.2">
      <c r="A15" s="108">
        <v>14</v>
      </c>
      <c r="B15" s="74" t="s">
        <v>197</v>
      </c>
      <c r="C15" s="74" t="s">
        <v>198</v>
      </c>
      <c r="D15" s="74" t="s">
        <v>79</v>
      </c>
      <c r="E15" s="129">
        <v>30000</v>
      </c>
    </row>
    <row r="16" spans="1:5" x14ac:dyDescent="0.2">
      <c r="A16" s="108">
        <v>15</v>
      </c>
      <c r="B16" s="74" t="s">
        <v>321</v>
      </c>
      <c r="C16" s="74" t="s">
        <v>322</v>
      </c>
      <c r="D16" s="74" t="s">
        <v>79</v>
      </c>
      <c r="E16" s="129">
        <v>30000</v>
      </c>
    </row>
    <row r="17" spans="1:5" x14ac:dyDescent="0.2">
      <c r="A17" s="108"/>
      <c r="B17" s="126" t="s">
        <v>20</v>
      </c>
      <c r="C17" s="126"/>
      <c r="D17" s="126"/>
      <c r="E17" s="130">
        <f>SUM(E2:E16)</f>
        <v>920000</v>
      </c>
    </row>
    <row r="18" spans="1:5" x14ac:dyDescent="0.2">
      <c r="A18" s="108"/>
      <c r="B18" s="74"/>
      <c r="C18" s="74"/>
      <c r="D18" s="74"/>
      <c r="E18" s="129"/>
    </row>
    <row r="19" spans="1:5" x14ac:dyDescent="0.2">
      <c r="A19" s="108"/>
      <c r="B19" s="74"/>
      <c r="C19" s="74"/>
      <c r="D19" s="74"/>
      <c r="E19" s="129"/>
    </row>
    <row r="20" spans="1:5" x14ac:dyDescent="0.2">
      <c r="A20" s="108"/>
      <c r="B20" s="126" t="s">
        <v>94</v>
      </c>
      <c r="C20" s="74"/>
      <c r="D20" s="74"/>
      <c r="E20" s="129"/>
    </row>
    <row r="21" spans="1:5" x14ac:dyDescent="0.2">
      <c r="A21" s="108">
        <v>1</v>
      </c>
      <c r="B21" s="74" t="s">
        <v>240</v>
      </c>
      <c r="C21" s="74" t="s">
        <v>241</v>
      </c>
      <c r="D21" s="74" t="s">
        <v>371</v>
      </c>
      <c r="E21" s="129">
        <v>200000</v>
      </c>
    </row>
    <row r="22" spans="1:5" x14ac:dyDescent="0.2">
      <c r="A22" s="108">
        <v>2</v>
      </c>
      <c r="B22" s="74" t="s">
        <v>12</v>
      </c>
      <c r="C22" s="74" t="s">
        <v>225</v>
      </c>
      <c r="D22" s="74" t="s">
        <v>370</v>
      </c>
      <c r="E22" s="129">
        <v>100000</v>
      </c>
    </row>
    <row r="23" spans="1:5" x14ac:dyDescent="0.2">
      <c r="A23" s="108">
        <v>3</v>
      </c>
      <c r="B23" s="74" t="s">
        <v>213</v>
      </c>
      <c r="C23" s="74" t="s">
        <v>127</v>
      </c>
      <c r="D23" s="74" t="s">
        <v>373</v>
      </c>
      <c r="E23" s="129">
        <v>50000</v>
      </c>
    </row>
    <row r="24" spans="1:5" x14ac:dyDescent="0.2">
      <c r="A24" s="108">
        <v>4</v>
      </c>
      <c r="B24" s="74" t="s">
        <v>207</v>
      </c>
      <c r="C24" s="74" t="s">
        <v>131</v>
      </c>
      <c r="D24" s="74" t="s">
        <v>374</v>
      </c>
      <c r="E24" s="129">
        <v>30000</v>
      </c>
    </row>
    <row r="25" spans="1:5" x14ac:dyDescent="0.2">
      <c r="A25" s="108">
        <v>5</v>
      </c>
      <c r="B25" s="74" t="s">
        <v>280</v>
      </c>
      <c r="C25" s="74" t="s">
        <v>131</v>
      </c>
      <c r="D25" s="74" t="s">
        <v>374</v>
      </c>
      <c r="E25" s="129">
        <v>30000</v>
      </c>
    </row>
    <row r="26" spans="1:5" x14ac:dyDescent="0.2">
      <c r="A26" s="108">
        <v>6</v>
      </c>
      <c r="B26" s="74" t="s">
        <v>205</v>
      </c>
      <c r="C26" s="74" t="s">
        <v>131</v>
      </c>
      <c r="D26" s="74" t="s">
        <v>165</v>
      </c>
      <c r="E26" s="129">
        <v>30000</v>
      </c>
    </row>
    <row r="27" spans="1:5" x14ac:dyDescent="0.2">
      <c r="A27" s="108"/>
      <c r="B27" s="126" t="s">
        <v>20</v>
      </c>
      <c r="C27" s="126"/>
      <c r="D27" s="126"/>
      <c r="E27" s="130">
        <f>SUM(E21:E26)</f>
        <v>440000</v>
      </c>
    </row>
    <row r="28" spans="1:5" x14ac:dyDescent="0.2">
      <c r="A28" s="108"/>
      <c r="B28" s="74"/>
      <c r="C28" s="74"/>
      <c r="D28" s="74"/>
      <c r="E28" s="129"/>
    </row>
    <row r="29" spans="1:5" x14ac:dyDescent="0.2">
      <c r="A29" s="108"/>
      <c r="B29" s="126" t="s">
        <v>95</v>
      </c>
      <c r="C29" s="74"/>
      <c r="D29" s="74"/>
      <c r="E29" s="129"/>
    </row>
    <row r="30" spans="1:5" x14ac:dyDescent="0.2">
      <c r="A30" s="108">
        <v>1</v>
      </c>
      <c r="B30" s="74" t="s">
        <v>356</v>
      </c>
      <c r="C30" s="74" t="s">
        <v>273</v>
      </c>
      <c r="D30" s="74" t="s">
        <v>151</v>
      </c>
      <c r="E30" s="129">
        <v>200000</v>
      </c>
    </row>
    <row r="31" spans="1:5" x14ac:dyDescent="0.2">
      <c r="A31" s="108">
        <v>2</v>
      </c>
      <c r="B31" s="74" t="s">
        <v>31</v>
      </c>
      <c r="C31" s="74" t="s">
        <v>96</v>
      </c>
      <c r="D31" s="74" t="s">
        <v>370</v>
      </c>
      <c r="E31" s="129">
        <v>100000</v>
      </c>
    </row>
    <row r="32" spans="1:5" x14ac:dyDescent="0.2">
      <c r="A32" s="108">
        <v>3</v>
      </c>
      <c r="B32" s="74" t="s">
        <v>216</v>
      </c>
      <c r="C32" s="74" t="s">
        <v>226</v>
      </c>
      <c r="D32" s="74" t="s">
        <v>119</v>
      </c>
      <c r="E32" s="129">
        <v>75000</v>
      </c>
    </row>
    <row r="33" spans="1:5" x14ac:dyDescent="0.2">
      <c r="A33" s="108">
        <v>4</v>
      </c>
      <c r="B33" s="74" t="s">
        <v>382</v>
      </c>
      <c r="C33" s="74" t="s">
        <v>383</v>
      </c>
      <c r="D33" s="74" t="s">
        <v>50</v>
      </c>
      <c r="E33" s="129">
        <v>75000</v>
      </c>
    </row>
    <row r="34" spans="1:5" x14ac:dyDescent="0.2">
      <c r="A34" s="108">
        <v>5</v>
      </c>
      <c r="B34" s="74" t="s">
        <v>203</v>
      </c>
      <c r="C34" s="74" t="s">
        <v>227</v>
      </c>
      <c r="D34" s="74" t="s">
        <v>372</v>
      </c>
      <c r="E34" s="129">
        <v>50000</v>
      </c>
    </row>
    <row r="35" spans="1:5" x14ac:dyDescent="0.2">
      <c r="A35" s="108">
        <v>6</v>
      </c>
      <c r="B35" s="74" t="s">
        <v>187</v>
      </c>
      <c r="C35" s="74" t="s">
        <v>228</v>
      </c>
      <c r="D35" s="74" t="s">
        <v>372</v>
      </c>
      <c r="E35" s="129">
        <v>50000</v>
      </c>
    </row>
    <row r="36" spans="1:5" x14ac:dyDescent="0.2">
      <c r="A36" s="108">
        <v>7</v>
      </c>
      <c r="B36" s="74" t="s">
        <v>364</v>
      </c>
      <c r="C36" s="74" t="s">
        <v>125</v>
      </c>
      <c r="D36" s="74" t="s">
        <v>146</v>
      </c>
      <c r="E36" s="129">
        <v>50000</v>
      </c>
    </row>
    <row r="37" spans="1:5" x14ac:dyDescent="0.2">
      <c r="A37" s="108">
        <v>8</v>
      </c>
      <c r="B37" s="74" t="s">
        <v>368</v>
      </c>
      <c r="C37" s="74" t="s">
        <v>369</v>
      </c>
      <c r="D37" s="74" t="s">
        <v>146</v>
      </c>
      <c r="E37" s="129">
        <v>50000</v>
      </c>
    </row>
    <row r="38" spans="1:5" x14ac:dyDescent="0.2">
      <c r="A38" s="108">
        <v>9</v>
      </c>
      <c r="B38" s="74" t="s">
        <v>386</v>
      </c>
      <c r="C38" s="74" t="s">
        <v>125</v>
      </c>
      <c r="D38" s="74" t="s">
        <v>146</v>
      </c>
      <c r="E38" s="129">
        <v>50000</v>
      </c>
    </row>
    <row r="39" spans="1:5" x14ac:dyDescent="0.2">
      <c r="A39" s="108">
        <v>10</v>
      </c>
      <c r="B39" s="74" t="s">
        <v>274</v>
      </c>
      <c r="C39" s="74" t="s">
        <v>127</v>
      </c>
      <c r="D39" s="74" t="s">
        <v>373</v>
      </c>
      <c r="E39" s="129">
        <v>50000</v>
      </c>
    </row>
    <row r="40" spans="1:5" x14ac:dyDescent="0.2">
      <c r="A40" s="108">
        <v>11</v>
      </c>
      <c r="B40" s="74" t="s">
        <v>365</v>
      </c>
      <c r="C40" s="74" t="s">
        <v>127</v>
      </c>
      <c r="D40" s="74" t="s">
        <v>348</v>
      </c>
      <c r="E40" s="129">
        <v>50000</v>
      </c>
    </row>
    <row r="41" spans="1:5" x14ac:dyDescent="0.2">
      <c r="A41" s="108">
        <v>12</v>
      </c>
      <c r="B41" s="74" t="s">
        <v>307</v>
      </c>
      <c r="C41" s="74" t="s">
        <v>393</v>
      </c>
      <c r="D41" s="74" t="s">
        <v>146</v>
      </c>
      <c r="E41" s="129">
        <v>50000</v>
      </c>
    </row>
    <row r="42" spans="1:5" x14ac:dyDescent="0.2">
      <c r="A42" s="108">
        <v>13</v>
      </c>
      <c r="B42" s="74" t="s">
        <v>379</v>
      </c>
      <c r="C42" s="74" t="s">
        <v>127</v>
      </c>
      <c r="D42" s="74" t="s">
        <v>184</v>
      </c>
      <c r="E42" s="129">
        <v>50000</v>
      </c>
    </row>
    <row r="43" spans="1:5" x14ac:dyDescent="0.2">
      <c r="A43" s="108">
        <v>14</v>
      </c>
      <c r="B43" s="74" t="s">
        <v>381</v>
      </c>
      <c r="C43" s="74" t="s">
        <v>127</v>
      </c>
      <c r="D43" s="74" t="s">
        <v>184</v>
      </c>
      <c r="E43" s="129">
        <v>50000</v>
      </c>
    </row>
    <row r="44" spans="1:5" x14ac:dyDescent="0.2">
      <c r="A44" s="108">
        <v>15</v>
      </c>
      <c r="B44" s="74" t="s">
        <v>357</v>
      </c>
      <c r="C44" s="74" t="s">
        <v>127</v>
      </c>
      <c r="D44" s="74" t="s">
        <v>184</v>
      </c>
      <c r="E44" s="129">
        <v>50000</v>
      </c>
    </row>
    <row r="45" spans="1:5" x14ac:dyDescent="0.2">
      <c r="A45" s="108">
        <v>16</v>
      </c>
      <c r="B45" s="74" t="s">
        <v>407</v>
      </c>
      <c r="C45" s="74" t="s">
        <v>127</v>
      </c>
      <c r="D45" s="74" t="s">
        <v>184</v>
      </c>
      <c r="E45" s="129">
        <v>50000</v>
      </c>
    </row>
    <row r="46" spans="1:5" x14ac:dyDescent="0.2">
      <c r="A46" s="108">
        <v>17</v>
      </c>
      <c r="B46" s="74" t="s">
        <v>24</v>
      </c>
      <c r="C46" s="74" t="s">
        <v>387</v>
      </c>
      <c r="D46" s="74" t="s">
        <v>184</v>
      </c>
      <c r="E46" s="129">
        <v>50000</v>
      </c>
    </row>
    <row r="47" spans="1:5" x14ac:dyDescent="0.2">
      <c r="A47" s="108">
        <v>18</v>
      </c>
      <c r="B47" s="74" t="s">
        <v>185</v>
      </c>
      <c r="C47" s="74" t="s">
        <v>186</v>
      </c>
      <c r="D47" s="74" t="s">
        <v>374</v>
      </c>
      <c r="E47" s="129">
        <v>30000</v>
      </c>
    </row>
    <row r="48" spans="1:5" x14ac:dyDescent="0.2">
      <c r="A48" s="108">
        <v>19</v>
      </c>
      <c r="B48" s="74" t="s">
        <v>196</v>
      </c>
      <c r="C48" s="74" t="s">
        <v>131</v>
      </c>
      <c r="D48" s="74" t="s">
        <v>374</v>
      </c>
      <c r="E48" s="129">
        <v>30000</v>
      </c>
    </row>
    <row r="49" spans="1:5" x14ac:dyDescent="0.2">
      <c r="A49" s="108">
        <v>20</v>
      </c>
      <c r="B49" s="74" t="s">
        <v>303</v>
      </c>
      <c r="C49" s="74" t="s">
        <v>304</v>
      </c>
      <c r="D49" s="74" t="s">
        <v>374</v>
      </c>
      <c r="E49" s="129">
        <v>30000</v>
      </c>
    </row>
    <row r="50" spans="1:5" x14ac:dyDescent="0.2">
      <c r="A50" s="108">
        <v>21</v>
      </c>
      <c r="B50" s="74" t="s">
        <v>208</v>
      </c>
      <c r="C50" s="74" t="s">
        <v>131</v>
      </c>
      <c r="D50" s="74" t="s">
        <v>165</v>
      </c>
      <c r="E50" s="129">
        <v>30000</v>
      </c>
    </row>
    <row r="51" spans="1:5" x14ac:dyDescent="0.2">
      <c r="A51" s="108">
        <v>22</v>
      </c>
      <c r="B51" s="74" t="s">
        <v>278</v>
      </c>
      <c r="C51" s="74" t="s">
        <v>200</v>
      </c>
      <c r="D51" s="74" t="s">
        <v>375</v>
      </c>
      <c r="E51" s="129">
        <v>30000</v>
      </c>
    </row>
    <row r="52" spans="1:5" x14ac:dyDescent="0.2">
      <c r="A52" s="108">
        <v>23</v>
      </c>
      <c r="B52" s="74" t="s">
        <v>162</v>
      </c>
      <c r="C52" s="74" t="s">
        <v>200</v>
      </c>
      <c r="D52" s="74" t="s">
        <v>349</v>
      </c>
      <c r="E52" s="129">
        <v>30000</v>
      </c>
    </row>
    <row r="53" spans="1:5" x14ac:dyDescent="0.2">
      <c r="A53" s="108">
        <v>24</v>
      </c>
      <c r="B53" s="74" t="s">
        <v>159</v>
      </c>
      <c r="C53" s="74" t="s">
        <v>200</v>
      </c>
      <c r="D53" s="74" t="s">
        <v>349</v>
      </c>
      <c r="E53" s="129">
        <v>30000</v>
      </c>
    </row>
    <row r="54" spans="1:5" x14ac:dyDescent="0.2">
      <c r="A54" s="108">
        <v>25</v>
      </c>
      <c r="B54" s="74" t="s">
        <v>45</v>
      </c>
      <c r="C54" s="74" t="s">
        <v>394</v>
      </c>
      <c r="D54" s="74" t="s">
        <v>165</v>
      </c>
      <c r="E54" s="129">
        <v>30000</v>
      </c>
    </row>
    <row r="55" spans="1:5" x14ac:dyDescent="0.2">
      <c r="A55" s="108"/>
      <c r="B55" s="126" t="s">
        <v>20</v>
      </c>
      <c r="C55" s="126"/>
      <c r="D55" s="126"/>
      <c r="E55" s="130">
        <f>SUM(E30:E54)</f>
        <v>1340000</v>
      </c>
    </row>
    <row r="56" spans="1:5" x14ac:dyDescent="0.2">
      <c r="A56" s="131"/>
      <c r="B56" s="132"/>
      <c r="C56" s="132"/>
      <c r="D56" s="132"/>
      <c r="E56" s="133"/>
    </row>
    <row r="57" spans="1:5" x14ac:dyDescent="0.2">
      <c r="A57" s="131"/>
      <c r="B57" s="132"/>
      <c r="C57" s="132"/>
      <c r="D57" s="132"/>
      <c r="E57" s="133"/>
    </row>
    <row r="58" spans="1:5" x14ac:dyDescent="0.2">
      <c r="A58" s="131"/>
      <c r="E58" s="134"/>
    </row>
    <row r="59" spans="1:5" x14ac:dyDescent="0.2">
      <c r="A59" s="108"/>
      <c r="B59" s="126" t="s">
        <v>153</v>
      </c>
      <c r="C59" s="74"/>
      <c r="D59" s="74"/>
      <c r="E59" s="129"/>
    </row>
    <row r="60" spans="1:5" x14ac:dyDescent="0.2">
      <c r="A60" s="108">
        <v>1</v>
      </c>
      <c r="B60" s="74" t="s">
        <v>149</v>
      </c>
      <c r="C60" s="74" t="s">
        <v>229</v>
      </c>
      <c r="D60" s="74" t="s">
        <v>371</v>
      </c>
      <c r="E60" s="129">
        <v>200000</v>
      </c>
    </row>
    <row r="61" spans="1:5" x14ac:dyDescent="0.2">
      <c r="A61" s="108">
        <v>2</v>
      </c>
      <c r="B61" s="74" t="s">
        <v>34</v>
      </c>
      <c r="C61" s="74" t="s">
        <v>35</v>
      </c>
      <c r="D61" s="74" t="s">
        <v>370</v>
      </c>
      <c r="E61" s="129">
        <v>100000</v>
      </c>
    </row>
    <row r="62" spans="1:5" x14ac:dyDescent="0.2">
      <c r="A62" s="108">
        <v>3</v>
      </c>
      <c r="B62" s="74" t="s">
        <v>36</v>
      </c>
      <c r="C62" s="74" t="s">
        <v>51</v>
      </c>
      <c r="D62" s="74" t="s">
        <v>370</v>
      </c>
      <c r="E62" s="129">
        <v>100000</v>
      </c>
    </row>
    <row r="63" spans="1:5" x14ac:dyDescent="0.2">
      <c r="A63" s="108">
        <v>4</v>
      </c>
      <c r="B63" s="74" t="s">
        <v>155</v>
      </c>
      <c r="C63" s="74" t="s">
        <v>156</v>
      </c>
      <c r="D63" s="74" t="s">
        <v>119</v>
      </c>
      <c r="E63" s="129">
        <v>75000</v>
      </c>
    </row>
    <row r="64" spans="1:5" x14ac:dyDescent="0.2">
      <c r="A64" s="108">
        <v>5</v>
      </c>
      <c r="B64" s="74" t="s">
        <v>230</v>
      </c>
      <c r="C64" s="74" t="s">
        <v>384</v>
      </c>
      <c r="D64" s="74" t="s">
        <v>119</v>
      </c>
      <c r="E64" s="129">
        <v>75000</v>
      </c>
    </row>
    <row r="65" spans="1:5" x14ac:dyDescent="0.2">
      <c r="A65" s="108">
        <v>6</v>
      </c>
      <c r="B65" s="74" t="s">
        <v>179</v>
      </c>
      <c r="C65" s="74" t="s">
        <v>180</v>
      </c>
      <c r="D65" s="74" t="s">
        <v>119</v>
      </c>
      <c r="E65" s="129">
        <v>75000</v>
      </c>
    </row>
    <row r="66" spans="1:5" x14ac:dyDescent="0.2">
      <c r="A66" s="108">
        <v>7</v>
      </c>
      <c r="B66" s="74" t="s">
        <v>354</v>
      </c>
      <c r="C66" s="74" t="s">
        <v>343</v>
      </c>
      <c r="D66" s="74" t="s">
        <v>373</v>
      </c>
      <c r="E66" s="129">
        <v>50000</v>
      </c>
    </row>
    <row r="67" spans="1:5" x14ac:dyDescent="0.2">
      <c r="A67" s="108">
        <v>8</v>
      </c>
      <c r="B67" s="74" t="s">
        <v>157</v>
      </c>
      <c r="C67" s="74" t="s">
        <v>164</v>
      </c>
      <c r="D67" s="74" t="s">
        <v>374</v>
      </c>
      <c r="E67" s="129">
        <v>30000</v>
      </c>
    </row>
    <row r="68" spans="1:5" x14ac:dyDescent="0.2">
      <c r="A68" s="108">
        <v>9</v>
      </c>
      <c r="B68" s="74" t="s">
        <v>168</v>
      </c>
      <c r="C68" s="74" t="s">
        <v>169</v>
      </c>
      <c r="D68" s="74" t="s">
        <v>374</v>
      </c>
      <c r="E68" s="129">
        <v>30000</v>
      </c>
    </row>
    <row r="69" spans="1:5" x14ac:dyDescent="0.2">
      <c r="A69" s="108">
        <v>10</v>
      </c>
      <c r="B69" s="74" t="s">
        <v>190</v>
      </c>
      <c r="C69" s="74" t="s">
        <v>191</v>
      </c>
      <c r="D69" s="74" t="s">
        <v>374</v>
      </c>
      <c r="E69" s="129">
        <v>30000</v>
      </c>
    </row>
    <row r="70" spans="1:5" x14ac:dyDescent="0.2">
      <c r="A70" s="108">
        <v>11</v>
      </c>
      <c r="B70" s="74" t="s">
        <v>324</v>
      </c>
      <c r="C70" s="74" t="s">
        <v>355</v>
      </c>
      <c r="D70" s="74" t="s">
        <v>374</v>
      </c>
      <c r="E70" s="129">
        <v>30000</v>
      </c>
    </row>
    <row r="71" spans="1:5" x14ac:dyDescent="0.2">
      <c r="A71" s="108">
        <v>12</v>
      </c>
      <c r="B71" s="74" t="s">
        <v>160</v>
      </c>
      <c r="C71" s="74" t="s">
        <v>166</v>
      </c>
      <c r="D71" s="74" t="s">
        <v>79</v>
      </c>
      <c r="E71" s="129">
        <v>30000</v>
      </c>
    </row>
    <row r="72" spans="1:5" x14ac:dyDescent="0.2">
      <c r="A72" s="108">
        <v>13</v>
      </c>
      <c r="B72" s="74" t="s">
        <v>161</v>
      </c>
      <c r="C72" s="74" t="s">
        <v>166</v>
      </c>
      <c r="D72" s="74" t="s">
        <v>79</v>
      </c>
      <c r="E72" s="129">
        <v>30000</v>
      </c>
    </row>
    <row r="73" spans="1:5" x14ac:dyDescent="0.2">
      <c r="A73" s="108">
        <v>14</v>
      </c>
      <c r="B73" s="74" t="s">
        <v>181</v>
      </c>
      <c r="C73" s="74" t="s">
        <v>182</v>
      </c>
      <c r="D73" s="74" t="s">
        <v>79</v>
      </c>
      <c r="E73" s="129">
        <v>30000</v>
      </c>
    </row>
    <row r="74" spans="1:5" x14ac:dyDescent="0.2">
      <c r="A74" s="108">
        <v>15</v>
      </c>
      <c r="B74" s="74" t="s">
        <v>289</v>
      </c>
      <c r="C74" s="74" t="s">
        <v>182</v>
      </c>
      <c r="D74" s="74" t="s">
        <v>79</v>
      </c>
      <c r="E74" s="129">
        <v>30000</v>
      </c>
    </row>
    <row r="75" spans="1:5" x14ac:dyDescent="0.2">
      <c r="A75" s="108">
        <v>16</v>
      </c>
      <c r="B75" s="74" t="s">
        <v>290</v>
      </c>
      <c r="C75" s="74" t="s">
        <v>182</v>
      </c>
      <c r="D75" s="74" t="s">
        <v>79</v>
      </c>
      <c r="E75" s="129">
        <v>30000</v>
      </c>
    </row>
    <row r="76" spans="1:5" x14ac:dyDescent="0.2">
      <c r="A76" s="108">
        <v>17</v>
      </c>
      <c r="B76" s="74" t="s">
        <v>170</v>
      </c>
      <c r="C76" s="74" t="s">
        <v>388</v>
      </c>
      <c r="D76" s="74" t="s">
        <v>165</v>
      </c>
      <c r="E76" s="129">
        <v>30000</v>
      </c>
    </row>
    <row r="77" spans="1:5" x14ac:dyDescent="0.2">
      <c r="A77" s="108">
        <v>18</v>
      </c>
      <c r="B77" s="74" t="s">
        <v>397</v>
      </c>
      <c r="C77" s="74" t="s">
        <v>223</v>
      </c>
      <c r="D77" s="74" t="s">
        <v>165</v>
      </c>
      <c r="E77" s="129">
        <v>30000</v>
      </c>
    </row>
    <row r="78" spans="1:5" x14ac:dyDescent="0.2">
      <c r="A78" s="108">
        <v>19</v>
      </c>
      <c r="B78" s="74" t="s">
        <v>399</v>
      </c>
      <c r="C78" s="74" t="s">
        <v>223</v>
      </c>
      <c r="D78" s="74" t="s">
        <v>165</v>
      </c>
      <c r="E78" s="129">
        <v>30000</v>
      </c>
    </row>
    <row r="79" spans="1:5" x14ac:dyDescent="0.2">
      <c r="A79" s="108">
        <v>20</v>
      </c>
      <c r="B79" s="74" t="s">
        <v>6</v>
      </c>
      <c r="C79" s="74" t="s">
        <v>390</v>
      </c>
      <c r="D79" s="74" t="s">
        <v>165</v>
      </c>
      <c r="E79" s="129">
        <v>30000</v>
      </c>
    </row>
    <row r="80" spans="1:5" x14ac:dyDescent="0.2">
      <c r="A80" s="108">
        <v>21</v>
      </c>
      <c r="B80" s="74" t="s">
        <v>7</v>
      </c>
      <c r="C80" s="74" t="s">
        <v>390</v>
      </c>
      <c r="D80" s="74" t="s">
        <v>165</v>
      </c>
      <c r="E80" s="129">
        <v>30000</v>
      </c>
    </row>
    <row r="81" spans="1:5" x14ac:dyDescent="0.2">
      <c r="A81" s="108">
        <v>22</v>
      </c>
      <c r="B81" s="74" t="s">
        <v>62</v>
      </c>
      <c r="C81" s="74" t="s">
        <v>30</v>
      </c>
      <c r="D81" s="74" t="s">
        <v>349</v>
      </c>
      <c r="E81" s="129">
        <v>30000</v>
      </c>
    </row>
    <row r="82" spans="1:5" x14ac:dyDescent="0.2">
      <c r="A82" s="108">
        <v>23</v>
      </c>
      <c r="B82" s="74" t="s">
        <v>262</v>
      </c>
      <c r="C82" s="74" t="s">
        <v>30</v>
      </c>
      <c r="D82" s="74" t="s">
        <v>376</v>
      </c>
      <c r="E82" s="129">
        <v>30000</v>
      </c>
    </row>
    <row r="83" spans="1:5" x14ac:dyDescent="0.2">
      <c r="A83" s="108">
        <v>24</v>
      </c>
      <c r="B83" s="74" t="s">
        <v>352</v>
      </c>
      <c r="C83" s="74" t="s">
        <v>30</v>
      </c>
      <c r="D83" s="74" t="s">
        <v>350</v>
      </c>
      <c r="E83" s="129">
        <v>30000</v>
      </c>
    </row>
    <row r="84" spans="1:5" x14ac:dyDescent="0.2">
      <c r="A84" s="108">
        <v>25</v>
      </c>
      <c r="B84" s="74" t="s">
        <v>40</v>
      </c>
      <c r="C84" s="74" t="s">
        <v>392</v>
      </c>
      <c r="D84" s="74" t="s">
        <v>391</v>
      </c>
      <c r="E84" s="129">
        <v>20000</v>
      </c>
    </row>
    <row r="85" spans="1:5" x14ac:dyDescent="0.2">
      <c r="A85" s="108">
        <v>26</v>
      </c>
      <c r="B85" s="74" t="s">
        <v>17</v>
      </c>
      <c r="C85" s="74" t="s">
        <v>392</v>
      </c>
      <c r="D85" s="74" t="s">
        <v>391</v>
      </c>
      <c r="E85" s="129">
        <v>20000</v>
      </c>
    </row>
    <row r="86" spans="1:5" x14ac:dyDescent="0.2">
      <c r="A86" s="108">
        <v>27</v>
      </c>
      <c r="B86" s="74" t="s">
        <v>41</v>
      </c>
      <c r="C86" s="74" t="s">
        <v>392</v>
      </c>
      <c r="D86" s="74" t="s">
        <v>391</v>
      </c>
      <c r="E86" s="129">
        <v>20000</v>
      </c>
    </row>
    <row r="87" spans="1:5" x14ac:dyDescent="0.2">
      <c r="A87" s="108">
        <v>28</v>
      </c>
      <c r="B87" s="74" t="s">
        <v>42</v>
      </c>
      <c r="C87" s="74" t="s">
        <v>392</v>
      </c>
      <c r="D87" s="74" t="s">
        <v>391</v>
      </c>
      <c r="E87" s="129">
        <v>20000</v>
      </c>
    </row>
    <row r="88" spans="1:5" x14ac:dyDescent="0.2">
      <c r="A88" s="108">
        <v>29</v>
      </c>
      <c r="B88" s="74" t="s">
        <v>43</v>
      </c>
      <c r="C88" s="74" t="s">
        <v>392</v>
      </c>
      <c r="D88" s="74" t="s">
        <v>391</v>
      </c>
      <c r="E88" s="129">
        <v>20000</v>
      </c>
    </row>
    <row r="89" spans="1:5" x14ac:dyDescent="0.2">
      <c r="A89" s="108">
        <v>30</v>
      </c>
      <c r="B89" s="74" t="s">
        <v>44</v>
      </c>
      <c r="C89" s="74" t="s">
        <v>392</v>
      </c>
      <c r="D89" s="74" t="s">
        <v>391</v>
      </c>
      <c r="E89" s="129">
        <v>20000</v>
      </c>
    </row>
    <row r="90" spans="1:5" x14ac:dyDescent="0.2">
      <c r="A90" s="108">
        <v>31</v>
      </c>
      <c r="B90" s="74" t="s">
        <v>18</v>
      </c>
      <c r="C90" s="74" t="s">
        <v>392</v>
      </c>
      <c r="D90" s="74" t="s">
        <v>391</v>
      </c>
      <c r="E90" s="129">
        <v>20000</v>
      </c>
    </row>
    <row r="91" spans="1:5" x14ac:dyDescent="0.2">
      <c r="A91" s="108">
        <v>32</v>
      </c>
      <c r="B91" s="74" t="s">
        <v>63</v>
      </c>
      <c r="C91" s="74" t="s">
        <v>392</v>
      </c>
      <c r="D91" s="74" t="s">
        <v>391</v>
      </c>
      <c r="E91" s="129">
        <v>20000</v>
      </c>
    </row>
    <row r="92" spans="1:5" x14ac:dyDescent="0.2">
      <c r="A92" s="108">
        <v>33</v>
      </c>
      <c r="B92" s="74" t="s">
        <v>64</v>
      </c>
      <c r="C92" s="74" t="s">
        <v>392</v>
      </c>
      <c r="D92" s="74" t="s">
        <v>391</v>
      </c>
      <c r="E92" s="129">
        <v>20000</v>
      </c>
    </row>
    <row r="93" spans="1:5" x14ac:dyDescent="0.2">
      <c r="A93" s="108">
        <v>34</v>
      </c>
      <c r="B93" s="74" t="s">
        <v>261</v>
      </c>
      <c r="C93" s="74" t="s">
        <v>14</v>
      </c>
      <c r="D93" s="74" t="s">
        <v>377</v>
      </c>
      <c r="E93" s="129">
        <v>20000</v>
      </c>
    </row>
    <row r="94" spans="1:5" x14ac:dyDescent="0.2">
      <c r="A94" s="108">
        <v>35</v>
      </c>
      <c r="B94" s="74" t="s">
        <v>275</v>
      </c>
      <c r="C94" s="74" t="s">
        <v>14</v>
      </c>
      <c r="D94" s="74" t="s">
        <v>377</v>
      </c>
      <c r="E94" s="129">
        <v>20000</v>
      </c>
    </row>
    <row r="95" spans="1:5" x14ac:dyDescent="0.2">
      <c r="A95" s="108">
        <v>36</v>
      </c>
      <c r="B95" s="74" t="s">
        <v>276</v>
      </c>
      <c r="C95" s="74" t="s">
        <v>14</v>
      </c>
      <c r="D95" s="74" t="s">
        <v>377</v>
      </c>
      <c r="E95" s="129">
        <v>20000</v>
      </c>
    </row>
    <row r="96" spans="1:5" x14ac:dyDescent="0.2">
      <c r="A96" s="108">
        <v>37</v>
      </c>
      <c r="B96" s="74" t="s">
        <v>277</v>
      </c>
      <c r="C96" s="74" t="s">
        <v>14</v>
      </c>
      <c r="D96" s="74" t="s">
        <v>377</v>
      </c>
      <c r="E96" s="129">
        <v>20000</v>
      </c>
    </row>
    <row r="97" spans="1:5" x14ac:dyDescent="0.2">
      <c r="A97" s="108">
        <v>38</v>
      </c>
      <c r="B97" s="74" t="s">
        <v>305</v>
      </c>
      <c r="C97" s="74" t="s">
        <v>14</v>
      </c>
      <c r="D97" s="74" t="s">
        <v>377</v>
      </c>
      <c r="E97" s="129">
        <v>20000</v>
      </c>
    </row>
    <row r="98" spans="1:5" x14ac:dyDescent="0.2">
      <c r="A98" s="108">
        <v>39</v>
      </c>
      <c r="B98" s="74" t="s">
        <v>313</v>
      </c>
      <c r="C98" s="74" t="s">
        <v>14</v>
      </c>
      <c r="D98" s="74" t="s">
        <v>377</v>
      </c>
      <c r="E98" s="129">
        <v>20000</v>
      </c>
    </row>
    <row r="99" spans="1:5" x14ac:dyDescent="0.2">
      <c r="A99" s="108">
        <v>40</v>
      </c>
      <c r="B99" s="74" t="s">
        <v>353</v>
      </c>
      <c r="C99" s="74" t="s">
        <v>14</v>
      </c>
      <c r="D99" s="74" t="s">
        <v>351</v>
      </c>
      <c r="E99" s="129">
        <v>20000</v>
      </c>
    </row>
    <row r="100" spans="1:5" x14ac:dyDescent="0.2">
      <c r="A100" s="108">
        <v>41</v>
      </c>
      <c r="B100" s="74" t="s">
        <v>283</v>
      </c>
      <c r="C100" s="74" t="s">
        <v>14</v>
      </c>
      <c r="D100" s="74" t="s">
        <v>351</v>
      </c>
      <c r="E100" s="129">
        <v>20000</v>
      </c>
    </row>
    <row r="101" spans="1:5" x14ac:dyDescent="0.2">
      <c r="A101" s="108">
        <v>42</v>
      </c>
      <c r="B101" s="74" t="s">
        <v>385</v>
      </c>
      <c r="C101" s="74" t="s">
        <v>14</v>
      </c>
      <c r="D101" s="74" t="s">
        <v>351</v>
      </c>
      <c r="E101" s="129">
        <v>20000</v>
      </c>
    </row>
    <row r="102" spans="1:5" x14ac:dyDescent="0.2">
      <c r="A102" s="108"/>
      <c r="B102" s="126" t="s">
        <v>20</v>
      </c>
      <c r="C102" s="126"/>
      <c r="D102" s="126"/>
      <c r="E102" s="130">
        <f>SUM(E60:E101)</f>
        <v>1545000</v>
      </c>
    </row>
    <row r="103" spans="1:5" x14ac:dyDescent="0.2">
      <c r="A103" s="108"/>
      <c r="B103" s="74"/>
      <c r="C103" s="74"/>
      <c r="D103" s="74"/>
      <c r="E103" s="129"/>
    </row>
    <row r="104" spans="1:5" x14ac:dyDescent="0.2">
      <c r="A104" s="108"/>
      <c r="B104" s="126" t="s">
        <v>400</v>
      </c>
      <c r="C104" s="74"/>
      <c r="D104" s="74"/>
      <c r="E104" s="129"/>
    </row>
    <row r="105" spans="1:5" x14ac:dyDescent="0.2">
      <c r="A105" s="108">
        <v>1</v>
      </c>
      <c r="B105" s="74" t="s">
        <v>378</v>
      </c>
      <c r="C105" s="74" t="s">
        <v>404</v>
      </c>
      <c r="D105" s="74"/>
      <c r="E105" s="129">
        <v>75000</v>
      </c>
    </row>
    <row r="106" spans="1:5" x14ac:dyDescent="0.2">
      <c r="A106" s="108">
        <v>2</v>
      </c>
      <c r="B106" s="74" t="s">
        <v>405</v>
      </c>
      <c r="C106" s="74" t="s">
        <v>406</v>
      </c>
      <c r="D106" s="74"/>
      <c r="E106" s="129">
        <v>50000</v>
      </c>
    </row>
    <row r="107" spans="1:5" x14ac:dyDescent="0.2">
      <c r="A107" s="108">
        <v>3</v>
      </c>
      <c r="B107" s="74" t="s">
        <v>85</v>
      </c>
      <c r="C107" s="74" t="s">
        <v>89</v>
      </c>
      <c r="D107" s="74"/>
      <c r="E107" s="129">
        <v>30000</v>
      </c>
    </row>
    <row r="108" spans="1:5" x14ac:dyDescent="0.2">
      <c r="A108" s="108">
        <v>4</v>
      </c>
      <c r="B108" s="74" t="s">
        <v>98</v>
      </c>
      <c r="C108" s="74" t="s">
        <v>89</v>
      </c>
      <c r="D108" s="74"/>
      <c r="E108" s="129">
        <v>30000</v>
      </c>
    </row>
    <row r="109" spans="1:5" x14ac:dyDescent="0.2">
      <c r="A109" s="108">
        <v>5</v>
      </c>
      <c r="B109" s="74" t="s">
        <v>88</v>
      </c>
      <c r="C109" s="74" t="s">
        <v>89</v>
      </c>
      <c r="D109" s="74"/>
      <c r="E109" s="129">
        <v>30000</v>
      </c>
    </row>
    <row r="110" spans="1:5" x14ac:dyDescent="0.2">
      <c r="A110" s="108">
        <v>6</v>
      </c>
      <c r="B110" s="74" t="s">
        <v>292</v>
      </c>
      <c r="C110" s="74" t="s">
        <v>402</v>
      </c>
      <c r="D110" s="74"/>
      <c r="E110" s="129">
        <v>30000</v>
      </c>
    </row>
    <row r="111" spans="1:5" x14ac:dyDescent="0.2">
      <c r="A111" s="108">
        <v>7</v>
      </c>
      <c r="B111" s="74" t="s">
        <v>409</v>
      </c>
      <c r="C111" s="74" t="s">
        <v>394</v>
      </c>
      <c r="D111" s="74"/>
      <c r="E111" s="129">
        <v>30000</v>
      </c>
    </row>
    <row r="112" spans="1:5" x14ac:dyDescent="0.2">
      <c r="A112" s="108">
        <v>8</v>
      </c>
      <c r="B112" s="74" t="s">
        <v>87</v>
      </c>
      <c r="C112" s="74" t="s">
        <v>403</v>
      </c>
      <c r="D112" s="74"/>
      <c r="E112" s="129">
        <v>20000</v>
      </c>
    </row>
    <row r="113" spans="1:5" x14ac:dyDescent="0.2">
      <c r="A113" s="108"/>
      <c r="B113" s="126" t="s">
        <v>20</v>
      </c>
      <c r="C113" s="126"/>
      <c r="D113" s="126"/>
      <c r="E113" s="130">
        <f>SUM(E105:E112)</f>
        <v>295000</v>
      </c>
    </row>
    <row r="114" spans="1:5" ht="15.75" x14ac:dyDescent="0.25">
      <c r="A114" s="74"/>
      <c r="B114" s="135" t="s">
        <v>8</v>
      </c>
      <c r="C114" s="135"/>
      <c r="D114" s="135"/>
      <c r="E114" s="136">
        <f>E17+E27+E55+E102+E113</f>
        <v>4540000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9"/>
  <sheetViews>
    <sheetView topLeftCell="A13" workbookViewId="0">
      <selection activeCell="J22" sqref="J22"/>
    </sheetView>
  </sheetViews>
  <sheetFormatPr defaultRowHeight="12.75" x14ac:dyDescent="0.2"/>
  <cols>
    <col min="3" max="3" width="28" customWidth="1"/>
    <col min="4" max="4" width="21" customWidth="1"/>
    <col min="5" max="5" width="11.7109375" customWidth="1"/>
    <col min="6" max="6" width="22" customWidth="1"/>
  </cols>
  <sheetData>
    <row r="1" spans="1:6" ht="27.75" customHeight="1" x14ac:dyDescent="0.2"/>
    <row r="2" spans="1:6" ht="40.5" customHeight="1" x14ac:dyDescent="0.2"/>
    <row r="3" spans="1:6" ht="31.5" customHeight="1" x14ac:dyDescent="0.2"/>
    <row r="13" spans="1:6" ht="18" x14ac:dyDescent="0.25">
      <c r="A13" s="37" t="s">
        <v>328</v>
      </c>
      <c r="B13" s="192" t="s">
        <v>327</v>
      </c>
      <c r="C13" s="192"/>
      <c r="D13" s="37" t="s">
        <v>13</v>
      </c>
      <c r="E13" s="37" t="s">
        <v>484</v>
      </c>
      <c r="F13" s="37" t="s">
        <v>238</v>
      </c>
    </row>
    <row r="14" spans="1:6" ht="18" x14ac:dyDescent="0.25">
      <c r="A14" s="86">
        <v>1</v>
      </c>
      <c r="B14" s="191" t="s">
        <v>40</v>
      </c>
      <c r="C14" s="191"/>
      <c r="D14" s="36" t="s">
        <v>392</v>
      </c>
      <c r="E14" s="153" t="s">
        <v>450</v>
      </c>
      <c r="F14" s="73">
        <v>100000</v>
      </c>
    </row>
    <row r="15" spans="1:6" ht="18" x14ac:dyDescent="0.25">
      <c r="A15" s="86">
        <v>2</v>
      </c>
      <c r="B15" s="191" t="s">
        <v>17</v>
      </c>
      <c r="C15" s="191"/>
      <c r="D15" s="36" t="s">
        <v>392</v>
      </c>
      <c r="E15" s="153" t="s">
        <v>450</v>
      </c>
      <c r="F15" s="73">
        <v>100000</v>
      </c>
    </row>
    <row r="16" spans="1:6" ht="18" x14ac:dyDescent="0.25">
      <c r="A16" s="86">
        <v>3</v>
      </c>
      <c r="B16" s="191" t="s">
        <v>41</v>
      </c>
      <c r="C16" s="191"/>
      <c r="D16" s="36" t="s">
        <v>392</v>
      </c>
      <c r="E16" s="153" t="s">
        <v>450</v>
      </c>
      <c r="F16" s="73">
        <v>100000</v>
      </c>
    </row>
    <row r="17" spans="1:6" ht="18" x14ac:dyDescent="0.25">
      <c r="A17" s="86">
        <v>4</v>
      </c>
      <c r="B17" s="191" t="s">
        <v>42</v>
      </c>
      <c r="C17" s="191"/>
      <c r="D17" s="36" t="s">
        <v>392</v>
      </c>
      <c r="E17" s="153" t="s">
        <v>450</v>
      </c>
      <c r="F17" s="73">
        <v>100000</v>
      </c>
    </row>
    <row r="18" spans="1:6" ht="18" x14ac:dyDescent="0.25">
      <c r="A18" s="86">
        <v>5</v>
      </c>
      <c r="B18" s="191" t="s">
        <v>43</v>
      </c>
      <c r="C18" s="191"/>
      <c r="D18" s="36" t="s">
        <v>392</v>
      </c>
      <c r="E18" s="153" t="s">
        <v>450</v>
      </c>
      <c r="F18" s="73">
        <v>100000</v>
      </c>
    </row>
    <row r="19" spans="1:6" ht="18" x14ac:dyDescent="0.25">
      <c r="A19" s="86">
        <v>6</v>
      </c>
      <c r="B19" s="191" t="s">
        <v>44</v>
      </c>
      <c r="C19" s="191"/>
      <c r="D19" s="36" t="s">
        <v>392</v>
      </c>
      <c r="E19" s="153" t="s">
        <v>450</v>
      </c>
      <c r="F19" s="73">
        <v>100000</v>
      </c>
    </row>
    <row r="20" spans="1:6" ht="18" x14ac:dyDescent="0.25">
      <c r="A20" s="86">
        <v>7</v>
      </c>
      <c r="B20" s="191" t="s">
        <v>63</v>
      </c>
      <c r="C20" s="191"/>
      <c r="D20" s="36" t="s">
        <v>392</v>
      </c>
      <c r="E20" s="153" t="s">
        <v>450</v>
      </c>
      <c r="F20" s="73">
        <v>100000</v>
      </c>
    </row>
    <row r="21" spans="1:6" ht="18" x14ac:dyDescent="0.25">
      <c r="A21" s="86">
        <v>8</v>
      </c>
      <c r="B21" s="191" t="s">
        <v>64</v>
      </c>
      <c r="C21" s="191"/>
      <c r="D21" s="36" t="s">
        <v>392</v>
      </c>
      <c r="E21" s="153" t="s">
        <v>450</v>
      </c>
      <c r="F21" s="73">
        <v>100000</v>
      </c>
    </row>
    <row r="22" spans="1:6" ht="18" x14ac:dyDescent="0.25">
      <c r="A22" s="86">
        <v>9</v>
      </c>
      <c r="B22" s="191" t="s">
        <v>261</v>
      </c>
      <c r="C22" s="191"/>
      <c r="D22" s="36" t="s">
        <v>14</v>
      </c>
      <c r="E22" s="153" t="s">
        <v>48</v>
      </c>
      <c r="F22" s="73">
        <v>100000</v>
      </c>
    </row>
    <row r="23" spans="1:6" ht="18" x14ac:dyDescent="0.25">
      <c r="A23" s="86">
        <v>10</v>
      </c>
      <c r="B23" s="191" t="s">
        <v>275</v>
      </c>
      <c r="C23" s="191"/>
      <c r="D23" s="36" t="s">
        <v>14</v>
      </c>
      <c r="E23" s="153" t="s">
        <v>48</v>
      </c>
      <c r="F23" s="73">
        <v>100000</v>
      </c>
    </row>
    <row r="24" spans="1:6" ht="18" x14ac:dyDescent="0.25">
      <c r="A24" s="86">
        <v>11</v>
      </c>
      <c r="B24" s="191" t="s">
        <v>276</v>
      </c>
      <c r="C24" s="191"/>
      <c r="D24" s="36" t="s">
        <v>14</v>
      </c>
      <c r="E24" s="153" t="s">
        <v>48</v>
      </c>
      <c r="F24" s="73">
        <v>100000</v>
      </c>
    </row>
    <row r="25" spans="1:6" ht="18" x14ac:dyDescent="0.25">
      <c r="A25" s="86">
        <v>12</v>
      </c>
      <c r="B25" s="191" t="s">
        <v>277</v>
      </c>
      <c r="C25" s="191"/>
      <c r="D25" s="36" t="s">
        <v>14</v>
      </c>
      <c r="E25" s="153" t="s">
        <v>48</v>
      </c>
      <c r="F25" s="73">
        <v>100000</v>
      </c>
    </row>
    <row r="26" spans="1:6" ht="18" x14ac:dyDescent="0.25">
      <c r="A26" s="86">
        <v>13</v>
      </c>
      <c r="B26" s="37" t="s">
        <v>305</v>
      </c>
      <c r="C26" s="37"/>
      <c r="D26" s="36" t="s">
        <v>14</v>
      </c>
      <c r="E26" s="153" t="s">
        <v>48</v>
      </c>
      <c r="F26" s="73">
        <v>100000</v>
      </c>
    </row>
    <row r="27" spans="1:6" ht="18" x14ac:dyDescent="0.25">
      <c r="A27" s="86">
        <v>14</v>
      </c>
      <c r="B27" s="191" t="s">
        <v>313</v>
      </c>
      <c r="C27" s="191"/>
      <c r="D27" s="36" t="s">
        <v>14</v>
      </c>
      <c r="E27" s="153" t="s">
        <v>48</v>
      </c>
      <c r="F27" s="73">
        <v>100000</v>
      </c>
    </row>
    <row r="28" spans="1:6" ht="18" x14ac:dyDescent="0.25">
      <c r="A28" s="86">
        <v>15</v>
      </c>
      <c r="B28" s="36" t="s">
        <v>353</v>
      </c>
      <c r="C28" s="37"/>
      <c r="D28" s="36" t="s">
        <v>14</v>
      </c>
      <c r="E28" s="153" t="s">
        <v>377</v>
      </c>
      <c r="F28" s="73">
        <v>100000</v>
      </c>
    </row>
    <row r="29" spans="1:6" ht="18" x14ac:dyDescent="0.25">
      <c r="A29" s="86">
        <v>16</v>
      </c>
      <c r="B29" s="36" t="s">
        <v>283</v>
      </c>
      <c r="C29" s="37"/>
      <c r="D29" s="36" t="s">
        <v>14</v>
      </c>
      <c r="E29" s="153" t="s">
        <v>377</v>
      </c>
      <c r="F29" s="73">
        <v>100000</v>
      </c>
    </row>
    <row r="30" spans="1:6" ht="18" x14ac:dyDescent="0.25">
      <c r="A30" s="86">
        <v>17</v>
      </c>
      <c r="B30" s="36" t="s">
        <v>385</v>
      </c>
      <c r="C30" s="37"/>
      <c r="D30" s="36" t="s">
        <v>14</v>
      </c>
      <c r="E30" s="153" t="s">
        <v>377</v>
      </c>
      <c r="F30" s="73">
        <v>100000</v>
      </c>
    </row>
    <row r="31" spans="1:6" ht="18" x14ac:dyDescent="0.25">
      <c r="A31" s="86">
        <v>18</v>
      </c>
      <c r="B31" s="192" t="s">
        <v>446</v>
      </c>
      <c r="C31" s="192"/>
      <c r="D31" s="37" t="s">
        <v>447</v>
      </c>
      <c r="E31" s="37"/>
      <c r="F31" s="171">
        <v>100000</v>
      </c>
    </row>
    <row r="32" spans="1:6" ht="18" x14ac:dyDescent="0.25">
      <c r="A32" s="86">
        <v>19</v>
      </c>
      <c r="B32" s="36" t="s">
        <v>438</v>
      </c>
      <c r="C32" s="37"/>
      <c r="D32" s="36" t="s">
        <v>485</v>
      </c>
      <c r="E32" s="153" t="s">
        <v>167</v>
      </c>
      <c r="F32" s="171">
        <v>300000</v>
      </c>
    </row>
    <row r="33" spans="1:6" ht="18" x14ac:dyDescent="0.25">
      <c r="A33" s="86"/>
      <c r="B33" s="201" t="s">
        <v>20</v>
      </c>
      <c r="C33" s="201"/>
      <c r="D33" s="39"/>
      <c r="E33" s="39"/>
      <c r="F33" s="79">
        <f>SUM(F14:F32)</f>
        <v>2100000</v>
      </c>
    </row>
    <row r="96" ht="20.25" customHeight="1" x14ac:dyDescent="0.2"/>
    <row r="97" ht="20.25" customHeight="1" x14ac:dyDescent="0.2"/>
    <row r="99" ht="21" customHeight="1" x14ac:dyDescent="0.2"/>
  </sheetData>
  <mergeCells count="16">
    <mergeCell ref="B13:C13"/>
    <mergeCell ref="B31:C31"/>
    <mergeCell ref="B33:C3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</mergeCells>
  <pageMargins left="0.7" right="0.45" top="0.5" bottom="0.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0"/>
  <sheetViews>
    <sheetView topLeftCell="A91" workbookViewId="0">
      <selection activeCell="F120" sqref="F120"/>
    </sheetView>
  </sheetViews>
  <sheetFormatPr defaultRowHeight="12.75" x14ac:dyDescent="0.2"/>
  <cols>
    <col min="1" max="1" width="6.85546875" customWidth="1"/>
    <col min="2" max="2" width="35.140625" customWidth="1"/>
    <col min="3" max="3" width="21.42578125" hidden="1" customWidth="1"/>
    <col min="4" max="4" width="32.28515625" customWidth="1"/>
    <col min="5" max="5" width="10.7109375" customWidth="1"/>
    <col min="6" max="6" width="21" customWidth="1"/>
    <col min="7" max="7" width="22.7109375" customWidth="1"/>
  </cols>
  <sheetData>
    <row r="1" spans="1:7" ht="18" x14ac:dyDescent="0.25">
      <c r="A1" s="39" t="s">
        <v>328</v>
      </c>
      <c r="B1" s="221" t="s">
        <v>22</v>
      </c>
      <c r="C1" s="199"/>
      <c r="D1" s="35"/>
      <c r="E1" s="35"/>
      <c r="F1" s="116" t="s">
        <v>5</v>
      </c>
      <c r="G1" s="39" t="s">
        <v>91</v>
      </c>
    </row>
    <row r="2" spans="1:7" ht="18" x14ac:dyDescent="0.25">
      <c r="A2" s="86">
        <v>1</v>
      </c>
      <c r="B2" s="213" t="s">
        <v>81</v>
      </c>
      <c r="C2" s="213"/>
      <c r="D2" s="71" t="s">
        <v>82</v>
      </c>
      <c r="E2" s="48" t="s">
        <v>370</v>
      </c>
      <c r="F2" s="147">
        <v>100000</v>
      </c>
      <c r="G2" s="74"/>
    </row>
    <row r="3" spans="1:7" ht="18" x14ac:dyDescent="0.25">
      <c r="A3" s="86">
        <v>2</v>
      </c>
      <c r="B3" s="71" t="s">
        <v>395</v>
      </c>
      <c r="C3" s="71"/>
      <c r="D3" s="71" t="s">
        <v>396</v>
      </c>
      <c r="E3" s="48" t="s">
        <v>49</v>
      </c>
      <c r="F3" s="147">
        <v>100000</v>
      </c>
      <c r="G3" s="74"/>
    </row>
    <row r="4" spans="1:7" ht="18" x14ac:dyDescent="0.25">
      <c r="A4" s="86">
        <v>3</v>
      </c>
      <c r="B4" s="214" t="s">
        <v>177</v>
      </c>
      <c r="C4" s="214"/>
      <c r="D4" s="71" t="s">
        <v>178</v>
      </c>
      <c r="E4" s="49" t="s">
        <v>119</v>
      </c>
      <c r="F4" s="147">
        <v>80000</v>
      </c>
      <c r="G4" s="74"/>
    </row>
    <row r="5" spans="1:7" ht="18" x14ac:dyDescent="0.25">
      <c r="A5" s="86">
        <v>4</v>
      </c>
      <c r="B5" s="213" t="s">
        <v>231</v>
      </c>
      <c r="C5" s="213"/>
      <c r="D5" s="72" t="s">
        <v>127</v>
      </c>
      <c r="E5" s="47" t="s">
        <v>347</v>
      </c>
      <c r="F5" s="147">
        <v>80000</v>
      </c>
      <c r="G5" s="74"/>
    </row>
    <row r="6" spans="1:7" ht="18" x14ac:dyDescent="0.25">
      <c r="A6" s="86">
        <v>5</v>
      </c>
      <c r="B6" s="215" t="s">
        <v>194</v>
      </c>
      <c r="C6" s="215"/>
      <c r="D6" s="72" t="s">
        <v>195</v>
      </c>
      <c r="E6" s="49" t="s">
        <v>373</v>
      </c>
      <c r="F6" s="147">
        <v>50000</v>
      </c>
      <c r="G6" s="74"/>
    </row>
    <row r="7" spans="1:7" ht="18" x14ac:dyDescent="0.25">
      <c r="A7" s="86">
        <v>6</v>
      </c>
      <c r="B7" s="215" t="s">
        <v>264</v>
      </c>
      <c r="C7" s="215"/>
      <c r="D7" s="72" t="s">
        <v>263</v>
      </c>
      <c r="E7" s="47" t="s">
        <v>374</v>
      </c>
      <c r="F7" s="147">
        <v>50000</v>
      </c>
      <c r="G7" s="74"/>
    </row>
    <row r="8" spans="1:7" ht="18" x14ac:dyDescent="0.25">
      <c r="A8" s="86">
        <v>7</v>
      </c>
      <c r="B8" s="70" t="s">
        <v>310</v>
      </c>
      <c r="C8" s="70"/>
      <c r="D8" s="72" t="s">
        <v>311</v>
      </c>
      <c r="E8" s="47" t="s">
        <v>374</v>
      </c>
      <c r="F8" s="147">
        <v>50000</v>
      </c>
      <c r="G8" s="74"/>
    </row>
    <row r="9" spans="1:7" ht="18" x14ac:dyDescent="0.25">
      <c r="A9" s="86">
        <v>8</v>
      </c>
      <c r="B9" s="70" t="s">
        <v>312</v>
      </c>
      <c r="C9" s="70"/>
      <c r="D9" s="72" t="s">
        <v>233</v>
      </c>
      <c r="E9" s="47" t="s">
        <v>374</v>
      </c>
      <c r="F9" s="147">
        <v>50000</v>
      </c>
      <c r="G9" s="74"/>
    </row>
    <row r="10" spans="1:7" ht="18" x14ac:dyDescent="0.25">
      <c r="A10" s="86">
        <v>9</v>
      </c>
      <c r="B10" s="70" t="s">
        <v>337</v>
      </c>
      <c r="C10" s="70"/>
      <c r="D10" s="72" t="s">
        <v>415</v>
      </c>
      <c r="E10" s="47" t="s">
        <v>184</v>
      </c>
      <c r="F10" s="147">
        <v>50000</v>
      </c>
      <c r="G10" s="74"/>
    </row>
    <row r="11" spans="1:7" ht="18" x14ac:dyDescent="0.25">
      <c r="A11" s="86">
        <v>10</v>
      </c>
      <c r="B11" s="70" t="s">
        <v>413</v>
      </c>
      <c r="C11" s="70"/>
      <c r="D11" s="72" t="s">
        <v>25</v>
      </c>
      <c r="E11" s="47" t="s">
        <v>165</v>
      </c>
      <c r="F11" s="147">
        <v>50000</v>
      </c>
      <c r="G11" s="74"/>
    </row>
    <row r="12" spans="1:7" ht="18" x14ac:dyDescent="0.25">
      <c r="A12" s="86">
        <v>11</v>
      </c>
      <c r="B12" s="213" t="s">
        <v>138</v>
      </c>
      <c r="C12" s="213"/>
      <c r="D12" s="71" t="s">
        <v>139</v>
      </c>
      <c r="E12" s="48" t="s">
        <v>374</v>
      </c>
      <c r="F12" s="147">
        <v>50000</v>
      </c>
      <c r="G12" s="74"/>
    </row>
    <row r="13" spans="1:7" ht="18" x14ac:dyDescent="0.25">
      <c r="A13" s="86">
        <v>12</v>
      </c>
      <c r="B13" s="214" t="s">
        <v>188</v>
      </c>
      <c r="C13" s="214"/>
      <c r="D13" s="71" t="s">
        <v>189</v>
      </c>
      <c r="E13" s="48" t="s">
        <v>79</v>
      </c>
      <c r="F13" s="147">
        <v>30000</v>
      </c>
      <c r="G13" s="74"/>
    </row>
    <row r="14" spans="1:7" ht="18" x14ac:dyDescent="0.25">
      <c r="A14" s="86">
        <v>13</v>
      </c>
      <c r="B14" s="213" t="s">
        <v>26</v>
      </c>
      <c r="C14" s="213"/>
      <c r="D14" s="71" t="s">
        <v>389</v>
      </c>
      <c r="E14" s="48" t="s">
        <v>165</v>
      </c>
      <c r="F14" s="147">
        <v>50000</v>
      </c>
      <c r="G14" s="74"/>
    </row>
    <row r="15" spans="1:7" ht="18" x14ac:dyDescent="0.25">
      <c r="A15" s="86">
        <v>14</v>
      </c>
      <c r="B15" s="144" t="s">
        <v>202</v>
      </c>
      <c r="C15" s="145"/>
      <c r="D15" s="71" t="s">
        <v>198</v>
      </c>
      <c r="E15" s="48" t="s">
        <v>79</v>
      </c>
      <c r="F15" s="147">
        <v>30000</v>
      </c>
      <c r="G15" s="74"/>
    </row>
    <row r="16" spans="1:7" ht="18" x14ac:dyDescent="0.25">
      <c r="A16" s="86">
        <v>15</v>
      </c>
      <c r="B16" s="213" t="s">
        <v>197</v>
      </c>
      <c r="C16" s="213"/>
      <c r="D16" s="71" t="s">
        <v>198</v>
      </c>
      <c r="E16" s="48" t="s">
        <v>79</v>
      </c>
      <c r="F16" s="147">
        <v>30000</v>
      </c>
      <c r="G16" s="74"/>
    </row>
    <row r="17" spans="1:7" ht="18.75" x14ac:dyDescent="0.3">
      <c r="A17" s="3">
        <v>16</v>
      </c>
      <c r="B17" s="71" t="s">
        <v>321</v>
      </c>
      <c r="C17" s="71"/>
      <c r="D17" s="71" t="s">
        <v>322</v>
      </c>
      <c r="E17" s="48" t="s">
        <v>79</v>
      </c>
      <c r="F17" s="147">
        <v>30000</v>
      </c>
      <c r="G17" s="74"/>
    </row>
    <row r="18" spans="1:7" ht="18" x14ac:dyDescent="0.25">
      <c r="A18" s="86"/>
      <c r="B18" s="218" t="s">
        <v>20</v>
      </c>
      <c r="C18" s="218"/>
      <c r="D18" s="50"/>
      <c r="E18" s="47"/>
      <c r="F18" s="117">
        <f>SUM(F2:F17)</f>
        <v>880000</v>
      </c>
      <c r="G18" s="74"/>
    </row>
    <row r="19" spans="1:7" ht="18" x14ac:dyDescent="0.25">
      <c r="A19" s="37"/>
      <c r="B19" s="37"/>
      <c r="C19" s="37"/>
      <c r="D19" s="37"/>
      <c r="E19" s="47"/>
      <c r="F19" s="117"/>
      <c r="G19" s="74"/>
    </row>
    <row r="20" spans="1:7" ht="18" x14ac:dyDescent="0.25">
      <c r="A20" s="37"/>
      <c r="B20" s="219"/>
      <c r="C20" s="219"/>
      <c r="D20" s="72"/>
      <c r="E20" s="47"/>
      <c r="F20" s="117"/>
      <c r="G20" s="74"/>
    </row>
    <row r="21" spans="1:7" ht="18" x14ac:dyDescent="0.25">
      <c r="A21" s="74"/>
      <c r="B21" s="220" t="s">
        <v>94</v>
      </c>
      <c r="C21" s="220"/>
      <c r="D21" s="141"/>
      <c r="E21" s="51"/>
      <c r="F21" s="117"/>
      <c r="G21" s="74"/>
    </row>
    <row r="22" spans="1:7" ht="18" x14ac:dyDescent="0.25">
      <c r="A22" s="86">
        <v>1</v>
      </c>
      <c r="B22" s="213" t="s">
        <v>240</v>
      </c>
      <c r="C22" s="213"/>
      <c r="D22" s="71" t="s">
        <v>241</v>
      </c>
      <c r="E22" s="48" t="s">
        <v>371</v>
      </c>
      <c r="F22" s="147">
        <v>100000</v>
      </c>
      <c r="G22" s="74"/>
    </row>
    <row r="23" spans="1:7" ht="18" x14ac:dyDescent="0.25">
      <c r="A23" s="86">
        <v>2</v>
      </c>
      <c r="B23" s="213" t="s">
        <v>12</v>
      </c>
      <c r="C23" s="213"/>
      <c r="D23" s="71" t="s">
        <v>225</v>
      </c>
      <c r="E23" s="48" t="s">
        <v>370</v>
      </c>
      <c r="F23" s="147">
        <v>100000</v>
      </c>
      <c r="G23" s="74"/>
    </row>
    <row r="24" spans="1:7" ht="18" x14ac:dyDescent="0.25">
      <c r="A24" s="86">
        <v>3</v>
      </c>
      <c r="B24" s="213" t="s">
        <v>213</v>
      </c>
      <c r="C24" s="213"/>
      <c r="D24" s="72" t="s">
        <v>127</v>
      </c>
      <c r="E24" s="47" t="s">
        <v>373</v>
      </c>
      <c r="F24" s="147">
        <v>50000</v>
      </c>
      <c r="G24" s="74"/>
    </row>
    <row r="25" spans="1:7" ht="18" x14ac:dyDescent="0.25">
      <c r="A25" s="86">
        <v>4</v>
      </c>
      <c r="B25" s="213" t="s">
        <v>207</v>
      </c>
      <c r="C25" s="213"/>
      <c r="D25" s="72" t="s">
        <v>131</v>
      </c>
      <c r="E25" s="47" t="s">
        <v>374</v>
      </c>
      <c r="F25" s="147">
        <v>30000</v>
      </c>
      <c r="G25" s="74"/>
    </row>
    <row r="26" spans="1:7" ht="18" x14ac:dyDescent="0.25">
      <c r="A26" s="86">
        <v>5</v>
      </c>
      <c r="B26" s="71" t="s">
        <v>280</v>
      </c>
      <c r="C26" s="71"/>
      <c r="D26" s="72" t="s">
        <v>131</v>
      </c>
      <c r="E26" s="47" t="s">
        <v>374</v>
      </c>
      <c r="F26" s="147">
        <v>30000</v>
      </c>
      <c r="G26" s="74"/>
    </row>
    <row r="27" spans="1:7" ht="18" x14ac:dyDescent="0.25">
      <c r="A27" s="86">
        <v>6</v>
      </c>
      <c r="B27" s="213" t="s">
        <v>205</v>
      </c>
      <c r="C27" s="213"/>
      <c r="D27" s="72" t="s">
        <v>131</v>
      </c>
      <c r="E27" s="47" t="s">
        <v>165</v>
      </c>
      <c r="F27" s="147">
        <v>30000</v>
      </c>
      <c r="G27" s="74"/>
    </row>
    <row r="28" spans="1:7" ht="18" x14ac:dyDescent="0.25">
      <c r="A28" s="37"/>
      <c r="B28" s="216" t="s">
        <v>20</v>
      </c>
      <c r="C28" s="216"/>
      <c r="D28" s="50"/>
      <c r="E28" s="50"/>
      <c r="F28" s="118">
        <f t="shared" ref="F28" si="0">SUM(F22:F27)</f>
        <v>340000</v>
      </c>
      <c r="G28" s="74"/>
    </row>
    <row r="29" spans="1:7" ht="18" x14ac:dyDescent="0.25">
      <c r="A29" s="37"/>
      <c r="B29" s="217"/>
      <c r="C29" s="217"/>
      <c r="D29" s="50"/>
      <c r="E29" s="50"/>
      <c r="F29" s="118"/>
      <c r="G29" s="74"/>
    </row>
    <row r="30" spans="1:7" ht="18" x14ac:dyDescent="0.25">
      <c r="A30" s="74"/>
      <c r="B30" s="140" t="s">
        <v>95</v>
      </c>
      <c r="C30" s="140"/>
      <c r="D30" s="52"/>
      <c r="E30" s="50"/>
      <c r="F30" s="118"/>
      <c r="G30" s="74"/>
    </row>
    <row r="31" spans="1:7" ht="18" x14ac:dyDescent="0.25">
      <c r="A31" s="86">
        <v>1</v>
      </c>
      <c r="B31" s="213" t="s">
        <v>356</v>
      </c>
      <c r="C31" s="213"/>
      <c r="D31" s="71" t="s">
        <v>273</v>
      </c>
      <c r="E31" s="48" t="s">
        <v>151</v>
      </c>
      <c r="F31" s="147">
        <v>100000</v>
      </c>
      <c r="G31" s="74"/>
    </row>
    <row r="32" spans="1:7" ht="18" x14ac:dyDescent="0.25">
      <c r="A32" s="86">
        <v>2</v>
      </c>
      <c r="B32" s="213" t="s">
        <v>31</v>
      </c>
      <c r="C32" s="213"/>
      <c r="D32" s="72" t="s">
        <v>96</v>
      </c>
      <c r="E32" s="47" t="s">
        <v>370</v>
      </c>
      <c r="F32" s="147">
        <v>100000</v>
      </c>
      <c r="G32" s="74"/>
    </row>
    <row r="33" spans="1:7" ht="18" x14ac:dyDescent="0.25">
      <c r="A33" s="86">
        <v>3</v>
      </c>
      <c r="B33" s="213" t="s">
        <v>216</v>
      </c>
      <c r="C33" s="213"/>
      <c r="D33" s="72" t="s">
        <v>226</v>
      </c>
      <c r="E33" s="47" t="s">
        <v>119</v>
      </c>
      <c r="F33" s="147">
        <v>80000</v>
      </c>
      <c r="G33" s="74"/>
    </row>
    <row r="34" spans="1:7" ht="18" x14ac:dyDescent="0.25">
      <c r="A34" s="86">
        <v>4</v>
      </c>
      <c r="B34" s="71" t="s">
        <v>382</v>
      </c>
      <c r="C34" s="71"/>
      <c r="D34" s="72" t="s">
        <v>383</v>
      </c>
      <c r="E34" s="47" t="s">
        <v>50</v>
      </c>
      <c r="F34" s="147">
        <v>80000</v>
      </c>
      <c r="G34" s="74"/>
    </row>
    <row r="35" spans="1:7" ht="18" x14ac:dyDescent="0.25">
      <c r="A35" s="86">
        <v>5</v>
      </c>
      <c r="B35" s="75" t="s">
        <v>187</v>
      </c>
      <c r="C35" s="75"/>
      <c r="D35" s="72" t="s">
        <v>228</v>
      </c>
      <c r="E35" s="47" t="s">
        <v>372</v>
      </c>
      <c r="F35" s="147">
        <v>60000</v>
      </c>
      <c r="G35" s="74"/>
    </row>
    <row r="36" spans="1:7" ht="18" x14ac:dyDescent="0.25">
      <c r="A36" s="139">
        <v>6</v>
      </c>
      <c r="B36" s="75" t="s">
        <v>364</v>
      </c>
      <c r="C36" s="75"/>
      <c r="D36" s="72" t="s">
        <v>125</v>
      </c>
      <c r="E36" s="47" t="s">
        <v>146</v>
      </c>
      <c r="F36" s="147">
        <v>60000</v>
      </c>
      <c r="G36" s="74"/>
    </row>
    <row r="37" spans="1:7" ht="18" x14ac:dyDescent="0.25">
      <c r="A37" s="86">
        <v>7</v>
      </c>
      <c r="B37" s="75" t="s">
        <v>368</v>
      </c>
      <c r="C37" s="75"/>
      <c r="D37" s="72" t="s">
        <v>369</v>
      </c>
      <c r="E37" s="47" t="s">
        <v>146</v>
      </c>
      <c r="F37" s="147">
        <v>60000</v>
      </c>
      <c r="G37" s="74"/>
    </row>
    <row r="38" spans="1:7" ht="18" x14ac:dyDescent="0.25">
      <c r="A38" s="86">
        <v>8</v>
      </c>
      <c r="B38" s="75" t="s">
        <v>386</v>
      </c>
      <c r="C38" s="75"/>
      <c r="D38" s="72" t="s">
        <v>125</v>
      </c>
      <c r="E38" s="47" t="s">
        <v>146</v>
      </c>
      <c r="F38" s="147">
        <v>60000</v>
      </c>
      <c r="G38" s="74"/>
    </row>
    <row r="39" spans="1:7" ht="18" x14ac:dyDescent="0.25">
      <c r="A39" s="86">
        <v>9</v>
      </c>
      <c r="B39" s="71" t="s">
        <v>274</v>
      </c>
      <c r="C39" s="71"/>
      <c r="D39" s="72" t="s">
        <v>127</v>
      </c>
      <c r="E39" s="47" t="s">
        <v>373</v>
      </c>
      <c r="F39" s="147">
        <v>50000</v>
      </c>
      <c r="G39" s="74"/>
    </row>
    <row r="40" spans="1:7" ht="18" x14ac:dyDescent="0.25">
      <c r="A40" s="86">
        <v>10</v>
      </c>
      <c r="B40" s="71" t="s">
        <v>365</v>
      </c>
      <c r="C40" s="71"/>
      <c r="D40" s="72" t="s">
        <v>127</v>
      </c>
      <c r="E40" s="47" t="s">
        <v>348</v>
      </c>
      <c r="F40" s="147">
        <v>50000</v>
      </c>
      <c r="G40" s="74"/>
    </row>
    <row r="41" spans="1:7" ht="18" x14ac:dyDescent="0.25">
      <c r="A41" s="86">
        <v>11</v>
      </c>
      <c r="B41" s="71" t="s">
        <v>307</v>
      </c>
      <c r="C41" s="71"/>
      <c r="D41" s="72" t="s">
        <v>393</v>
      </c>
      <c r="E41" s="47" t="s">
        <v>146</v>
      </c>
      <c r="F41" s="147">
        <v>50000</v>
      </c>
      <c r="G41" s="74"/>
    </row>
    <row r="42" spans="1:7" ht="18" x14ac:dyDescent="0.25">
      <c r="A42" s="86">
        <v>12</v>
      </c>
      <c r="B42" s="71" t="s">
        <v>379</v>
      </c>
      <c r="C42" s="71"/>
      <c r="D42" s="72" t="s">
        <v>127</v>
      </c>
      <c r="E42" s="47" t="s">
        <v>184</v>
      </c>
      <c r="F42" s="147">
        <v>50000</v>
      </c>
      <c r="G42" s="74"/>
    </row>
    <row r="43" spans="1:7" ht="18" x14ac:dyDescent="0.25">
      <c r="A43" s="86">
        <v>13</v>
      </c>
      <c r="B43" s="71" t="s">
        <v>380</v>
      </c>
      <c r="C43" s="71"/>
      <c r="D43" s="72" t="s">
        <v>127</v>
      </c>
      <c r="E43" s="47" t="s">
        <v>184</v>
      </c>
      <c r="F43" s="147">
        <v>50000</v>
      </c>
      <c r="G43" s="74"/>
    </row>
    <row r="44" spans="1:7" ht="18" x14ac:dyDescent="0.25">
      <c r="A44" s="86">
        <v>14</v>
      </c>
      <c r="B44" s="71" t="s">
        <v>357</v>
      </c>
      <c r="C44" s="146"/>
      <c r="D44" s="72" t="s">
        <v>127</v>
      </c>
      <c r="E44" s="47" t="s">
        <v>184</v>
      </c>
      <c r="F44" s="147">
        <v>50000</v>
      </c>
      <c r="G44" s="74"/>
    </row>
    <row r="45" spans="1:7" ht="18" x14ac:dyDescent="0.25">
      <c r="A45" s="86">
        <v>15</v>
      </c>
      <c r="B45" s="71" t="s">
        <v>407</v>
      </c>
      <c r="C45" s="146"/>
      <c r="D45" s="72" t="s">
        <v>127</v>
      </c>
      <c r="E45" s="47" t="s">
        <v>184</v>
      </c>
      <c r="F45" s="147">
        <v>50000</v>
      </c>
      <c r="G45" s="74"/>
    </row>
    <row r="46" spans="1:7" ht="18" x14ac:dyDescent="0.25">
      <c r="A46" s="86">
        <v>16</v>
      </c>
      <c r="B46" s="70" t="s">
        <v>24</v>
      </c>
      <c r="C46" s="70"/>
      <c r="D46" s="72" t="s">
        <v>387</v>
      </c>
      <c r="E46" s="47" t="s">
        <v>184</v>
      </c>
      <c r="F46" s="147">
        <v>50000</v>
      </c>
      <c r="G46" s="74"/>
    </row>
    <row r="47" spans="1:7" ht="18" x14ac:dyDescent="0.25">
      <c r="A47" s="86">
        <v>17</v>
      </c>
      <c r="B47" s="71" t="s">
        <v>185</v>
      </c>
      <c r="C47" s="71"/>
      <c r="D47" s="72" t="s">
        <v>186</v>
      </c>
      <c r="E47" s="47" t="s">
        <v>374</v>
      </c>
      <c r="F47" s="147">
        <v>30000</v>
      </c>
      <c r="G47" s="74"/>
    </row>
    <row r="48" spans="1:7" ht="18" x14ac:dyDescent="0.25">
      <c r="A48" s="86">
        <v>18</v>
      </c>
      <c r="B48" s="71" t="s">
        <v>196</v>
      </c>
      <c r="C48" s="71"/>
      <c r="D48" s="72" t="s">
        <v>131</v>
      </c>
      <c r="E48" s="47" t="s">
        <v>374</v>
      </c>
      <c r="F48" s="147">
        <v>30000</v>
      </c>
      <c r="G48" s="74"/>
    </row>
    <row r="49" spans="1:7" ht="18" x14ac:dyDescent="0.25">
      <c r="A49" s="86">
        <v>19</v>
      </c>
      <c r="B49" s="71" t="s">
        <v>303</v>
      </c>
      <c r="C49" s="146"/>
      <c r="D49" s="72" t="s">
        <v>304</v>
      </c>
      <c r="E49" s="47" t="s">
        <v>374</v>
      </c>
      <c r="F49" s="147">
        <v>30000</v>
      </c>
      <c r="G49" s="74"/>
    </row>
    <row r="50" spans="1:7" ht="18" x14ac:dyDescent="0.25">
      <c r="A50" s="86">
        <v>20</v>
      </c>
      <c r="B50" s="71" t="s">
        <v>208</v>
      </c>
      <c r="C50" s="71"/>
      <c r="D50" s="72" t="s">
        <v>131</v>
      </c>
      <c r="E50" s="47" t="s">
        <v>165</v>
      </c>
      <c r="F50" s="147">
        <v>30000</v>
      </c>
      <c r="G50" s="74"/>
    </row>
    <row r="51" spans="1:7" ht="18" x14ac:dyDescent="0.25">
      <c r="A51" s="86">
        <v>22</v>
      </c>
      <c r="B51" s="71" t="s">
        <v>162</v>
      </c>
      <c r="C51" s="71"/>
      <c r="D51" s="72" t="s">
        <v>200</v>
      </c>
      <c r="E51" s="48" t="s">
        <v>349</v>
      </c>
      <c r="F51" s="147">
        <v>30000</v>
      </c>
      <c r="G51" s="74"/>
    </row>
    <row r="52" spans="1:7" ht="18" x14ac:dyDescent="0.25">
      <c r="A52" s="86">
        <v>23</v>
      </c>
      <c r="B52" s="71" t="s">
        <v>159</v>
      </c>
      <c r="C52" s="71"/>
      <c r="D52" s="72" t="s">
        <v>200</v>
      </c>
      <c r="E52" s="48" t="s">
        <v>349</v>
      </c>
      <c r="F52" s="147">
        <v>30000</v>
      </c>
      <c r="G52" s="74"/>
    </row>
    <row r="53" spans="1:7" ht="18" x14ac:dyDescent="0.25">
      <c r="A53" s="86">
        <v>24</v>
      </c>
      <c r="B53" s="71" t="s">
        <v>45</v>
      </c>
      <c r="C53" s="71"/>
      <c r="D53" s="72" t="s">
        <v>394</v>
      </c>
      <c r="E53" s="48" t="s">
        <v>165</v>
      </c>
      <c r="F53" s="147">
        <v>30000</v>
      </c>
      <c r="G53" s="74"/>
    </row>
    <row r="54" spans="1:7" ht="18" x14ac:dyDescent="0.25">
      <c r="B54" s="216" t="s">
        <v>20</v>
      </c>
      <c r="C54" s="216"/>
      <c r="D54" s="50"/>
      <c r="E54" s="50"/>
      <c r="F54" s="118">
        <f>SUM(F31:F53)</f>
        <v>1210000</v>
      </c>
      <c r="G54" s="74"/>
    </row>
    <row r="55" spans="1:7" ht="18" x14ac:dyDescent="0.25">
      <c r="A55" s="86"/>
      <c r="G55" s="74"/>
    </row>
    <row r="56" spans="1:7" ht="18" x14ac:dyDescent="0.25">
      <c r="A56" s="37"/>
      <c r="G56" s="74"/>
    </row>
    <row r="57" spans="1:7" ht="18.75" x14ac:dyDescent="0.3">
      <c r="A57" s="37"/>
      <c r="B57" s="120"/>
      <c r="C57" s="120"/>
      <c r="D57" s="120"/>
      <c r="E57" s="120"/>
      <c r="F57" s="143"/>
      <c r="G57" s="74"/>
    </row>
    <row r="58" spans="1:7" ht="18" x14ac:dyDescent="0.25">
      <c r="A58" s="74"/>
      <c r="B58" s="216" t="s">
        <v>153</v>
      </c>
      <c r="C58" s="216"/>
      <c r="D58" s="50"/>
      <c r="E58" s="50"/>
      <c r="F58" s="118"/>
      <c r="G58" s="74"/>
    </row>
    <row r="59" spans="1:7" ht="18" x14ac:dyDescent="0.25">
      <c r="A59" s="86">
        <v>1</v>
      </c>
      <c r="B59" s="213" t="s">
        <v>149</v>
      </c>
      <c r="C59" s="213"/>
      <c r="D59" s="71" t="s">
        <v>229</v>
      </c>
      <c r="E59" s="48" t="s">
        <v>371</v>
      </c>
      <c r="F59" s="147">
        <v>100000</v>
      </c>
      <c r="G59" s="74"/>
    </row>
    <row r="60" spans="1:7" ht="18" x14ac:dyDescent="0.25">
      <c r="A60" s="86">
        <v>2</v>
      </c>
      <c r="B60" s="213" t="s">
        <v>34</v>
      </c>
      <c r="C60" s="213"/>
      <c r="D60" s="71" t="s">
        <v>35</v>
      </c>
      <c r="E60" s="48" t="s">
        <v>370</v>
      </c>
      <c r="F60" s="147">
        <v>100000</v>
      </c>
      <c r="G60" s="74"/>
    </row>
    <row r="61" spans="1:7" ht="18" x14ac:dyDescent="0.25">
      <c r="A61" s="86">
        <v>3</v>
      </c>
      <c r="B61" s="213" t="s">
        <v>36</v>
      </c>
      <c r="C61" s="213"/>
      <c r="D61" s="71" t="s">
        <v>51</v>
      </c>
      <c r="E61" s="48" t="s">
        <v>370</v>
      </c>
      <c r="F61" s="147">
        <v>100000</v>
      </c>
      <c r="G61" s="74"/>
    </row>
    <row r="62" spans="1:7" ht="18" x14ac:dyDescent="0.25">
      <c r="A62" s="86">
        <v>4</v>
      </c>
      <c r="B62" s="213" t="s">
        <v>155</v>
      </c>
      <c r="C62" s="213"/>
      <c r="D62" s="71" t="s">
        <v>156</v>
      </c>
      <c r="E62" s="48" t="s">
        <v>119</v>
      </c>
      <c r="F62" s="147">
        <v>80000</v>
      </c>
      <c r="G62" s="74"/>
    </row>
    <row r="63" spans="1:7" ht="18" x14ac:dyDescent="0.25">
      <c r="A63" s="86">
        <v>5</v>
      </c>
      <c r="B63" s="213" t="s">
        <v>230</v>
      </c>
      <c r="C63" s="213"/>
      <c r="D63" s="71" t="s">
        <v>384</v>
      </c>
      <c r="E63" s="49" t="s">
        <v>119</v>
      </c>
      <c r="F63" s="147">
        <v>80000</v>
      </c>
      <c r="G63" s="74"/>
    </row>
    <row r="64" spans="1:7" ht="18" x14ac:dyDescent="0.25">
      <c r="A64" s="86">
        <v>6</v>
      </c>
      <c r="B64" s="214" t="s">
        <v>179</v>
      </c>
      <c r="C64" s="214"/>
      <c r="D64" s="71" t="s">
        <v>180</v>
      </c>
      <c r="E64" s="48" t="s">
        <v>119</v>
      </c>
      <c r="F64" s="147">
        <v>80000</v>
      </c>
      <c r="G64" s="74"/>
    </row>
    <row r="65" spans="1:7" ht="18" x14ac:dyDescent="0.25">
      <c r="A65" s="86">
        <v>7</v>
      </c>
      <c r="B65" s="213" t="s">
        <v>354</v>
      </c>
      <c r="C65" s="213"/>
      <c r="D65" s="71" t="s">
        <v>343</v>
      </c>
      <c r="E65" s="48" t="s">
        <v>373</v>
      </c>
      <c r="F65" s="147">
        <v>50000</v>
      </c>
      <c r="G65" s="74"/>
    </row>
    <row r="66" spans="1:7" ht="18" x14ac:dyDescent="0.25">
      <c r="A66" s="86">
        <v>8</v>
      </c>
      <c r="B66" s="213" t="s">
        <v>157</v>
      </c>
      <c r="C66" s="213"/>
      <c r="D66" s="71" t="s">
        <v>164</v>
      </c>
      <c r="E66" s="48" t="s">
        <v>374</v>
      </c>
      <c r="F66" s="147">
        <v>30000</v>
      </c>
      <c r="G66" s="74"/>
    </row>
    <row r="67" spans="1:7" ht="18" x14ac:dyDescent="0.25">
      <c r="A67" s="86">
        <v>9</v>
      </c>
      <c r="B67" s="213" t="s">
        <v>168</v>
      </c>
      <c r="C67" s="213"/>
      <c r="D67" s="71" t="s">
        <v>169</v>
      </c>
      <c r="E67" s="48" t="s">
        <v>374</v>
      </c>
      <c r="F67" s="147">
        <v>30000</v>
      </c>
      <c r="G67" s="74"/>
    </row>
    <row r="68" spans="1:7" ht="18" x14ac:dyDescent="0.25">
      <c r="A68" s="86">
        <v>10</v>
      </c>
      <c r="B68" s="213" t="s">
        <v>190</v>
      </c>
      <c r="C68" s="213"/>
      <c r="D68" s="71" t="s">
        <v>191</v>
      </c>
      <c r="E68" s="48" t="s">
        <v>374</v>
      </c>
      <c r="F68" s="147">
        <v>30000</v>
      </c>
      <c r="G68" s="74"/>
    </row>
    <row r="69" spans="1:7" ht="18" x14ac:dyDescent="0.25">
      <c r="A69" s="86">
        <v>11</v>
      </c>
      <c r="B69" s="215" t="s">
        <v>324</v>
      </c>
      <c r="C69" s="215"/>
      <c r="D69" s="72" t="s">
        <v>355</v>
      </c>
      <c r="E69" s="47" t="s">
        <v>374</v>
      </c>
      <c r="F69" s="147">
        <v>30000</v>
      </c>
      <c r="G69" s="74"/>
    </row>
    <row r="70" spans="1:7" ht="18" x14ac:dyDescent="0.25">
      <c r="A70" s="86">
        <v>12</v>
      </c>
      <c r="B70" s="213" t="s">
        <v>160</v>
      </c>
      <c r="C70" s="213"/>
      <c r="D70" s="71" t="s">
        <v>166</v>
      </c>
      <c r="E70" s="48" t="s">
        <v>79</v>
      </c>
      <c r="F70" s="147">
        <v>30000</v>
      </c>
      <c r="G70" s="74"/>
    </row>
    <row r="71" spans="1:7" ht="18" x14ac:dyDescent="0.25">
      <c r="A71" s="86">
        <v>13</v>
      </c>
      <c r="B71" s="71" t="s">
        <v>161</v>
      </c>
      <c r="C71" s="71"/>
      <c r="D71" s="71" t="s">
        <v>166</v>
      </c>
      <c r="E71" s="48" t="s">
        <v>79</v>
      </c>
      <c r="F71" s="147">
        <v>30000</v>
      </c>
      <c r="G71" s="74"/>
    </row>
    <row r="72" spans="1:7" ht="18" x14ac:dyDescent="0.25">
      <c r="A72" s="86">
        <v>14</v>
      </c>
      <c r="B72" s="214" t="s">
        <v>181</v>
      </c>
      <c r="C72" s="214"/>
      <c r="D72" s="71" t="s">
        <v>182</v>
      </c>
      <c r="E72" s="48" t="s">
        <v>79</v>
      </c>
      <c r="F72" s="147">
        <v>30000</v>
      </c>
      <c r="G72" s="74"/>
    </row>
    <row r="73" spans="1:7" ht="18" x14ac:dyDescent="0.25">
      <c r="A73" s="86">
        <v>15</v>
      </c>
      <c r="B73" s="213" t="s">
        <v>289</v>
      </c>
      <c r="C73" s="213"/>
      <c r="D73" s="71" t="s">
        <v>182</v>
      </c>
      <c r="E73" s="48" t="s">
        <v>79</v>
      </c>
      <c r="F73" s="147">
        <v>30000</v>
      </c>
      <c r="G73" s="74"/>
    </row>
    <row r="74" spans="1:7" ht="18" x14ac:dyDescent="0.25">
      <c r="A74" s="86">
        <v>16</v>
      </c>
      <c r="B74" s="213" t="s">
        <v>290</v>
      </c>
      <c r="C74" s="213"/>
      <c r="D74" s="71" t="s">
        <v>182</v>
      </c>
      <c r="E74" s="48" t="s">
        <v>79</v>
      </c>
      <c r="F74" s="147">
        <v>30000</v>
      </c>
      <c r="G74" s="74"/>
    </row>
    <row r="75" spans="1:7" ht="18" x14ac:dyDescent="0.25">
      <c r="A75" s="86">
        <v>17</v>
      </c>
      <c r="B75" s="213" t="s">
        <v>170</v>
      </c>
      <c r="C75" s="213"/>
      <c r="D75" s="71" t="s">
        <v>388</v>
      </c>
      <c r="E75" s="48" t="s">
        <v>165</v>
      </c>
      <c r="F75" s="147">
        <v>30000</v>
      </c>
      <c r="G75" s="74"/>
    </row>
    <row r="76" spans="1:7" ht="18" x14ac:dyDescent="0.25">
      <c r="A76" s="86">
        <v>18</v>
      </c>
      <c r="B76" s="71" t="s">
        <v>397</v>
      </c>
      <c r="C76" s="71"/>
      <c r="D76" s="71" t="s">
        <v>223</v>
      </c>
      <c r="E76" s="48" t="s">
        <v>165</v>
      </c>
      <c r="F76" s="147">
        <v>30000</v>
      </c>
      <c r="G76" s="74"/>
    </row>
    <row r="77" spans="1:7" ht="18" x14ac:dyDescent="0.25">
      <c r="A77" s="86">
        <v>19</v>
      </c>
      <c r="B77" s="71" t="s">
        <v>399</v>
      </c>
      <c r="C77" s="71"/>
      <c r="D77" s="71" t="s">
        <v>223</v>
      </c>
      <c r="E77" s="48" t="s">
        <v>165</v>
      </c>
      <c r="F77" s="147">
        <v>30000</v>
      </c>
      <c r="G77" s="74"/>
    </row>
    <row r="78" spans="1:7" ht="18" x14ac:dyDescent="0.25">
      <c r="A78" s="86">
        <v>20</v>
      </c>
      <c r="B78" s="213" t="s">
        <v>6</v>
      </c>
      <c r="C78" s="213"/>
      <c r="D78" s="71" t="s">
        <v>390</v>
      </c>
      <c r="E78" s="48" t="s">
        <v>165</v>
      </c>
      <c r="F78" s="147">
        <v>30000</v>
      </c>
      <c r="G78" s="74"/>
    </row>
    <row r="79" spans="1:7" ht="18" x14ac:dyDescent="0.25">
      <c r="A79" s="86">
        <v>21</v>
      </c>
      <c r="B79" s="213" t="s">
        <v>7</v>
      </c>
      <c r="C79" s="213"/>
      <c r="D79" s="72" t="s">
        <v>390</v>
      </c>
      <c r="E79" s="48" t="s">
        <v>165</v>
      </c>
      <c r="F79" s="147">
        <v>30000</v>
      </c>
      <c r="G79" s="74"/>
    </row>
    <row r="80" spans="1:7" ht="18" x14ac:dyDescent="0.25">
      <c r="A80" s="86">
        <v>22</v>
      </c>
      <c r="B80" s="213" t="s">
        <v>62</v>
      </c>
      <c r="C80" s="213"/>
      <c r="D80" s="71" t="s">
        <v>30</v>
      </c>
      <c r="E80" s="48" t="s">
        <v>416</v>
      </c>
      <c r="F80" s="147">
        <v>30000</v>
      </c>
      <c r="G80" s="74"/>
    </row>
    <row r="81" spans="1:7" ht="18" x14ac:dyDescent="0.25">
      <c r="A81" s="86">
        <v>23</v>
      </c>
      <c r="B81" s="213" t="s">
        <v>262</v>
      </c>
      <c r="C81" s="213"/>
      <c r="D81" s="71" t="s">
        <v>30</v>
      </c>
      <c r="E81" s="48" t="s">
        <v>376</v>
      </c>
      <c r="F81" s="147">
        <v>30000</v>
      </c>
      <c r="G81" s="74"/>
    </row>
    <row r="82" spans="1:7" ht="18" x14ac:dyDescent="0.25">
      <c r="A82" s="86">
        <v>24</v>
      </c>
      <c r="B82" s="71" t="s">
        <v>352</v>
      </c>
      <c r="C82" s="71"/>
      <c r="D82" s="71" t="s">
        <v>30</v>
      </c>
      <c r="E82" s="48" t="s">
        <v>350</v>
      </c>
      <c r="F82" s="147">
        <v>30000</v>
      </c>
      <c r="G82" s="74"/>
    </row>
    <row r="83" spans="1:7" ht="18" x14ac:dyDescent="0.25">
      <c r="A83" s="86">
        <v>25</v>
      </c>
      <c r="B83" s="213" t="s">
        <v>40</v>
      </c>
      <c r="C83" s="213"/>
      <c r="D83" s="71" t="s">
        <v>392</v>
      </c>
      <c r="E83" s="48" t="s">
        <v>391</v>
      </c>
      <c r="F83" s="147">
        <v>30000</v>
      </c>
      <c r="G83" s="74"/>
    </row>
    <row r="84" spans="1:7" ht="18" x14ac:dyDescent="0.25">
      <c r="A84" s="86">
        <v>26</v>
      </c>
      <c r="B84" s="213" t="s">
        <v>17</v>
      </c>
      <c r="C84" s="213"/>
      <c r="D84" s="71" t="s">
        <v>392</v>
      </c>
      <c r="E84" s="48" t="s">
        <v>391</v>
      </c>
      <c r="F84" s="147">
        <v>30000</v>
      </c>
      <c r="G84" s="74"/>
    </row>
    <row r="85" spans="1:7" ht="18" x14ac:dyDescent="0.25">
      <c r="A85" s="86">
        <v>27</v>
      </c>
      <c r="B85" s="213" t="s">
        <v>41</v>
      </c>
      <c r="C85" s="213"/>
      <c r="D85" s="71" t="s">
        <v>392</v>
      </c>
      <c r="E85" s="48" t="s">
        <v>391</v>
      </c>
      <c r="F85" s="147">
        <v>30000</v>
      </c>
      <c r="G85" s="74"/>
    </row>
    <row r="86" spans="1:7" ht="18" x14ac:dyDescent="0.25">
      <c r="A86" s="86">
        <v>28</v>
      </c>
      <c r="B86" s="213" t="s">
        <v>42</v>
      </c>
      <c r="C86" s="213"/>
      <c r="D86" s="71" t="s">
        <v>392</v>
      </c>
      <c r="E86" s="48" t="s">
        <v>391</v>
      </c>
      <c r="F86" s="147">
        <v>30000</v>
      </c>
      <c r="G86" s="74"/>
    </row>
    <row r="87" spans="1:7" ht="18" x14ac:dyDescent="0.25">
      <c r="A87" s="86">
        <v>29</v>
      </c>
      <c r="B87" s="213" t="s">
        <v>43</v>
      </c>
      <c r="C87" s="213"/>
      <c r="D87" s="71" t="s">
        <v>392</v>
      </c>
      <c r="E87" s="48" t="s">
        <v>391</v>
      </c>
      <c r="F87" s="147">
        <v>30000</v>
      </c>
      <c r="G87" s="74"/>
    </row>
    <row r="88" spans="1:7" ht="18" x14ac:dyDescent="0.25">
      <c r="A88" s="86">
        <v>30</v>
      </c>
      <c r="B88" s="213" t="s">
        <v>44</v>
      </c>
      <c r="C88" s="213"/>
      <c r="D88" s="71" t="s">
        <v>392</v>
      </c>
      <c r="E88" s="48" t="s">
        <v>391</v>
      </c>
      <c r="F88" s="147">
        <v>30000</v>
      </c>
      <c r="G88" s="74"/>
    </row>
    <row r="89" spans="1:7" ht="18" x14ac:dyDescent="0.25">
      <c r="A89" s="86">
        <v>31</v>
      </c>
      <c r="B89" s="213" t="s">
        <v>18</v>
      </c>
      <c r="C89" s="213"/>
      <c r="D89" s="72" t="s">
        <v>392</v>
      </c>
      <c r="E89" s="48" t="s">
        <v>391</v>
      </c>
      <c r="F89" s="147">
        <v>30000</v>
      </c>
      <c r="G89" s="74"/>
    </row>
    <row r="90" spans="1:7" ht="18" x14ac:dyDescent="0.25">
      <c r="A90" s="86">
        <v>32</v>
      </c>
      <c r="B90" s="213" t="s">
        <v>63</v>
      </c>
      <c r="C90" s="213"/>
      <c r="D90" s="71" t="s">
        <v>392</v>
      </c>
      <c r="E90" s="48" t="s">
        <v>391</v>
      </c>
      <c r="F90" s="147">
        <v>30000</v>
      </c>
      <c r="G90" s="74"/>
    </row>
    <row r="91" spans="1:7" ht="18" x14ac:dyDescent="0.25">
      <c r="A91" s="86">
        <v>33</v>
      </c>
      <c r="B91" s="213" t="s">
        <v>64</v>
      </c>
      <c r="C91" s="213"/>
      <c r="D91" s="71" t="s">
        <v>392</v>
      </c>
      <c r="E91" s="48" t="s">
        <v>391</v>
      </c>
      <c r="F91" s="147">
        <v>30000</v>
      </c>
      <c r="G91" s="74"/>
    </row>
    <row r="92" spans="1:7" ht="18" x14ac:dyDescent="0.25">
      <c r="A92" s="86">
        <v>34</v>
      </c>
      <c r="B92" s="213" t="s">
        <v>261</v>
      </c>
      <c r="C92" s="213"/>
      <c r="D92" s="71" t="s">
        <v>14</v>
      </c>
      <c r="E92" s="48" t="s">
        <v>377</v>
      </c>
      <c r="F92" s="147">
        <v>30000</v>
      </c>
      <c r="G92" s="74"/>
    </row>
    <row r="93" spans="1:7" ht="18" x14ac:dyDescent="0.25">
      <c r="A93" s="86">
        <v>35</v>
      </c>
      <c r="B93" s="213" t="s">
        <v>275</v>
      </c>
      <c r="C93" s="213"/>
      <c r="D93" s="71" t="s">
        <v>14</v>
      </c>
      <c r="E93" s="48" t="s">
        <v>377</v>
      </c>
      <c r="F93" s="147">
        <v>30000</v>
      </c>
      <c r="G93" s="74"/>
    </row>
    <row r="94" spans="1:7" ht="18" x14ac:dyDescent="0.25">
      <c r="A94" s="86">
        <v>36</v>
      </c>
      <c r="B94" s="213" t="s">
        <v>276</v>
      </c>
      <c r="C94" s="213"/>
      <c r="D94" s="71" t="s">
        <v>14</v>
      </c>
      <c r="E94" s="48" t="s">
        <v>377</v>
      </c>
      <c r="F94" s="147">
        <v>30000</v>
      </c>
      <c r="G94" s="74"/>
    </row>
    <row r="95" spans="1:7" ht="18" x14ac:dyDescent="0.25">
      <c r="A95" s="86">
        <v>37</v>
      </c>
      <c r="B95" s="213" t="s">
        <v>277</v>
      </c>
      <c r="C95" s="213"/>
      <c r="D95" s="71" t="s">
        <v>14</v>
      </c>
      <c r="E95" s="48" t="s">
        <v>377</v>
      </c>
      <c r="F95" s="147">
        <v>30000</v>
      </c>
      <c r="G95" s="74"/>
    </row>
    <row r="96" spans="1:7" ht="18" x14ac:dyDescent="0.25">
      <c r="A96" s="86">
        <v>38</v>
      </c>
      <c r="B96" s="70" t="s">
        <v>305</v>
      </c>
      <c r="C96" s="70"/>
      <c r="D96" s="71" t="s">
        <v>14</v>
      </c>
      <c r="E96" s="48" t="s">
        <v>377</v>
      </c>
      <c r="F96" s="147">
        <v>30000</v>
      </c>
      <c r="G96" s="74"/>
    </row>
    <row r="97" spans="1:7" ht="18" x14ac:dyDescent="0.25">
      <c r="A97" s="86">
        <v>39</v>
      </c>
      <c r="B97" s="71" t="s">
        <v>313</v>
      </c>
      <c r="C97" s="71"/>
      <c r="D97" s="71" t="s">
        <v>14</v>
      </c>
      <c r="E97" s="48" t="s">
        <v>377</v>
      </c>
      <c r="F97" s="147">
        <v>30000</v>
      </c>
      <c r="G97" s="74"/>
    </row>
    <row r="98" spans="1:7" ht="18.75" x14ac:dyDescent="0.3">
      <c r="A98" s="3">
        <v>40</v>
      </c>
      <c r="B98" s="71" t="s">
        <v>353</v>
      </c>
      <c r="C98" s="71"/>
      <c r="D98" s="71" t="s">
        <v>14</v>
      </c>
      <c r="E98" s="48" t="s">
        <v>351</v>
      </c>
      <c r="F98" s="147">
        <v>30000</v>
      </c>
      <c r="G98" s="74"/>
    </row>
    <row r="99" spans="1:7" ht="18" x14ac:dyDescent="0.25">
      <c r="A99" s="86">
        <v>41</v>
      </c>
      <c r="B99" s="71" t="s">
        <v>283</v>
      </c>
      <c r="C99" s="71"/>
      <c r="D99" s="71" t="s">
        <v>14</v>
      </c>
      <c r="E99" s="48" t="s">
        <v>351</v>
      </c>
      <c r="F99" s="147">
        <v>30000</v>
      </c>
      <c r="G99" s="74"/>
    </row>
    <row r="100" spans="1:7" ht="18" x14ac:dyDescent="0.25">
      <c r="A100" s="86">
        <v>42</v>
      </c>
      <c r="B100" s="71" t="s">
        <v>385</v>
      </c>
      <c r="C100" s="71"/>
      <c r="D100" s="71" t="s">
        <v>14</v>
      </c>
      <c r="E100" s="48" t="s">
        <v>351</v>
      </c>
      <c r="F100" s="147">
        <v>30000</v>
      </c>
      <c r="G100" s="74"/>
    </row>
    <row r="101" spans="1:7" ht="18" x14ac:dyDescent="0.25">
      <c r="A101" s="37"/>
      <c r="B101" s="140" t="s">
        <v>20</v>
      </c>
      <c r="C101" s="71"/>
      <c r="D101" s="53"/>
      <c r="E101" s="48"/>
      <c r="F101" s="118">
        <f>SUM(F59:F100)</f>
        <v>1640000</v>
      </c>
      <c r="G101" s="74"/>
    </row>
    <row r="102" spans="1:7" ht="18" x14ac:dyDescent="0.25">
      <c r="A102" s="37"/>
      <c r="B102" s="140"/>
      <c r="C102" s="71"/>
      <c r="D102" s="53"/>
      <c r="E102" s="48"/>
      <c r="F102" s="118"/>
      <c r="G102" s="74"/>
    </row>
    <row r="103" spans="1:7" ht="18" x14ac:dyDescent="0.25">
      <c r="A103" s="86">
        <v>1</v>
      </c>
      <c r="B103" s="71" t="s">
        <v>417</v>
      </c>
      <c r="C103" s="71"/>
      <c r="D103" s="37" t="s">
        <v>418</v>
      </c>
      <c r="E103" s="48"/>
      <c r="F103" s="147">
        <v>30000</v>
      </c>
      <c r="G103" s="74"/>
    </row>
    <row r="104" spans="1:7" ht="18" x14ac:dyDescent="0.25">
      <c r="A104" s="86">
        <v>2</v>
      </c>
      <c r="B104" s="71" t="s">
        <v>419</v>
      </c>
      <c r="C104" s="71"/>
      <c r="D104" s="37" t="s">
        <v>418</v>
      </c>
      <c r="E104" s="48"/>
      <c r="F104" s="147">
        <v>30000</v>
      </c>
      <c r="G104" s="74"/>
    </row>
    <row r="105" spans="1:7" ht="18" x14ac:dyDescent="0.25">
      <c r="A105" s="86">
        <v>3</v>
      </c>
      <c r="B105" s="71" t="s">
        <v>420</v>
      </c>
      <c r="C105" s="71"/>
      <c r="D105" s="37" t="s">
        <v>418</v>
      </c>
      <c r="E105" s="48"/>
      <c r="F105" s="147">
        <v>30000</v>
      </c>
      <c r="G105" s="74"/>
    </row>
    <row r="106" spans="1:7" ht="18" x14ac:dyDescent="0.25">
      <c r="A106" s="86">
        <v>4</v>
      </c>
      <c r="B106" s="71" t="s">
        <v>421</v>
      </c>
      <c r="C106" s="71"/>
      <c r="D106" s="37" t="s">
        <v>418</v>
      </c>
      <c r="E106" s="48"/>
      <c r="F106" s="147">
        <v>30000</v>
      </c>
      <c r="G106" s="74"/>
    </row>
    <row r="107" spans="1:7" ht="18" x14ac:dyDescent="0.25">
      <c r="A107" s="86">
        <v>5</v>
      </c>
      <c r="B107" s="71" t="s">
        <v>422</v>
      </c>
      <c r="C107" s="71"/>
      <c r="D107" s="37" t="s">
        <v>418</v>
      </c>
      <c r="E107" s="48"/>
      <c r="F107" s="147">
        <v>30000</v>
      </c>
      <c r="G107" s="74"/>
    </row>
    <row r="108" spans="1:7" ht="18" x14ac:dyDescent="0.25">
      <c r="A108" s="86">
        <v>6</v>
      </c>
      <c r="B108" s="71" t="s">
        <v>423</v>
      </c>
      <c r="C108" s="71"/>
      <c r="D108" s="37" t="s">
        <v>418</v>
      </c>
      <c r="E108" s="48"/>
      <c r="F108" s="147">
        <v>30000</v>
      </c>
      <c r="G108" s="74"/>
    </row>
    <row r="109" spans="1:7" ht="18" x14ac:dyDescent="0.25">
      <c r="A109" s="86">
        <v>7</v>
      </c>
      <c r="B109" s="71" t="s">
        <v>424</v>
      </c>
      <c r="C109" s="71"/>
      <c r="D109" s="37" t="s">
        <v>425</v>
      </c>
      <c r="E109" s="48"/>
      <c r="F109" s="147">
        <v>30000</v>
      </c>
      <c r="G109" s="74"/>
    </row>
    <row r="110" spans="1:7" ht="18" x14ac:dyDescent="0.25">
      <c r="A110" s="86">
        <v>8</v>
      </c>
      <c r="B110" s="71" t="s">
        <v>426</v>
      </c>
      <c r="C110" s="71"/>
      <c r="D110" s="37" t="s">
        <v>425</v>
      </c>
      <c r="E110" s="48"/>
      <c r="F110" s="147">
        <v>30000</v>
      </c>
      <c r="G110" s="74"/>
    </row>
    <row r="111" spans="1:7" ht="18" x14ac:dyDescent="0.25">
      <c r="A111" s="86">
        <v>9</v>
      </c>
      <c r="B111" s="71" t="s">
        <v>427</v>
      </c>
      <c r="C111" s="71"/>
      <c r="D111" s="37" t="s">
        <v>425</v>
      </c>
      <c r="E111" s="48"/>
      <c r="F111" s="147">
        <v>50000</v>
      </c>
      <c r="G111" s="74"/>
    </row>
    <row r="112" spans="1:7" ht="18" x14ac:dyDescent="0.25">
      <c r="A112" s="86">
        <v>10</v>
      </c>
      <c r="B112" s="71" t="s">
        <v>428</v>
      </c>
      <c r="C112" s="71"/>
      <c r="D112" s="37" t="s">
        <v>425</v>
      </c>
      <c r="E112" s="48"/>
      <c r="F112" s="147">
        <v>50000</v>
      </c>
      <c r="G112" s="74"/>
    </row>
    <row r="113" spans="1:7" ht="18" x14ac:dyDescent="0.25">
      <c r="A113" s="86">
        <v>11</v>
      </c>
      <c r="B113" s="71" t="s">
        <v>429</v>
      </c>
      <c r="C113" s="71"/>
      <c r="D113" s="37" t="s">
        <v>425</v>
      </c>
      <c r="E113" s="48"/>
      <c r="F113" s="147">
        <v>30000</v>
      </c>
      <c r="G113" s="74"/>
    </row>
    <row r="114" spans="1:7" ht="18" x14ac:dyDescent="0.25">
      <c r="A114" s="86">
        <v>12</v>
      </c>
      <c r="B114" s="71" t="s">
        <v>430</v>
      </c>
      <c r="C114" s="71"/>
      <c r="D114" s="37" t="s">
        <v>425</v>
      </c>
      <c r="E114" s="48"/>
      <c r="F114" s="147">
        <v>30000</v>
      </c>
      <c r="G114" s="74"/>
    </row>
    <row r="115" spans="1:7" ht="18" x14ac:dyDescent="0.25">
      <c r="A115" s="86">
        <v>13</v>
      </c>
      <c r="B115" s="71" t="s">
        <v>431</v>
      </c>
      <c r="C115" s="71"/>
      <c r="D115" s="37" t="s">
        <v>425</v>
      </c>
      <c r="E115" s="48"/>
      <c r="F115" s="147">
        <v>30000</v>
      </c>
      <c r="G115" s="74"/>
    </row>
    <row r="116" spans="1:7" ht="18" x14ac:dyDescent="0.25">
      <c r="A116" s="86">
        <v>14</v>
      </c>
      <c r="B116" s="71" t="s">
        <v>432</v>
      </c>
      <c r="C116" s="71"/>
      <c r="D116" s="37" t="s">
        <v>425</v>
      </c>
      <c r="E116" s="48"/>
      <c r="F116" s="147">
        <v>30000</v>
      </c>
      <c r="G116" s="74"/>
    </row>
    <row r="117" spans="1:7" ht="18" x14ac:dyDescent="0.25">
      <c r="A117" s="86">
        <v>15</v>
      </c>
      <c r="B117" s="71" t="s">
        <v>433</v>
      </c>
      <c r="C117" s="71"/>
      <c r="D117" s="37" t="s">
        <v>434</v>
      </c>
      <c r="E117" s="48"/>
      <c r="F117" s="147">
        <v>30000</v>
      </c>
      <c r="G117" s="74"/>
    </row>
    <row r="118" spans="1:7" ht="18" x14ac:dyDescent="0.25">
      <c r="A118" s="86">
        <v>16</v>
      </c>
      <c r="B118" s="71" t="s">
        <v>435</v>
      </c>
      <c r="C118" s="71"/>
      <c r="D118" s="37" t="s">
        <v>434</v>
      </c>
      <c r="E118" s="48"/>
      <c r="F118" s="147">
        <v>50000</v>
      </c>
      <c r="G118" s="74"/>
    </row>
    <row r="119" spans="1:7" ht="18" x14ac:dyDescent="0.25">
      <c r="A119" s="86">
        <v>17</v>
      </c>
      <c r="B119" s="71" t="s">
        <v>436</v>
      </c>
      <c r="C119" s="71"/>
      <c r="D119" s="37" t="s">
        <v>434</v>
      </c>
      <c r="E119" s="48"/>
      <c r="F119" s="147">
        <v>50000</v>
      </c>
      <c r="G119" s="74"/>
    </row>
    <row r="120" spans="1:7" ht="18" x14ac:dyDescent="0.25">
      <c r="A120" s="86">
        <v>18</v>
      </c>
      <c r="B120" s="71" t="s">
        <v>437</v>
      </c>
      <c r="C120" s="71"/>
      <c r="D120" s="37" t="s">
        <v>418</v>
      </c>
      <c r="E120" s="48"/>
      <c r="F120" s="147">
        <v>30000</v>
      </c>
      <c r="G120" s="74"/>
    </row>
    <row r="121" spans="1:7" ht="18" x14ac:dyDescent="0.25">
      <c r="A121" s="86">
        <v>19</v>
      </c>
      <c r="B121" s="71" t="s">
        <v>438</v>
      </c>
      <c r="C121" s="71"/>
      <c r="D121" s="37" t="s">
        <v>439</v>
      </c>
      <c r="E121" s="48"/>
      <c r="F121" s="147">
        <v>30000</v>
      </c>
      <c r="G121" s="74"/>
    </row>
    <row r="122" spans="1:7" ht="18" x14ac:dyDescent="0.25">
      <c r="A122" s="86">
        <v>20</v>
      </c>
      <c r="B122" s="71" t="s">
        <v>440</v>
      </c>
      <c r="C122" s="71"/>
      <c r="D122" s="37" t="s">
        <v>439</v>
      </c>
      <c r="E122" s="48"/>
      <c r="F122" s="147">
        <v>30000</v>
      </c>
      <c r="G122" s="74"/>
    </row>
    <row r="123" spans="1:7" ht="18" x14ac:dyDescent="0.25">
      <c r="A123" s="86">
        <v>21</v>
      </c>
      <c r="B123" s="71" t="s">
        <v>441</v>
      </c>
      <c r="C123" s="71"/>
      <c r="D123" s="37" t="s">
        <v>439</v>
      </c>
      <c r="E123" s="48"/>
      <c r="F123" s="147">
        <v>30000</v>
      </c>
      <c r="G123" s="74"/>
    </row>
    <row r="124" spans="1:7" ht="18" x14ac:dyDescent="0.25">
      <c r="A124" s="86">
        <v>22</v>
      </c>
      <c r="B124" s="71" t="s">
        <v>442</v>
      </c>
      <c r="C124" s="71"/>
      <c r="D124" s="37" t="s">
        <v>443</v>
      </c>
      <c r="E124" s="48"/>
      <c r="F124" s="147">
        <v>30000</v>
      </c>
      <c r="G124" s="74"/>
    </row>
    <row r="125" spans="1:7" ht="18" x14ac:dyDescent="0.25">
      <c r="A125" s="86">
        <v>23</v>
      </c>
      <c r="B125" s="71" t="s">
        <v>444</v>
      </c>
      <c r="C125" s="71"/>
      <c r="D125" s="37" t="s">
        <v>445</v>
      </c>
      <c r="E125" s="48"/>
      <c r="F125" s="147">
        <v>30000</v>
      </c>
      <c r="G125" s="74"/>
    </row>
    <row r="126" spans="1:7" ht="18" x14ac:dyDescent="0.25">
      <c r="A126" s="86">
        <v>24</v>
      </c>
      <c r="B126" s="71" t="s">
        <v>446</v>
      </c>
      <c r="C126" s="71"/>
      <c r="D126" s="37" t="s">
        <v>447</v>
      </c>
      <c r="E126" s="48"/>
      <c r="F126" s="147">
        <v>30000</v>
      </c>
      <c r="G126" s="74"/>
    </row>
    <row r="127" spans="1:7" ht="18" x14ac:dyDescent="0.25">
      <c r="A127" s="86"/>
      <c r="B127" s="140" t="s">
        <v>20</v>
      </c>
      <c r="C127" s="140"/>
      <c r="D127" s="53"/>
      <c r="E127" s="53"/>
      <c r="F127" s="118">
        <f>SUM(F103:F126)</f>
        <v>800000</v>
      </c>
      <c r="G127" s="74"/>
    </row>
    <row r="128" spans="1:7" ht="18" x14ac:dyDescent="0.25">
      <c r="A128" s="37"/>
      <c r="B128" s="71"/>
      <c r="C128" s="71"/>
      <c r="D128" s="48"/>
      <c r="E128" s="48"/>
      <c r="F128" s="147"/>
      <c r="G128" s="74"/>
    </row>
    <row r="129" spans="1:7" ht="18" x14ac:dyDescent="0.25">
      <c r="A129" s="37"/>
      <c r="B129" s="211" t="s">
        <v>8</v>
      </c>
      <c r="C129" s="211"/>
      <c r="D129" s="54"/>
      <c r="E129" s="55"/>
      <c r="F129" s="148">
        <f>F18+F28+F54+F101+F127</f>
        <v>4870000</v>
      </c>
      <c r="G129" s="74"/>
    </row>
    <row r="130" spans="1:7" ht="18" x14ac:dyDescent="0.25">
      <c r="A130" s="37"/>
      <c r="B130" s="212"/>
      <c r="C130" s="212"/>
      <c r="D130" s="142"/>
      <c r="E130" s="56"/>
      <c r="F130" s="119"/>
      <c r="G130" s="74"/>
    </row>
  </sheetData>
  <mergeCells count="60">
    <mergeCell ref="B1:C1"/>
    <mergeCell ref="B2:C2"/>
    <mergeCell ref="B4:C4"/>
    <mergeCell ref="B5:C5"/>
    <mergeCell ref="B6:C6"/>
    <mergeCell ref="B24:C24"/>
    <mergeCell ref="B7:C7"/>
    <mergeCell ref="B12:C12"/>
    <mergeCell ref="B13:C13"/>
    <mergeCell ref="B14:C14"/>
    <mergeCell ref="B16:C16"/>
    <mergeCell ref="B18:C18"/>
    <mergeCell ref="B20:C20"/>
    <mergeCell ref="B21:C21"/>
    <mergeCell ref="B22:C22"/>
    <mergeCell ref="B23:C23"/>
    <mergeCell ref="B62:C62"/>
    <mergeCell ref="B33:C33"/>
    <mergeCell ref="B25:C25"/>
    <mergeCell ref="B27:C27"/>
    <mergeCell ref="B28:C28"/>
    <mergeCell ref="B29:C29"/>
    <mergeCell ref="B31:C31"/>
    <mergeCell ref="B32:C32"/>
    <mergeCell ref="B54:C54"/>
    <mergeCell ref="B58:C58"/>
    <mergeCell ref="B59:C59"/>
    <mergeCell ref="B60:C60"/>
    <mergeCell ref="B61:C61"/>
    <mergeCell ref="B75:C75"/>
    <mergeCell ref="B63:C63"/>
    <mergeCell ref="B64:C64"/>
    <mergeCell ref="B65:C65"/>
    <mergeCell ref="B66:C66"/>
    <mergeCell ref="B67:C67"/>
    <mergeCell ref="B68:C68"/>
    <mergeCell ref="B69:C69"/>
    <mergeCell ref="B70:C70"/>
    <mergeCell ref="B72:C72"/>
    <mergeCell ref="B73:C73"/>
    <mergeCell ref="B74:C74"/>
    <mergeCell ref="B90:C90"/>
    <mergeCell ref="B78:C78"/>
    <mergeCell ref="B79:C79"/>
    <mergeCell ref="B80:C80"/>
    <mergeCell ref="B81:C81"/>
    <mergeCell ref="B83:C83"/>
    <mergeCell ref="B84:C84"/>
    <mergeCell ref="B85:C85"/>
    <mergeCell ref="B86:C86"/>
    <mergeCell ref="B87:C87"/>
    <mergeCell ref="B88:C88"/>
    <mergeCell ref="B89:C89"/>
    <mergeCell ref="B129:C129"/>
    <mergeCell ref="B130:C130"/>
    <mergeCell ref="B91:C91"/>
    <mergeCell ref="B92:C92"/>
    <mergeCell ref="B93:C93"/>
    <mergeCell ref="B94:C94"/>
    <mergeCell ref="B95:C95"/>
  </mergeCells>
  <pageMargins left="0.2" right="0.2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5"/>
  <sheetViews>
    <sheetView topLeftCell="A9" workbookViewId="0">
      <selection activeCell="L14" sqref="L14"/>
    </sheetView>
  </sheetViews>
  <sheetFormatPr defaultRowHeight="12.75" x14ac:dyDescent="0.2"/>
  <cols>
    <col min="1" max="1" width="4.5703125" customWidth="1"/>
    <col min="4" max="4" width="9.5703125" customWidth="1"/>
    <col min="5" max="5" width="17.5703125" customWidth="1"/>
    <col min="6" max="6" width="25.5703125" customWidth="1"/>
    <col min="7" max="7" width="21.140625" customWidth="1"/>
    <col min="8" max="8" width="22.140625" customWidth="1"/>
    <col min="9" max="9" width="16.7109375" customWidth="1"/>
    <col min="10" max="10" width="12.85546875" customWidth="1"/>
  </cols>
  <sheetData>
    <row r="1" spans="1:8" ht="20.25" x14ac:dyDescent="0.3">
      <c r="A1" s="181" t="s">
        <v>76</v>
      </c>
      <c r="B1" s="181"/>
      <c r="C1" s="181"/>
      <c r="D1" s="181"/>
      <c r="E1" s="181"/>
      <c r="F1" s="181"/>
      <c r="G1" s="181"/>
      <c r="H1" s="181"/>
    </row>
    <row r="2" spans="1:8" ht="14.25" customHeight="1" x14ac:dyDescent="0.3">
      <c r="A2" s="115"/>
      <c r="B2" s="115"/>
      <c r="C2" s="115"/>
      <c r="D2" s="115"/>
      <c r="E2" s="115"/>
      <c r="F2" s="115"/>
      <c r="G2" s="115"/>
      <c r="H2" s="115"/>
    </row>
    <row r="3" spans="1:8" ht="12.75" customHeight="1" x14ac:dyDescent="0.3">
      <c r="A3" s="1"/>
      <c r="B3" s="1"/>
      <c r="C3" s="1"/>
      <c r="D3" s="1"/>
      <c r="E3" s="1"/>
      <c r="F3" s="1"/>
      <c r="G3" s="1"/>
      <c r="H3" s="20"/>
    </row>
    <row r="4" spans="1:8" ht="20.25" x14ac:dyDescent="0.3">
      <c r="A4" s="182" t="s">
        <v>10</v>
      </c>
      <c r="B4" s="182"/>
      <c r="C4" s="182"/>
      <c r="D4" s="182"/>
      <c r="E4" s="182"/>
      <c r="F4" s="182"/>
      <c r="G4" s="182"/>
      <c r="H4" s="182"/>
    </row>
    <row r="5" spans="1:8" ht="15" customHeight="1" x14ac:dyDescent="0.3">
      <c r="A5" s="1"/>
      <c r="B5" s="1"/>
      <c r="C5" s="1"/>
      <c r="D5" s="1"/>
      <c r="E5" s="1"/>
      <c r="F5" s="1"/>
      <c r="G5" s="1"/>
      <c r="H5" s="1"/>
    </row>
    <row r="6" spans="1:8" ht="18.75" x14ac:dyDescent="0.3">
      <c r="A6" s="114" t="s">
        <v>265</v>
      </c>
      <c r="B6" s="114"/>
      <c r="C6" s="114"/>
      <c r="D6" s="114"/>
      <c r="E6" s="114"/>
      <c r="F6" s="114"/>
      <c r="G6" s="1"/>
      <c r="H6" s="1"/>
    </row>
    <row r="7" spans="1:8" ht="18.75" x14ac:dyDescent="0.3">
      <c r="A7" s="175" t="s">
        <v>266</v>
      </c>
      <c r="B7" s="175"/>
      <c r="C7" s="175"/>
      <c r="D7" s="175"/>
      <c r="E7" s="175"/>
      <c r="F7" s="175"/>
      <c r="G7" s="1"/>
      <c r="H7" s="1"/>
    </row>
    <row r="8" spans="1:8" ht="18.75" x14ac:dyDescent="0.3">
      <c r="A8" s="175" t="s">
        <v>267</v>
      </c>
      <c r="B8" s="175"/>
      <c r="C8" s="175"/>
      <c r="D8" s="175"/>
      <c r="E8" s="175"/>
      <c r="F8" s="175"/>
      <c r="G8" s="1"/>
      <c r="H8" s="1"/>
    </row>
    <row r="9" spans="1:8" ht="18.75" x14ac:dyDescent="0.3">
      <c r="A9" s="175" t="s">
        <v>517</v>
      </c>
      <c r="B9" s="175"/>
      <c r="C9" s="175"/>
      <c r="D9" s="175"/>
      <c r="E9" s="175"/>
      <c r="F9" s="1"/>
      <c r="G9" s="1"/>
      <c r="H9" s="1"/>
    </row>
    <row r="10" spans="1:8" ht="18.75" x14ac:dyDescent="0.3">
      <c r="A10" s="1"/>
      <c r="B10" s="1"/>
      <c r="C10" s="1"/>
      <c r="D10" s="1"/>
      <c r="E10" s="1"/>
      <c r="F10" s="1"/>
      <c r="G10" s="1"/>
      <c r="H10" s="1"/>
    </row>
    <row r="11" spans="1:8" ht="20.25" x14ac:dyDescent="0.3">
      <c r="A11" s="185" t="s">
        <v>500</v>
      </c>
      <c r="B11" s="185"/>
      <c r="C11" s="185"/>
      <c r="D11" s="185"/>
      <c r="E11" s="185"/>
      <c r="F11" s="185"/>
      <c r="G11" s="1"/>
      <c r="H11" s="1"/>
    </row>
    <row r="12" spans="1:8" ht="15.6" customHeight="1" x14ac:dyDescent="0.3">
      <c r="A12" s="1"/>
      <c r="B12" s="1"/>
      <c r="C12" s="1"/>
      <c r="D12" s="1"/>
      <c r="E12" s="1"/>
      <c r="F12" s="1"/>
      <c r="G12" s="1"/>
      <c r="H12" s="1"/>
    </row>
    <row r="13" spans="1:8" ht="22.5" customHeight="1" x14ac:dyDescent="0.3">
      <c r="A13" s="175" t="s">
        <v>518</v>
      </c>
      <c r="B13" s="175"/>
      <c r="C13" s="175"/>
      <c r="D13" s="175"/>
      <c r="E13" s="175"/>
      <c r="F13" s="175"/>
      <c r="G13" s="175"/>
      <c r="H13" s="175"/>
    </row>
    <row r="14" spans="1:8" ht="13.15" customHeight="1" x14ac:dyDescent="0.3">
      <c r="A14" s="1"/>
      <c r="B14" s="1"/>
      <c r="C14" s="1"/>
      <c r="D14" s="1"/>
      <c r="E14" s="1"/>
      <c r="F14" s="1"/>
      <c r="G14" s="1"/>
      <c r="H14" s="1"/>
    </row>
    <row r="15" spans="1:8" ht="18.75" x14ac:dyDescent="0.3">
      <c r="A15" s="1"/>
      <c r="B15" s="1"/>
      <c r="C15" s="1"/>
      <c r="D15" s="1"/>
      <c r="E15" s="183" t="s">
        <v>481</v>
      </c>
      <c r="F15" s="184"/>
      <c r="G15" s="183" t="s">
        <v>501</v>
      </c>
      <c r="H15" s="184"/>
    </row>
    <row r="16" spans="1:8" ht="16.149999999999999" customHeight="1" x14ac:dyDescent="0.3">
      <c r="A16" s="1"/>
      <c r="B16" s="1"/>
      <c r="C16" s="1"/>
      <c r="D16" s="1"/>
      <c r="E16" s="11" t="s">
        <v>236</v>
      </c>
      <c r="F16" s="57" t="s">
        <v>238</v>
      </c>
      <c r="G16" s="11" t="s">
        <v>236</v>
      </c>
      <c r="H16" s="57" t="s">
        <v>238</v>
      </c>
    </row>
    <row r="17" spans="1:9" ht="15" customHeight="1" x14ac:dyDescent="0.3">
      <c r="A17" s="1"/>
      <c r="B17" s="1"/>
      <c r="C17" s="1"/>
      <c r="D17" s="1"/>
      <c r="E17" s="11" t="s">
        <v>237</v>
      </c>
      <c r="F17" s="69" t="s">
        <v>5</v>
      </c>
      <c r="G17" s="11" t="s">
        <v>237</v>
      </c>
      <c r="H17" s="69" t="s">
        <v>5</v>
      </c>
    </row>
    <row r="18" spans="1:9" ht="18.75" x14ac:dyDescent="0.3">
      <c r="A18" s="15">
        <v>1</v>
      </c>
      <c r="B18" s="186" t="s">
        <v>77</v>
      </c>
      <c r="C18" s="175"/>
      <c r="D18" s="175"/>
      <c r="E18" s="3">
        <v>26</v>
      </c>
      <c r="F18" s="16">
        <f>'Feb. 2017'!X33</f>
        <v>5974704.4199999981</v>
      </c>
      <c r="G18" s="3">
        <v>25</v>
      </c>
      <c r="H18" s="16">
        <f>'Feb. 2017'!Y33</f>
        <v>6140543.0862499988</v>
      </c>
    </row>
    <row r="19" spans="1:9" ht="18.75" x14ac:dyDescent="0.3">
      <c r="A19" s="15">
        <v>2</v>
      </c>
      <c r="B19" s="175" t="s">
        <v>99</v>
      </c>
      <c r="C19" s="175"/>
      <c r="D19" s="175"/>
      <c r="E19" s="3">
        <v>6</v>
      </c>
      <c r="F19" s="16">
        <f>'Feb. 2017'!X42</f>
        <v>1845321.08</v>
      </c>
      <c r="G19" s="3">
        <v>6</v>
      </c>
      <c r="H19" s="16">
        <f>'Feb. 2017'!Y42</f>
        <v>1838321.0702500003</v>
      </c>
    </row>
    <row r="20" spans="1:9" ht="18.75" x14ac:dyDescent="0.3">
      <c r="A20" s="15">
        <v>3</v>
      </c>
      <c r="B20" s="175" t="s">
        <v>100</v>
      </c>
      <c r="C20" s="175"/>
      <c r="D20" s="175"/>
      <c r="E20" s="3">
        <v>25</v>
      </c>
      <c r="F20" s="16">
        <f>'Feb. 2017'!X69</f>
        <v>8383072.7399999984</v>
      </c>
      <c r="G20" s="3">
        <v>24</v>
      </c>
      <c r="H20" s="16">
        <f>'Feb. 2017'!Y69</f>
        <v>8336308.996749999</v>
      </c>
    </row>
    <row r="21" spans="1:9" ht="18.75" x14ac:dyDescent="0.3">
      <c r="A21" s="15">
        <v>4</v>
      </c>
      <c r="B21" s="175" t="s">
        <v>105</v>
      </c>
      <c r="C21" s="175"/>
      <c r="D21" s="175"/>
      <c r="E21" s="3">
        <v>55</v>
      </c>
      <c r="F21" s="16">
        <f>'Feb. 2017'!X126</f>
        <v>6295489.5799999936</v>
      </c>
      <c r="G21" s="3">
        <v>54</v>
      </c>
      <c r="H21" s="16">
        <f>'Feb. 2017'!Y126</f>
        <v>6247901.6164999995</v>
      </c>
    </row>
    <row r="22" spans="1:9" ht="18.75" x14ac:dyDescent="0.3">
      <c r="A22" s="1"/>
      <c r="B22" s="1"/>
      <c r="C22" s="1"/>
      <c r="D22" s="1"/>
      <c r="E22" s="11">
        <f>SUM(E18:E21)</f>
        <v>112</v>
      </c>
      <c r="F22" s="17">
        <f>SUM(F18:F21)</f>
        <v>22498587.819999989</v>
      </c>
      <c r="G22" s="11">
        <f>SUM(G18:G21)</f>
        <v>109</v>
      </c>
      <c r="H22" s="17">
        <f>SUM(H18:H21)</f>
        <v>22563074.769749999</v>
      </c>
    </row>
    <row r="23" spans="1:9" ht="12" customHeight="1" x14ac:dyDescent="0.3">
      <c r="A23" s="1"/>
      <c r="B23" s="1"/>
      <c r="C23" s="1"/>
      <c r="D23" s="1"/>
      <c r="E23" s="1"/>
      <c r="F23" s="1"/>
      <c r="G23" s="1"/>
      <c r="H23" s="1"/>
    </row>
    <row r="24" spans="1:9" ht="18.75" x14ac:dyDescent="0.3">
      <c r="A24" s="177" t="s">
        <v>502</v>
      </c>
      <c r="B24" s="177"/>
      <c r="C24" s="177"/>
      <c r="D24" s="177"/>
      <c r="E24" s="177"/>
      <c r="F24" s="177"/>
      <c r="G24" s="177"/>
      <c r="H24" s="177"/>
    </row>
    <row r="25" spans="1:9" ht="15" customHeight="1" x14ac:dyDescent="0.3">
      <c r="A25" s="4"/>
      <c r="B25" s="1"/>
      <c r="C25" s="1"/>
      <c r="D25" s="1"/>
      <c r="E25" s="1"/>
      <c r="F25" s="1"/>
      <c r="G25" s="1"/>
      <c r="H25" s="1"/>
    </row>
    <row r="26" spans="1:9" ht="18" customHeight="1" x14ac:dyDescent="0.3">
      <c r="A26" s="175" t="s">
        <v>503</v>
      </c>
      <c r="B26" s="175"/>
      <c r="C26" s="175"/>
      <c r="D26" s="175"/>
      <c r="E26" s="175"/>
      <c r="F26" s="175"/>
      <c r="G26" s="175"/>
      <c r="H26" s="138">
        <f>'Feb. 2017'!S127</f>
        <v>25746006.739750002</v>
      </c>
    </row>
    <row r="27" spans="1:9" ht="16.149999999999999" customHeight="1" x14ac:dyDescent="0.3">
      <c r="A27" s="177" t="s">
        <v>239</v>
      </c>
      <c r="B27" s="177"/>
      <c r="C27" s="177"/>
      <c r="D27" s="177"/>
      <c r="E27" s="177"/>
      <c r="F27" s="177"/>
      <c r="G27" s="4"/>
      <c r="H27" s="1"/>
    </row>
    <row r="28" spans="1:9" ht="18" customHeight="1" x14ac:dyDescent="0.3">
      <c r="A28" s="175" t="s">
        <v>464</v>
      </c>
      <c r="B28" s="175"/>
      <c r="C28" s="175"/>
      <c r="D28" s="175"/>
      <c r="E28" s="175"/>
      <c r="F28" s="175"/>
      <c r="G28" s="138">
        <f>'Feb. 2017'!T127</f>
        <v>1402200</v>
      </c>
      <c r="H28" s="1"/>
    </row>
    <row r="29" spans="1:9" ht="18" customHeight="1" x14ac:dyDescent="0.3">
      <c r="A29" s="175" t="s">
        <v>479</v>
      </c>
      <c r="B29" s="175"/>
      <c r="C29" s="175"/>
      <c r="D29" s="175"/>
      <c r="E29" s="175"/>
      <c r="F29" s="175"/>
      <c r="G29" s="138">
        <f>'Feb. 2017'!U127</f>
        <v>1064638</v>
      </c>
      <c r="H29" s="1"/>
    </row>
    <row r="30" spans="1:9" ht="19.149999999999999" customHeight="1" x14ac:dyDescent="0.45">
      <c r="A30" s="175" t="s">
        <v>465</v>
      </c>
      <c r="B30" s="175"/>
      <c r="C30" s="175"/>
      <c r="D30" s="175"/>
      <c r="E30" s="175"/>
      <c r="F30" s="175"/>
      <c r="G30" s="173">
        <f>'Feb. 2017'!V127</f>
        <v>716093.04500000027</v>
      </c>
      <c r="H30" s="1"/>
    </row>
    <row r="31" spans="1:9" ht="15" customHeight="1" x14ac:dyDescent="0.3">
      <c r="A31" s="175" t="s">
        <v>504</v>
      </c>
      <c r="B31" s="175"/>
      <c r="C31" s="175"/>
      <c r="D31" s="175"/>
      <c r="E31" s="175"/>
      <c r="F31" s="175"/>
      <c r="G31" s="138"/>
      <c r="H31" s="138">
        <f>SUM(G28:G30)</f>
        <v>3182931.0450000004</v>
      </c>
      <c r="I31" s="113"/>
    </row>
    <row r="32" spans="1:9" ht="18.75" customHeight="1" x14ac:dyDescent="0.3">
      <c r="A32" s="175" t="s">
        <v>505</v>
      </c>
      <c r="B32" s="175"/>
      <c r="C32" s="175"/>
      <c r="D32" s="175"/>
      <c r="E32" s="175"/>
      <c r="F32" s="175"/>
      <c r="G32" s="1"/>
      <c r="H32" s="8">
        <f>H26-H31-0.93</f>
        <v>22563074.76475</v>
      </c>
      <c r="I32" s="174"/>
    </row>
    <row r="33" spans="1:14" ht="18" customHeight="1" x14ac:dyDescent="0.3">
      <c r="A33" s="175" t="s">
        <v>482</v>
      </c>
      <c r="B33" s="175"/>
      <c r="C33" s="175"/>
      <c r="D33" s="175"/>
      <c r="E33" s="175"/>
      <c r="F33" s="175"/>
      <c r="G33" s="175"/>
      <c r="H33" s="9">
        <f>F22</f>
        <v>22498587.819999989</v>
      </c>
    </row>
    <row r="34" spans="1:14" ht="22.5" customHeight="1" x14ac:dyDescent="0.3">
      <c r="A34" s="180" t="s">
        <v>506</v>
      </c>
      <c r="B34" s="180"/>
      <c r="C34" s="180"/>
      <c r="D34" s="180"/>
      <c r="E34" s="180"/>
      <c r="F34" s="180"/>
      <c r="G34" s="180"/>
      <c r="H34" s="10">
        <f>H32-H33</f>
        <v>64486.944750010967</v>
      </c>
    </row>
    <row r="35" spans="1:14" ht="12" customHeight="1" x14ac:dyDescent="0.3">
      <c r="A35" s="1"/>
      <c r="B35" s="1"/>
      <c r="C35" s="1"/>
      <c r="D35" s="1"/>
      <c r="E35" s="1"/>
      <c r="F35" s="1"/>
      <c r="G35" s="1"/>
      <c r="H35" s="1"/>
    </row>
    <row r="36" spans="1:14" ht="18.600000000000001" customHeight="1" x14ac:dyDescent="0.3">
      <c r="A36" s="176" t="s">
        <v>401</v>
      </c>
      <c r="B36" s="176"/>
      <c r="C36" s="176"/>
      <c r="D36" s="176"/>
      <c r="E36" s="176"/>
      <c r="F36" s="176"/>
      <c r="G36" s="1"/>
      <c r="H36" s="1"/>
    </row>
    <row r="37" spans="1:14" ht="21.6" customHeight="1" x14ac:dyDescent="0.3">
      <c r="A37" s="175" t="s">
        <v>516</v>
      </c>
      <c r="B37" s="175"/>
      <c r="C37" s="175"/>
      <c r="D37" s="175"/>
      <c r="E37" s="175"/>
      <c r="F37" s="175"/>
      <c r="G37" s="175"/>
      <c r="H37" s="125">
        <v>-90000</v>
      </c>
    </row>
    <row r="38" spans="1:14" ht="21.6" customHeight="1" x14ac:dyDescent="0.3">
      <c r="A38" s="175" t="s">
        <v>515</v>
      </c>
      <c r="B38" s="175"/>
      <c r="C38" s="175"/>
      <c r="D38" s="175"/>
      <c r="E38" s="175"/>
      <c r="F38" s="175"/>
      <c r="G38" s="175"/>
      <c r="H38" s="125">
        <f>444720-467553.5</f>
        <v>-22833.5</v>
      </c>
    </row>
    <row r="39" spans="1:14" ht="25.15" customHeight="1" x14ac:dyDescent="0.3">
      <c r="A39" s="175" t="s">
        <v>514</v>
      </c>
      <c r="B39" s="175"/>
      <c r="C39" s="175"/>
      <c r="D39" s="175"/>
      <c r="E39" s="175"/>
      <c r="F39" s="175"/>
      <c r="G39" s="175"/>
      <c r="H39" s="125">
        <v>100000</v>
      </c>
    </row>
    <row r="40" spans="1:14" ht="25.15" customHeight="1" x14ac:dyDescent="0.3">
      <c r="A40" s="175" t="s">
        <v>513</v>
      </c>
      <c r="B40" s="175"/>
      <c r="C40" s="175"/>
      <c r="D40" s="175"/>
      <c r="E40" s="175"/>
      <c r="F40" s="175"/>
      <c r="G40" s="175"/>
      <c r="H40" s="125">
        <v>344720</v>
      </c>
    </row>
    <row r="41" spans="1:14" ht="25.15" customHeight="1" x14ac:dyDescent="0.3">
      <c r="A41" s="175" t="s">
        <v>510</v>
      </c>
      <c r="B41" s="175"/>
      <c r="C41" s="175"/>
      <c r="D41" s="175"/>
      <c r="E41" s="175"/>
      <c r="F41" s="175"/>
      <c r="G41" s="175"/>
      <c r="H41" s="125">
        <v>-257920.83</v>
      </c>
    </row>
    <row r="42" spans="1:14" ht="21" customHeight="1" x14ac:dyDescent="0.3">
      <c r="A42" s="175" t="s">
        <v>478</v>
      </c>
      <c r="B42" s="175"/>
      <c r="C42" s="175"/>
      <c r="D42" s="175"/>
      <c r="E42" s="175"/>
      <c r="F42" s="175"/>
      <c r="G42" s="175"/>
      <c r="H42" s="125">
        <f>-15548.33+6069.76</f>
        <v>-9478.57</v>
      </c>
    </row>
    <row r="44" spans="1:14" ht="21" customHeight="1" thickBot="1" x14ac:dyDescent="0.35">
      <c r="H44" s="122">
        <f>SUM(H37:H42)</f>
        <v>64487.100000000013</v>
      </c>
      <c r="I44" s="113"/>
      <c r="J44" s="113"/>
    </row>
    <row r="45" spans="1:14" ht="65.45" customHeight="1" thickTop="1" x14ac:dyDescent="0.3">
      <c r="A45" s="179" t="s">
        <v>519</v>
      </c>
      <c r="B45" s="179"/>
      <c r="C45" s="179"/>
      <c r="D45" s="179"/>
      <c r="E45" s="179"/>
      <c r="F45" s="179"/>
      <c r="G45" s="179"/>
      <c r="H45" s="179"/>
      <c r="I45" s="1"/>
      <c r="J45" s="1"/>
      <c r="K45" s="1"/>
      <c r="L45" s="1"/>
      <c r="M45" s="1"/>
      <c r="N45" s="1"/>
    </row>
    <row r="46" spans="1:14" ht="16.899999999999999" customHeight="1" x14ac:dyDescent="0.3">
      <c r="A46" s="124"/>
      <c r="B46" s="124"/>
      <c r="C46" s="124"/>
      <c r="D46" s="124"/>
      <c r="E46" s="124"/>
      <c r="F46" s="124"/>
      <c r="G46" s="124"/>
      <c r="H46" s="124"/>
      <c r="I46" s="1"/>
      <c r="J46" s="1"/>
      <c r="K46" s="1"/>
      <c r="L46" s="1"/>
      <c r="M46" s="1"/>
      <c r="N46" s="1"/>
    </row>
    <row r="47" spans="1:14" ht="18" customHeight="1" x14ac:dyDescent="0.3">
      <c r="A47" s="124"/>
      <c r="B47" s="124"/>
      <c r="C47" s="124"/>
      <c r="D47" s="124"/>
      <c r="E47" s="124"/>
      <c r="F47" s="124"/>
      <c r="G47" s="124"/>
      <c r="H47" s="124"/>
      <c r="I47" s="1"/>
      <c r="J47" s="1"/>
      <c r="K47" s="1"/>
      <c r="L47" s="1"/>
      <c r="M47" s="1"/>
      <c r="N47" s="1"/>
    </row>
    <row r="48" spans="1:14" ht="25.5" customHeight="1" x14ac:dyDescent="0.3">
      <c r="A48" s="176" t="s">
        <v>83</v>
      </c>
      <c r="B48" s="176"/>
      <c r="C48" s="176"/>
      <c r="D48" s="176"/>
      <c r="E48" s="176"/>
      <c r="F48" s="1"/>
      <c r="G48" s="1"/>
      <c r="H48" s="1"/>
    </row>
    <row r="49" spans="1:8" x14ac:dyDescent="0.2">
      <c r="A49" s="178" t="s">
        <v>141</v>
      </c>
      <c r="B49" s="178"/>
      <c r="C49" s="178"/>
      <c r="D49" s="178"/>
      <c r="E49" s="178"/>
      <c r="F49" s="13"/>
      <c r="G49" s="13"/>
      <c r="H49" s="13"/>
    </row>
    <row r="50" spans="1:8" x14ac:dyDescent="0.2">
      <c r="A50" s="13"/>
      <c r="B50" s="13"/>
      <c r="C50" s="13"/>
      <c r="D50" s="13" t="s">
        <v>152</v>
      </c>
      <c r="E50" s="13"/>
      <c r="F50" s="13"/>
      <c r="G50" s="13"/>
      <c r="H50" s="13"/>
    </row>
    <row r="55" spans="1:8" x14ac:dyDescent="0.2">
      <c r="C55" t="s">
        <v>460</v>
      </c>
    </row>
  </sheetData>
  <mergeCells count="33">
    <mergeCell ref="A1:H1"/>
    <mergeCell ref="A4:H4"/>
    <mergeCell ref="A8:F8"/>
    <mergeCell ref="A24:H24"/>
    <mergeCell ref="A7:F7"/>
    <mergeCell ref="A9:E9"/>
    <mergeCell ref="A13:H13"/>
    <mergeCell ref="E15:F15"/>
    <mergeCell ref="A11:F11"/>
    <mergeCell ref="G15:H15"/>
    <mergeCell ref="B21:D21"/>
    <mergeCell ref="B18:D18"/>
    <mergeCell ref="B19:D19"/>
    <mergeCell ref="B20:D20"/>
    <mergeCell ref="A49:E49"/>
    <mergeCell ref="A48:E48"/>
    <mergeCell ref="A45:H45"/>
    <mergeCell ref="A34:G34"/>
    <mergeCell ref="A42:G42"/>
    <mergeCell ref="A41:G41"/>
    <mergeCell ref="A40:G40"/>
    <mergeCell ref="A33:G33"/>
    <mergeCell ref="A36:F36"/>
    <mergeCell ref="A32:F32"/>
    <mergeCell ref="A39:G39"/>
    <mergeCell ref="A26:G26"/>
    <mergeCell ref="A27:F27"/>
    <mergeCell ref="A28:F28"/>
    <mergeCell ref="A30:F30"/>
    <mergeCell ref="A31:F31"/>
    <mergeCell ref="A29:F29"/>
    <mergeCell ref="A37:G37"/>
    <mergeCell ref="A38:G38"/>
  </mergeCells>
  <phoneticPr fontId="13" type="noConversion"/>
  <pageMargins left="0.18" right="0.19" top="0.15" bottom="0.1" header="0.17" footer="0.17"/>
  <pageSetup paperSize="9" scale="8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workbookViewId="0">
      <selection activeCell="D14" sqref="D14"/>
    </sheetView>
  </sheetViews>
  <sheetFormatPr defaultRowHeight="12.75" x14ac:dyDescent="0.2"/>
  <cols>
    <col min="3" max="3" width="11.85546875" customWidth="1"/>
    <col min="4" max="5" width="28.140625" customWidth="1"/>
  </cols>
  <sheetData>
    <row r="1" spans="1:6" ht="18.75" x14ac:dyDescent="0.3">
      <c r="A1" s="227" t="s">
        <v>268</v>
      </c>
      <c r="B1" s="227"/>
      <c r="C1" s="227"/>
      <c r="D1" s="227"/>
      <c r="E1" s="227"/>
      <c r="F1" s="227"/>
    </row>
    <row r="2" spans="1:6" ht="18.75" x14ac:dyDescent="0.3">
      <c r="A2" s="228" t="s">
        <v>106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948475.67999999993</v>
      </c>
      <c r="E4" s="16">
        <f>sUMMARY!F3</f>
        <v>79039.64</v>
      </c>
      <c r="F4" s="1"/>
    </row>
    <row r="5" spans="1:6" ht="18.75" x14ac:dyDescent="0.3">
      <c r="A5" s="222" t="s">
        <v>109</v>
      </c>
      <c r="B5" s="222"/>
      <c r="C5" s="222"/>
      <c r="D5" s="16">
        <f t="shared" ref="D5:D14" si="0">E5*12</f>
        <v>2845427.04</v>
      </c>
      <c r="E5" s="16">
        <f>sUMMARY!H3</f>
        <v>237118.91999999998</v>
      </c>
      <c r="F5" s="1"/>
    </row>
    <row r="6" spans="1:6" ht="18.75" x14ac:dyDescent="0.3">
      <c r="A6" s="222" t="s">
        <v>110</v>
      </c>
      <c r="B6" s="222"/>
      <c r="C6" s="222"/>
      <c r="D6" s="16">
        <f t="shared" si="0"/>
        <v>71135.676000000007</v>
      </c>
      <c r="E6" s="16">
        <f>sUMMARY!I3</f>
        <v>5927.973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962932.56</v>
      </c>
      <c r="E7" s="16">
        <f>sUMMARY!J3</f>
        <v>80244.38</v>
      </c>
      <c r="F7" s="1"/>
    </row>
    <row r="8" spans="1:6" ht="18.75" x14ac:dyDescent="0.3">
      <c r="A8" s="222" t="s">
        <v>111</v>
      </c>
      <c r="B8" s="222"/>
      <c r="C8" s="222"/>
      <c r="D8" s="16">
        <f t="shared" si="0"/>
        <v>474237.83999999997</v>
      </c>
      <c r="E8" s="16">
        <f>sUMMARY!K3</f>
        <v>39519.82</v>
      </c>
      <c r="F8" s="1"/>
    </row>
    <row r="9" spans="1:6" ht="18.75" x14ac:dyDescent="0.3">
      <c r="A9" s="222" t="s">
        <v>112</v>
      </c>
      <c r="B9" s="222"/>
      <c r="C9" s="222"/>
      <c r="D9" s="16">
        <f t="shared" si="0"/>
        <v>3319664.88</v>
      </c>
      <c r="E9" s="16">
        <f>sUMMARY!L3</f>
        <v>276638.74</v>
      </c>
      <c r="F9" s="1"/>
    </row>
    <row r="10" spans="1:6" ht="18.75" x14ac:dyDescent="0.3">
      <c r="A10" s="224" t="s">
        <v>142</v>
      </c>
      <c r="B10" s="225"/>
      <c r="C10" s="226"/>
      <c r="D10" s="16">
        <f>E10*12</f>
        <v>0</v>
      </c>
      <c r="E10" s="16"/>
      <c r="F10" s="1"/>
    </row>
    <row r="11" spans="1:6" ht="18.75" x14ac:dyDescent="0.3">
      <c r="A11" s="222" t="s">
        <v>113</v>
      </c>
      <c r="B11" s="222"/>
      <c r="C11" s="222"/>
      <c r="D11" s="16">
        <f t="shared" si="0"/>
        <v>948475.67999999993</v>
      </c>
      <c r="E11" s="16">
        <f>sUMMARY!N3</f>
        <v>79039.64</v>
      </c>
      <c r="F11" s="1"/>
    </row>
    <row r="12" spans="1:6" ht="18.75" x14ac:dyDescent="0.3">
      <c r="A12" s="222" t="s">
        <v>114</v>
      </c>
      <c r="B12" s="222"/>
      <c r="C12" s="222"/>
      <c r="D12" s="16">
        <f t="shared" si="0"/>
        <v>94847.567999999999</v>
      </c>
      <c r="E12" s="16">
        <f>sUMMARY!O3</f>
        <v>7903.9639999999999</v>
      </c>
      <c r="F12" s="1"/>
    </row>
    <row r="13" spans="1:6" ht="18.75" x14ac:dyDescent="0.3">
      <c r="A13" s="222" t="s">
        <v>115</v>
      </c>
      <c r="B13" s="222"/>
      <c r="C13" s="222"/>
      <c r="D13" s="16">
        <f t="shared" si="0"/>
        <v>240000</v>
      </c>
      <c r="E13" s="16">
        <f>sUMMARY!P3</f>
        <v>20000</v>
      </c>
      <c r="F13" s="1"/>
    </row>
    <row r="14" spans="1:6" ht="18.75" x14ac:dyDescent="0.3">
      <c r="A14" s="223" t="s">
        <v>118</v>
      </c>
      <c r="B14" s="223"/>
      <c r="C14" s="223"/>
      <c r="D14" s="17">
        <f t="shared" si="0"/>
        <v>9905196.9240000006</v>
      </c>
      <c r="E14" s="17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activeCell="E4" sqref="E4"/>
    </sheetView>
  </sheetViews>
  <sheetFormatPr defaultRowHeight="12.75" x14ac:dyDescent="0.2"/>
  <cols>
    <col min="3" max="3" width="11.5703125" customWidth="1"/>
    <col min="4" max="4" width="19.85546875" customWidth="1"/>
    <col min="5" max="5" width="19.140625" customWidth="1"/>
  </cols>
  <sheetData>
    <row r="1" spans="1:6" ht="18.75" x14ac:dyDescent="0.3">
      <c r="A1" s="229" t="s">
        <v>120</v>
      </c>
      <c r="B1" s="229"/>
      <c r="C1" s="229"/>
      <c r="D1" s="229"/>
      <c r="E1" s="229"/>
      <c r="F1" s="229"/>
    </row>
    <row r="2" spans="1:6" ht="18.75" x14ac:dyDescent="0.3">
      <c r="A2" s="228" t="s">
        <v>121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 t="e">
        <f>E4*12</f>
        <v>#REF!</v>
      </c>
      <c r="E4" s="16" t="e">
        <f>'Feb. 2017'!#REF!</f>
        <v>#REF!</v>
      </c>
      <c r="F4" s="1"/>
    </row>
    <row r="5" spans="1:6" ht="18.75" x14ac:dyDescent="0.3">
      <c r="A5" s="222" t="s">
        <v>109</v>
      </c>
      <c r="B5" s="222"/>
      <c r="C5" s="222"/>
      <c r="D5" s="16" t="e">
        <f t="shared" ref="D5:D13" si="0">E5*12</f>
        <v>#REF!</v>
      </c>
      <c r="E5" s="16" t="e">
        <f>'Feb. 2017'!#REF!</f>
        <v>#REF!</v>
      </c>
      <c r="F5" s="1"/>
    </row>
    <row r="6" spans="1:6" ht="18.75" x14ac:dyDescent="0.3">
      <c r="A6" s="222" t="s">
        <v>110</v>
      </c>
      <c r="B6" s="222"/>
      <c r="C6" s="222"/>
      <c r="D6" s="16" t="e">
        <f t="shared" si="0"/>
        <v>#REF!</v>
      </c>
      <c r="E6" s="16" t="e">
        <f>'Feb. 2017'!#REF!</f>
        <v>#REF!</v>
      </c>
      <c r="F6" s="1"/>
    </row>
    <row r="7" spans="1:6" ht="18.75" x14ac:dyDescent="0.3">
      <c r="A7" s="222" t="s">
        <v>107</v>
      </c>
      <c r="B7" s="222"/>
      <c r="C7" s="222"/>
      <c r="D7" s="16" t="e">
        <f t="shared" si="0"/>
        <v>#REF!</v>
      </c>
      <c r="E7" s="16" t="e">
        <f>'Feb. 2017'!#REF!</f>
        <v>#REF!</v>
      </c>
      <c r="F7" s="1"/>
    </row>
    <row r="8" spans="1:6" ht="18.75" x14ac:dyDescent="0.3">
      <c r="A8" s="222" t="s">
        <v>111</v>
      </c>
      <c r="B8" s="222"/>
      <c r="C8" s="222"/>
      <c r="D8" s="16" t="e">
        <f t="shared" si="0"/>
        <v>#REF!</v>
      </c>
      <c r="E8" s="16" t="e">
        <f>'Feb. 2017'!#REF!</f>
        <v>#REF!</v>
      </c>
      <c r="F8" s="1"/>
    </row>
    <row r="9" spans="1:6" ht="18.75" x14ac:dyDescent="0.3">
      <c r="A9" s="222" t="s">
        <v>112</v>
      </c>
      <c r="B9" s="222"/>
      <c r="C9" s="222"/>
      <c r="D9" s="16" t="e">
        <f t="shared" si="0"/>
        <v>#REF!</v>
      </c>
      <c r="E9" s="16" t="e">
        <f>'Feb. 2017'!#REF!</f>
        <v>#REF!</v>
      </c>
      <c r="F9" s="1"/>
    </row>
    <row r="10" spans="1:6" ht="18.75" x14ac:dyDescent="0.3">
      <c r="A10" s="222" t="s">
        <v>113</v>
      </c>
      <c r="B10" s="222"/>
      <c r="C10" s="222"/>
      <c r="D10" s="16" t="e">
        <f t="shared" si="0"/>
        <v>#REF!</v>
      </c>
      <c r="E10" s="16" t="e">
        <f>'Feb. 2017'!#REF!</f>
        <v>#REF!</v>
      </c>
      <c r="F10" s="1"/>
    </row>
    <row r="11" spans="1:6" ht="18.75" x14ac:dyDescent="0.3">
      <c r="A11" s="222" t="s">
        <v>114</v>
      </c>
      <c r="B11" s="222"/>
      <c r="C11" s="222"/>
      <c r="D11" s="16" t="e">
        <f t="shared" si="0"/>
        <v>#REF!</v>
      </c>
      <c r="E11" s="16" t="e">
        <f>'Feb. 2017'!#REF!</f>
        <v>#REF!</v>
      </c>
      <c r="F11" s="1"/>
    </row>
    <row r="12" spans="1:6" ht="18.75" x14ac:dyDescent="0.3">
      <c r="A12" s="222" t="s">
        <v>115</v>
      </c>
      <c r="B12" s="222"/>
      <c r="C12" s="222"/>
      <c r="D12" s="16">
        <f t="shared" si="0"/>
        <v>240000</v>
      </c>
      <c r="E12" s="16">
        <f>sUMMARY!P3</f>
        <v>20000</v>
      </c>
      <c r="F12" s="1"/>
    </row>
    <row r="13" spans="1:6" ht="18.75" x14ac:dyDescent="0.3">
      <c r="A13" s="223" t="s">
        <v>118</v>
      </c>
      <c r="B13" s="223"/>
      <c r="C13" s="223"/>
      <c r="D13" s="17" t="e">
        <f t="shared" si="0"/>
        <v>#REF!</v>
      </c>
      <c r="E13" s="17" t="e">
        <f>SUM(E4:E12)</f>
        <v>#REF!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E14" sqref="E14"/>
    </sheetView>
  </sheetViews>
  <sheetFormatPr defaultRowHeight="12.75" x14ac:dyDescent="0.2"/>
  <cols>
    <col min="3" max="3" width="11.28515625" customWidth="1"/>
    <col min="4" max="4" width="19" customWidth="1"/>
    <col min="5" max="5" width="19.140625" customWidth="1"/>
  </cols>
  <sheetData>
    <row r="1" spans="1:6" ht="18.75" x14ac:dyDescent="0.3">
      <c r="A1" s="229" t="s">
        <v>122</v>
      </c>
      <c r="B1" s="229"/>
      <c r="C1" s="229"/>
      <c r="D1" s="229"/>
      <c r="E1" s="229"/>
      <c r="F1" s="229"/>
    </row>
    <row r="2" spans="1:6" ht="18.75" x14ac:dyDescent="0.3">
      <c r="A2" s="228" t="s">
        <v>123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402090</v>
      </c>
      <c r="E4" s="16">
        <f>'Feb. 2017'!F47</f>
        <v>33507.5</v>
      </c>
      <c r="F4" s="1"/>
    </row>
    <row r="5" spans="1:6" ht="18.75" x14ac:dyDescent="0.3">
      <c r="A5" s="222" t="s">
        <v>109</v>
      </c>
      <c r="B5" s="222"/>
      <c r="C5" s="222"/>
      <c r="D5" s="16">
        <f t="shared" ref="D5:D14" si="0">E5*12</f>
        <v>1206270</v>
      </c>
      <c r="E5" s="16">
        <f>'Feb. 2017'!H47</f>
        <v>100522.5</v>
      </c>
      <c r="F5" s="1"/>
    </row>
    <row r="6" spans="1:6" ht="18.75" x14ac:dyDescent="0.3">
      <c r="A6" s="222" t="s">
        <v>110</v>
      </c>
      <c r="B6" s="222"/>
      <c r="C6" s="222"/>
      <c r="D6" s="16">
        <f t="shared" si="0"/>
        <v>30156.720000000001</v>
      </c>
      <c r="E6" s="16">
        <v>2513.06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481466.28</v>
      </c>
      <c r="E7" s="16">
        <v>40122.19</v>
      </c>
      <c r="F7" s="1"/>
    </row>
    <row r="8" spans="1:6" ht="18.75" x14ac:dyDescent="0.3">
      <c r="A8" s="222" t="s">
        <v>111</v>
      </c>
      <c r="B8" s="222"/>
      <c r="C8" s="222"/>
      <c r="D8" s="16">
        <f t="shared" si="0"/>
        <v>201045</v>
      </c>
      <c r="E8" s="16">
        <v>16753.75</v>
      </c>
      <c r="F8" s="1"/>
    </row>
    <row r="9" spans="1:6" ht="18.75" x14ac:dyDescent="0.3">
      <c r="A9" s="222" t="s">
        <v>112</v>
      </c>
      <c r="B9" s="222"/>
      <c r="C9" s="222"/>
      <c r="D9" s="16">
        <f t="shared" si="0"/>
        <v>1407315</v>
      </c>
      <c r="E9" s="16">
        <v>117276.25</v>
      </c>
      <c r="F9" s="1"/>
    </row>
    <row r="10" spans="1:6" ht="18.75" x14ac:dyDescent="0.3">
      <c r="A10" s="222" t="s">
        <v>113</v>
      </c>
      <c r="B10" s="222"/>
      <c r="C10" s="222"/>
      <c r="D10" s="16">
        <f t="shared" si="0"/>
        <v>402090</v>
      </c>
      <c r="E10" s="16">
        <v>33507.5</v>
      </c>
      <c r="F10" s="1"/>
    </row>
    <row r="11" spans="1:6" ht="18.75" x14ac:dyDescent="0.3">
      <c r="A11" s="224" t="s">
        <v>142</v>
      </c>
      <c r="B11" s="225"/>
      <c r="C11" s="226"/>
      <c r="D11" s="16">
        <f t="shared" si="0"/>
        <v>1200000</v>
      </c>
      <c r="E11" s="16">
        <v>100000</v>
      </c>
      <c r="F11" s="1"/>
    </row>
    <row r="12" spans="1:6" ht="18.75" x14ac:dyDescent="0.3">
      <c r="A12" s="222" t="s">
        <v>114</v>
      </c>
      <c r="B12" s="222"/>
      <c r="C12" s="222"/>
      <c r="D12" s="16">
        <f t="shared" si="0"/>
        <v>40209</v>
      </c>
      <c r="E12" s="16">
        <v>3350.75</v>
      </c>
      <c r="F12" s="1"/>
    </row>
    <row r="13" spans="1:6" ht="18.75" x14ac:dyDescent="0.3">
      <c r="A13" s="222" t="s">
        <v>115</v>
      </c>
      <c r="B13" s="222"/>
      <c r="C13" s="222"/>
      <c r="D13" s="16">
        <f t="shared" si="0"/>
        <v>240000</v>
      </c>
      <c r="E13" s="16">
        <v>20000</v>
      </c>
      <c r="F13" s="1"/>
    </row>
    <row r="14" spans="1:6" ht="18.75" x14ac:dyDescent="0.3">
      <c r="A14" s="223" t="s">
        <v>118</v>
      </c>
      <c r="B14" s="223"/>
      <c r="C14" s="223"/>
      <c r="D14" s="17">
        <f t="shared" si="0"/>
        <v>5610642</v>
      </c>
      <c r="E14" s="17">
        <f>SUM(E4:E13)</f>
        <v>467553.5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4"/>
  <sheetViews>
    <sheetView workbookViewId="0">
      <selection activeCell="E4" sqref="E4"/>
    </sheetView>
  </sheetViews>
  <sheetFormatPr defaultRowHeight="12.75" x14ac:dyDescent="0.2"/>
  <cols>
    <col min="3" max="3" width="11.140625" customWidth="1"/>
    <col min="4" max="4" width="19.28515625" customWidth="1"/>
    <col min="5" max="5" width="19.140625" customWidth="1"/>
  </cols>
  <sheetData>
    <row r="1" spans="1:6" ht="18.75" x14ac:dyDescent="0.3">
      <c r="A1" s="229" t="s">
        <v>360</v>
      </c>
      <c r="B1" s="229"/>
      <c r="C1" s="229"/>
      <c r="D1" s="229"/>
      <c r="E1" s="229"/>
      <c r="F1" s="229"/>
    </row>
    <row r="2" spans="1:6" ht="18.75" x14ac:dyDescent="0.3">
      <c r="A2" s="228" t="s">
        <v>366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286693.44</v>
      </c>
      <c r="E4" s="16">
        <f>sUMMARY!F6</f>
        <v>23891.119999999999</v>
      </c>
      <c r="F4" s="1"/>
    </row>
    <row r="5" spans="1:6" ht="18.75" x14ac:dyDescent="0.3">
      <c r="A5" s="222" t="s">
        <v>109</v>
      </c>
      <c r="B5" s="222"/>
      <c r="C5" s="222"/>
      <c r="D5" s="16">
        <f t="shared" ref="D5:D14" si="0">E5*12</f>
        <v>860080.32000000007</v>
      </c>
      <c r="E5" s="16">
        <f>sUMMARY!H6</f>
        <v>71673.36</v>
      </c>
      <c r="F5" s="1"/>
    </row>
    <row r="6" spans="1:6" ht="18.75" x14ac:dyDescent="0.3">
      <c r="A6" s="222" t="s">
        <v>110</v>
      </c>
      <c r="B6" s="222"/>
      <c r="C6" s="222"/>
      <c r="D6" s="16">
        <f t="shared" si="0"/>
        <v>21502.007999999998</v>
      </c>
      <c r="E6" s="16">
        <f>sUMMARY!I6</f>
        <v>1791.8339999999998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2" t="s">
        <v>111</v>
      </c>
      <c r="B8" s="222"/>
      <c r="C8" s="222"/>
      <c r="D8" s="16">
        <f t="shared" si="0"/>
        <v>143346.72</v>
      </c>
      <c r="E8" s="16">
        <f>sUMMARY!K6</f>
        <v>11945.56</v>
      </c>
      <c r="F8" s="1"/>
    </row>
    <row r="9" spans="1:6" ht="18.75" x14ac:dyDescent="0.3">
      <c r="A9" s="222" t="s">
        <v>112</v>
      </c>
      <c r="B9" s="222"/>
      <c r="C9" s="222"/>
      <c r="D9" s="16">
        <f t="shared" si="0"/>
        <v>1003427.04</v>
      </c>
      <c r="E9" s="16">
        <f>sUMMARY!L6</f>
        <v>83618.92</v>
      </c>
      <c r="F9" s="1"/>
    </row>
    <row r="10" spans="1:6" ht="18.75" x14ac:dyDescent="0.3">
      <c r="A10" s="222" t="s">
        <v>113</v>
      </c>
      <c r="B10" s="222"/>
      <c r="C10" s="222"/>
      <c r="D10" s="16">
        <f t="shared" si="0"/>
        <v>286693.44</v>
      </c>
      <c r="E10" s="16">
        <f>sUMMARY!N6</f>
        <v>23891.119999999999</v>
      </c>
      <c r="F10" s="1"/>
    </row>
    <row r="11" spans="1:6" ht="18.75" x14ac:dyDescent="0.3">
      <c r="A11" s="224" t="s">
        <v>142</v>
      </c>
      <c r="B11" s="225"/>
      <c r="C11" s="226"/>
      <c r="D11" s="16">
        <f t="shared" si="0"/>
        <v>0</v>
      </c>
      <c r="E11" s="16">
        <v>0</v>
      </c>
      <c r="F11" s="1"/>
    </row>
    <row r="12" spans="1:6" ht="18.75" x14ac:dyDescent="0.3">
      <c r="A12" s="222" t="s">
        <v>114</v>
      </c>
      <c r="B12" s="222"/>
      <c r="C12" s="222"/>
      <c r="D12" s="16">
        <f t="shared" si="0"/>
        <v>28669.344000000001</v>
      </c>
      <c r="E12" s="16">
        <f>sUMMARY!O6</f>
        <v>2389.1120000000001</v>
      </c>
      <c r="F12" s="1"/>
    </row>
    <row r="13" spans="1:6" ht="18.75" x14ac:dyDescent="0.3">
      <c r="A13" s="222" t="s">
        <v>115</v>
      </c>
      <c r="B13" s="222"/>
      <c r="C13" s="222"/>
      <c r="D13" s="16">
        <f t="shared" si="0"/>
        <v>180000</v>
      </c>
      <c r="E13" s="16">
        <f>sUMMARY!P6</f>
        <v>15000</v>
      </c>
      <c r="F13" s="1"/>
    </row>
    <row r="14" spans="1:6" ht="18.75" x14ac:dyDescent="0.3">
      <c r="A14" s="223" t="s">
        <v>118</v>
      </c>
      <c r="B14" s="223"/>
      <c r="C14" s="223"/>
      <c r="D14" s="17">
        <f t="shared" si="0"/>
        <v>2810412.3119999999</v>
      </c>
      <c r="E14" s="17">
        <f>SUM(E4:E13)</f>
        <v>234201.02599999998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selection sqref="A1:F1"/>
    </sheetView>
  </sheetViews>
  <sheetFormatPr defaultRowHeight="12.75" x14ac:dyDescent="0.2"/>
  <cols>
    <col min="3" max="3" width="11.140625" customWidth="1"/>
    <col min="4" max="4" width="19.28515625" customWidth="1"/>
    <col min="5" max="5" width="18.7109375" customWidth="1"/>
  </cols>
  <sheetData>
    <row r="1" spans="1:6" ht="18.75" x14ac:dyDescent="0.3">
      <c r="A1" s="229"/>
      <c r="B1" s="229"/>
      <c r="C1" s="229"/>
      <c r="D1" s="229"/>
      <c r="E1" s="229"/>
      <c r="F1" s="229"/>
    </row>
    <row r="2" spans="1:6" ht="18.75" x14ac:dyDescent="0.3">
      <c r="A2" s="228"/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255527.52</v>
      </c>
      <c r="E4" s="16">
        <f>sUMMARY!F7</f>
        <v>21293.96</v>
      </c>
      <c r="F4" s="1"/>
    </row>
    <row r="5" spans="1:6" ht="18.75" x14ac:dyDescent="0.3">
      <c r="A5" s="222" t="s">
        <v>109</v>
      </c>
      <c r="B5" s="222"/>
      <c r="C5" s="222"/>
      <c r="D5" s="16">
        <f t="shared" ref="D5:D13" si="0">E5*12</f>
        <v>766582.55999999994</v>
      </c>
      <c r="E5" s="16">
        <f>sUMMARY!H7</f>
        <v>63881.88</v>
      </c>
      <c r="F5" s="1"/>
    </row>
    <row r="6" spans="1:6" ht="18.75" x14ac:dyDescent="0.3">
      <c r="A6" s="222" t="s">
        <v>110</v>
      </c>
      <c r="B6" s="222"/>
      <c r="C6" s="222"/>
      <c r="D6" s="16">
        <f t="shared" si="0"/>
        <v>19164.563999999998</v>
      </c>
      <c r="E6" s="16">
        <f>sUMMARY!I7</f>
        <v>1597.0469999999998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2" t="s">
        <v>111</v>
      </c>
      <c r="B8" s="222"/>
      <c r="C8" s="222"/>
      <c r="D8" s="16">
        <f t="shared" si="0"/>
        <v>127763.76</v>
      </c>
      <c r="E8" s="16">
        <f>sUMMARY!K7</f>
        <v>10646.98</v>
      </c>
      <c r="F8" s="1"/>
    </row>
    <row r="9" spans="1:6" ht="18.75" x14ac:dyDescent="0.3">
      <c r="A9" s="222" t="s">
        <v>112</v>
      </c>
      <c r="B9" s="222"/>
      <c r="C9" s="222"/>
      <c r="D9" s="16">
        <f t="shared" si="0"/>
        <v>894346.32000000007</v>
      </c>
      <c r="E9" s="16">
        <f>sUMMARY!L7</f>
        <v>74528.86</v>
      </c>
      <c r="F9" s="1"/>
    </row>
    <row r="10" spans="1:6" ht="18.75" x14ac:dyDescent="0.3">
      <c r="A10" s="222" t="s">
        <v>113</v>
      </c>
      <c r="B10" s="222"/>
      <c r="C10" s="222"/>
      <c r="D10" s="16">
        <f t="shared" si="0"/>
        <v>255527.52</v>
      </c>
      <c r="E10" s="16">
        <f>sUMMARY!N7</f>
        <v>21293.96</v>
      </c>
      <c r="F10" s="1"/>
    </row>
    <row r="11" spans="1:6" ht="18.75" x14ac:dyDescent="0.3">
      <c r="A11" s="222" t="s">
        <v>114</v>
      </c>
      <c r="B11" s="222"/>
      <c r="C11" s="222"/>
      <c r="D11" s="16">
        <f t="shared" si="0"/>
        <v>25552.752</v>
      </c>
      <c r="E11" s="16">
        <f>sUMMARY!O7</f>
        <v>2129.3960000000002</v>
      </c>
      <c r="F11" s="1"/>
    </row>
    <row r="12" spans="1:6" ht="18.75" x14ac:dyDescent="0.3">
      <c r="A12" s="222" t="s">
        <v>115</v>
      </c>
      <c r="B12" s="222"/>
      <c r="C12" s="222"/>
      <c r="D12" s="16">
        <f t="shared" si="0"/>
        <v>120000</v>
      </c>
      <c r="E12" s="16">
        <f>sUMMARY!P7</f>
        <v>10000</v>
      </c>
      <c r="F12" s="1"/>
    </row>
    <row r="13" spans="1:6" ht="18.75" x14ac:dyDescent="0.3">
      <c r="A13" s="223" t="s">
        <v>118</v>
      </c>
      <c r="B13" s="223"/>
      <c r="C13" s="223"/>
      <c r="D13" s="17">
        <f t="shared" si="0"/>
        <v>2464464.9960000003</v>
      </c>
      <c r="E13" s="17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D34" sqref="D34"/>
    </sheetView>
  </sheetViews>
  <sheetFormatPr defaultRowHeight="12.75" x14ac:dyDescent="0.2"/>
  <cols>
    <col min="3" max="3" width="11.7109375" customWidth="1"/>
    <col min="4" max="4" width="19.42578125" customWidth="1"/>
    <col min="5" max="5" width="18.85546875" customWidth="1"/>
  </cols>
  <sheetData>
    <row r="1" spans="1:6" ht="18.75" x14ac:dyDescent="0.3">
      <c r="A1" s="229" t="s">
        <v>129</v>
      </c>
      <c r="B1" s="229"/>
      <c r="C1" s="229"/>
      <c r="D1" s="229"/>
      <c r="E1" s="229"/>
      <c r="F1" s="229"/>
    </row>
    <row r="2" spans="1:6" ht="18.75" x14ac:dyDescent="0.3">
      <c r="A2" s="228" t="s">
        <v>130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207435.96000000002</v>
      </c>
      <c r="E4" s="16">
        <f>sUMMARY!F8</f>
        <v>17286.330000000002</v>
      </c>
      <c r="F4" s="1"/>
    </row>
    <row r="5" spans="1:6" ht="18.75" x14ac:dyDescent="0.3">
      <c r="A5" s="222" t="s">
        <v>109</v>
      </c>
      <c r="B5" s="222"/>
      <c r="C5" s="222"/>
      <c r="D5" s="16">
        <f t="shared" ref="D5:D14" si="0">E5*12</f>
        <v>622307.88000000012</v>
      </c>
      <c r="E5" s="16">
        <f>sUMMARY!H8</f>
        <v>51858.990000000005</v>
      </c>
      <c r="F5" s="1"/>
    </row>
    <row r="6" spans="1:6" ht="18.75" x14ac:dyDescent="0.3">
      <c r="A6" s="222" t="s">
        <v>110</v>
      </c>
      <c r="B6" s="222"/>
      <c r="C6" s="222"/>
      <c r="D6" s="16">
        <f t="shared" si="0"/>
        <v>15557.697</v>
      </c>
      <c r="E6" s="16">
        <f>sUMMARY!I8</f>
        <v>1296.4747500000001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2" t="s">
        <v>111</v>
      </c>
      <c r="B8" s="222"/>
      <c r="C8" s="222"/>
      <c r="D8" s="16">
        <f t="shared" si="0"/>
        <v>103717.98000000001</v>
      </c>
      <c r="E8" s="16">
        <f>sUMMARY!K8</f>
        <v>8643.1650000000009</v>
      </c>
      <c r="F8" s="1"/>
    </row>
    <row r="9" spans="1:6" ht="18.75" x14ac:dyDescent="0.3">
      <c r="A9" s="222" t="s">
        <v>112</v>
      </c>
      <c r="B9" s="222"/>
      <c r="C9" s="222"/>
      <c r="D9" s="16">
        <f t="shared" si="0"/>
        <v>726025.8600000001</v>
      </c>
      <c r="E9" s="16">
        <f>sUMMARY!L8</f>
        <v>60502.155000000006</v>
      </c>
      <c r="F9" s="1"/>
    </row>
    <row r="10" spans="1:6" ht="18.75" x14ac:dyDescent="0.3">
      <c r="A10" s="222" t="s">
        <v>113</v>
      </c>
      <c r="B10" s="222"/>
      <c r="C10" s="222"/>
      <c r="D10" s="16">
        <f t="shared" si="0"/>
        <v>207435.96000000002</v>
      </c>
      <c r="E10" s="16">
        <f>sUMMARY!N8</f>
        <v>17286.330000000002</v>
      </c>
      <c r="F10" s="1"/>
    </row>
    <row r="11" spans="1:6" ht="18.75" x14ac:dyDescent="0.3">
      <c r="A11" s="224" t="s">
        <v>142</v>
      </c>
      <c r="B11" s="225"/>
      <c r="C11" s="226"/>
      <c r="D11" s="16">
        <f t="shared" si="0"/>
        <v>480000</v>
      </c>
      <c r="E11" s="16">
        <v>40000</v>
      </c>
      <c r="F11" s="1"/>
    </row>
    <row r="12" spans="1:6" ht="18.75" x14ac:dyDescent="0.3">
      <c r="A12" s="222" t="s">
        <v>114</v>
      </c>
      <c r="B12" s="222"/>
      <c r="C12" s="222"/>
      <c r="D12" s="16">
        <f t="shared" si="0"/>
        <v>20743.596000000005</v>
      </c>
      <c r="E12" s="16">
        <f>sUMMARY!O8</f>
        <v>1728.6330000000003</v>
      </c>
      <c r="F12" s="1"/>
    </row>
    <row r="13" spans="1:6" ht="18.75" x14ac:dyDescent="0.3">
      <c r="A13" s="222" t="s">
        <v>115</v>
      </c>
      <c r="B13" s="222"/>
      <c r="C13" s="222"/>
      <c r="D13" s="16">
        <f t="shared" si="0"/>
        <v>120000</v>
      </c>
      <c r="E13" s="16">
        <f>sUMMARY!P7</f>
        <v>10000</v>
      </c>
      <c r="F13" s="1"/>
    </row>
    <row r="14" spans="1:6" ht="18.75" x14ac:dyDescent="0.3">
      <c r="A14" s="223" t="s">
        <v>118</v>
      </c>
      <c r="B14" s="223"/>
      <c r="C14" s="223"/>
      <c r="D14" s="17">
        <f t="shared" si="0"/>
        <v>2503224.9330000002</v>
      </c>
      <c r="E14" s="17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selection activeCell="I11" sqref="I11"/>
    </sheetView>
  </sheetViews>
  <sheetFormatPr defaultRowHeight="12.75" x14ac:dyDescent="0.2"/>
  <cols>
    <col min="3" max="3" width="11.140625" customWidth="1"/>
    <col min="4" max="4" width="19" customWidth="1"/>
    <col min="5" max="5" width="18.85546875" customWidth="1"/>
  </cols>
  <sheetData>
    <row r="1" spans="1:6" ht="18.75" x14ac:dyDescent="0.3">
      <c r="A1" s="229" t="s">
        <v>133</v>
      </c>
      <c r="B1" s="229"/>
      <c r="C1" s="229"/>
      <c r="D1" s="229"/>
      <c r="E1" s="229"/>
      <c r="F1" s="229"/>
    </row>
    <row r="2" spans="1:6" ht="18.75" x14ac:dyDescent="0.3">
      <c r="A2" s="228" t="s">
        <v>136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176833.68</v>
      </c>
      <c r="E4" s="16">
        <f>sUMMARY!F9</f>
        <v>14736.14</v>
      </c>
      <c r="F4" s="1"/>
    </row>
    <row r="5" spans="1:6" ht="18.75" x14ac:dyDescent="0.3">
      <c r="A5" s="222" t="s">
        <v>109</v>
      </c>
      <c r="B5" s="222"/>
      <c r="C5" s="222"/>
      <c r="D5" s="16">
        <f t="shared" ref="D5:D14" si="0">E5*12</f>
        <v>530501.04</v>
      </c>
      <c r="E5" s="16">
        <f>sUMMARY!H9</f>
        <v>44208.42</v>
      </c>
      <c r="F5" s="1"/>
    </row>
    <row r="6" spans="1:6" ht="18.75" x14ac:dyDescent="0.3">
      <c r="A6" s="222" t="s">
        <v>110</v>
      </c>
      <c r="B6" s="222"/>
      <c r="C6" s="222"/>
      <c r="D6" s="16">
        <f t="shared" si="0"/>
        <v>13262.525999999998</v>
      </c>
      <c r="E6" s="16">
        <f>sUMMARY!I9</f>
        <v>1105.2104999999999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2" t="s">
        <v>111</v>
      </c>
      <c r="B8" s="222"/>
      <c r="C8" s="222"/>
      <c r="D8" s="16">
        <f t="shared" si="0"/>
        <v>88416.84</v>
      </c>
      <c r="E8" s="16">
        <f>sUMMARY!K9</f>
        <v>7368.07</v>
      </c>
      <c r="F8" s="1"/>
    </row>
    <row r="9" spans="1:6" ht="18.75" x14ac:dyDescent="0.3">
      <c r="A9" s="222" t="s">
        <v>112</v>
      </c>
      <c r="B9" s="222"/>
      <c r="C9" s="222"/>
      <c r="D9" s="16">
        <f t="shared" si="0"/>
        <v>618917.88</v>
      </c>
      <c r="E9" s="16">
        <f>sUMMARY!L9</f>
        <v>51576.49</v>
      </c>
      <c r="F9" s="1"/>
    </row>
    <row r="10" spans="1:6" ht="18.75" x14ac:dyDescent="0.3">
      <c r="A10" s="222" t="s">
        <v>113</v>
      </c>
      <c r="B10" s="222"/>
      <c r="C10" s="222"/>
      <c r="D10" s="16">
        <f t="shared" si="0"/>
        <v>176833.68</v>
      </c>
      <c r="E10" s="16">
        <f>sUMMARY!N9</f>
        <v>14736.14</v>
      </c>
      <c r="F10" s="1"/>
    </row>
    <row r="11" spans="1:6" ht="18.75" x14ac:dyDescent="0.3">
      <c r="A11" s="224" t="s">
        <v>147</v>
      </c>
      <c r="B11" s="225"/>
      <c r="C11" s="226"/>
      <c r="D11" s="16">
        <f t="shared" si="0"/>
        <v>480000</v>
      </c>
      <c r="E11" s="16">
        <v>40000</v>
      </c>
      <c r="F11" s="1"/>
    </row>
    <row r="12" spans="1:6" ht="18.75" x14ac:dyDescent="0.3">
      <c r="A12" s="222" t="s">
        <v>114</v>
      </c>
      <c r="B12" s="222"/>
      <c r="C12" s="222"/>
      <c r="D12" s="16">
        <f t="shared" si="0"/>
        <v>17683.368000000002</v>
      </c>
      <c r="E12" s="16">
        <f>sUMMARY!O9</f>
        <v>1473.614</v>
      </c>
      <c r="F12" s="1"/>
    </row>
    <row r="13" spans="1:6" ht="18.75" x14ac:dyDescent="0.3">
      <c r="A13" s="222" t="s">
        <v>115</v>
      </c>
      <c r="B13" s="222"/>
      <c r="C13" s="222"/>
      <c r="D13" s="16">
        <f t="shared" si="0"/>
        <v>120000</v>
      </c>
      <c r="E13" s="16">
        <f>sUMMARY!P7</f>
        <v>10000</v>
      </c>
      <c r="F13" s="1"/>
    </row>
    <row r="14" spans="1:6" ht="18.75" x14ac:dyDescent="0.3">
      <c r="A14" s="223" t="s">
        <v>118</v>
      </c>
      <c r="B14" s="223"/>
      <c r="C14" s="223"/>
      <c r="D14" s="17">
        <f t="shared" si="0"/>
        <v>2222449.014</v>
      </c>
      <c r="E14" s="17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selection activeCell="O5" sqref="O5"/>
    </sheetView>
  </sheetViews>
  <sheetFormatPr defaultRowHeight="12.75" x14ac:dyDescent="0.2"/>
  <cols>
    <col min="3" max="3" width="11.42578125" customWidth="1"/>
    <col min="4" max="4" width="22.140625" customWidth="1"/>
    <col min="5" max="5" width="22.28515625" customWidth="1"/>
  </cols>
  <sheetData>
    <row r="1" spans="1:6" ht="18.75" x14ac:dyDescent="0.3">
      <c r="A1" s="229" t="s">
        <v>284</v>
      </c>
      <c r="B1" s="229"/>
      <c r="C1" s="229"/>
      <c r="D1" s="229"/>
      <c r="E1" s="229"/>
      <c r="F1" s="229"/>
    </row>
    <row r="2" spans="1:6" ht="18.75" x14ac:dyDescent="0.3">
      <c r="A2" s="228"/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219379.68</v>
      </c>
      <c r="E4" s="16">
        <f>'Feb. 2017'!F68</f>
        <v>18281.64</v>
      </c>
      <c r="F4" s="1"/>
    </row>
    <row r="5" spans="1:6" ht="18.75" x14ac:dyDescent="0.3">
      <c r="A5" s="222" t="s">
        <v>109</v>
      </c>
      <c r="B5" s="222"/>
      <c r="C5" s="222"/>
      <c r="D5" s="16" t="e">
        <f t="shared" ref="D5:D12" si="0">E5*12</f>
        <v>#REF!</v>
      </c>
      <c r="E5" s="16" t="e">
        <f>'Feb. 2017'!#REF!</f>
        <v>#REF!</v>
      </c>
      <c r="F5" s="1"/>
    </row>
    <row r="6" spans="1:6" ht="18.75" x14ac:dyDescent="0.3">
      <c r="A6" s="222" t="s">
        <v>110</v>
      </c>
      <c r="B6" s="222"/>
      <c r="C6" s="222"/>
      <c r="D6" s="16" t="e">
        <f t="shared" si="0"/>
        <v>#REF!</v>
      </c>
      <c r="E6" s="16" t="e">
        <f>'Feb. 2017'!#REF!</f>
        <v>#REF!</v>
      </c>
      <c r="F6" s="1"/>
    </row>
    <row r="7" spans="1:6" ht="18.75" x14ac:dyDescent="0.3">
      <c r="A7" s="222" t="s">
        <v>111</v>
      </c>
      <c r="B7" s="222"/>
      <c r="C7" s="222"/>
      <c r="D7" s="16">
        <f t="shared" si="0"/>
        <v>103717.98000000001</v>
      </c>
      <c r="E7" s="16">
        <f>'Feb. 2017'!K84</f>
        <v>8643.1650000000009</v>
      </c>
      <c r="F7" s="1"/>
    </row>
    <row r="8" spans="1:6" ht="18.75" x14ac:dyDescent="0.3">
      <c r="A8" s="222" t="s">
        <v>112</v>
      </c>
      <c r="B8" s="222"/>
      <c r="C8" s="222"/>
      <c r="D8" s="16" t="e">
        <f t="shared" si="0"/>
        <v>#REF!</v>
      </c>
      <c r="E8" s="16" t="e">
        <f>'Feb. 2017'!#REF!</f>
        <v>#REF!</v>
      </c>
      <c r="F8" s="1"/>
    </row>
    <row r="9" spans="1:6" ht="18.75" x14ac:dyDescent="0.3">
      <c r="A9" s="222" t="s">
        <v>113</v>
      </c>
      <c r="B9" s="222"/>
      <c r="C9" s="222"/>
      <c r="D9" s="16">
        <f t="shared" si="0"/>
        <v>207435.96000000002</v>
      </c>
      <c r="E9" s="16">
        <f>'Feb. 2017'!N84</f>
        <v>17286.330000000002</v>
      </c>
      <c r="F9" s="1"/>
    </row>
    <row r="10" spans="1:6" ht="18.75" x14ac:dyDescent="0.3">
      <c r="A10" s="222" t="s">
        <v>114</v>
      </c>
      <c r="B10" s="222"/>
      <c r="C10" s="222"/>
      <c r="D10" s="16" t="e">
        <f t="shared" si="0"/>
        <v>#REF!</v>
      </c>
      <c r="E10" s="16" t="e">
        <f>'Feb. 2017'!#REF!</f>
        <v>#REF!</v>
      </c>
      <c r="F10" s="1"/>
    </row>
    <row r="11" spans="1:6" ht="18.75" x14ac:dyDescent="0.3">
      <c r="A11" s="222" t="s">
        <v>115</v>
      </c>
      <c r="B11" s="222"/>
      <c r="C11" s="222"/>
      <c r="D11" s="16">
        <f t="shared" si="0"/>
        <v>120000</v>
      </c>
      <c r="E11" s="16">
        <f>'Feb. 2017'!Q84</f>
        <v>10000</v>
      </c>
      <c r="F11" s="1"/>
    </row>
    <row r="12" spans="1:6" ht="18.75" x14ac:dyDescent="0.3">
      <c r="A12" s="223" t="s">
        <v>118</v>
      </c>
      <c r="B12" s="223"/>
      <c r="C12" s="223"/>
      <c r="D12" s="17" t="e">
        <f t="shared" si="0"/>
        <v>#REF!</v>
      </c>
      <c r="E12" s="17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0"/>
  <sheetViews>
    <sheetView topLeftCell="D1" workbookViewId="0">
      <selection activeCell="K4" sqref="K4"/>
    </sheetView>
  </sheetViews>
  <sheetFormatPr defaultRowHeight="12.75" x14ac:dyDescent="0.2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 x14ac:dyDescent="0.3">
      <c r="F1" s="2" t="s">
        <v>1</v>
      </c>
      <c r="G1" s="2" t="s">
        <v>102</v>
      </c>
      <c r="H1" s="2"/>
      <c r="I1" s="2"/>
      <c r="J1" s="2"/>
      <c r="K1" s="2"/>
      <c r="L1" s="2"/>
      <c r="M1" s="2" t="s">
        <v>52</v>
      </c>
      <c r="N1" s="2" t="s">
        <v>70</v>
      </c>
      <c r="O1" s="2" t="s">
        <v>143</v>
      </c>
      <c r="P1" s="2" t="s">
        <v>66</v>
      </c>
      <c r="Q1" s="2" t="s">
        <v>72</v>
      </c>
      <c r="R1" s="2" t="s">
        <v>73</v>
      </c>
      <c r="S1" s="2" t="s">
        <v>4</v>
      </c>
      <c r="T1" s="11"/>
      <c r="U1" s="7" t="s">
        <v>104</v>
      </c>
      <c r="V1" s="6" t="s">
        <v>103</v>
      </c>
    </row>
    <row r="2" spans="1:22" ht="18.75" x14ac:dyDescent="0.3">
      <c r="F2" s="2" t="s">
        <v>58</v>
      </c>
      <c r="G2" s="2" t="s">
        <v>101</v>
      </c>
      <c r="H2" s="2" t="s">
        <v>2</v>
      </c>
      <c r="I2" s="2" t="s">
        <v>3</v>
      </c>
      <c r="J2" s="2" t="s">
        <v>53</v>
      </c>
      <c r="K2" s="2" t="s">
        <v>67</v>
      </c>
      <c r="L2" s="2" t="s">
        <v>68</v>
      </c>
      <c r="M2" s="2" t="s">
        <v>69</v>
      </c>
      <c r="N2" s="2" t="s">
        <v>71</v>
      </c>
      <c r="O2" s="2" t="s">
        <v>144</v>
      </c>
      <c r="P2" s="2" t="s">
        <v>54</v>
      </c>
      <c r="Q2" s="2" t="s">
        <v>54</v>
      </c>
      <c r="R2" s="2" t="s">
        <v>74</v>
      </c>
      <c r="S2" s="2" t="s">
        <v>58</v>
      </c>
      <c r="T2" s="2" t="s">
        <v>60</v>
      </c>
      <c r="U2" s="7"/>
      <c r="V2" s="6"/>
    </row>
    <row r="3" spans="1:22" ht="18.75" x14ac:dyDescent="0.3">
      <c r="A3" s="230" t="s">
        <v>124</v>
      </c>
      <c r="B3" s="231"/>
      <c r="C3" s="232"/>
      <c r="D3" s="18"/>
      <c r="E3" s="18" t="s">
        <v>345</v>
      </c>
      <c r="F3" s="19">
        <v>79039.64</v>
      </c>
      <c r="G3" s="19"/>
      <c r="H3" s="19">
        <f t="shared" ref="H3:H10" si="0">F3*300%</f>
        <v>237118.91999999998</v>
      </c>
      <c r="I3" s="19">
        <f t="shared" ref="I3:I10" si="1">F3*7.5%</f>
        <v>5927.973</v>
      </c>
      <c r="J3" s="19">
        <v>80244.38</v>
      </c>
      <c r="K3" s="19">
        <f t="shared" ref="K3:K10" si="2">F3*50%</f>
        <v>39519.82</v>
      </c>
      <c r="L3" s="19">
        <f t="shared" ref="L3:L10" si="3">F3*350%</f>
        <v>276638.74</v>
      </c>
      <c r="M3" s="19">
        <v>0</v>
      </c>
      <c r="N3" s="19">
        <f t="shared" ref="N3:N10" si="4">F3*100%</f>
        <v>79039.64</v>
      </c>
      <c r="O3" s="19">
        <f t="shared" ref="O3:O10" si="5">F3*10%</f>
        <v>7903.9639999999999</v>
      </c>
      <c r="P3" s="19">
        <v>20000</v>
      </c>
      <c r="Q3" s="19">
        <v>0</v>
      </c>
      <c r="R3" s="19">
        <f t="shared" ref="R3:R10" si="6">SUM(F3:Q3)</f>
        <v>825433.07700000005</v>
      </c>
      <c r="S3" s="19"/>
      <c r="T3" s="12"/>
      <c r="U3" s="14"/>
    </row>
    <row r="4" spans="1:22" ht="18.75" x14ac:dyDescent="0.3">
      <c r="A4" s="230" t="s">
        <v>344</v>
      </c>
      <c r="B4" s="231"/>
      <c r="C4" s="232"/>
      <c r="D4" s="18"/>
      <c r="E4" s="18" t="s">
        <v>346</v>
      </c>
      <c r="F4" s="19">
        <v>36784.71</v>
      </c>
      <c r="G4" s="19"/>
      <c r="H4" s="19">
        <f t="shared" si="0"/>
        <v>110354.13</v>
      </c>
      <c r="I4" s="19">
        <f t="shared" si="1"/>
        <v>2758.8532499999997</v>
      </c>
      <c r="J4" s="19">
        <v>80244.38</v>
      </c>
      <c r="K4" s="19">
        <f t="shared" si="2"/>
        <v>18392.355</v>
      </c>
      <c r="L4" s="19">
        <f t="shared" si="3"/>
        <v>128746.485</v>
      </c>
      <c r="M4" s="19"/>
      <c r="N4" s="19">
        <f t="shared" si="4"/>
        <v>36784.71</v>
      </c>
      <c r="O4" s="19">
        <f t="shared" si="5"/>
        <v>3678.471</v>
      </c>
      <c r="P4" s="19">
        <v>20000</v>
      </c>
      <c r="Q4" s="19">
        <v>0</v>
      </c>
      <c r="R4" s="19">
        <f t="shared" si="6"/>
        <v>437744.09425000002</v>
      </c>
      <c r="S4" s="19"/>
      <c r="T4" s="12"/>
      <c r="U4" s="14"/>
    </row>
    <row r="5" spans="1:22" ht="18.75" x14ac:dyDescent="0.3">
      <c r="A5" s="233" t="s">
        <v>125</v>
      </c>
      <c r="B5" s="234"/>
      <c r="C5" s="235"/>
      <c r="D5" s="21"/>
      <c r="E5" s="24" t="s">
        <v>146</v>
      </c>
      <c r="F5" s="22">
        <v>24975.81</v>
      </c>
      <c r="G5" s="19">
        <v>0</v>
      </c>
      <c r="H5" s="22">
        <f>F5*300%</f>
        <v>74927.430000000008</v>
      </c>
      <c r="I5" s="22">
        <f>F5*7.5%</f>
        <v>1873.1857500000001</v>
      </c>
      <c r="J5" s="22">
        <v>0</v>
      </c>
      <c r="K5" s="22">
        <f>F5*50%</f>
        <v>12487.905000000001</v>
      </c>
      <c r="L5" s="22">
        <f>F5*350%</f>
        <v>87415.335000000006</v>
      </c>
      <c r="M5" s="22">
        <v>0</v>
      </c>
      <c r="N5" s="22">
        <f>F5*100%</f>
        <v>24975.81</v>
      </c>
      <c r="O5" s="22">
        <v>100000</v>
      </c>
      <c r="P5" s="22">
        <f>F5*10%</f>
        <v>2497.5810000000001</v>
      </c>
      <c r="Q5" s="22">
        <v>20000</v>
      </c>
      <c r="R5" s="22">
        <v>0</v>
      </c>
      <c r="S5" s="19">
        <f>SUM(F5:R5)</f>
        <v>349153.05674999999</v>
      </c>
      <c r="T5" s="19">
        <v>0</v>
      </c>
      <c r="U5" s="23">
        <f>S5-T5</f>
        <v>349153.05674999999</v>
      </c>
      <c r="V5" s="19">
        <v>344720.6</v>
      </c>
    </row>
    <row r="6" spans="1:22" ht="18.75" x14ac:dyDescent="0.3">
      <c r="A6" s="230" t="s">
        <v>127</v>
      </c>
      <c r="B6" s="231"/>
      <c r="C6" s="232"/>
      <c r="D6" s="18"/>
      <c r="E6" s="18" t="s">
        <v>126</v>
      </c>
      <c r="F6" s="19">
        <v>23891.119999999999</v>
      </c>
      <c r="G6" s="19"/>
      <c r="H6" s="19">
        <f t="shared" si="0"/>
        <v>71673.36</v>
      </c>
      <c r="I6" s="19">
        <f t="shared" si="1"/>
        <v>1791.8339999999998</v>
      </c>
      <c r="J6" s="19">
        <v>0</v>
      </c>
      <c r="K6" s="19">
        <f t="shared" si="2"/>
        <v>11945.56</v>
      </c>
      <c r="L6" s="19">
        <f t="shared" si="3"/>
        <v>83618.92</v>
      </c>
      <c r="M6" s="19">
        <v>0</v>
      </c>
      <c r="N6" s="19">
        <f t="shared" si="4"/>
        <v>23891.119999999999</v>
      </c>
      <c r="O6" s="19">
        <f t="shared" si="5"/>
        <v>2389.1120000000001</v>
      </c>
      <c r="P6" s="19">
        <v>15000</v>
      </c>
      <c r="Q6" s="19">
        <v>0</v>
      </c>
      <c r="R6" s="19">
        <f t="shared" si="6"/>
        <v>234201.02599999998</v>
      </c>
      <c r="S6" s="19"/>
      <c r="T6" s="12"/>
      <c r="U6" s="14"/>
    </row>
    <row r="7" spans="1:22" ht="18.75" x14ac:dyDescent="0.3">
      <c r="A7" s="230" t="s">
        <v>145</v>
      </c>
      <c r="B7" s="231"/>
      <c r="C7" s="232"/>
      <c r="D7" s="18"/>
      <c r="E7" s="18" t="s">
        <v>128</v>
      </c>
      <c r="F7" s="19">
        <v>21293.96</v>
      </c>
      <c r="G7" s="19"/>
      <c r="H7" s="19">
        <f t="shared" si="0"/>
        <v>63881.88</v>
      </c>
      <c r="I7" s="19">
        <f t="shared" si="1"/>
        <v>1597.0469999999998</v>
      </c>
      <c r="J7" s="19">
        <v>0</v>
      </c>
      <c r="K7" s="19">
        <f t="shared" si="2"/>
        <v>10646.98</v>
      </c>
      <c r="L7" s="19">
        <f t="shared" si="3"/>
        <v>74528.86</v>
      </c>
      <c r="M7" s="19">
        <v>0</v>
      </c>
      <c r="N7" s="19">
        <f t="shared" si="4"/>
        <v>21293.96</v>
      </c>
      <c r="O7" s="19">
        <f t="shared" si="5"/>
        <v>2129.3960000000002</v>
      </c>
      <c r="P7" s="19">
        <v>10000</v>
      </c>
      <c r="Q7" s="19">
        <v>0</v>
      </c>
      <c r="R7" s="19">
        <f t="shared" si="6"/>
        <v>205372.08300000001</v>
      </c>
      <c r="S7" s="19"/>
      <c r="T7" s="12"/>
      <c r="U7" s="14"/>
    </row>
    <row r="8" spans="1:22" ht="18.75" x14ac:dyDescent="0.3">
      <c r="A8" s="230" t="s">
        <v>131</v>
      </c>
      <c r="B8" s="231"/>
      <c r="C8" s="232"/>
      <c r="D8" s="18"/>
      <c r="E8" s="18" t="s">
        <v>132</v>
      </c>
      <c r="F8" s="19">
        <v>17286.330000000002</v>
      </c>
      <c r="G8" s="19"/>
      <c r="H8" s="19">
        <f t="shared" si="0"/>
        <v>51858.990000000005</v>
      </c>
      <c r="I8" s="19">
        <f t="shared" si="1"/>
        <v>1296.4747500000001</v>
      </c>
      <c r="J8" s="19">
        <v>0</v>
      </c>
      <c r="K8" s="19">
        <f t="shared" si="2"/>
        <v>8643.1650000000009</v>
      </c>
      <c r="L8" s="19">
        <f t="shared" si="3"/>
        <v>60502.155000000006</v>
      </c>
      <c r="M8" s="19">
        <v>0</v>
      </c>
      <c r="N8" s="19">
        <f t="shared" si="4"/>
        <v>17286.330000000002</v>
      </c>
      <c r="O8" s="19">
        <f t="shared" si="5"/>
        <v>1728.6330000000003</v>
      </c>
      <c r="P8" s="19">
        <v>10000</v>
      </c>
      <c r="Q8" s="19">
        <v>0</v>
      </c>
      <c r="R8" s="19">
        <f t="shared" si="6"/>
        <v>168602.07775000003</v>
      </c>
      <c r="S8" s="19"/>
      <c r="T8" s="12"/>
      <c r="U8" s="14"/>
    </row>
    <row r="9" spans="1:22" ht="18.75" x14ac:dyDescent="0.3">
      <c r="A9" s="230" t="s">
        <v>134</v>
      </c>
      <c r="B9" s="231"/>
      <c r="C9" s="232"/>
      <c r="D9" s="18"/>
      <c r="E9" s="18" t="s">
        <v>135</v>
      </c>
      <c r="F9" s="19">
        <v>14736.14</v>
      </c>
      <c r="G9" s="19"/>
      <c r="H9" s="19">
        <f t="shared" si="0"/>
        <v>44208.42</v>
      </c>
      <c r="I9" s="19">
        <f t="shared" si="1"/>
        <v>1105.2104999999999</v>
      </c>
      <c r="J9" s="19">
        <v>0</v>
      </c>
      <c r="K9" s="19">
        <f t="shared" si="2"/>
        <v>7368.07</v>
      </c>
      <c r="L9" s="19">
        <f t="shared" si="3"/>
        <v>51576.49</v>
      </c>
      <c r="M9" s="19">
        <v>0</v>
      </c>
      <c r="N9" s="19">
        <f t="shared" si="4"/>
        <v>14736.14</v>
      </c>
      <c r="O9" s="19">
        <f t="shared" si="5"/>
        <v>1473.614</v>
      </c>
      <c r="P9" s="19">
        <v>10000</v>
      </c>
      <c r="Q9" s="19">
        <v>0</v>
      </c>
      <c r="R9" s="19">
        <f t="shared" si="6"/>
        <v>145204.0845</v>
      </c>
      <c r="S9" s="19"/>
      <c r="T9" s="12"/>
      <c r="U9" s="14"/>
    </row>
    <row r="10" spans="1:22" ht="18.75" x14ac:dyDescent="0.3">
      <c r="A10" s="230"/>
      <c r="B10" s="231"/>
      <c r="C10" s="232"/>
      <c r="D10" s="18"/>
      <c r="E10" s="18" t="s">
        <v>137</v>
      </c>
      <c r="F10" s="19">
        <v>12351.94</v>
      </c>
      <c r="G10" s="19"/>
      <c r="H10" s="19">
        <f t="shared" si="0"/>
        <v>37055.82</v>
      </c>
      <c r="I10" s="19">
        <f t="shared" si="1"/>
        <v>926.39549999999997</v>
      </c>
      <c r="J10" s="19">
        <v>0</v>
      </c>
      <c r="K10" s="19">
        <f t="shared" si="2"/>
        <v>6175.97</v>
      </c>
      <c r="L10" s="19">
        <f t="shared" si="3"/>
        <v>43231.79</v>
      </c>
      <c r="M10" s="19">
        <v>0</v>
      </c>
      <c r="N10" s="19">
        <f t="shared" si="4"/>
        <v>12351.94</v>
      </c>
      <c r="O10" s="19">
        <f t="shared" si="5"/>
        <v>1235.1940000000002</v>
      </c>
      <c r="P10" s="19">
        <v>10000</v>
      </c>
      <c r="Q10" s="19">
        <v>0</v>
      </c>
      <c r="R10" s="19">
        <f t="shared" si="6"/>
        <v>123329.04950000001</v>
      </c>
      <c r="S10" s="19"/>
      <c r="T10" s="12"/>
      <c r="U10" s="14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4"/>
  <sheetViews>
    <sheetView workbookViewId="0">
      <selection activeCell="H20" sqref="H20"/>
    </sheetView>
  </sheetViews>
  <sheetFormatPr defaultRowHeight="12.75" x14ac:dyDescent="0.2"/>
  <cols>
    <col min="3" max="3" width="15.28515625" customWidth="1"/>
    <col min="4" max="4" width="18.7109375" customWidth="1"/>
    <col min="5" max="5" width="18.85546875" customWidth="1"/>
  </cols>
  <sheetData>
    <row r="1" spans="1:6" ht="18.75" x14ac:dyDescent="0.3">
      <c r="A1" s="229" t="s">
        <v>363</v>
      </c>
      <c r="B1" s="229"/>
      <c r="C1" s="229"/>
      <c r="D1" s="229"/>
      <c r="E1" s="229"/>
      <c r="F1" s="229"/>
    </row>
    <row r="2" spans="1:6" ht="18.75" x14ac:dyDescent="0.3">
      <c r="A2" s="228" t="s">
        <v>148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>
        <f>E4*12</f>
        <v>299709.72000000003</v>
      </c>
      <c r="E4" s="16">
        <f>sUMMARY!F5</f>
        <v>24975.81</v>
      </c>
      <c r="F4" s="1"/>
    </row>
    <row r="5" spans="1:6" ht="18.75" x14ac:dyDescent="0.3">
      <c r="A5" s="222" t="s">
        <v>109</v>
      </c>
      <c r="B5" s="222"/>
      <c r="C5" s="222"/>
      <c r="D5" s="16">
        <f t="shared" ref="D5:D14" si="0">E5*12</f>
        <v>899129.16000000015</v>
      </c>
      <c r="E5" s="16">
        <f>sUMMARY!H5</f>
        <v>74927.430000000008</v>
      </c>
      <c r="F5" s="1"/>
    </row>
    <row r="6" spans="1:6" ht="18.75" x14ac:dyDescent="0.3">
      <c r="A6" s="222" t="s">
        <v>110</v>
      </c>
      <c r="B6" s="222"/>
      <c r="C6" s="222"/>
      <c r="D6" s="16">
        <f t="shared" si="0"/>
        <v>22478.228999999999</v>
      </c>
      <c r="E6" s="16">
        <f>sUMMARY!I5</f>
        <v>1873.1857500000001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2" t="s">
        <v>111</v>
      </c>
      <c r="B8" s="222"/>
      <c r="C8" s="222"/>
      <c r="D8" s="16">
        <f t="shared" si="0"/>
        <v>149854.86000000002</v>
      </c>
      <c r="E8" s="16">
        <f>sUMMARY!K5</f>
        <v>12487.905000000001</v>
      </c>
      <c r="F8" s="1"/>
    </row>
    <row r="9" spans="1:6" ht="18.75" x14ac:dyDescent="0.3">
      <c r="A9" s="222" t="s">
        <v>112</v>
      </c>
      <c r="B9" s="222"/>
      <c r="C9" s="222"/>
      <c r="D9" s="16">
        <f t="shared" si="0"/>
        <v>1048984.02</v>
      </c>
      <c r="E9" s="16">
        <f>sUMMARY!L5</f>
        <v>87415.335000000006</v>
      </c>
      <c r="F9" s="1"/>
    </row>
    <row r="10" spans="1:6" ht="18.75" x14ac:dyDescent="0.3">
      <c r="A10" s="222" t="s">
        <v>113</v>
      </c>
      <c r="B10" s="222"/>
      <c r="C10" s="222"/>
      <c r="D10" s="16">
        <f t="shared" si="0"/>
        <v>299709.72000000003</v>
      </c>
      <c r="E10" s="16">
        <f>sUMMARY!N5</f>
        <v>24975.81</v>
      </c>
      <c r="F10" s="1"/>
    </row>
    <row r="11" spans="1:6" ht="18.75" x14ac:dyDescent="0.3">
      <c r="A11" s="224" t="s">
        <v>142</v>
      </c>
      <c r="B11" s="225"/>
      <c r="C11" s="226"/>
      <c r="D11" s="16">
        <f t="shared" si="0"/>
        <v>0</v>
      </c>
      <c r="E11" s="16">
        <v>0</v>
      </c>
      <c r="F11" s="1"/>
    </row>
    <row r="12" spans="1:6" ht="18.75" x14ac:dyDescent="0.3">
      <c r="A12" s="222" t="s">
        <v>114</v>
      </c>
      <c r="B12" s="222"/>
      <c r="C12" s="222"/>
      <c r="D12" s="16">
        <f t="shared" si="0"/>
        <v>29970.972000000002</v>
      </c>
      <c r="E12" s="16">
        <f>sUMMARY!P5</f>
        <v>2497.5810000000001</v>
      </c>
      <c r="F12" s="1"/>
    </row>
    <row r="13" spans="1:6" ht="18.75" x14ac:dyDescent="0.3">
      <c r="A13" s="222" t="s">
        <v>115</v>
      </c>
      <c r="B13" s="222"/>
      <c r="C13" s="222"/>
      <c r="D13" s="16">
        <f t="shared" si="0"/>
        <v>240000</v>
      </c>
      <c r="E13" s="16">
        <f>sUMMARY!Q5</f>
        <v>20000</v>
      </c>
      <c r="F13" s="1"/>
    </row>
    <row r="14" spans="1:6" ht="18.75" x14ac:dyDescent="0.3">
      <c r="A14" s="223" t="s">
        <v>118</v>
      </c>
      <c r="B14" s="223"/>
      <c r="C14" s="223"/>
      <c r="D14" s="17">
        <f t="shared" si="0"/>
        <v>2989836.6810000003</v>
      </c>
      <c r="E14" s="17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6"/>
  <sheetViews>
    <sheetView view="pageBreakPreview" zoomScale="60" workbookViewId="0">
      <selection activeCell="A4" sqref="A4:C4"/>
    </sheetView>
  </sheetViews>
  <sheetFormatPr defaultRowHeight="12.75" x14ac:dyDescent="0.2"/>
  <cols>
    <col min="3" max="3" width="25.42578125" customWidth="1"/>
    <col min="4" max="4" width="36.85546875" customWidth="1"/>
    <col min="5" max="5" width="21.42578125" customWidth="1"/>
  </cols>
  <sheetData>
    <row r="1" spans="1:5" ht="20.25" customHeight="1" x14ac:dyDescent="0.3">
      <c r="A1" s="236" t="s">
        <v>154</v>
      </c>
      <c r="B1" s="236"/>
      <c r="C1" s="236"/>
      <c r="D1" s="236"/>
      <c r="E1" s="236"/>
    </row>
    <row r="2" spans="1:5" ht="18" x14ac:dyDescent="0.25">
      <c r="A2" s="243" t="s">
        <v>0</v>
      </c>
      <c r="B2" s="244"/>
      <c r="C2" s="244"/>
      <c r="D2" s="32"/>
      <c r="E2" s="32"/>
    </row>
    <row r="3" spans="1:5" ht="18" x14ac:dyDescent="0.25">
      <c r="A3" s="200"/>
      <c r="B3" s="200"/>
      <c r="C3" s="200"/>
      <c r="D3" s="33" t="s">
        <v>13</v>
      </c>
      <c r="E3" s="33" t="s">
        <v>59</v>
      </c>
    </row>
    <row r="4" spans="1:5" ht="18" x14ac:dyDescent="0.25">
      <c r="A4" s="201"/>
      <c r="B4" s="201"/>
      <c r="C4" s="201"/>
      <c r="D4" s="33"/>
      <c r="E4" s="33" t="s">
        <v>57</v>
      </c>
    </row>
    <row r="5" spans="1:5" ht="18" x14ac:dyDescent="0.25">
      <c r="A5" s="199" t="s">
        <v>22</v>
      </c>
      <c r="B5" s="199"/>
      <c r="C5" s="199"/>
      <c r="D5" s="35"/>
      <c r="E5" s="35"/>
    </row>
    <row r="6" spans="1:5" ht="18" x14ac:dyDescent="0.25">
      <c r="A6" s="191" t="s">
        <v>46</v>
      </c>
      <c r="B6" s="191"/>
      <c r="C6" s="191"/>
      <c r="D6" s="36" t="s">
        <v>21</v>
      </c>
      <c r="E6" s="36" t="s">
        <v>55</v>
      </c>
    </row>
    <row r="7" spans="1:5" ht="18" x14ac:dyDescent="0.25">
      <c r="A7" s="191" t="s">
        <v>81</v>
      </c>
      <c r="B7" s="191"/>
      <c r="C7" s="191"/>
      <c r="D7" s="36" t="s">
        <v>82</v>
      </c>
      <c r="E7" s="36" t="s">
        <v>49</v>
      </c>
    </row>
    <row r="8" spans="1:5" ht="18" x14ac:dyDescent="0.25">
      <c r="A8" s="191" t="s">
        <v>93</v>
      </c>
      <c r="B8" s="191"/>
      <c r="C8" s="191"/>
      <c r="D8" s="36" t="s">
        <v>84</v>
      </c>
      <c r="E8" s="36" t="s">
        <v>49</v>
      </c>
    </row>
    <row r="9" spans="1:5" ht="18" x14ac:dyDescent="0.25">
      <c r="A9" s="192" t="s">
        <v>23</v>
      </c>
      <c r="B9" s="192"/>
      <c r="C9" s="192"/>
      <c r="D9" s="37" t="s">
        <v>29</v>
      </c>
      <c r="E9" s="38" t="s">
        <v>50</v>
      </c>
    </row>
    <row r="10" spans="1:5" ht="18" x14ac:dyDescent="0.25">
      <c r="A10" s="192" t="s">
        <v>24</v>
      </c>
      <c r="B10" s="192"/>
      <c r="C10" s="192"/>
      <c r="D10" s="37" t="s">
        <v>25</v>
      </c>
      <c r="E10" s="37" t="s">
        <v>47</v>
      </c>
    </row>
    <row r="11" spans="1:5" ht="18" x14ac:dyDescent="0.25">
      <c r="A11" s="191" t="s">
        <v>26</v>
      </c>
      <c r="B11" s="191"/>
      <c r="C11" s="191"/>
      <c r="D11" s="36" t="s">
        <v>27</v>
      </c>
      <c r="E11" s="36" t="s">
        <v>56</v>
      </c>
    </row>
    <row r="12" spans="1:5" ht="18" x14ac:dyDescent="0.25">
      <c r="A12" s="242"/>
      <c r="B12" s="242"/>
      <c r="C12" s="242"/>
      <c r="D12" s="37"/>
      <c r="E12" s="37"/>
    </row>
    <row r="13" spans="1:5" ht="18" x14ac:dyDescent="0.25">
      <c r="A13" s="205" t="s">
        <v>94</v>
      </c>
      <c r="B13" s="205"/>
      <c r="C13" s="205"/>
      <c r="D13" s="40"/>
      <c r="E13" s="40"/>
    </row>
    <row r="14" spans="1:5" ht="18" x14ac:dyDescent="0.25">
      <c r="A14" s="41" t="s">
        <v>12</v>
      </c>
      <c r="B14" s="41"/>
      <c r="C14" s="41"/>
      <c r="D14" s="36" t="s">
        <v>28</v>
      </c>
      <c r="E14" s="36" t="s">
        <v>49</v>
      </c>
    </row>
    <row r="15" spans="1:5" ht="18" x14ac:dyDescent="0.25">
      <c r="A15" s="239"/>
      <c r="B15" s="240"/>
      <c r="C15" s="241"/>
      <c r="D15" s="34"/>
      <c r="E15" s="39"/>
    </row>
    <row r="16" spans="1:5" ht="18" x14ac:dyDescent="0.25">
      <c r="A16" s="42" t="s">
        <v>95</v>
      </c>
      <c r="B16" s="42"/>
      <c r="C16" s="42"/>
      <c r="D16" s="42"/>
      <c r="E16" s="39"/>
    </row>
    <row r="17" spans="1:5" ht="18" x14ac:dyDescent="0.25">
      <c r="A17" s="191" t="s">
        <v>31</v>
      </c>
      <c r="B17" s="191"/>
      <c r="C17" s="191"/>
      <c r="D17" s="37" t="s">
        <v>96</v>
      </c>
      <c r="E17" s="37" t="s">
        <v>49</v>
      </c>
    </row>
    <row r="18" spans="1:5" ht="18" x14ac:dyDescent="0.25">
      <c r="A18" s="187" t="s">
        <v>33</v>
      </c>
      <c r="B18" s="238"/>
      <c r="C18" s="188"/>
      <c r="D18" s="37" t="s">
        <v>97</v>
      </c>
      <c r="E18" s="43" t="s">
        <v>49</v>
      </c>
    </row>
    <row r="19" spans="1:5" ht="18" x14ac:dyDescent="0.25">
      <c r="A19" s="191" t="s">
        <v>11</v>
      </c>
      <c r="B19" s="191"/>
      <c r="C19" s="191"/>
      <c r="D19" s="37" t="s">
        <v>32</v>
      </c>
      <c r="E19" s="37" t="s">
        <v>119</v>
      </c>
    </row>
    <row r="20" spans="1:5" ht="18" x14ac:dyDescent="0.25">
      <c r="A20" s="44"/>
      <c r="B20" s="45"/>
      <c r="C20" s="46"/>
      <c r="D20" s="34"/>
      <c r="E20" s="39"/>
    </row>
    <row r="21" spans="1:5" ht="18" x14ac:dyDescent="0.25">
      <c r="A21" s="196" t="s">
        <v>153</v>
      </c>
      <c r="B21" s="237"/>
      <c r="C21" s="197"/>
      <c r="D21" s="34"/>
      <c r="E21" s="39"/>
    </row>
    <row r="22" spans="1:5" ht="18" x14ac:dyDescent="0.25">
      <c r="A22" s="196" t="s">
        <v>149</v>
      </c>
      <c r="B22" s="237"/>
      <c r="C22" s="197"/>
      <c r="D22" s="36" t="s">
        <v>150</v>
      </c>
      <c r="E22" s="36" t="s">
        <v>151</v>
      </c>
    </row>
    <row r="23" spans="1:5" ht="18" x14ac:dyDescent="0.25">
      <c r="A23" s="191" t="s">
        <v>34</v>
      </c>
      <c r="B23" s="191"/>
      <c r="C23" s="191"/>
      <c r="D23" s="36" t="s">
        <v>35</v>
      </c>
      <c r="E23" s="36" t="s">
        <v>49</v>
      </c>
    </row>
    <row r="24" spans="1:5" ht="18" x14ac:dyDescent="0.25">
      <c r="A24" s="191" t="s">
        <v>36</v>
      </c>
      <c r="B24" s="191"/>
      <c r="C24" s="191"/>
      <c r="D24" s="36" t="s">
        <v>51</v>
      </c>
      <c r="E24" s="36" t="s">
        <v>49</v>
      </c>
    </row>
    <row r="25" spans="1:5" ht="18" x14ac:dyDescent="0.25">
      <c r="A25" s="191" t="s">
        <v>37</v>
      </c>
      <c r="B25" s="191"/>
      <c r="C25" s="191"/>
      <c r="D25" s="36" t="s">
        <v>38</v>
      </c>
      <c r="E25" s="36" t="s">
        <v>80</v>
      </c>
    </row>
    <row r="26" spans="1:5" ht="18" x14ac:dyDescent="0.25">
      <c r="A26" s="196" t="s">
        <v>138</v>
      </c>
      <c r="B26" s="237"/>
      <c r="C26" s="197"/>
      <c r="D26" s="36" t="s">
        <v>139</v>
      </c>
      <c r="E26" s="36" t="s">
        <v>140</v>
      </c>
    </row>
    <row r="27" spans="1:5" ht="18" x14ac:dyDescent="0.25">
      <c r="A27" s="191" t="s">
        <v>6</v>
      </c>
      <c r="B27" s="191"/>
      <c r="C27" s="191"/>
      <c r="D27" s="36" t="s">
        <v>39</v>
      </c>
      <c r="E27" s="36" t="s">
        <v>79</v>
      </c>
    </row>
    <row r="28" spans="1:5" ht="18" x14ac:dyDescent="0.25">
      <c r="A28" s="41" t="s">
        <v>7</v>
      </c>
      <c r="B28" s="41"/>
      <c r="C28" s="41"/>
      <c r="D28" s="37" t="s">
        <v>30</v>
      </c>
      <c r="E28" s="37" t="s">
        <v>79</v>
      </c>
    </row>
    <row r="29" spans="1:5" ht="18" x14ac:dyDescent="0.25">
      <c r="A29" s="191" t="s">
        <v>62</v>
      </c>
      <c r="B29" s="191"/>
      <c r="C29" s="191"/>
      <c r="D29" s="36" t="s">
        <v>30</v>
      </c>
      <c r="E29" s="36" t="s">
        <v>78</v>
      </c>
    </row>
    <row r="30" spans="1:5" ht="18" x14ac:dyDescent="0.25">
      <c r="A30" s="191" t="s">
        <v>19</v>
      </c>
      <c r="B30" s="191"/>
      <c r="C30" s="191"/>
      <c r="D30" s="36" t="s">
        <v>30</v>
      </c>
      <c r="E30" s="36" t="s">
        <v>79</v>
      </c>
    </row>
    <row r="31" spans="1:5" ht="18" x14ac:dyDescent="0.25">
      <c r="A31" s="191" t="s">
        <v>45</v>
      </c>
      <c r="B31" s="191"/>
      <c r="C31" s="191"/>
      <c r="D31" s="36" t="s">
        <v>15</v>
      </c>
      <c r="E31" s="36" t="s">
        <v>56</v>
      </c>
    </row>
    <row r="32" spans="1:5" ht="18" x14ac:dyDescent="0.25">
      <c r="A32" s="41" t="s">
        <v>40</v>
      </c>
      <c r="B32" s="41"/>
      <c r="C32" s="41"/>
      <c r="D32" s="36" t="s">
        <v>14</v>
      </c>
      <c r="E32" s="36" t="s">
        <v>48</v>
      </c>
    </row>
    <row r="33" spans="1:5" ht="18" x14ac:dyDescent="0.25">
      <c r="A33" s="191" t="s">
        <v>17</v>
      </c>
      <c r="B33" s="191"/>
      <c r="C33" s="191"/>
      <c r="D33" s="36" t="s">
        <v>14</v>
      </c>
      <c r="E33" s="36" t="s">
        <v>48</v>
      </c>
    </row>
    <row r="34" spans="1:5" ht="18" x14ac:dyDescent="0.25">
      <c r="A34" s="191" t="s">
        <v>16</v>
      </c>
      <c r="B34" s="191"/>
      <c r="C34" s="191"/>
      <c r="D34" s="36" t="s">
        <v>14</v>
      </c>
      <c r="E34" s="36" t="s">
        <v>48</v>
      </c>
    </row>
    <row r="35" spans="1:5" ht="18" x14ac:dyDescent="0.25">
      <c r="A35" s="191" t="s">
        <v>41</v>
      </c>
      <c r="B35" s="191"/>
      <c r="C35" s="191"/>
      <c r="D35" s="36" t="s">
        <v>14</v>
      </c>
      <c r="E35" s="36" t="s">
        <v>48</v>
      </c>
    </row>
    <row r="36" spans="1:5" ht="18" x14ac:dyDescent="0.25">
      <c r="A36" s="191" t="s">
        <v>42</v>
      </c>
      <c r="B36" s="191"/>
      <c r="C36" s="191"/>
      <c r="D36" s="36" t="s">
        <v>14</v>
      </c>
      <c r="E36" s="36" t="s">
        <v>48</v>
      </c>
    </row>
    <row r="37" spans="1:5" ht="18" x14ac:dyDescent="0.25">
      <c r="A37" s="191" t="s">
        <v>43</v>
      </c>
      <c r="B37" s="191"/>
      <c r="C37" s="191"/>
      <c r="D37" s="36" t="s">
        <v>14</v>
      </c>
      <c r="E37" s="36" t="s">
        <v>48</v>
      </c>
    </row>
    <row r="38" spans="1:5" ht="18" x14ac:dyDescent="0.25">
      <c r="A38" s="191" t="s">
        <v>44</v>
      </c>
      <c r="B38" s="191"/>
      <c r="C38" s="191"/>
      <c r="D38" s="36" t="s">
        <v>14</v>
      </c>
      <c r="E38" s="36" t="s">
        <v>48</v>
      </c>
    </row>
    <row r="39" spans="1:5" ht="18" x14ac:dyDescent="0.25">
      <c r="A39" s="36" t="s">
        <v>18</v>
      </c>
      <c r="B39" s="36"/>
      <c r="C39" s="36"/>
      <c r="D39" s="37" t="s">
        <v>14</v>
      </c>
      <c r="E39" s="37" t="s">
        <v>48</v>
      </c>
    </row>
    <row r="40" spans="1:5" ht="18" x14ac:dyDescent="0.25">
      <c r="A40" s="191" t="s">
        <v>63</v>
      </c>
      <c r="B40" s="191"/>
      <c r="C40" s="191"/>
      <c r="D40" s="36" t="s">
        <v>14</v>
      </c>
      <c r="E40" s="36" t="s">
        <v>65</v>
      </c>
    </row>
    <row r="41" spans="1:5" ht="18" x14ac:dyDescent="0.25">
      <c r="A41" s="191" t="s">
        <v>64</v>
      </c>
      <c r="B41" s="191"/>
      <c r="C41" s="191"/>
      <c r="D41" s="36" t="s">
        <v>14</v>
      </c>
      <c r="E41" s="36" t="s">
        <v>65</v>
      </c>
    </row>
    <row r="42" spans="1:5" ht="18" x14ac:dyDescent="0.25">
      <c r="A42" s="192" t="s">
        <v>85</v>
      </c>
      <c r="B42" s="192"/>
      <c r="C42" s="192"/>
      <c r="D42" s="36" t="s">
        <v>89</v>
      </c>
      <c r="E42" s="36"/>
    </row>
    <row r="43" spans="1:5" ht="18" x14ac:dyDescent="0.25">
      <c r="A43" s="192" t="s">
        <v>98</v>
      </c>
      <c r="B43" s="192"/>
      <c r="C43" s="192"/>
      <c r="D43" s="36" t="s">
        <v>89</v>
      </c>
      <c r="E43" s="36"/>
    </row>
    <row r="44" spans="1:5" ht="18" x14ac:dyDescent="0.25">
      <c r="A44" s="192" t="s">
        <v>86</v>
      </c>
      <c r="B44" s="192"/>
      <c r="C44" s="192"/>
      <c r="D44" s="36" t="s">
        <v>90</v>
      </c>
      <c r="E44" s="36"/>
    </row>
    <row r="45" spans="1:5" ht="18" x14ac:dyDescent="0.25">
      <c r="A45" s="192" t="s">
        <v>87</v>
      </c>
      <c r="B45" s="192"/>
      <c r="C45" s="192"/>
      <c r="D45" s="36" t="s">
        <v>90</v>
      </c>
      <c r="E45" s="36"/>
    </row>
    <row r="46" spans="1:5" ht="18" x14ac:dyDescent="0.25">
      <c r="A46" s="192" t="s">
        <v>88</v>
      </c>
      <c r="B46" s="192"/>
      <c r="C46" s="192"/>
      <c r="D46" s="36" t="s">
        <v>90</v>
      </c>
      <c r="E46" s="36"/>
    </row>
  </sheetData>
  <mergeCells count="40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8:C18"/>
    <mergeCell ref="A13:C13"/>
    <mergeCell ref="A15:C15"/>
    <mergeCell ref="A17:C17"/>
    <mergeCell ref="A11:C11"/>
    <mergeCell ref="A12:C12"/>
    <mergeCell ref="A19:C19"/>
    <mergeCell ref="A30:C30"/>
    <mergeCell ref="A31:C31"/>
    <mergeCell ref="A33:C33"/>
    <mergeCell ref="A23:C23"/>
    <mergeCell ref="A24:C24"/>
    <mergeCell ref="A25:C25"/>
    <mergeCell ref="A22:C22"/>
    <mergeCell ref="A21:C21"/>
    <mergeCell ref="A46:C46"/>
    <mergeCell ref="A34:C34"/>
    <mergeCell ref="A35:C35"/>
    <mergeCell ref="A1:E1"/>
    <mergeCell ref="A41:C41"/>
    <mergeCell ref="A42:C42"/>
    <mergeCell ref="A43:C43"/>
    <mergeCell ref="A44:C44"/>
    <mergeCell ref="A45:C45"/>
    <mergeCell ref="A36:C36"/>
    <mergeCell ref="A37:C37"/>
    <mergeCell ref="A38:C38"/>
    <mergeCell ref="A40:C40"/>
    <mergeCell ref="A26:C26"/>
    <mergeCell ref="A27:C27"/>
    <mergeCell ref="A29:C29"/>
  </mergeCells>
  <pageMargins left="0.7" right="0.7" top="0.75" bottom="0.75" header="0.3" footer="0.3"/>
  <pageSetup scale="8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5"/>
  <sheetViews>
    <sheetView workbookViewId="0">
      <selection activeCell="H14" sqref="H14"/>
    </sheetView>
  </sheetViews>
  <sheetFormatPr defaultRowHeight="12.75" x14ac:dyDescent="0.2"/>
  <cols>
    <col min="1" max="1" width="32.140625" customWidth="1"/>
    <col min="2" max="2" width="22.42578125" customWidth="1"/>
    <col min="3" max="3" width="25" customWidth="1"/>
  </cols>
  <sheetData>
    <row r="1" spans="1:3" ht="18.75" x14ac:dyDescent="0.3">
      <c r="A1" s="228" t="s">
        <v>361</v>
      </c>
      <c r="B1" s="228"/>
      <c r="C1" s="228"/>
    </row>
    <row r="2" spans="1:3" ht="18.75" x14ac:dyDescent="0.3">
      <c r="A2" s="228" t="s">
        <v>362</v>
      </c>
      <c r="B2" s="228"/>
      <c r="C2" s="228"/>
    </row>
    <row r="3" spans="1:3" ht="18.75" x14ac:dyDescent="0.3">
      <c r="A3" s="59"/>
      <c r="B3" s="59" t="s">
        <v>116</v>
      </c>
      <c r="C3" s="59" t="s">
        <v>117</v>
      </c>
    </row>
    <row r="4" spans="1:3" ht="18.75" x14ac:dyDescent="0.3">
      <c r="A4" s="120" t="s">
        <v>108</v>
      </c>
      <c r="B4" s="65">
        <f>C4*12</f>
        <v>475947</v>
      </c>
      <c r="C4" s="65">
        <v>39662.25</v>
      </c>
    </row>
    <row r="5" spans="1:3" ht="18.75" x14ac:dyDescent="0.3">
      <c r="A5" s="120" t="s">
        <v>109</v>
      </c>
      <c r="B5" s="65">
        <f t="shared" ref="B5:B13" si="0">C5*12</f>
        <v>1427841</v>
      </c>
      <c r="C5" s="65">
        <v>118986.75</v>
      </c>
    </row>
    <row r="6" spans="1:3" ht="18.75" x14ac:dyDescent="0.3">
      <c r="A6" s="120" t="s">
        <v>110</v>
      </c>
      <c r="B6" s="65">
        <f t="shared" si="0"/>
        <v>35696.04</v>
      </c>
      <c r="C6" s="65">
        <v>2974.67</v>
      </c>
    </row>
    <row r="7" spans="1:3" ht="18.75" x14ac:dyDescent="0.3">
      <c r="A7" s="120" t="s">
        <v>107</v>
      </c>
      <c r="B7" s="65" t="e">
        <f t="shared" si="0"/>
        <v>#REF!</v>
      </c>
      <c r="C7" s="65" t="e">
        <f>'Feb. 2017'!#REF!</f>
        <v>#REF!</v>
      </c>
    </row>
    <row r="8" spans="1:3" ht="18.75" x14ac:dyDescent="0.3">
      <c r="A8" s="120" t="s">
        <v>111</v>
      </c>
      <c r="B8" s="65">
        <f t="shared" si="0"/>
        <v>237973.56</v>
      </c>
      <c r="C8" s="65">
        <v>19831.13</v>
      </c>
    </row>
    <row r="9" spans="1:3" ht="18.75" x14ac:dyDescent="0.3">
      <c r="A9" s="120" t="s">
        <v>112</v>
      </c>
      <c r="B9" s="65">
        <f t="shared" si="0"/>
        <v>1665814.56</v>
      </c>
      <c r="C9" s="65">
        <v>138817.88</v>
      </c>
    </row>
    <row r="10" spans="1:3" ht="18.75" x14ac:dyDescent="0.3">
      <c r="A10" s="120" t="s">
        <v>113</v>
      </c>
      <c r="B10" s="65">
        <f t="shared" si="0"/>
        <v>475947</v>
      </c>
      <c r="C10" s="65">
        <v>39662.25</v>
      </c>
    </row>
    <row r="11" spans="1:3" ht="18.75" x14ac:dyDescent="0.3">
      <c r="A11" s="120" t="s">
        <v>142</v>
      </c>
      <c r="B11" s="65">
        <f t="shared" si="0"/>
        <v>0</v>
      </c>
      <c r="C11" s="65">
        <v>0</v>
      </c>
    </row>
    <row r="12" spans="1:3" ht="18.75" x14ac:dyDescent="0.3">
      <c r="A12" s="120" t="s">
        <v>114</v>
      </c>
      <c r="B12" s="65">
        <f t="shared" si="0"/>
        <v>47594.76</v>
      </c>
      <c r="C12" s="65">
        <v>3966.23</v>
      </c>
    </row>
    <row r="13" spans="1:3" ht="18.75" x14ac:dyDescent="0.3">
      <c r="A13" s="120" t="s">
        <v>115</v>
      </c>
      <c r="B13" s="65" t="e">
        <f t="shared" si="0"/>
        <v>#REF!</v>
      </c>
      <c r="C13" s="65" t="e">
        <f>'Feb. 2017'!#REF!</f>
        <v>#REF!</v>
      </c>
    </row>
    <row r="14" spans="1:3" ht="18.75" x14ac:dyDescent="0.3">
      <c r="A14" s="59" t="s">
        <v>118</v>
      </c>
      <c r="B14" s="66" t="e">
        <f>SUM(B4:B13)</f>
        <v>#REF!</v>
      </c>
      <c r="C14" s="66" t="e">
        <f>SUM(C4:C13)</f>
        <v>#REF!</v>
      </c>
    </row>
    <row r="15" spans="1:3" ht="18.75" x14ac:dyDescent="0.3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4"/>
  <sheetViews>
    <sheetView workbookViewId="0">
      <selection activeCell="E14" sqref="E14"/>
    </sheetView>
  </sheetViews>
  <sheetFormatPr defaultRowHeight="12.75" x14ac:dyDescent="0.2"/>
  <cols>
    <col min="3" max="3" width="19" customWidth="1"/>
    <col min="4" max="4" width="22" customWidth="1"/>
    <col min="5" max="5" width="20.85546875" customWidth="1"/>
    <col min="6" max="6" width="15.5703125" customWidth="1"/>
  </cols>
  <sheetData>
    <row r="1" spans="1:6" ht="18.75" x14ac:dyDescent="0.3">
      <c r="A1" s="229" t="s">
        <v>192</v>
      </c>
      <c r="B1" s="229"/>
      <c r="C1" s="229"/>
      <c r="D1" s="229"/>
      <c r="E1" s="229"/>
      <c r="F1" s="229"/>
    </row>
    <row r="2" spans="1:6" ht="18.75" x14ac:dyDescent="0.3">
      <c r="A2" s="228" t="s">
        <v>193</v>
      </c>
      <c r="B2" s="228"/>
      <c r="C2" s="228"/>
      <c r="D2" s="228"/>
      <c r="E2" s="228"/>
      <c r="F2" s="228"/>
    </row>
    <row r="3" spans="1:6" ht="18.75" x14ac:dyDescent="0.3">
      <c r="A3" s="222"/>
      <c r="B3" s="222"/>
      <c r="C3" s="222"/>
      <c r="D3" s="3" t="s">
        <v>116</v>
      </c>
      <c r="E3" s="3" t="s">
        <v>117</v>
      </c>
      <c r="F3" s="15"/>
    </row>
    <row r="4" spans="1:6" ht="18.75" x14ac:dyDescent="0.3">
      <c r="A4" s="222" t="s">
        <v>108</v>
      </c>
      <c r="B4" s="222"/>
      <c r="C4" s="222"/>
      <c r="D4" s="16" t="e">
        <f>E4*12</f>
        <v>#REF!</v>
      </c>
      <c r="E4" s="16" t="e">
        <f>'Feb. 2017'!#REF!</f>
        <v>#REF!</v>
      </c>
      <c r="F4" s="1"/>
    </row>
    <row r="5" spans="1:6" ht="18.75" x14ac:dyDescent="0.3">
      <c r="A5" s="222" t="s">
        <v>109</v>
      </c>
      <c r="B5" s="222"/>
      <c r="C5" s="222"/>
      <c r="D5" s="16" t="e">
        <f t="shared" ref="D5:D14" si="0">E5*12</f>
        <v>#REF!</v>
      </c>
      <c r="E5" s="16" t="e">
        <f>'Feb. 2017'!#REF!</f>
        <v>#REF!</v>
      </c>
      <c r="F5" s="1"/>
    </row>
    <row r="6" spans="1:6" ht="18.75" x14ac:dyDescent="0.3">
      <c r="A6" s="222" t="s">
        <v>110</v>
      </c>
      <c r="B6" s="222"/>
      <c r="C6" s="222"/>
      <c r="D6" s="16" t="e">
        <f t="shared" si="0"/>
        <v>#REF!</v>
      </c>
      <c r="E6" s="16" t="e">
        <f>'Feb. 2017'!#REF!</f>
        <v>#REF!</v>
      </c>
      <c r="F6" s="1"/>
    </row>
    <row r="7" spans="1:6" ht="18.75" x14ac:dyDescent="0.3">
      <c r="A7" s="222" t="s">
        <v>107</v>
      </c>
      <c r="B7" s="222"/>
      <c r="C7" s="222"/>
      <c r="D7" s="16">
        <f t="shared" si="0"/>
        <v>0</v>
      </c>
      <c r="E7" s="16">
        <f>sUMMARY!J6</f>
        <v>0</v>
      </c>
      <c r="F7" s="1"/>
    </row>
    <row r="8" spans="1:6" ht="18.75" x14ac:dyDescent="0.3">
      <c r="A8" s="222" t="s">
        <v>111</v>
      </c>
      <c r="B8" s="222"/>
      <c r="C8" s="222"/>
      <c r="D8" s="16" t="e">
        <f t="shared" si="0"/>
        <v>#REF!</v>
      </c>
      <c r="E8" s="16" t="e">
        <f>'Feb. 2017'!#REF!</f>
        <v>#REF!</v>
      </c>
      <c r="F8" s="1"/>
    </row>
    <row r="9" spans="1:6" ht="18.75" x14ac:dyDescent="0.3">
      <c r="A9" s="222" t="s">
        <v>112</v>
      </c>
      <c r="B9" s="222"/>
      <c r="C9" s="222"/>
      <c r="D9" s="16" t="e">
        <f t="shared" si="0"/>
        <v>#REF!</v>
      </c>
      <c r="E9" s="16" t="e">
        <f>'Feb. 2017'!#REF!</f>
        <v>#REF!</v>
      </c>
      <c r="F9" s="1"/>
    </row>
    <row r="10" spans="1:6" ht="18.75" x14ac:dyDescent="0.3">
      <c r="A10" s="222" t="s">
        <v>113</v>
      </c>
      <c r="B10" s="222"/>
      <c r="C10" s="222"/>
      <c r="D10" s="16" t="e">
        <f t="shared" si="0"/>
        <v>#REF!</v>
      </c>
      <c r="E10" s="16" t="e">
        <f>'Feb. 2017'!#REF!</f>
        <v>#REF!</v>
      </c>
      <c r="F10" s="1"/>
    </row>
    <row r="11" spans="1:6" ht="18.75" x14ac:dyDescent="0.3">
      <c r="A11" s="224" t="s">
        <v>142</v>
      </c>
      <c r="B11" s="225"/>
      <c r="C11" s="226"/>
      <c r="D11" s="16">
        <f t="shared" si="0"/>
        <v>0</v>
      </c>
      <c r="E11" s="16">
        <v>0</v>
      </c>
      <c r="F11" s="1"/>
    </row>
    <row r="12" spans="1:6" ht="18.75" x14ac:dyDescent="0.3">
      <c r="A12" s="222" t="s">
        <v>114</v>
      </c>
      <c r="B12" s="222"/>
      <c r="C12" s="222"/>
      <c r="D12" s="16" t="e">
        <f t="shared" si="0"/>
        <v>#REF!</v>
      </c>
      <c r="E12" s="16" t="e">
        <f>'Feb. 2017'!#REF!</f>
        <v>#REF!</v>
      </c>
      <c r="F12" s="1"/>
    </row>
    <row r="13" spans="1:6" ht="18.75" x14ac:dyDescent="0.3">
      <c r="A13" s="222" t="s">
        <v>115</v>
      </c>
      <c r="B13" s="222"/>
      <c r="C13" s="222"/>
      <c r="D13" s="16" t="e">
        <f t="shared" si="0"/>
        <v>#REF!</v>
      </c>
      <c r="E13" s="16" t="e">
        <f>'Feb. 2017'!#REF!</f>
        <v>#REF!</v>
      </c>
      <c r="F13" s="1"/>
    </row>
    <row r="14" spans="1:6" ht="18.75" x14ac:dyDescent="0.3">
      <c r="A14" s="223" t="s">
        <v>118</v>
      </c>
      <c r="B14" s="223"/>
      <c r="C14" s="223"/>
      <c r="D14" s="17" t="e">
        <f t="shared" si="0"/>
        <v>#REF!</v>
      </c>
      <c r="E14" s="17" t="e">
        <f>SUM(E4:E13)</f>
        <v>#REF!</v>
      </c>
      <c r="F14" s="1"/>
    </row>
  </sheetData>
  <mergeCells count="14">
    <mergeCell ref="A13:C13"/>
    <mergeCell ref="A14:C14"/>
    <mergeCell ref="A7:C7"/>
    <mergeCell ref="A8:C8"/>
    <mergeCell ref="A9:C9"/>
    <mergeCell ref="A10:C10"/>
    <mergeCell ref="A11:C11"/>
    <mergeCell ref="A12:C12"/>
    <mergeCell ref="A6:C6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8"/>
  <sheetViews>
    <sheetView workbookViewId="0">
      <selection activeCell="D14" sqref="D14"/>
    </sheetView>
  </sheetViews>
  <sheetFormatPr defaultRowHeight="12.75" x14ac:dyDescent="0.2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 x14ac:dyDescent="0.3">
      <c r="A1" s="249" t="s">
        <v>247</v>
      </c>
      <c r="B1" s="249"/>
      <c r="C1" s="249"/>
      <c r="D1" s="249"/>
      <c r="E1" s="249"/>
    </row>
    <row r="2" spans="1:6" ht="18.75" x14ac:dyDescent="0.3">
      <c r="A2" s="228" t="s">
        <v>242</v>
      </c>
      <c r="B2" s="228"/>
      <c r="C2" s="228"/>
      <c r="D2" s="228"/>
      <c r="E2" s="228"/>
    </row>
    <row r="3" spans="1:6" ht="18.75" customHeight="1" x14ac:dyDescent="0.2">
      <c r="A3" s="248" t="s">
        <v>246</v>
      </c>
      <c r="B3" s="250" t="s">
        <v>13</v>
      </c>
      <c r="C3" s="246" t="s">
        <v>243</v>
      </c>
      <c r="D3" s="246" t="s">
        <v>248</v>
      </c>
      <c r="E3" s="246" t="s">
        <v>244</v>
      </c>
      <c r="F3" s="245" t="s">
        <v>20</v>
      </c>
    </row>
    <row r="4" spans="1:6" ht="16.5" customHeight="1" x14ac:dyDescent="0.2">
      <c r="A4" s="248"/>
      <c r="B4" s="251"/>
      <c r="C4" s="247"/>
      <c r="D4" s="247"/>
      <c r="E4" s="247"/>
      <c r="F4" s="245"/>
    </row>
    <row r="5" spans="1:6" ht="18.75" x14ac:dyDescent="0.3">
      <c r="A5" s="3">
        <v>1</v>
      </c>
      <c r="B5" s="60" t="s">
        <v>224</v>
      </c>
      <c r="C5" s="61" t="s">
        <v>245</v>
      </c>
      <c r="D5" s="61" t="s">
        <v>249</v>
      </c>
      <c r="E5" s="65">
        <f>1580439.5*12</f>
        <v>18965274</v>
      </c>
      <c r="F5" s="65">
        <f>E5*D5</f>
        <v>18965274</v>
      </c>
    </row>
    <row r="6" spans="1:6" ht="18.75" x14ac:dyDescent="0.3">
      <c r="A6" s="3">
        <v>2</v>
      </c>
      <c r="B6" s="60" t="s">
        <v>250</v>
      </c>
      <c r="C6" s="61" t="s">
        <v>151</v>
      </c>
      <c r="D6" s="61" t="s">
        <v>235</v>
      </c>
      <c r="E6" s="65">
        <v>9607889.5199999996</v>
      </c>
      <c r="F6" s="65">
        <f t="shared" ref="F6:F17" si="0">E6*D6</f>
        <v>38431558.079999998</v>
      </c>
    </row>
    <row r="7" spans="1:6" ht="18.75" x14ac:dyDescent="0.3">
      <c r="A7" s="3">
        <v>3</v>
      </c>
      <c r="B7" s="60" t="s">
        <v>82</v>
      </c>
      <c r="C7" s="61" t="s">
        <v>49</v>
      </c>
      <c r="D7" s="61" t="s">
        <v>249</v>
      </c>
      <c r="E7" s="62">
        <f>424023.33*12</f>
        <v>5088279.96</v>
      </c>
      <c r="F7" s="65">
        <f t="shared" si="0"/>
        <v>5088279.96</v>
      </c>
    </row>
    <row r="8" spans="1:6" ht="18.75" x14ac:dyDescent="0.3">
      <c r="A8" s="3">
        <v>4</v>
      </c>
      <c r="B8" s="60" t="s">
        <v>84</v>
      </c>
      <c r="C8" s="61" t="s">
        <v>49</v>
      </c>
      <c r="D8" s="61" t="s">
        <v>252</v>
      </c>
      <c r="E8" s="62">
        <f>424023.33*12</f>
        <v>5088279.96</v>
      </c>
      <c r="F8" s="65">
        <f t="shared" si="0"/>
        <v>10176559.92</v>
      </c>
    </row>
    <row r="9" spans="1:6" ht="18.75" x14ac:dyDescent="0.3">
      <c r="A9" s="3">
        <v>5</v>
      </c>
      <c r="B9" s="58" t="s">
        <v>251</v>
      </c>
      <c r="C9" s="63" t="s">
        <v>49</v>
      </c>
      <c r="D9" s="67">
        <v>10</v>
      </c>
      <c r="E9" s="64">
        <v>5088279.96</v>
      </c>
      <c r="F9" s="65">
        <f t="shared" si="0"/>
        <v>50882799.600000001</v>
      </c>
    </row>
    <row r="10" spans="1:6" ht="18.75" x14ac:dyDescent="0.3">
      <c r="A10" s="3">
        <v>6</v>
      </c>
      <c r="B10" s="58" t="s">
        <v>254</v>
      </c>
      <c r="C10" s="63" t="s">
        <v>49</v>
      </c>
      <c r="D10" s="67">
        <v>10</v>
      </c>
      <c r="E10" s="64">
        <v>4136647.2</v>
      </c>
      <c r="F10" s="65">
        <f t="shared" si="0"/>
        <v>41366472</v>
      </c>
    </row>
    <row r="11" spans="1:6" ht="18.75" x14ac:dyDescent="0.3">
      <c r="A11" s="3">
        <v>7</v>
      </c>
      <c r="B11" s="58" t="s">
        <v>253</v>
      </c>
      <c r="C11" s="63" t="s">
        <v>50</v>
      </c>
      <c r="D11" s="67">
        <v>12</v>
      </c>
      <c r="E11" s="64">
        <f>344720.6*12</f>
        <v>4136647.1999999997</v>
      </c>
      <c r="F11" s="65">
        <f t="shared" si="0"/>
        <v>49639766.399999999</v>
      </c>
    </row>
    <row r="12" spans="1:6" ht="18.75" x14ac:dyDescent="0.3">
      <c r="A12" s="3">
        <v>8</v>
      </c>
      <c r="B12" s="58" t="s">
        <v>125</v>
      </c>
      <c r="C12" s="63" t="s">
        <v>146</v>
      </c>
      <c r="D12" s="67">
        <v>10</v>
      </c>
      <c r="E12" s="64">
        <f>249153.06*12</f>
        <v>2989836.7199999997</v>
      </c>
      <c r="F12" s="65">
        <f t="shared" si="0"/>
        <v>29898367.199999996</v>
      </c>
    </row>
    <row r="13" spans="1:6" ht="18.75" x14ac:dyDescent="0.3">
      <c r="A13" s="3">
        <v>9</v>
      </c>
      <c r="B13" s="58" t="s">
        <v>255</v>
      </c>
      <c r="C13" s="63" t="s">
        <v>184</v>
      </c>
      <c r="D13" s="67">
        <v>8</v>
      </c>
      <c r="E13" s="64">
        <v>2810412.36</v>
      </c>
      <c r="F13" s="65">
        <f t="shared" si="0"/>
        <v>22483298.879999999</v>
      </c>
    </row>
    <row r="14" spans="1:6" ht="18.75" x14ac:dyDescent="0.3">
      <c r="A14" s="3">
        <v>10</v>
      </c>
      <c r="B14" s="58" t="s">
        <v>256</v>
      </c>
      <c r="C14" s="63" t="s">
        <v>165</v>
      </c>
      <c r="D14" s="67">
        <v>15</v>
      </c>
      <c r="E14" s="64">
        <f>168602.08*12</f>
        <v>2023224.96</v>
      </c>
      <c r="F14" s="65">
        <f t="shared" si="0"/>
        <v>30348374.399999999</v>
      </c>
    </row>
    <row r="15" spans="1:6" ht="18.75" x14ac:dyDescent="0.3">
      <c r="A15" s="3">
        <v>11</v>
      </c>
      <c r="B15" s="60" t="s">
        <v>257</v>
      </c>
      <c r="C15" s="61" t="s">
        <v>167</v>
      </c>
      <c r="D15" s="61" t="s">
        <v>258</v>
      </c>
      <c r="E15" s="64">
        <f>123329.05*12</f>
        <v>1479948.6</v>
      </c>
      <c r="F15" s="65">
        <f t="shared" si="0"/>
        <v>29598972</v>
      </c>
    </row>
    <row r="16" spans="1:6" ht="18.75" x14ac:dyDescent="0.3">
      <c r="A16" s="3">
        <v>12</v>
      </c>
      <c r="B16" s="58" t="s">
        <v>259</v>
      </c>
      <c r="C16" s="63" t="s">
        <v>79</v>
      </c>
      <c r="D16" s="67">
        <v>15</v>
      </c>
      <c r="E16" s="64">
        <f>130304.44*12</f>
        <v>1563653.28</v>
      </c>
      <c r="F16" s="65">
        <f t="shared" si="0"/>
        <v>23454799.199999999</v>
      </c>
    </row>
    <row r="17" spans="1:6" ht="18.75" x14ac:dyDescent="0.3">
      <c r="A17" s="3">
        <v>13</v>
      </c>
      <c r="B17" s="58" t="s">
        <v>260</v>
      </c>
      <c r="C17" s="63" t="s">
        <v>48</v>
      </c>
      <c r="D17" s="67">
        <v>20</v>
      </c>
      <c r="E17" s="64">
        <f>46676.06*12</f>
        <v>560112.72</v>
      </c>
      <c r="F17" s="65">
        <f t="shared" si="0"/>
        <v>11202254.399999999</v>
      </c>
    </row>
    <row r="18" spans="1:6" ht="18.75" x14ac:dyDescent="0.3">
      <c r="A18" s="59"/>
      <c r="B18" s="59"/>
      <c r="C18" s="11"/>
      <c r="D18" s="11">
        <f>SUM(D9:D17)</f>
        <v>100</v>
      </c>
      <c r="E18" s="66"/>
      <c r="F18" s="17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3"/>
  <sheetViews>
    <sheetView workbookViewId="0">
      <selection activeCell="F23" sqref="F23"/>
    </sheetView>
  </sheetViews>
  <sheetFormatPr defaultRowHeight="12.75" x14ac:dyDescent="0.2"/>
  <cols>
    <col min="3" max="3" width="22.42578125" customWidth="1"/>
    <col min="4" max="4" width="32.7109375" customWidth="1"/>
    <col min="5" max="5" width="11" customWidth="1"/>
    <col min="6" max="6" width="21.140625" customWidth="1"/>
    <col min="7" max="7" width="23.5703125" customWidth="1"/>
  </cols>
  <sheetData>
    <row r="1" spans="1:10" ht="18" x14ac:dyDescent="0.25">
      <c r="D1" s="32"/>
    </row>
    <row r="2" spans="1:10" ht="18" x14ac:dyDescent="0.25">
      <c r="A2" s="205" t="s">
        <v>0</v>
      </c>
      <c r="B2" s="205"/>
      <c r="C2" s="205"/>
      <c r="D2" s="35" t="s">
        <v>13</v>
      </c>
      <c r="E2" s="35" t="s">
        <v>326</v>
      </c>
      <c r="F2" s="76" t="s">
        <v>238</v>
      </c>
      <c r="G2" s="39" t="s">
        <v>91</v>
      </c>
    </row>
    <row r="3" spans="1:10" ht="18" x14ac:dyDescent="0.25">
      <c r="A3" s="213"/>
      <c r="B3" s="213"/>
      <c r="C3" s="213"/>
      <c r="D3" s="71"/>
      <c r="E3" s="71"/>
      <c r="F3" s="73">
        <v>300000</v>
      </c>
      <c r="G3" s="74"/>
    </row>
    <row r="4" spans="1:10" ht="18" x14ac:dyDescent="0.25">
      <c r="A4" s="213" t="s">
        <v>240</v>
      </c>
      <c r="B4" s="213"/>
      <c r="C4" s="213"/>
      <c r="D4" s="71" t="s">
        <v>241</v>
      </c>
      <c r="E4" s="48" t="s">
        <v>151</v>
      </c>
      <c r="F4" s="73">
        <v>150000</v>
      </c>
      <c r="G4" s="74"/>
    </row>
    <row r="5" spans="1:10" ht="18" x14ac:dyDescent="0.25">
      <c r="A5" s="213" t="s">
        <v>272</v>
      </c>
      <c r="B5" s="213"/>
      <c r="C5" s="213"/>
      <c r="D5" s="71" t="s">
        <v>273</v>
      </c>
      <c r="E5" s="48" t="s">
        <v>151</v>
      </c>
      <c r="F5" s="73">
        <v>150000</v>
      </c>
      <c r="G5" s="74"/>
    </row>
    <row r="6" spans="1:10" ht="18" x14ac:dyDescent="0.25">
      <c r="A6" s="213" t="s">
        <v>149</v>
      </c>
      <c r="B6" s="213"/>
      <c r="C6" s="213"/>
      <c r="D6" s="71" t="s">
        <v>229</v>
      </c>
      <c r="E6" s="48" t="s">
        <v>151</v>
      </c>
      <c r="F6" s="73">
        <v>150000</v>
      </c>
      <c r="G6" s="74"/>
    </row>
    <row r="7" spans="1:10" ht="21.75" customHeight="1" x14ac:dyDescent="0.25">
      <c r="A7" s="213" t="s">
        <v>81</v>
      </c>
      <c r="B7" s="213"/>
      <c r="C7" s="213"/>
      <c r="D7" s="71" t="s">
        <v>82</v>
      </c>
      <c r="E7" s="48" t="s">
        <v>49</v>
      </c>
      <c r="F7" s="73">
        <v>100000</v>
      </c>
      <c r="G7" s="74"/>
    </row>
    <row r="8" spans="1:10" ht="22.5" customHeight="1" x14ac:dyDescent="0.25">
      <c r="A8" s="213" t="s">
        <v>93</v>
      </c>
      <c r="B8" s="213"/>
      <c r="C8" s="213"/>
      <c r="D8" s="71" t="s">
        <v>318</v>
      </c>
      <c r="E8" s="48" t="s">
        <v>49</v>
      </c>
      <c r="F8" s="73">
        <v>100000</v>
      </c>
      <c r="G8" s="74"/>
    </row>
    <row r="9" spans="1:10" ht="22.5" customHeight="1" x14ac:dyDescent="0.25">
      <c r="A9" s="213" t="s">
        <v>319</v>
      </c>
      <c r="B9" s="213"/>
      <c r="C9" s="213"/>
      <c r="D9" s="71" t="s">
        <v>84</v>
      </c>
      <c r="E9" s="48" t="s">
        <v>49</v>
      </c>
      <c r="F9" s="73">
        <v>100000</v>
      </c>
      <c r="G9" s="74"/>
    </row>
    <row r="10" spans="1:10" ht="19.5" customHeight="1" x14ac:dyDescent="0.25">
      <c r="A10" s="213" t="s">
        <v>12</v>
      </c>
      <c r="B10" s="213"/>
      <c r="C10" s="213"/>
      <c r="D10" s="71" t="s">
        <v>225</v>
      </c>
      <c r="E10" s="48" t="s">
        <v>49</v>
      </c>
      <c r="F10" s="73">
        <v>100000</v>
      </c>
      <c r="G10" s="74"/>
    </row>
    <row r="11" spans="1:10" ht="18" x14ac:dyDescent="0.25">
      <c r="A11" s="213" t="s">
        <v>31</v>
      </c>
      <c r="B11" s="213"/>
      <c r="C11" s="213"/>
      <c r="D11" s="72" t="s">
        <v>96</v>
      </c>
      <c r="E11" s="47" t="s">
        <v>49</v>
      </c>
      <c r="F11" s="73">
        <v>100000</v>
      </c>
      <c r="G11" s="74"/>
    </row>
    <row r="12" spans="1:10" ht="18" x14ac:dyDescent="0.25">
      <c r="A12" s="213" t="s">
        <v>34</v>
      </c>
      <c r="B12" s="213"/>
      <c r="C12" s="213"/>
      <c r="D12" s="71" t="s">
        <v>35</v>
      </c>
      <c r="E12" s="48" t="s">
        <v>49</v>
      </c>
      <c r="F12" s="73">
        <v>100000</v>
      </c>
      <c r="G12" s="74"/>
    </row>
    <row r="13" spans="1:10" ht="18" x14ac:dyDescent="0.25">
      <c r="A13" s="213" t="s">
        <v>36</v>
      </c>
      <c r="B13" s="213"/>
      <c r="C13" s="213"/>
      <c r="D13" s="71" t="s">
        <v>51</v>
      </c>
      <c r="E13" s="48" t="s">
        <v>49</v>
      </c>
      <c r="F13" s="73">
        <v>100000</v>
      </c>
      <c r="G13" s="74"/>
    </row>
    <row r="14" spans="1:10" ht="18" x14ac:dyDescent="0.25">
      <c r="A14" s="215" t="s">
        <v>23</v>
      </c>
      <c r="B14" s="215"/>
      <c r="C14" s="215"/>
      <c r="D14" s="72" t="s">
        <v>183</v>
      </c>
      <c r="E14" s="49" t="s">
        <v>50</v>
      </c>
      <c r="F14" s="73">
        <v>80000</v>
      </c>
      <c r="G14" s="74"/>
    </row>
    <row r="15" spans="1:10" ht="18" x14ac:dyDescent="0.25">
      <c r="A15" s="215" t="s">
        <v>209</v>
      </c>
      <c r="B15" s="215"/>
      <c r="C15" s="215"/>
      <c r="D15" s="72" t="s">
        <v>210</v>
      </c>
      <c r="E15" s="49" t="s">
        <v>50</v>
      </c>
      <c r="F15" s="73">
        <v>80000</v>
      </c>
      <c r="G15" s="74"/>
      <c r="J15" s="68"/>
    </row>
    <row r="16" spans="1:10" ht="18" x14ac:dyDescent="0.25">
      <c r="A16" s="214" t="s">
        <v>177</v>
      </c>
      <c r="B16" s="214"/>
      <c r="C16" s="214"/>
      <c r="D16" s="71" t="s">
        <v>178</v>
      </c>
      <c r="E16" s="48" t="s">
        <v>50</v>
      </c>
      <c r="F16" s="73">
        <v>80000</v>
      </c>
      <c r="G16" s="74"/>
    </row>
    <row r="17" spans="1:14" ht="18" x14ac:dyDescent="0.25">
      <c r="A17" s="255" t="s">
        <v>331</v>
      </c>
      <c r="B17" s="256"/>
      <c r="C17" s="257"/>
      <c r="D17" s="71" t="s">
        <v>332</v>
      </c>
      <c r="E17" s="48" t="s">
        <v>50</v>
      </c>
      <c r="F17" s="73">
        <v>80000</v>
      </c>
      <c r="G17" s="74"/>
      <c r="I17" t="s">
        <v>247</v>
      </c>
    </row>
    <row r="18" spans="1:14" ht="18" x14ac:dyDescent="0.25">
      <c r="A18" s="255" t="s">
        <v>179</v>
      </c>
      <c r="B18" s="256"/>
      <c r="C18" s="257"/>
      <c r="D18" s="71" t="s">
        <v>333</v>
      </c>
      <c r="E18" s="48" t="s">
        <v>50</v>
      </c>
      <c r="F18" s="73">
        <v>80000</v>
      </c>
      <c r="G18" s="74"/>
    </row>
    <row r="19" spans="1:14" ht="18" x14ac:dyDescent="0.25">
      <c r="A19" s="71" t="s">
        <v>230</v>
      </c>
      <c r="B19" s="71"/>
      <c r="C19" s="71"/>
      <c r="D19" s="71" t="s">
        <v>172</v>
      </c>
      <c r="E19" s="48" t="s">
        <v>50</v>
      </c>
      <c r="F19" s="73">
        <v>80000</v>
      </c>
      <c r="G19" s="74"/>
    </row>
    <row r="20" spans="1:14" ht="18" x14ac:dyDescent="0.25">
      <c r="A20" s="71" t="s">
        <v>222</v>
      </c>
      <c r="B20" s="71"/>
      <c r="C20" s="71"/>
      <c r="D20" s="71" t="s">
        <v>32</v>
      </c>
      <c r="E20" s="48" t="s">
        <v>308</v>
      </c>
      <c r="F20" s="73">
        <v>80000</v>
      </c>
      <c r="G20" s="74"/>
    </row>
    <row r="21" spans="1:14" ht="18" x14ac:dyDescent="0.25">
      <c r="A21" s="213" t="s">
        <v>216</v>
      </c>
      <c r="B21" s="213"/>
      <c r="C21" s="213"/>
      <c r="D21" s="72" t="s">
        <v>226</v>
      </c>
      <c r="E21" s="47" t="s">
        <v>119</v>
      </c>
      <c r="F21" s="73">
        <v>80000</v>
      </c>
      <c r="G21" s="74"/>
      <c r="N21" t="s">
        <v>293</v>
      </c>
    </row>
    <row r="22" spans="1:14" ht="18" x14ac:dyDescent="0.25">
      <c r="A22" s="75" t="s">
        <v>315</v>
      </c>
      <c r="B22" s="75"/>
      <c r="C22" s="52"/>
      <c r="D22" s="71" t="s">
        <v>316</v>
      </c>
      <c r="E22" s="48" t="s">
        <v>325</v>
      </c>
      <c r="F22" s="73">
        <v>80000</v>
      </c>
      <c r="G22" s="74"/>
    </row>
    <row r="23" spans="1:14" ht="29.25" customHeight="1" x14ac:dyDescent="0.3">
      <c r="A23" s="252" t="s">
        <v>20</v>
      </c>
      <c r="B23" s="253"/>
      <c r="C23" s="254"/>
      <c r="D23" s="74"/>
      <c r="E23" s="74"/>
      <c r="F23" s="77">
        <f>SUM(F3:F22)</f>
        <v>2170000</v>
      </c>
      <c r="G23" s="74"/>
    </row>
  </sheetData>
  <mergeCells count="19">
    <mergeCell ref="A23:C23"/>
    <mergeCell ref="A17:C17"/>
    <mergeCell ref="A18:C18"/>
    <mergeCell ref="A21:C21"/>
    <mergeCell ref="A6:C6"/>
    <mergeCell ref="A12:C12"/>
    <mergeCell ref="A13:C13"/>
    <mergeCell ref="A16:C16"/>
    <mergeCell ref="A14:C14"/>
    <mergeCell ref="A15:C15"/>
    <mergeCell ref="A2:C2"/>
    <mergeCell ref="A3:C3"/>
    <mergeCell ref="A7:C7"/>
    <mergeCell ref="A8:C8"/>
    <mergeCell ref="A11:C11"/>
    <mergeCell ref="A9:C9"/>
    <mergeCell ref="A5:C5"/>
    <mergeCell ref="A10:C10"/>
    <mergeCell ref="A4:C4"/>
  </mergeCells>
  <pageMargins left="0.33" right="0.16" top="0.75" bottom="0.75" header="0.3" footer="0.3"/>
  <pageSetup scale="8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86"/>
  <sheetViews>
    <sheetView workbookViewId="0">
      <selection sqref="A1:H30"/>
    </sheetView>
  </sheetViews>
  <sheetFormatPr defaultRowHeight="12.75" x14ac:dyDescent="0.2"/>
  <cols>
    <col min="1" max="1" width="5.7109375" customWidth="1"/>
    <col min="4" max="4" width="20.85546875" customWidth="1"/>
    <col min="5" max="5" width="31.5703125" customWidth="1"/>
    <col min="6" max="6" width="10.42578125" customWidth="1"/>
    <col min="7" max="7" width="21.85546875" customWidth="1"/>
    <col min="8" max="8" width="22" customWidth="1"/>
  </cols>
  <sheetData>
    <row r="1" spans="1:8" ht="18" x14ac:dyDescent="0.25">
      <c r="A1" s="82" t="s">
        <v>328</v>
      </c>
      <c r="B1" s="200" t="s">
        <v>327</v>
      </c>
      <c r="C1" s="200"/>
      <c r="D1" s="200"/>
      <c r="E1" s="33" t="s">
        <v>13</v>
      </c>
      <c r="F1" s="33" t="s">
        <v>326</v>
      </c>
      <c r="G1" s="39" t="s">
        <v>238</v>
      </c>
      <c r="H1" s="39" t="s">
        <v>91</v>
      </c>
    </row>
    <row r="2" spans="1:8" ht="18" x14ac:dyDescent="0.25">
      <c r="A2" s="83">
        <v>1</v>
      </c>
      <c r="B2" s="215" t="s">
        <v>194</v>
      </c>
      <c r="C2" s="215"/>
      <c r="D2" s="215"/>
      <c r="E2" s="72" t="s">
        <v>195</v>
      </c>
      <c r="F2" s="49" t="s">
        <v>184</v>
      </c>
      <c r="G2" s="73">
        <v>20000</v>
      </c>
      <c r="H2" s="78"/>
    </row>
    <row r="3" spans="1:8" ht="18" x14ac:dyDescent="0.25">
      <c r="A3" s="83">
        <v>2</v>
      </c>
      <c r="B3" s="215" t="s">
        <v>232</v>
      </c>
      <c r="C3" s="215"/>
      <c r="D3" s="215"/>
      <c r="E3" s="72" t="s">
        <v>233</v>
      </c>
      <c r="F3" s="47" t="s">
        <v>184</v>
      </c>
      <c r="G3" s="73">
        <v>20000</v>
      </c>
      <c r="H3" s="78"/>
    </row>
    <row r="4" spans="1:8" ht="18" x14ac:dyDescent="0.25">
      <c r="A4" s="83">
        <v>3</v>
      </c>
      <c r="B4" s="215" t="s">
        <v>211</v>
      </c>
      <c r="C4" s="215"/>
      <c r="D4" s="215"/>
      <c r="E4" s="72" t="s">
        <v>212</v>
      </c>
      <c r="F4" s="47" t="s">
        <v>165</v>
      </c>
      <c r="G4" s="73">
        <v>20000</v>
      </c>
      <c r="H4" s="78"/>
    </row>
    <row r="5" spans="1:8" ht="18" x14ac:dyDescent="0.25">
      <c r="A5" s="83">
        <v>4</v>
      </c>
      <c r="B5" s="215" t="s">
        <v>324</v>
      </c>
      <c r="C5" s="215"/>
      <c r="D5" s="215"/>
      <c r="E5" s="72" t="s">
        <v>215</v>
      </c>
      <c r="F5" s="47" t="s">
        <v>165</v>
      </c>
      <c r="G5" s="73">
        <v>20000</v>
      </c>
      <c r="H5" s="78"/>
    </row>
    <row r="6" spans="1:8" ht="18" x14ac:dyDescent="0.25">
      <c r="A6" s="83">
        <v>5</v>
      </c>
      <c r="B6" s="215" t="s">
        <v>264</v>
      </c>
      <c r="C6" s="215"/>
      <c r="D6" s="215"/>
      <c r="E6" s="72" t="s">
        <v>263</v>
      </c>
      <c r="F6" s="47" t="s">
        <v>165</v>
      </c>
      <c r="G6" s="73">
        <v>20000</v>
      </c>
      <c r="H6" s="78"/>
    </row>
    <row r="7" spans="1:8" ht="18" x14ac:dyDescent="0.25">
      <c r="A7" s="83">
        <v>6</v>
      </c>
      <c r="B7" s="70" t="s">
        <v>310</v>
      </c>
      <c r="C7" s="70" t="s">
        <v>310</v>
      </c>
      <c r="D7" s="70"/>
      <c r="E7" s="72" t="s">
        <v>311</v>
      </c>
      <c r="F7" s="47" t="s">
        <v>165</v>
      </c>
      <c r="G7" s="73">
        <v>20000</v>
      </c>
      <c r="H7" s="78"/>
    </row>
    <row r="8" spans="1:8" ht="18" x14ac:dyDescent="0.25">
      <c r="A8" s="83">
        <v>7</v>
      </c>
      <c r="B8" s="215" t="s">
        <v>312</v>
      </c>
      <c r="C8" s="215"/>
      <c r="D8" s="215"/>
      <c r="E8" s="72" t="s">
        <v>233</v>
      </c>
      <c r="F8" s="47" t="s">
        <v>165</v>
      </c>
      <c r="G8" s="73">
        <v>20000</v>
      </c>
      <c r="H8" s="78"/>
    </row>
    <row r="9" spans="1:8" ht="18" x14ac:dyDescent="0.25">
      <c r="A9" s="83">
        <v>8</v>
      </c>
      <c r="B9" s="214" t="s">
        <v>188</v>
      </c>
      <c r="C9" s="214"/>
      <c r="D9" s="214"/>
      <c r="E9" s="71" t="s">
        <v>189</v>
      </c>
      <c r="F9" s="48" t="s">
        <v>167</v>
      </c>
      <c r="G9" s="73">
        <v>20000</v>
      </c>
      <c r="H9" s="78"/>
    </row>
    <row r="10" spans="1:8" ht="18" x14ac:dyDescent="0.25">
      <c r="A10" s="83">
        <v>9</v>
      </c>
      <c r="B10" s="213" t="s">
        <v>26</v>
      </c>
      <c r="C10" s="213"/>
      <c r="D10" s="213"/>
      <c r="E10" s="71" t="s">
        <v>27</v>
      </c>
      <c r="F10" s="48" t="s">
        <v>167</v>
      </c>
      <c r="G10" s="73">
        <v>20000</v>
      </c>
      <c r="H10" s="78"/>
    </row>
    <row r="11" spans="1:8" ht="18" x14ac:dyDescent="0.25">
      <c r="A11" s="83">
        <v>10</v>
      </c>
      <c r="B11" s="213" t="s">
        <v>197</v>
      </c>
      <c r="C11" s="213"/>
      <c r="D11" s="213"/>
      <c r="E11" s="71" t="s">
        <v>198</v>
      </c>
      <c r="F11" s="48" t="s">
        <v>167</v>
      </c>
      <c r="G11" s="73">
        <v>20000</v>
      </c>
      <c r="H11" s="78"/>
    </row>
    <row r="12" spans="1:8" ht="18" x14ac:dyDescent="0.25">
      <c r="A12" s="83">
        <v>11</v>
      </c>
      <c r="B12" s="213" t="s">
        <v>202</v>
      </c>
      <c r="C12" s="213"/>
      <c r="D12" s="213"/>
      <c r="E12" s="71" t="s">
        <v>198</v>
      </c>
      <c r="F12" s="48" t="s">
        <v>167</v>
      </c>
      <c r="G12" s="73">
        <v>20000</v>
      </c>
      <c r="H12" s="78"/>
    </row>
    <row r="13" spans="1:8" ht="18" x14ac:dyDescent="0.25">
      <c r="A13" s="83">
        <v>12</v>
      </c>
      <c r="B13" s="213" t="s">
        <v>281</v>
      </c>
      <c r="C13" s="213"/>
      <c r="D13" s="213"/>
      <c r="E13" s="71" t="s">
        <v>282</v>
      </c>
      <c r="F13" s="48" t="s">
        <v>167</v>
      </c>
      <c r="G13" s="73">
        <v>20000</v>
      </c>
      <c r="H13" s="78"/>
    </row>
    <row r="14" spans="1:8" ht="18" x14ac:dyDescent="0.25">
      <c r="A14" s="83">
        <v>13</v>
      </c>
      <c r="B14" s="75" t="s">
        <v>321</v>
      </c>
      <c r="C14" s="75"/>
      <c r="D14" s="71"/>
      <c r="E14" s="71" t="s">
        <v>322</v>
      </c>
      <c r="F14" s="48" t="s">
        <v>167</v>
      </c>
      <c r="G14" s="73">
        <v>20000</v>
      </c>
      <c r="H14" s="78"/>
    </row>
    <row r="15" spans="1:8" ht="18" x14ac:dyDescent="0.25">
      <c r="A15" s="83">
        <v>14</v>
      </c>
      <c r="B15" s="213" t="s">
        <v>213</v>
      </c>
      <c r="C15" s="213"/>
      <c r="D15" s="213"/>
      <c r="E15" s="72" t="s">
        <v>127</v>
      </c>
      <c r="F15" s="47" t="s">
        <v>184</v>
      </c>
      <c r="G15" s="73">
        <v>20000</v>
      </c>
      <c r="H15" s="78"/>
    </row>
    <row r="16" spans="1:8" ht="18" x14ac:dyDescent="0.25">
      <c r="A16" s="83">
        <v>15</v>
      </c>
      <c r="B16" s="213" t="s">
        <v>207</v>
      </c>
      <c r="C16" s="213"/>
      <c r="D16" s="213"/>
      <c r="E16" s="72" t="s">
        <v>131</v>
      </c>
      <c r="F16" s="47" t="s">
        <v>165</v>
      </c>
      <c r="G16" s="73">
        <v>20000</v>
      </c>
      <c r="H16" s="78"/>
    </row>
    <row r="17" spans="1:8" ht="18" x14ac:dyDescent="0.25">
      <c r="A17" s="83">
        <v>16</v>
      </c>
      <c r="B17" s="213" t="s">
        <v>280</v>
      </c>
      <c r="C17" s="213"/>
      <c r="D17" s="213"/>
      <c r="E17" s="72" t="s">
        <v>131</v>
      </c>
      <c r="F17" s="47" t="s">
        <v>165</v>
      </c>
      <c r="G17" s="73">
        <v>20000</v>
      </c>
      <c r="H17" s="78"/>
    </row>
    <row r="18" spans="1:8" ht="18" x14ac:dyDescent="0.25">
      <c r="A18" s="83">
        <v>17</v>
      </c>
      <c r="B18" s="213" t="s">
        <v>205</v>
      </c>
      <c r="C18" s="213"/>
      <c r="D18" s="213"/>
      <c r="E18" s="72" t="s">
        <v>200</v>
      </c>
      <c r="F18" s="47" t="s">
        <v>201</v>
      </c>
      <c r="G18" s="73">
        <v>20000</v>
      </c>
      <c r="H18" s="78"/>
    </row>
    <row r="19" spans="1:8" ht="18" x14ac:dyDescent="0.25">
      <c r="A19" s="83">
        <v>18</v>
      </c>
      <c r="B19" s="213" t="s">
        <v>203</v>
      </c>
      <c r="C19" s="213"/>
      <c r="D19" s="213"/>
      <c r="E19" s="72" t="s">
        <v>227</v>
      </c>
      <c r="F19" s="47" t="s">
        <v>146</v>
      </c>
      <c r="G19" s="73">
        <v>20000</v>
      </c>
      <c r="H19" s="78"/>
    </row>
    <row r="20" spans="1:8" ht="18" x14ac:dyDescent="0.25">
      <c r="A20" s="83">
        <v>19</v>
      </c>
      <c r="B20" s="214" t="s">
        <v>187</v>
      </c>
      <c r="C20" s="214"/>
      <c r="D20" s="214"/>
      <c r="E20" s="72" t="s">
        <v>228</v>
      </c>
      <c r="F20" s="47" t="s">
        <v>146</v>
      </c>
      <c r="G20" s="73">
        <v>20000</v>
      </c>
      <c r="H20" s="78"/>
    </row>
    <row r="21" spans="1:8" ht="18" x14ac:dyDescent="0.25">
      <c r="A21" s="83">
        <v>20</v>
      </c>
      <c r="B21" s="213" t="s">
        <v>204</v>
      </c>
      <c r="C21" s="213"/>
      <c r="D21" s="213"/>
      <c r="E21" s="72" t="s">
        <v>127</v>
      </c>
      <c r="F21" s="47" t="s">
        <v>184</v>
      </c>
      <c r="G21" s="73">
        <v>20000</v>
      </c>
      <c r="H21" s="78"/>
    </row>
    <row r="22" spans="1:8" ht="18" x14ac:dyDescent="0.25">
      <c r="A22" s="83">
        <v>21</v>
      </c>
      <c r="B22" s="213" t="s">
        <v>231</v>
      </c>
      <c r="C22" s="213"/>
      <c r="D22" s="213"/>
      <c r="E22" s="72" t="s">
        <v>127</v>
      </c>
      <c r="F22" s="47" t="s">
        <v>184</v>
      </c>
      <c r="G22" s="73">
        <v>20000</v>
      </c>
      <c r="H22" s="78"/>
    </row>
    <row r="23" spans="1:8" ht="18" x14ac:dyDescent="0.25">
      <c r="A23" s="83">
        <v>22</v>
      </c>
      <c r="B23" s="213" t="s">
        <v>274</v>
      </c>
      <c r="C23" s="213"/>
      <c r="D23" s="213"/>
      <c r="E23" s="72" t="s">
        <v>127</v>
      </c>
      <c r="F23" s="47" t="s">
        <v>184</v>
      </c>
      <c r="G23" s="73">
        <v>20000</v>
      </c>
      <c r="H23" s="78"/>
    </row>
    <row r="24" spans="1:8" ht="18" x14ac:dyDescent="0.25">
      <c r="A24" s="83">
        <v>23</v>
      </c>
      <c r="B24" s="75" t="s">
        <v>307</v>
      </c>
      <c r="C24" s="75"/>
      <c r="D24" s="71"/>
      <c r="E24" s="72" t="s">
        <v>127</v>
      </c>
      <c r="F24" s="47" t="s">
        <v>184</v>
      </c>
      <c r="G24" s="73">
        <v>20000</v>
      </c>
      <c r="H24" s="78"/>
    </row>
    <row r="25" spans="1:8" ht="18" x14ac:dyDescent="0.25">
      <c r="A25" s="83">
        <v>24</v>
      </c>
      <c r="B25" s="215" t="s">
        <v>24</v>
      </c>
      <c r="C25" s="215"/>
      <c r="D25" s="215"/>
      <c r="E25" s="72" t="s">
        <v>25</v>
      </c>
      <c r="F25" s="47" t="s">
        <v>47</v>
      </c>
      <c r="G25" s="73">
        <v>20000</v>
      </c>
      <c r="H25" s="78"/>
    </row>
    <row r="26" spans="1:8" ht="18" x14ac:dyDescent="0.25">
      <c r="A26" s="83">
        <v>25</v>
      </c>
      <c r="B26" s="213" t="s">
        <v>185</v>
      </c>
      <c r="C26" s="213"/>
      <c r="D26" s="213"/>
      <c r="E26" s="72" t="s">
        <v>186</v>
      </c>
      <c r="F26" s="47" t="s">
        <v>165</v>
      </c>
      <c r="G26" s="73">
        <v>20000</v>
      </c>
      <c r="H26" s="78"/>
    </row>
    <row r="27" spans="1:8" ht="18" x14ac:dyDescent="0.25">
      <c r="A27" s="83">
        <v>26</v>
      </c>
      <c r="B27" s="213" t="s">
        <v>196</v>
      </c>
      <c r="C27" s="213"/>
      <c r="D27" s="213"/>
      <c r="E27" s="72" t="s">
        <v>131</v>
      </c>
      <c r="F27" s="47" t="s">
        <v>165</v>
      </c>
      <c r="G27" s="73">
        <v>20000</v>
      </c>
      <c r="H27" s="78"/>
    </row>
    <row r="28" spans="1:8" ht="18" x14ac:dyDescent="0.25">
      <c r="A28" s="83">
        <v>27</v>
      </c>
      <c r="B28" s="213" t="s">
        <v>279</v>
      </c>
      <c r="C28" s="213"/>
      <c r="D28" s="213"/>
      <c r="E28" s="72" t="s">
        <v>131</v>
      </c>
      <c r="F28" s="47" t="s">
        <v>165</v>
      </c>
      <c r="G28" s="73">
        <v>20000</v>
      </c>
      <c r="H28" s="78"/>
    </row>
    <row r="29" spans="1:8" ht="18" x14ac:dyDescent="0.25">
      <c r="A29" s="83">
        <v>28</v>
      </c>
      <c r="B29" s="213" t="s">
        <v>303</v>
      </c>
      <c r="C29" s="213"/>
      <c r="D29" s="213"/>
      <c r="E29" s="72" t="s">
        <v>304</v>
      </c>
      <c r="F29" s="47" t="s">
        <v>165</v>
      </c>
      <c r="G29" s="73">
        <v>20000</v>
      </c>
      <c r="H29" s="78"/>
    </row>
    <row r="30" spans="1:8" ht="18" x14ac:dyDescent="0.25">
      <c r="A30" s="83">
        <v>29</v>
      </c>
      <c r="B30" s="213" t="s">
        <v>199</v>
      </c>
      <c r="C30" s="213"/>
      <c r="D30" s="213"/>
      <c r="E30" s="72" t="s">
        <v>200</v>
      </c>
      <c r="F30" s="47" t="s">
        <v>201</v>
      </c>
      <c r="G30" s="73">
        <v>20000</v>
      </c>
      <c r="H30" s="78"/>
    </row>
    <row r="31" spans="1:8" ht="18" x14ac:dyDescent="0.25">
      <c r="A31" s="83">
        <v>30</v>
      </c>
      <c r="B31" s="213" t="s">
        <v>208</v>
      </c>
      <c r="C31" s="213"/>
      <c r="D31" s="213"/>
      <c r="E31" s="72" t="s">
        <v>200</v>
      </c>
      <c r="F31" s="47" t="s">
        <v>201</v>
      </c>
      <c r="G31" s="73">
        <v>20000</v>
      </c>
      <c r="H31" s="78"/>
    </row>
    <row r="32" spans="1:8" ht="18" x14ac:dyDescent="0.25">
      <c r="A32" s="83">
        <v>31</v>
      </c>
      <c r="B32" s="213" t="s">
        <v>206</v>
      </c>
      <c r="C32" s="213"/>
      <c r="D32" s="213"/>
      <c r="E32" s="72" t="s">
        <v>200</v>
      </c>
      <c r="F32" s="47" t="s">
        <v>201</v>
      </c>
      <c r="G32" s="73">
        <v>20000</v>
      </c>
      <c r="H32" s="78"/>
    </row>
    <row r="33" spans="1:8" ht="18" x14ac:dyDescent="0.25">
      <c r="A33" s="83">
        <v>32</v>
      </c>
      <c r="B33" s="213" t="s">
        <v>278</v>
      </c>
      <c r="C33" s="213"/>
      <c r="D33" s="213"/>
      <c r="E33" s="72" t="s">
        <v>200</v>
      </c>
      <c r="F33" s="47" t="s">
        <v>201</v>
      </c>
      <c r="G33" s="73">
        <v>20000</v>
      </c>
      <c r="H33" s="78"/>
    </row>
    <row r="34" spans="1:8" ht="18" x14ac:dyDescent="0.25">
      <c r="A34" s="83">
        <v>33</v>
      </c>
      <c r="B34" s="213" t="s">
        <v>37</v>
      </c>
      <c r="C34" s="213"/>
      <c r="D34" s="213"/>
      <c r="E34" s="71" t="s">
        <v>38</v>
      </c>
      <c r="F34" s="48" t="s">
        <v>80</v>
      </c>
      <c r="G34" s="73">
        <v>20000</v>
      </c>
      <c r="H34" s="78"/>
    </row>
    <row r="35" spans="1:8" ht="18" x14ac:dyDescent="0.25">
      <c r="A35" s="83">
        <v>34</v>
      </c>
      <c r="B35" s="213" t="s">
        <v>138</v>
      </c>
      <c r="C35" s="213"/>
      <c r="D35" s="213"/>
      <c r="E35" s="71" t="s">
        <v>139</v>
      </c>
      <c r="F35" s="48" t="s">
        <v>165</v>
      </c>
      <c r="G35" s="73">
        <v>20000</v>
      </c>
      <c r="H35" s="78"/>
    </row>
    <row r="36" spans="1:8" ht="18" x14ac:dyDescent="0.25">
      <c r="A36" s="83">
        <v>35</v>
      </c>
      <c r="B36" s="213" t="s">
        <v>157</v>
      </c>
      <c r="C36" s="213"/>
      <c r="D36" s="213"/>
      <c r="E36" s="71" t="s">
        <v>164</v>
      </c>
      <c r="F36" s="48" t="s">
        <v>165</v>
      </c>
      <c r="G36" s="73">
        <v>20000</v>
      </c>
      <c r="H36" s="78"/>
    </row>
    <row r="37" spans="1:8" ht="18" x14ac:dyDescent="0.25">
      <c r="A37" s="83">
        <v>36</v>
      </c>
      <c r="B37" s="213" t="s">
        <v>158</v>
      </c>
      <c r="C37" s="213"/>
      <c r="D37" s="213"/>
      <c r="E37" s="71" t="s">
        <v>164</v>
      </c>
      <c r="F37" s="48" t="s">
        <v>165</v>
      </c>
      <c r="G37" s="73">
        <v>20000</v>
      </c>
      <c r="H37" s="78"/>
    </row>
    <row r="38" spans="1:8" ht="18" x14ac:dyDescent="0.25">
      <c r="A38" s="83">
        <v>37</v>
      </c>
      <c r="B38" s="213" t="s">
        <v>168</v>
      </c>
      <c r="C38" s="213"/>
      <c r="D38" s="213"/>
      <c r="E38" s="71" t="s">
        <v>169</v>
      </c>
      <c r="F38" s="48" t="s">
        <v>165</v>
      </c>
      <c r="G38" s="73">
        <v>20000</v>
      </c>
      <c r="H38" s="78"/>
    </row>
    <row r="39" spans="1:8" ht="18" x14ac:dyDescent="0.25">
      <c r="A39" s="83">
        <v>38</v>
      </c>
      <c r="B39" s="213" t="s">
        <v>173</v>
      </c>
      <c r="C39" s="213"/>
      <c r="D39" s="213"/>
      <c r="E39" s="71" t="s">
        <v>174</v>
      </c>
      <c r="F39" s="48" t="s">
        <v>165</v>
      </c>
      <c r="G39" s="73">
        <v>20000</v>
      </c>
      <c r="H39" s="78"/>
    </row>
    <row r="40" spans="1:8" ht="18" x14ac:dyDescent="0.25">
      <c r="A40" s="83">
        <v>39</v>
      </c>
      <c r="B40" s="213" t="s">
        <v>190</v>
      </c>
      <c r="C40" s="213"/>
      <c r="D40" s="213"/>
      <c r="E40" s="71" t="s">
        <v>191</v>
      </c>
      <c r="F40" s="48" t="s">
        <v>165</v>
      </c>
      <c r="G40" s="73">
        <v>20000</v>
      </c>
      <c r="H40" s="78"/>
    </row>
    <row r="41" spans="1:8" ht="18" x14ac:dyDescent="0.25">
      <c r="A41" s="83">
        <v>40</v>
      </c>
      <c r="B41" s="213" t="s">
        <v>159</v>
      </c>
      <c r="C41" s="213"/>
      <c r="D41" s="213"/>
      <c r="E41" s="71" t="s">
        <v>166</v>
      </c>
      <c r="F41" s="48" t="s">
        <v>167</v>
      </c>
      <c r="G41" s="73">
        <v>20000</v>
      </c>
      <c r="H41" s="78"/>
    </row>
    <row r="42" spans="1:8" ht="18" x14ac:dyDescent="0.25">
      <c r="A42" s="83">
        <v>41</v>
      </c>
      <c r="B42" s="213" t="s">
        <v>160</v>
      </c>
      <c r="C42" s="213"/>
      <c r="D42" s="213"/>
      <c r="E42" s="71" t="s">
        <v>166</v>
      </c>
      <c r="F42" s="48" t="s">
        <v>167</v>
      </c>
      <c r="G42" s="73">
        <v>20000</v>
      </c>
      <c r="H42" s="78"/>
    </row>
    <row r="43" spans="1:8" ht="18" x14ac:dyDescent="0.25">
      <c r="A43" s="83">
        <v>42</v>
      </c>
      <c r="B43" s="213" t="s">
        <v>161</v>
      </c>
      <c r="C43" s="213"/>
      <c r="D43" s="213"/>
      <c r="E43" s="71" t="s">
        <v>166</v>
      </c>
      <c r="F43" s="48" t="s">
        <v>167</v>
      </c>
      <c r="G43" s="73">
        <v>20000</v>
      </c>
      <c r="H43" s="78"/>
    </row>
    <row r="44" spans="1:8" ht="18" x14ac:dyDescent="0.25">
      <c r="A44" s="83">
        <v>43</v>
      </c>
      <c r="B44" s="213" t="s">
        <v>162</v>
      </c>
      <c r="C44" s="213"/>
      <c r="D44" s="213"/>
      <c r="E44" s="71" t="s">
        <v>166</v>
      </c>
      <c r="F44" s="48" t="s">
        <v>167</v>
      </c>
      <c r="G44" s="73">
        <v>20000</v>
      </c>
      <c r="H44" s="78"/>
    </row>
    <row r="45" spans="1:8" ht="18" x14ac:dyDescent="0.25">
      <c r="A45" s="83">
        <v>44</v>
      </c>
      <c r="B45" s="213" t="s">
        <v>163</v>
      </c>
      <c r="C45" s="213"/>
      <c r="D45" s="213"/>
      <c r="E45" s="71" t="s">
        <v>166</v>
      </c>
      <c r="F45" s="48" t="s">
        <v>167</v>
      </c>
      <c r="G45" s="73">
        <v>20000</v>
      </c>
      <c r="H45" s="78"/>
    </row>
    <row r="46" spans="1:8" ht="18" x14ac:dyDescent="0.25">
      <c r="A46" s="83">
        <v>45</v>
      </c>
      <c r="B46" s="214" t="s">
        <v>181</v>
      </c>
      <c r="C46" s="214"/>
      <c r="D46" s="214"/>
      <c r="E46" s="71" t="s">
        <v>182</v>
      </c>
      <c r="F46" s="48" t="s">
        <v>167</v>
      </c>
      <c r="G46" s="73">
        <v>20000</v>
      </c>
      <c r="H46" s="78"/>
    </row>
    <row r="47" spans="1:8" ht="18" x14ac:dyDescent="0.25">
      <c r="A47" s="83">
        <v>46</v>
      </c>
      <c r="B47" s="213" t="s">
        <v>289</v>
      </c>
      <c r="C47" s="213"/>
      <c r="D47" s="213"/>
      <c r="E47" s="71" t="s">
        <v>182</v>
      </c>
      <c r="F47" s="48" t="s">
        <v>167</v>
      </c>
      <c r="G47" s="73">
        <v>20000</v>
      </c>
      <c r="H47" s="78"/>
    </row>
    <row r="48" spans="1:8" ht="18" x14ac:dyDescent="0.25">
      <c r="A48" s="83">
        <v>47</v>
      </c>
      <c r="B48" s="213" t="s">
        <v>290</v>
      </c>
      <c r="C48" s="213"/>
      <c r="D48" s="213"/>
      <c r="E48" s="71" t="s">
        <v>182</v>
      </c>
      <c r="F48" s="48" t="s">
        <v>167</v>
      </c>
      <c r="G48" s="73">
        <v>20000</v>
      </c>
      <c r="H48" s="78"/>
    </row>
    <row r="49" spans="1:8" ht="18" x14ac:dyDescent="0.25">
      <c r="A49" s="83">
        <v>48</v>
      </c>
      <c r="B49" s="213" t="s">
        <v>170</v>
      </c>
      <c r="C49" s="213"/>
      <c r="D49" s="213"/>
      <c r="E49" s="71" t="s">
        <v>171</v>
      </c>
      <c r="F49" s="48" t="s">
        <v>167</v>
      </c>
      <c r="G49" s="73">
        <v>20000</v>
      </c>
      <c r="H49" s="78"/>
    </row>
    <row r="50" spans="1:8" ht="18" x14ac:dyDescent="0.25">
      <c r="A50" s="83">
        <v>49</v>
      </c>
      <c r="B50" s="214" t="s">
        <v>175</v>
      </c>
      <c r="C50" s="214"/>
      <c r="D50" s="214"/>
      <c r="E50" s="71" t="s">
        <v>176</v>
      </c>
      <c r="F50" s="48" t="s">
        <v>167</v>
      </c>
      <c r="G50" s="73">
        <v>20000</v>
      </c>
      <c r="H50" s="78"/>
    </row>
    <row r="51" spans="1:8" ht="18" x14ac:dyDescent="0.25">
      <c r="A51" s="83">
        <v>50</v>
      </c>
      <c r="B51" s="213" t="s">
        <v>6</v>
      </c>
      <c r="C51" s="213"/>
      <c r="D51" s="213"/>
      <c r="E51" s="71" t="s">
        <v>39</v>
      </c>
      <c r="F51" s="48" t="s">
        <v>79</v>
      </c>
      <c r="G51" s="73">
        <v>20000</v>
      </c>
      <c r="H51" s="78"/>
    </row>
    <row r="52" spans="1:8" ht="18" x14ac:dyDescent="0.25">
      <c r="A52" s="83">
        <v>51</v>
      </c>
      <c r="B52" s="213" t="s">
        <v>7</v>
      </c>
      <c r="C52" s="213"/>
      <c r="D52" s="213"/>
      <c r="E52" s="72" t="s">
        <v>30</v>
      </c>
      <c r="F52" s="47" t="s">
        <v>79</v>
      </c>
      <c r="G52" s="73">
        <v>20000</v>
      </c>
      <c r="H52" s="78"/>
    </row>
    <row r="53" spans="1:8" ht="18" x14ac:dyDescent="0.25">
      <c r="A53" s="83">
        <v>52</v>
      </c>
      <c r="B53" s="213" t="s">
        <v>62</v>
      </c>
      <c r="C53" s="213"/>
      <c r="D53" s="213"/>
      <c r="E53" s="71" t="s">
        <v>30</v>
      </c>
      <c r="F53" s="48" t="s">
        <v>78</v>
      </c>
      <c r="G53" s="73">
        <v>20000</v>
      </c>
      <c r="H53" s="78"/>
    </row>
    <row r="54" spans="1:8" ht="18" x14ac:dyDescent="0.25">
      <c r="A54" s="83">
        <v>53</v>
      </c>
      <c r="B54" s="213" t="s">
        <v>19</v>
      </c>
      <c r="C54" s="213"/>
      <c r="D54" s="213"/>
      <c r="E54" s="71" t="s">
        <v>30</v>
      </c>
      <c r="F54" s="48" t="s">
        <v>79</v>
      </c>
      <c r="G54" s="73">
        <v>20000</v>
      </c>
      <c r="H54" s="78"/>
    </row>
    <row r="55" spans="1:8" ht="18" x14ac:dyDescent="0.25">
      <c r="A55" s="83">
        <v>54</v>
      </c>
      <c r="B55" s="213" t="s">
        <v>262</v>
      </c>
      <c r="C55" s="213"/>
      <c r="D55" s="213"/>
      <c r="E55" s="71" t="s">
        <v>30</v>
      </c>
      <c r="F55" s="48" t="s">
        <v>79</v>
      </c>
      <c r="G55" s="73">
        <v>20000</v>
      </c>
      <c r="H55" s="78"/>
    </row>
    <row r="56" spans="1:8" ht="18" x14ac:dyDescent="0.25">
      <c r="A56" s="83">
        <v>55</v>
      </c>
      <c r="B56" s="213" t="s">
        <v>45</v>
      </c>
      <c r="C56" s="213"/>
      <c r="D56" s="213"/>
      <c r="E56" s="71" t="s">
        <v>15</v>
      </c>
      <c r="F56" s="48" t="s">
        <v>167</v>
      </c>
      <c r="G56" s="73">
        <v>20000</v>
      </c>
      <c r="H56" s="78"/>
    </row>
    <row r="57" spans="1:8" ht="18" x14ac:dyDescent="0.25">
      <c r="A57" s="83">
        <v>56</v>
      </c>
      <c r="B57" s="255" t="s">
        <v>329</v>
      </c>
      <c r="C57" s="256"/>
      <c r="D57" s="257"/>
      <c r="E57" s="71" t="s">
        <v>330</v>
      </c>
      <c r="F57" s="48" t="s">
        <v>165</v>
      </c>
      <c r="G57" s="73">
        <v>20000</v>
      </c>
      <c r="H57" s="78"/>
    </row>
    <row r="58" spans="1:8" ht="18" x14ac:dyDescent="0.25">
      <c r="A58" s="83">
        <v>57</v>
      </c>
      <c r="B58" s="213" t="s">
        <v>40</v>
      </c>
      <c r="C58" s="213"/>
      <c r="D58" s="213"/>
      <c r="E58" s="71" t="s">
        <v>14</v>
      </c>
      <c r="F58" s="48" t="s">
        <v>48</v>
      </c>
      <c r="G58" s="73">
        <v>10000</v>
      </c>
      <c r="H58" s="78"/>
    </row>
    <row r="59" spans="1:8" ht="18" x14ac:dyDescent="0.25">
      <c r="A59" s="83">
        <v>58</v>
      </c>
      <c r="B59" s="213" t="s">
        <v>17</v>
      </c>
      <c r="C59" s="213"/>
      <c r="D59" s="213"/>
      <c r="E59" s="71" t="s">
        <v>14</v>
      </c>
      <c r="F59" s="48" t="s">
        <v>48</v>
      </c>
      <c r="G59" s="73">
        <v>10000</v>
      </c>
      <c r="H59" s="78"/>
    </row>
    <row r="60" spans="1:8" ht="18" x14ac:dyDescent="0.25">
      <c r="A60" s="83">
        <v>59</v>
      </c>
      <c r="B60" s="213" t="s">
        <v>41</v>
      </c>
      <c r="C60" s="213"/>
      <c r="D60" s="213"/>
      <c r="E60" s="71" t="s">
        <v>14</v>
      </c>
      <c r="F60" s="48" t="s">
        <v>48</v>
      </c>
      <c r="G60" s="73">
        <v>10000</v>
      </c>
      <c r="H60" s="78"/>
    </row>
    <row r="61" spans="1:8" ht="18" x14ac:dyDescent="0.25">
      <c r="A61" s="83">
        <v>60</v>
      </c>
      <c r="B61" s="213" t="s">
        <v>42</v>
      </c>
      <c r="C61" s="213"/>
      <c r="D61" s="213"/>
      <c r="E61" s="71" t="s">
        <v>14</v>
      </c>
      <c r="F61" s="48" t="s">
        <v>48</v>
      </c>
      <c r="G61" s="73">
        <v>10000</v>
      </c>
      <c r="H61" s="78"/>
    </row>
    <row r="62" spans="1:8" ht="18" x14ac:dyDescent="0.25">
      <c r="A62" s="83">
        <v>61</v>
      </c>
      <c r="B62" s="213" t="s">
        <v>43</v>
      </c>
      <c r="C62" s="213"/>
      <c r="D62" s="213"/>
      <c r="E62" s="71" t="s">
        <v>14</v>
      </c>
      <c r="F62" s="48" t="s">
        <v>48</v>
      </c>
      <c r="G62" s="73">
        <v>10000</v>
      </c>
      <c r="H62" s="78"/>
    </row>
    <row r="63" spans="1:8" ht="18" x14ac:dyDescent="0.25">
      <c r="A63" s="83">
        <v>62</v>
      </c>
      <c r="B63" s="213" t="s">
        <v>44</v>
      </c>
      <c r="C63" s="213"/>
      <c r="D63" s="213"/>
      <c r="E63" s="71" t="s">
        <v>14</v>
      </c>
      <c r="F63" s="48" t="s">
        <v>48</v>
      </c>
      <c r="G63" s="73">
        <v>10000</v>
      </c>
      <c r="H63" s="78"/>
    </row>
    <row r="64" spans="1:8" ht="18" x14ac:dyDescent="0.25">
      <c r="A64" s="83">
        <v>63</v>
      </c>
      <c r="B64" s="213" t="s">
        <v>18</v>
      </c>
      <c r="C64" s="213"/>
      <c r="D64" s="213"/>
      <c r="E64" s="72" t="s">
        <v>14</v>
      </c>
      <c r="F64" s="47" t="s">
        <v>48</v>
      </c>
      <c r="G64" s="73">
        <v>10000</v>
      </c>
      <c r="H64" s="78"/>
    </row>
    <row r="65" spans="1:8" ht="18" x14ac:dyDescent="0.25">
      <c r="A65" s="83">
        <v>64</v>
      </c>
      <c r="B65" s="213" t="s">
        <v>63</v>
      </c>
      <c r="C65" s="213"/>
      <c r="D65" s="213"/>
      <c r="E65" s="71" t="s">
        <v>14</v>
      </c>
      <c r="F65" s="48" t="s">
        <v>218</v>
      </c>
      <c r="G65" s="73">
        <v>10000</v>
      </c>
      <c r="H65" s="78"/>
    </row>
    <row r="66" spans="1:8" ht="18" x14ac:dyDescent="0.25">
      <c r="A66" s="83">
        <v>65</v>
      </c>
      <c r="B66" s="213" t="s">
        <v>64</v>
      </c>
      <c r="C66" s="213"/>
      <c r="D66" s="213"/>
      <c r="E66" s="71" t="s">
        <v>14</v>
      </c>
      <c r="F66" s="48" t="s">
        <v>218</v>
      </c>
      <c r="G66" s="73">
        <v>10000</v>
      </c>
      <c r="H66" s="78"/>
    </row>
    <row r="67" spans="1:8" ht="18" x14ac:dyDescent="0.25">
      <c r="A67" s="83">
        <v>66</v>
      </c>
      <c r="B67" s="213" t="s">
        <v>217</v>
      </c>
      <c r="C67" s="213"/>
      <c r="D67" s="213"/>
      <c r="E67" s="71" t="s">
        <v>14</v>
      </c>
      <c r="F67" s="48" t="s">
        <v>218</v>
      </c>
      <c r="G67" s="73">
        <v>10000</v>
      </c>
      <c r="H67" s="78"/>
    </row>
    <row r="68" spans="1:8" ht="18" x14ac:dyDescent="0.25">
      <c r="A68" s="83">
        <v>67</v>
      </c>
      <c r="B68" s="213" t="s">
        <v>261</v>
      </c>
      <c r="C68" s="213"/>
      <c r="D68" s="213"/>
      <c r="E68" s="71" t="s">
        <v>14</v>
      </c>
      <c r="F68" s="48" t="s">
        <v>218</v>
      </c>
      <c r="G68" s="73">
        <v>10000</v>
      </c>
      <c r="H68" s="78"/>
    </row>
    <row r="69" spans="1:8" ht="18" x14ac:dyDescent="0.25">
      <c r="A69" s="83">
        <v>68</v>
      </c>
      <c r="B69" s="213" t="s">
        <v>275</v>
      </c>
      <c r="C69" s="213"/>
      <c r="D69" s="213"/>
      <c r="E69" s="71" t="s">
        <v>14</v>
      </c>
      <c r="F69" s="48" t="s">
        <v>218</v>
      </c>
      <c r="G69" s="73">
        <v>10000</v>
      </c>
      <c r="H69" s="78"/>
    </row>
    <row r="70" spans="1:8" ht="18" x14ac:dyDescent="0.25">
      <c r="A70" s="83">
        <v>69</v>
      </c>
      <c r="B70" s="213" t="s">
        <v>276</v>
      </c>
      <c r="C70" s="213"/>
      <c r="D70" s="213"/>
      <c r="E70" s="71" t="s">
        <v>14</v>
      </c>
      <c r="F70" s="48" t="s">
        <v>218</v>
      </c>
      <c r="G70" s="73">
        <v>10000</v>
      </c>
      <c r="H70" s="78"/>
    </row>
    <row r="71" spans="1:8" ht="18" x14ac:dyDescent="0.25">
      <c r="A71" s="83">
        <v>70</v>
      </c>
      <c r="B71" s="213" t="s">
        <v>283</v>
      </c>
      <c r="C71" s="213"/>
      <c r="D71" s="213"/>
      <c r="E71" s="71" t="s">
        <v>14</v>
      </c>
      <c r="F71" s="48" t="s">
        <v>218</v>
      </c>
      <c r="G71" s="73">
        <v>10000</v>
      </c>
      <c r="H71" s="78"/>
    </row>
    <row r="72" spans="1:8" ht="18" x14ac:dyDescent="0.25">
      <c r="A72" s="83">
        <v>71</v>
      </c>
      <c r="B72" s="213" t="s">
        <v>277</v>
      </c>
      <c r="C72" s="213"/>
      <c r="D72" s="213"/>
      <c r="E72" s="71" t="s">
        <v>14</v>
      </c>
      <c r="F72" s="48" t="s">
        <v>218</v>
      </c>
      <c r="G72" s="73">
        <v>10000</v>
      </c>
      <c r="H72" s="78"/>
    </row>
    <row r="73" spans="1:8" ht="18" x14ac:dyDescent="0.25">
      <c r="A73" s="83">
        <v>72</v>
      </c>
      <c r="B73" s="71" t="s">
        <v>313</v>
      </c>
      <c r="C73" s="71"/>
      <c r="D73" s="71"/>
      <c r="E73" s="71" t="s">
        <v>14</v>
      </c>
      <c r="F73" s="48" t="s">
        <v>218</v>
      </c>
      <c r="G73" s="73">
        <v>10000</v>
      </c>
      <c r="H73" s="78"/>
    </row>
    <row r="74" spans="1:8" ht="18" x14ac:dyDescent="0.25">
      <c r="A74" s="83">
        <v>73</v>
      </c>
      <c r="B74" s="215" t="s">
        <v>85</v>
      </c>
      <c r="C74" s="215"/>
      <c r="D74" s="215"/>
      <c r="E74" s="71" t="s">
        <v>89</v>
      </c>
      <c r="F74" s="48" t="s">
        <v>219</v>
      </c>
      <c r="G74" s="73">
        <v>10000</v>
      </c>
      <c r="H74" s="78"/>
    </row>
    <row r="75" spans="1:8" ht="18" x14ac:dyDescent="0.25">
      <c r="A75" s="83">
        <v>74</v>
      </c>
      <c r="B75" s="215" t="s">
        <v>98</v>
      </c>
      <c r="C75" s="215"/>
      <c r="D75" s="215"/>
      <c r="E75" s="71" t="s">
        <v>89</v>
      </c>
      <c r="F75" s="48" t="s">
        <v>219</v>
      </c>
      <c r="G75" s="73">
        <v>10000</v>
      </c>
      <c r="H75" s="78"/>
    </row>
    <row r="76" spans="1:8" ht="18" x14ac:dyDescent="0.25">
      <c r="A76" s="83">
        <v>75</v>
      </c>
      <c r="B76" s="215" t="s">
        <v>86</v>
      </c>
      <c r="C76" s="215"/>
      <c r="D76" s="215"/>
      <c r="E76" s="71" t="s">
        <v>90</v>
      </c>
      <c r="F76" s="48" t="s">
        <v>219</v>
      </c>
      <c r="G76" s="73">
        <v>10000</v>
      </c>
      <c r="H76" s="78"/>
    </row>
    <row r="77" spans="1:8" ht="18" x14ac:dyDescent="0.25">
      <c r="A77" s="83">
        <v>76</v>
      </c>
      <c r="B77" s="215" t="s">
        <v>87</v>
      </c>
      <c r="C77" s="215"/>
      <c r="D77" s="215"/>
      <c r="E77" s="71" t="s">
        <v>90</v>
      </c>
      <c r="F77" s="48" t="s">
        <v>219</v>
      </c>
      <c r="G77" s="73">
        <v>10000</v>
      </c>
      <c r="H77" s="78"/>
    </row>
    <row r="78" spans="1:8" ht="18" x14ac:dyDescent="0.25">
      <c r="A78" s="83">
        <v>77</v>
      </c>
      <c r="B78" s="215" t="s">
        <v>88</v>
      </c>
      <c r="C78" s="215"/>
      <c r="D78" s="215"/>
      <c r="E78" s="71" t="s">
        <v>89</v>
      </c>
      <c r="F78" s="73">
        <v>0</v>
      </c>
      <c r="G78" s="73">
        <v>10000</v>
      </c>
      <c r="H78" s="78"/>
    </row>
    <row r="79" spans="1:8" ht="18" x14ac:dyDescent="0.25">
      <c r="A79" s="83">
        <v>78</v>
      </c>
      <c r="B79" s="215" t="s">
        <v>291</v>
      </c>
      <c r="C79" s="215"/>
      <c r="D79" s="215"/>
      <c r="E79" s="71" t="s">
        <v>90</v>
      </c>
      <c r="F79" s="73">
        <v>0</v>
      </c>
      <c r="G79" s="73">
        <v>10000</v>
      </c>
      <c r="H79" s="78"/>
    </row>
    <row r="80" spans="1:8" ht="18" x14ac:dyDescent="0.25">
      <c r="A80" s="83">
        <v>79</v>
      </c>
      <c r="B80" s="215" t="s">
        <v>292</v>
      </c>
      <c r="C80" s="215"/>
      <c r="D80" s="215"/>
      <c r="E80" s="71" t="s">
        <v>89</v>
      </c>
      <c r="F80" s="48" t="s">
        <v>219</v>
      </c>
      <c r="G80" s="73">
        <v>10000</v>
      </c>
      <c r="H80" s="78"/>
    </row>
    <row r="81" spans="1:8" ht="18" x14ac:dyDescent="0.25">
      <c r="A81" s="83">
        <v>80</v>
      </c>
      <c r="B81" s="80" t="s">
        <v>300</v>
      </c>
      <c r="C81" s="81"/>
      <c r="D81" s="70"/>
      <c r="E81" s="71" t="s">
        <v>301</v>
      </c>
      <c r="F81" s="48"/>
      <c r="G81" s="73">
        <v>10000</v>
      </c>
      <c r="H81" s="78"/>
    </row>
    <row r="82" spans="1:8" ht="18" x14ac:dyDescent="0.25">
      <c r="A82" s="83">
        <v>81</v>
      </c>
      <c r="B82" s="80" t="s">
        <v>306</v>
      </c>
      <c r="C82" s="81"/>
      <c r="D82" s="70"/>
      <c r="E82" s="71" t="s">
        <v>301</v>
      </c>
      <c r="F82" s="48"/>
      <c r="G82" s="73">
        <v>10000</v>
      </c>
      <c r="H82" s="78"/>
    </row>
    <row r="83" spans="1:8" ht="18" x14ac:dyDescent="0.25">
      <c r="A83" s="83">
        <v>82</v>
      </c>
      <c r="B83" s="80" t="s">
        <v>305</v>
      </c>
      <c r="C83" s="81"/>
      <c r="D83" s="70"/>
      <c r="E83" s="71" t="s">
        <v>14</v>
      </c>
      <c r="F83" s="48"/>
      <c r="G83" s="73">
        <v>10000</v>
      </c>
      <c r="H83" s="78"/>
    </row>
    <row r="84" spans="1:8" ht="18" x14ac:dyDescent="0.25">
      <c r="A84" s="83">
        <v>83</v>
      </c>
      <c r="B84" s="258" t="s">
        <v>314</v>
      </c>
      <c r="C84" s="259"/>
      <c r="D84" s="260"/>
      <c r="E84" s="71" t="s">
        <v>90</v>
      </c>
      <c r="F84" s="48"/>
      <c r="G84" s="73">
        <v>10000</v>
      </c>
      <c r="H84" s="78"/>
    </row>
    <row r="85" spans="1:8" ht="35.25" customHeight="1" x14ac:dyDescent="0.25">
      <c r="A85" s="26"/>
      <c r="B85" s="261"/>
      <c r="C85" s="262"/>
      <c r="D85" s="263"/>
      <c r="E85" s="78"/>
      <c r="F85" s="78"/>
      <c r="G85" s="79">
        <f>SUM(G2:G84)</f>
        <v>1390000</v>
      </c>
      <c r="H85" s="78"/>
    </row>
    <row r="86" spans="1:8" ht="18" x14ac:dyDescent="0.25">
      <c r="A86" s="83"/>
    </row>
  </sheetData>
  <mergeCells count="78">
    <mergeCell ref="B84:D84"/>
    <mergeCell ref="B57:D57"/>
    <mergeCell ref="B85:D85"/>
    <mergeCell ref="B1:D1"/>
    <mergeCell ref="B13:D13"/>
    <mergeCell ref="B2:D2"/>
    <mergeCell ref="B3:D3"/>
    <mergeCell ref="B4:D4"/>
    <mergeCell ref="B5:D5"/>
    <mergeCell ref="B6:D6"/>
    <mergeCell ref="B15:D15"/>
    <mergeCell ref="B16:D16"/>
    <mergeCell ref="B17:D17"/>
    <mergeCell ref="B22:D22"/>
    <mergeCell ref="B25:D25"/>
    <mergeCell ref="B8:D8"/>
    <mergeCell ref="B9:D9"/>
    <mergeCell ref="B10:D10"/>
    <mergeCell ref="B11:D11"/>
    <mergeCell ref="B12:D12"/>
    <mergeCell ref="B34:D34"/>
    <mergeCell ref="B18:D18"/>
    <mergeCell ref="B19:D19"/>
    <mergeCell ref="B35:D35"/>
    <mergeCell ref="B36:D36"/>
    <mergeCell ref="B32:D32"/>
    <mergeCell ref="B33:D33"/>
    <mergeCell ref="B20:D20"/>
    <mergeCell ref="B21:D21"/>
    <mergeCell ref="B23:D23"/>
    <mergeCell ref="B27:D27"/>
    <mergeCell ref="B30:D30"/>
    <mergeCell ref="B31:D31"/>
    <mergeCell ref="B26:D26"/>
    <mergeCell ref="B28:D28"/>
    <mergeCell ref="B29:D29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8:D58"/>
    <mergeCell ref="B59:D59"/>
    <mergeCell ref="B60:D60"/>
    <mergeCell ref="B61:D61"/>
    <mergeCell ref="B62:D62"/>
    <mergeCell ref="B63:D63"/>
    <mergeCell ref="B64:D64"/>
    <mergeCell ref="B74:D74"/>
    <mergeCell ref="B75:D75"/>
    <mergeCell ref="B76:D76"/>
    <mergeCell ref="B65:D65"/>
    <mergeCell ref="B66:D66"/>
    <mergeCell ref="B67:D67"/>
    <mergeCell ref="B68:D68"/>
    <mergeCell ref="B71:D71"/>
    <mergeCell ref="B72:D72"/>
    <mergeCell ref="B79:D79"/>
    <mergeCell ref="B80:D80"/>
    <mergeCell ref="B69:D69"/>
    <mergeCell ref="B70:D70"/>
    <mergeCell ref="B77:D77"/>
    <mergeCell ref="B78:D78"/>
  </mergeCells>
  <pageMargins left="0.18" right="0.16" top="0.75" bottom="0.75" header="0.3" footer="0.3"/>
  <pageSetup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2"/>
  <sheetViews>
    <sheetView workbookViewId="0">
      <selection activeCell="I13" sqref="I13"/>
    </sheetView>
  </sheetViews>
  <sheetFormatPr defaultRowHeight="12.75" x14ac:dyDescent="0.2"/>
  <cols>
    <col min="1" max="1" width="6" customWidth="1"/>
    <col min="2" max="2" width="32.7109375" customWidth="1"/>
    <col min="3" max="3" width="37.85546875" customWidth="1"/>
    <col min="4" max="4" width="10.28515625" customWidth="1"/>
    <col min="5" max="5" width="17.28515625" customWidth="1"/>
    <col min="6" max="6" width="24.140625" customWidth="1"/>
  </cols>
  <sheetData>
    <row r="1" spans="1:6" ht="25.5" customHeight="1" x14ac:dyDescent="0.25">
      <c r="A1" s="264" t="s">
        <v>334</v>
      </c>
      <c r="B1" s="264"/>
      <c r="C1" s="264"/>
      <c r="D1" s="264"/>
      <c r="E1" s="264"/>
      <c r="F1" s="264"/>
    </row>
    <row r="2" spans="1:6" ht="18" x14ac:dyDescent="0.25">
      <c r="A2" s="82" t="s">
        <v>328</v>
      </c>
      <c r="B2" s="84"/>
      <c r="C2" s="84" t="s">
        <v>13</v>
      </c>
      <c r="D2" s="84" t="s">
        <v>326</v>
      </c>
      <c r="E2" s="85" t="s">
        <v>238</v>
      </c>
      <c r="F2" s="39" t="s">
        <v>91</v>
      </c>
    </row>
    <row r="3" spans="1:6" ht="18" x14ac:dyDescent="0.25">
      <c r="A3" s="86">
        <v>1</v>
      </c>
      <c r="B3" s="75" t="s">
        <v>294</v>
      </c>
      <c r="C3" s="71" t="s">
        <v>297</v>
      </c>
      <c r="D3" s="48" t="s">
        <v>49</v>
      </c>
      <c r="E3" s="73">
        <v>100000</v>
      </c>
      <c r="F3" s="78"/>
    </row>
    <row r="4" spans="1:6" ht="18" x14ac:dyDescent="0.25">
      <c r="A4" s="86">
        <v>2</v>
      </c>
      <c r="B4" s="75" t="s">
        <v>269</v>
      </c>
      <c r="C4" s="71" t="s">
        <v>270</v>
      </c>
      <c r="D4" s="48" t="s">
        <v>50</v>
      </c>
      <c r="E4" s="73">
        <v>80000</v>
      </c>
      <c r="F4" s="78"/>
    </row>
    <row r="5" spans="1:6" ht="18" x14ac:dyDescent="0.25">
      <c r="A5" s="86">
        <v>3</v>
      </c>
      <c r="B5" s="75" t="s">
        <v>234</v>
      </c>
      <c r="C5" s="71" t="s">
        <v>271</v>
      </c>
      <c r="D5" s="48" t="s">
        <v>50</v>
      </c>
      <c r="E5" s="73">
        <v>80000</v>
      </c>
      <c r="F5" s="78"/>
    </row>
    <row r="6" spans="1:6" ht="18" x14ac:dyDescent="0.25">
      <c r="A6" s="86">
        <v>4</v>
      </c>
      <c r="B6" s="75" t="s">
        <v>220</v>
      </c>
      <c r="C6" s="71" t="s">
        <v>139</v>
      </c>
      <c r="D6" s="48" t="s">
        <v>165</v>
      </c>
      <c r="E6" s="73">
        <v>20000</v>
      </c>
      <c r="F6" s="78"/>
    </row>
    <row r="7" spans="1:6" ht="18" x14ac:dyDescent="0.25">
      <c r="A7" s="86">
        <v>5</v>
      </c>
      <c r="B7" s="75" t="s">
        <v>221</v>
      </c>
      <c r="C7" s="71" t="s">
        <v>223</v>
      </c>
      <c r="D7" s="48" t="s">
        <v>165</v>
      </c>
      <c r="E7" s="73">
        <v>20000</v>
      </c>
      <c r="F7" s="78"/>
    </row>
    <row r="8" spans="1:6" ht="18" x14ac:dyDescent="0.25">
      <c r="A8" s="86">
        <v>6</v>
      </c>
      <c r="B8" s="75" t="s">
        <v>287</v>
      </c>
      <c r="C8" s="71" t="s">
        <v>288</v>
      </c>
      <c r="D8" s="48" t="s">
        <v>165</v>
      </c>
      <c r="E8" s="73">
        <v>20000</v>
      </c>
      <c r="F8" s="78"/>
    </row>
    <row r="9" spans="1:6" ht="18" x14ac:dyDescent="0.25">
      <c r="A9" s="86">
        <v>7</v>
      </c>
      <c r="B9" s="75" t="s">
        <v>285</v>
      </c>
      <c r="C9" s="71" t="s">
        <v>286</v>
      </c>
      <c r="D9" s="48" t="s">
        <v>165</v>
      </c>
      <c r="E9" s="73">
        <v>20000</v>
      </c>
      <c r="F9" s="78"/>
    </row>
    <row r="10" spans="1:6" ht="18" x14ac:dyDescent="0.25">
      <c r="A10" s="86">
        <v>8</v>
      </c>
      <c r="B10" s="75" t="s">
        <v>295</v>
      </c>
      <c r="C10" s="71" t="s">
        <v>298</v>
      </c>
      <c r="D10" s="48" t="s">
        <v>184</v>
      </c>
      <c r="E10" s="73">
        <v>20000</v>
      </c>
      <c r="F10" s="78"/>
    </row>
    <row r="11" spans="1:6" ht="18" customHeight="1" x14ac:dyDescent="0.25">
      <c r="A11" s="86">
        <v>9</v>
      </c>
      <c r="B11" s="75" t="s">
        <v>296</v>
      </c>
      <c r="C11" s="71" t="s">
        <v>299</v>
      </c>
      <c r="D11" s="48" t="s">
        <v>165</v>
      </c>
      <c r="E11" s="73">
        <v>20000</v>
      </c>
      <c r="F11" s="78"/>
    </row>
    <row r="12" spans="1:6" ht="21" customHeight="1" x14ac:dyDescent="0.25">
      <c r="A12" s="87"/>
      <c r="B12" s="52" t="s">
        <v>20</v>
      </c>
      <c r="C12" s="87"/>
      <c r="D12" s="87"/>
      <c r="E12" s="88">
        <f>SUM(E3:E11)</f>
        <v>380000</v>
      </c>
      <c r="F12" s="87"/>
    </row>
  </sheetData>
  <mergeCells count="1">
    <mergeCell ref="A1:F1"/>
  </mergeCells>
  <pageMargins left="0.28999999999999998" right="0.25" top="0.75" bottom="0.75" header="0.3" footer="0.3"/>
  <pageSetup scale="8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34"/>
  <sheetViews>
    <sheetView topLeftCell="A122" workbookViewId="0">
      <selection activeCell="H136" sqref="H136"/>
    </sheetView>
  </sheetViews>
  <sheetFormatPr defaultRowHeight="12.75" x14ac:dyDescent="0.2"/>
  <cols>
    <col min="1" max="1" width="12.42578125" bestFit="1" customWidth="1"/>
    <col min="4" max="4" width="34.28515625" customWidth="1"/>
    <col min="5" max="5" width="36.42578125" customWidth="1"/>
    <col min="6" max="6" width="16.28515625" customWidth="1"/>
    <col min="7" max="7" width="28.28515625" customWidth="1"/>
    <col min="8" max="8" width="31.140625" customWidth="1"/>
  </cols>
  <sheetData>
    <row r="1" spans="1:7" x14ac:dyDescent="0.2">
      <c r="B1" s="265" t="s">
        <v>342</v>
      </c>
      <c r="C1" s="265"/>
      <c r="D1" s="265"/>
      <c r="E1" s="265"/>
      <c r="F1" s="265"/>
      <c r="G1" s="265"/>
    </row>
    <row r="2" spans="1:7" x14ac:dyDescent="0.2">
      <c r="B2" s="266"/>
      <c r="C2" s="266"/>
      <c r="D2" s="266"/>
      <c r="E2" s="266"/>
      <c r="F2" s="266"/>
      <c r="G2" s="266"/>
    </row>
    <row r="3" spans="1:7" ht="18.75" x14ac:dyDescent="0.3">
      <c r="A3" s="108"/>
      <c r="B3" s="223"/>
      <c r="C3" s="223"/>
      <c r="D3" s="223"/>
      <c r="E3" s="89" t="s">
        <v>13</v>
      </c>
      <c r="F3" s="89" t="s">
        <v>59</v>
      </c>
      <c r="G3" s="2" t="s">
        <v>1</v>
      </c>
    </row>
    <row r="4" spans="1:7" ht="18.75" x14ac:dyDescent="0.3">
      <c r="A4" s="108"/>
      <c r="B4" s="280"/>
      <c r="C4" s="280"/>
      <c r="D4" s="280"/>
      <c r="E4" s="89"/>
      <c r="F4" s="89" t="s">
        <v>57</v>
      </c>
      <c r="G4" s="2" t="s">
        <v>58</v>
      </c>
    </row>
    <row r="5" spans="1:7" ht="18.75" x14ac:dyDescent="0.3">
      <c r="A5" s="108"/>
      <c r="B5" s="281" t="s">
        <v>22</v>
      </c>
      <c r="C5" s="281"/>
      <c r="D5" s="281"/>
      <c r="E5" s="90"/>
      <c r="F5" s="90"/>
      <c r="G5" s="69" t="s">
        <v>5</v>
      </c>
    </row>
    <row r="6" spans="1:7" ht="18.75" x14ac:dyDescent="0.3">
      <c r="A6" s="108">
        <v>1</v>
      </c>
      <c r="B6" s="282" t="s">
        <v>46</v>
      </c>
      <c r="C6" s="282"/>
      <c r="D6" s="282"/>
      <c r="E6" s="60" t="s">
        <v>224</v>
      </c>
      <c r="F6" s="60" t="s">
        <v>55</v>
      </c>
      <c r="G6" s="62">
        <v>400000</v>
      </c>
    </row>
    <row r="7" spans="1:7" ht="18.75" x14ac:dyDescent="0.3">
      <c r="A7" s="108">
        <v>2</v>
      </c>
      <c r="B7" s="282" t="s">
        <v>81</v>
      </c>
      <c r="C7" s="282"/>
      <c r="D7" s="282"/>
      <c r="E7" s="60" t="s">
        <v>82</v>
      </c>
      <c r="F7" s="61" t="s">
        <v>49</v>
      </c>
      <c r="G7" s="64">
        <v>200000</v>
      </c>
    </row>
    <row r="8" spans="1:7" ht="18.75" x14ac:dyDescent="0.3">
      <c r="A8" s="108">
        <v>3</v>
      </c>
      <c r="B8" s="282" t="s">
        <v>93</v>
      </c>
      <c r="C8" s="282"/>
      <c r="D8" s="282"/>
      <c r="E8" s="60" t="s">
        <v>318</v>
      </c>
      <c r="F8" s="61" t="s">
        <v>49</v>
      </c>
      <c r="G8" s="64">
        <v>200000</v>
      </c>
    </row>
    <row r="9" spans="1:7" ht="18.75" x14ac:dyDescent="0.3">
      <c r="A9" s="108">
        <v>4</v>
      </c>
      <c r="B9" s="273" t="s">
        <v>319</v>
      </c>
      <c r="C9" s="274"/>
      <c r="D9" s="60"/>
      <c r="E9" s="60" t="s">
        <v>84</v>
      </c>
      <c r="F9" s="61" t="s">
        <v>320</v>
      </c>
      <c r="G9" s="64">
        <v>200000</v>
      </c>
    </row>
    <row r="10" spans="1:7" ht="18.75" x14ac:dyDescent="0.3">
      <c r="A10" s="108">
        <v>5</v>
      </c>
      <c r="B10" s="275" t="s">
        <v>23</v>
      </c>
      <c r="C10" s="275"/>
      <c r="D10" s="275"/>
      <c r="E10" s="58" t="s">
        <v>183</v>
      </c>
      <c r="F10" s="63" t="s">
        <v>50</v>
      </c>
      <c r="G10" s="64">
        <v>100000</v>
      </c>
    </row>
    <row r="11" spans="1:7" ht="18.75" x14ac:dyDescent="0.3">
      <c r="A11" s="108">
        <v>6</v>
      </c>
      <c r="B11" s="270" t="s">
        <v>209</v>
      </c>
      <c r="C11" s="271"/>
      <c r="D11" s="272"/>
      <c r="E11" s="58" t="s">
        <v>210</v>
      </c>
      <c r="F11" s="63" t="s">
        <v>50</v>
      </c>
      <c r="G11" s="64">
        <v>100000</v>
      </c>
    </row>
    <row r="12" spans="1:7" ht="18.75" x14ac:dyDescent="0.3">
      <c r="A12" s="108">
        <v>7</v>
      </c>
      <c r="B12" s="276" t="s">
        <v>177</v>
      </c>
      <c r="C12" s="277"/>
      <c r="D12" s="278"/>
      <c r="E12" s="60" t="s">
        <v>178</v>
      </c>
      <c r="F12" s="61" t="s">
        <v>50</v>
      </c>
      <c r="G12" s="64">
        <v>100000</v>
      </c>
    </row>
    <row r="13" spans="1:7" ht="18.75" x14ac:dyDescent="0.3">
      <c r="A13" s="108">
        <v>8</v>
      </c>
      <c r="B13" s="273" t="s">
        <v>230</v>
      </c>
      <c r="C13" s="279"/>
      <c r="D13" s="274"/>
      <c r="E13" s="60" t="s">
        <v>172</v>
      </c>
      <c r="F13" s="61" t="s">
        <v>50</v>
      </c>
      <c r="G13" s="64">
        <v>100000</v>
      </c>
    </row>
    <row r="14" spans="1:7" ht="18.75" x14ac:dyDescent="0.3">
      <c r="A14" s="108">
        <v>9</v>
      </c>
      <c r="B14" s="273" t="s">
        <v>222</v>
      </c>
      <c r="C14" s="279"/>
      <c r="D14" s="274"/>
      <c r="E14" s="60" t="s">
        <v>32</v>
      </c>
      <c r="F14" s="61" t="s">
        <v>308</v>
      </c>
      <c r="G14" s="64">
        <v>100000</v>
      </c>
    </row>
    <row r="15" spans="1:7" ht="18.75" x14ac:dyDescent="0.3">
      <c r="A15" s="108">
        <v>10</v>
      </c>
      <c r="B15" s="270" t="s">
        <v>194</v>
      </c>
      <c r="C15" s="271"/>
      <c r="D15" s="272"/>
      <c r="E15" s="58" t="s">
        <v>195</v>
      </c>
      <c r="F15" s="63" t="s">
        <v>184</v>
      </c>
      <c r="G15" s="64">
        <v>80000</v>
      </c>
    </row>
    <row r="16" spans="1:7" ht="18.75" x14ac:dyDescent="0.3">
      <c r="A16" s="108">
        <v>11</v>
      </c>
      <c r="B16" s="275" t="s">
        <v>232</v>
      </c>
      <c r="C16" s="275"/>
      <c r="D16" s="275"/>
      <c r="E16" s="58" t="s">
        <v>233</v>
      </c>
      <c r="F16" s="67" t="s">
        <v>184</v>
      </c>
      <c r="G16" s="64">
        <v>80000</v>
      </c>
    </row>
    <row r="17" spans="1:7" ht="18.75" x14ac:dyDescent="0.3">
      <c r="A17" s="108">
        <v>12</v>
      </c>
      <c r="B17" s="270" t="s">
        <v>211</v>
      </c>
      <c r="C17" s="271"/>
      <c r="D17" s="272"/>
      <c r="E17" s="58" t="s">
        <v>212</v>
      </c>
      <c r="F17" s="67" t="s">
        <v>165</v>
      </c>
      <c r="G17" s="64">
        <v>50000</v>
      </c>
    </row>
    <row r="18" spans="1:7" ht="18.75" x14ac:dyDescent="0.3">
      <c r="A18" s="108">
        <v>13</v>
      </c>
      <c r="B18" s="270" t="s">
        <v>214</v>
      </c>
      <c r="C18" s="271"/>
      <c r="D18" s="272"/>
      <c r="E18" s="58" t="s">
        <v>215</v>
      </c>
      <c r="F18" s="67" t="s">
        <v>165</v>
      </c>
      <c r="G18" s="64">
        <v>50000</v>
      </c>
    </row>
    <row r="19" spans="1:7" ht="18.75" x14ac:dyDescent="0.3">
      <c r="A19" s="108">
        <v>14</v>
      </c>
      <c r="B19" s="270" t="s">
        <v>264</v>
      </c>
      <c r="C19" s="271"/>
      <c r="D19" s="272"/>
      <c r="E19" s="58" t="s">
        <v>263</v>
      </c>
      <c r="F19" s="67" t="s">
        <v>165</v>
      </c>
      <c r="G19" s="64">
        <v>50000</v>
      </c>
    </row>
    <row r="20" spans="1:7" ht="18.75" x14ac:dyDescent="0.3">
      <c r="A20" s="108">
        <v>15</v>
      </c>
      <c r="B20" s="91" t="s">
        <v>310</v>
      </c>
      <c r="C20" s="92" t="s">
        <v>310</v>
      </c>
      <c r="D20" s="93"/>
      <c r="E20" s="58" t="s">
        <v>311</v>
      </c>
      <c r="F20" s="67" t="s">
        <v>165</v>
      </c>
      <c r="G20" s="64">
        <v>50000</v>
      </c>
    </row>
    <row r="21" spans="1:7" ht="18.75" x14ac:dyDescent="0.3">
      <c r="A21" s="108">
        <v>16</v>
      </c>
      <c r="B21" s="91" t="s">
        <v>312</v>
      </c>
      <c r="C21" s="92" t="s">
        <v>312</v>
      </c>
      <c r="D21" s="93"/>
      <c r="E21" s="58" t="s">
        <v>233</v>
      </c>
      <c r="F21" s="67" t="s">
        <v>165</v>
      </c>
      <c r="G21" s="64">
        <v>50000</v>
      </c>
    </row>
    <row r="22" spans="1:7" ht="18.75" x14ac:dyDescent="0.3">
      <c r="A22" s="108">
        <v>17</v>
      </c>
      <c r="B22" s="270" t="s">
        <v>337</v>
      </c>
      <c r="C22" s="271"/>
      <c r="D22" s="272"/>
      <c r="E22" s="58" t="s">
        <v>330</v>
      </c>
      <c r="F22" s="67" t="s">
        <v>165</v>
      </c>
      <c r="G22" s="64">
        <v>50000</v>
      </c>
    </row>
    <row r="23" spans="1:7" ht="18.75" x14ac:dyDescent="0.3">
      <c r="A23" s="108">
        <v>18</v>
      </c>
      <c r="B23" s="276" t="s">
        <v>188</v>
      </c>
      <c r="C23" s="277"/>
      <c r="D23" s="278"/>
      <c r="E23" s="60" t="s">
        <v>189</v>
      </c>
      <c r="F23" s="61" t="s">
        <v>167</v>
      </c>
      <c r="G23" s="64">
        <v>50000</v>
      </c>
    </row>
    <row r="24" spans="1:7" ht="18.75" x14ac:dyDescent="0.3">
      <c r="A24" s="108">
        <v>19</v>
      </c>
      <c r="B24" s="282" t="s">
        <v>26</v>
      </c>
      <c r="C24" s="282"/>
      <c r="D24" s="282"/>
      <c r="E24" s="60" t="s">
        <v>27</v>
      </c>
      <c r="F24" s="61" t="s">
        <v>167</v>
      </c>
      <c r="G24" s="64">
        <v>50000</v>
      </c>
    </row>
    <row r="25" spans="1:7" ht="18.75" x14ac:dyDescent="0.3">
      <c r="A25" s="108">
        <v>20</v>
      </c>
      <c r="B25" s="273" t="s">
        <v>197</v>
      </c>
      <c r="C25" s="279"/>
      <c r="D25" s="274"/>
      <c r="E25" s="60" t="s">
        <v>198</v>
      </c>
      <c r="F25" s="61" t="s">
        <v>167</v>
      </c>
      <c r="G25" s="64">
        <v>50000</v>
      </c>
    </row>
    <row r="26" spans="1:7" ht="18.75" x14ac:dyDescent="0.3">
      <c r="A26" s="108">
        <v>21</v>
      </c>
      <c r="B26" s="273" t="s">
        <v>202</v>
      </c>
      <c r="C26" s="279"/>
      <c r="D26" s="274"/>
      <c r="E26" s="60" t="s">
        <v>198</v>
      </c>
      <c r="F26" s="61" t="s">
        <v>167</v>
      </c>
      <c r="G26" s="64">
        <v>50000</v>
      </c>
    </row>
    <row r="27" spans="1:7" ht="18.75" x14ac:dyDescent="0.3">
      <c r="A27" s="108">
        <v>22</v>
      </c>
      <c r="B27" s="273" t="s">
        <v>281</v>
      </c>
      <c r="C27" s="279"/>
      <c r="D27" s="274"/>
      <c r="E27" s="60" t="s">
        <v>282</v>
      </c>
      <c r="F27" s="61" t="s">
        <v>167</v>
      </c>
      <c r="G27" s="64">
        <v>50000</v>
      </c>
    </row>
    <row r="28" spans="1:7" ht="18.75" x14ac:dyDescent="0.3">
      <c r="A28" s="108">
        <v>23</v>
      </c>
      <c r="B28" s="94" t="s">
        <v>321</v>
      </c>
      <c r="C28" s="95"/>
      <c r="D28" s="96"/>
      <c r="E28" s="60" t="s">
        <v>322</v>
      </c>
      <c r="F28" s="61" t="s">
        <v>167</v>
      </c>
      <c r="G28" s="64">
        <v>50000</v>
      </c>
    </row>
    <row r="29" spans="1:7" ht="18.75" x14ac:dyDescent="0.3">
      <c r="A29" s="108"/>
      <c r="B29" s="283" t="s">
        <v>20</v>
      </c>
      <c r="C29" s="283"/>
      <c r="D29" s="283"/>
      <c r="E29" s="97">
        <v>23</v>
      </c>
      <c r="F29" s="67"/>
      <c r="G29" s="112">
        <f>SUM(G6:G28)</f>
        <v>2260000</v>
      </c>
    </row>
    <row r="30" spans="1:7" ht="18.75" x14ac:dyDescent="0.3">
      <c r="B30" s="285" t="s">
        <v>94</v>
      </c>
      <c r="C30" s="285"/>
      <c r="D30" s="285"/>
      <c r="E30" s="98"/>
      <c r="F30" s="99"/>
      <c r="G30" s="100"/>
    </row>
    <row r="31" spans="1:7" ht="18.75" x14ac:dyDescent="0.3">
      <c r="A31" s="109">
        <v>1</v>
      </c>
      <c r="B31" s="273" t="s">
        <v>240</v>
      </c>
      <c r="C31" s="279"/>
      <c r="D31" s="274"/>
      <c r="E31" s="60" t="s">
        <v>241</v>
      </c>
      <c r="F31" s="61" t="s">
        <v>151</v>
      </c>
      <c r="G31" s="62">
        <v>300000</v>
      </c>
    </row>
    <row r="32" spans="1:7" ht="18.75" x14ac:dyDescent="0.3">
      <c r="A32" s="109">
        <v>2</v>
      </c>
      <c r="B32" s="273" t="s">
        <v>12</v>
      </c>
      <c r="C32" s="279"/>
      <c r="D32" s="274"/>
      <c r="E32" s="60" t="s">
        <v>225</v>
      </c>
      <c r="F32" s="61" t="s">
        <v>49</v>
      </c>
      <c r="G32" s="64">
        <v>200000</v>
      </c>
    </row>
    <row r="33" spans="1:7" ht="18.75" x14ac:dyDescent="0.3">
      <c r="A33" s="109">
        <v>3</v>
      </c>
      <c r="B33" s="273" t="s">
        <v>213</v>
      </c>
      <c r="C33" s="279"/>
      <c r="D33" s="274"/>
      <c r="E33" s="58" t="s">
        <v>127</v>
      </c>
      <c r="F33" s="67" t="s">
        <v>184</v>
      </c>
      <c r="G33" s="64">
        <v>80000</v>
      </c>
    </row>
    <row r="34" spans="1:7" ht="18.75" x14ac:dyDescent="0.3">
      <c r="A34" s="109">
        <v>4</v>
      </c>
      <c r="B34" s="273" t="s">
        <v>207</v>
      </c>
      <c r="C34" s="279"/>
      <c r="D34" s="274"/>
      <c r="E34" s="58" t="s">
        <v>131</v>
      </c>
      <c r="F34" s="67" t="s">
        <v>165</v>
      </c>
      <c r="G34" s="64">
        <v>50000</v>
      </c>
    </row>
    <row r="35" spans="1:7" ht="18.75" x14ac:dyDescent="0.3">
      <c r="A35" s="109">
        <v>5</v>
      </c>
      <c r="B35" s="101" t="s">
        <v>280</v>
      </c>
      <c r="C35" s="102" t="s">
        <v>280</v>
      </c>
      <c r="D35" s="96"/>
      <c r="E35" s="58" t="s">
        <v>131</v>
      </c>
      <c r="F35" s="67" t="s">
        <v>165</v>
      </c>
      <c r="G35" s="64">
        <v>50000</v>
      </c>
    </row>
    <row r="36" spans="1:7" ht="18.75" x14ac:dyDescent="0.3">
      <c r="A36" s="109">
        <v>6</v>
      </c>
      <c r="B36" s="273" t="s">
        <v>205</v>
      </c>
      <c r="C36" s="279"/>
      <c r="D36" s="274"/>
      <c r="E36" s="58" t="s">
        <v>200</v>
      </c>
      <c r="F36" s="67" t="s">
        <v>201</v>
      </c>
      <c r="G36" s="64">
        <v>50000</v>
      </c>
    </row>
    <row r="37" spans="1:7" ht="18.75" x14ac:dyDescent="0.3">
      <c r="A37" s="109"/>
      <c r="B37" s="284" t="s">
        <v>20</v>
      </c>
      <c r="C37" s="284"/>
      <c r="D37" s="284"/>
      <c r="E37" s="97">
        <v>6</v>
      </c>
      <c r="F37" s="97"/>
      <c r="G37" s="107">
        <f>SUM(G31:G36)</f>
        <v>730000</v>
      </c>
    </row>
    <row r="38" spans="1:7" ht="18.75" x14ac:dyDescent="0.3">
      <c r="A38" s="109"/>
      <c r="B38" s="110"/>
      <c r="C38" s="111"/>
      <c r="D38" s="104"/>
      <c r="E38" s="97"/>
      <c r="F38" s="97"/>
      <c r="G38" s="107"/>
    </row>
    <row r="39" spans="1:7" ht="18.75" x14ac:dyDescent="0.3">
      <c r="A39" s="109">
        <v>1</v>
      </c>
      <c r="B39" s="273" t="s">
        <v>272</v>
      </c>
      <c r="C39" s="279"/>
      <c r="D39" s="274"/>
      <c r="E39" s="60" t="s">
        <v>273</v>
      </c>
      <c r="F39" s="61" t="s">
        <v>151</v>
      </c>
      <c r="G39" s="64">
        <v>300000</v>
      </c>
    </row>
    <row r="40" spans="1:7" ht="18.75" x14ac:dyDescent="0.3">
      <c r="A40" s="109">
        <v>2</v>
      </c>
      <c r="B40" s="282" t="s">
        <v>31</v>
      </c>
      <c r="C40" s="282"/>
      <c r="D40" s="282"/>
      <c r="E40" s="58" t="s">
        <v>96</v>
      </c>
      <c r="F40" s="67" t="s">
        <v>49</v>
      </c>
      <c r="G40" s="64">
        <v>200000</v>
      </c>
    </row>
    <row r="41" spans="1:7" ht="18.75" x14ac:dyDescent="0.3">
      <c r="A41" s="109">
        <v>3</v>
      </c>
      <c r="B41" s="273" t="s">
        <v>216</v>
      </c>
      <c r="C41" s="279"/>
      <c r="D41" s="274"/>
      <c r="E41" s="58" t="s">
        <v>226</v>
      </c>
      <c r="F41" s="67" t="s">
        <v>119</v>
      </c>
      <c r="G41" s="64">
        <v>100000</v>
      </c>
    </row>
    <row r="42" spans="1:7" ht="18.75" x14ac:dyDescent="0.3">
      <c r="A42" s="109">
        <v>4</v>
      </c>
      <c r="B42" s="273" t="s">
        <v>203</v>
      </c>
      <c r="C42" s="279"/>
      <c r="D42" s="274"/>
      <c r="E42" s="58" t="s">
        <v>227</v>
      </c>
      <c r="F42" s="67" t="s">
        <v>146</v>
      </c>
      <c r="G42" s="64">
        <v>80000</v>
      </c>
    </row>
    <row r="43" spans="1:7" ht="18.75" x14ac:dyDescent="0.3">
      <c r="A43" s="109">
        <v>5</v>
      </c>
      <c r="B43" s="276" t="s">
        <v>187</v>
      </c>
      <c r="C43" s="277"/>
      <c r="D43" s="278"/>
      <c r="E43" s="58" t="s">
        <v>228</v>
      </c>
      <c r="F43" s="67" t="s">
        <v>146</v>
      </c>
      <c r="G43" s="64">
        <v>80000</v>
      </c>
    </row>
    <row r="44" spans="1:7" ht="18.75" x14ac:dyDescent="0.3">
      <c r="A44" s="109">
        <v>6</v>
      </c>
      <c r="B44" s="273" t="s">
        <v>231</v>
      </c>
      <c r="C44" s="279"/>
      <c r="D44" s="274"/>
      <c r="E44" s="58" t="s">
        <v>127</v>
      </c>
      <c r="F44" s="67" t="s">
        <v>184</v>
      </c>
      <c r="G44" s="64">
        <v>80000</v>
      </c>
    </row>
    <row r="45" spans="1:7" ht="18.75" x14ac:dyDescent="0.3">
      <c r="A45" s="109">
        <v>7</v>
      </c>
      <c r="B45" s="273" t="s">
        <v>274</v>
      </c>
      <c r="C45" s="279"/>
      <c r="D45" s="274"/>
      <c r="E45" s="58" t="s">
        <v>127</v>
      </c>
      <c r="F45" s="67" t="s">
        <v>184</v>
      </c>
      <c r="G45" s="64">
        <v>80000</v>
      </c>
    </row>
    <row r="46" spans="1:7" ht="18.75" x14ac:dyDescent="0.3">
      <c r="A46" s="109">
        <v>8</v>
      </c>
      <c r="B46" s="273" t="s">
        <v>307</v>
      </c>
      <c r="C46" s="279"/>
      <c r="D46" s="96"/>
      <c r="E46" s="58" t="s">
        <v>127</v>
      </c>
      <c r="F46" s="67" t="s">
        <v>184</v>
      </c>
      <c r="G46" s="64">
        <v>80000</v>
      </c>
    </row>
    <row r="47" spans="1:7" ht="18.75" x14ac:dyDescent="0.3">
      <c r="A47" s="109">
        <v>9</v>
      </c>
      <c r="B47" s="273" t="s">
        <v>279</v>
      </c>
      <c r="C47" s="279"/>
      <c r="D47" s="274"/>
      <c r="E47" s="58" t="s">
        <v>127</v>
      </c>
      <c r="F47" s="67" t="s">
        <v>184</v>
      </c>
      <c r="G47" s="64">
        <v>80000</v>
      </c>
    </row>
    <row r="48" spans="1:7" ht="18.75" x14ac:dyDescent="0.3">
      <c r="A48" s="109">
        <v>10</v>
      </c>
      <c r="B48" s="275" t="s">
        <v>24</v>
      </c>
      <c r="C48" s="275"/>
      <c r="D48" s="275"/>
      <c r="E48" s="58" t="s">
        <v>25</v>
      </c>
      <c r="F48" s="67" t="s">
        <v>47</v>
      </c>
      <c r="G48" s="64">
        <v>50000</v>
      </c>
    </row>
    <row r="49" spans="1:7" ht="18.75" x14ac:dyDescent="0.3">
      <c r="A49" s="109">
        <v>11</v>
      </c>
      <c r="B49" s="101" t="s">
        <v>185</v>
      </c>
      <c r="C49" s="102" t="s">
        <v>185</v>
      </c>
      <c r="D49" s="96"/>
      <c r="E49" s="58" t="s">
        <v>186</v>
      </c>
      <c r="F49" s="67" t="s">
        <v>165</v>
      </c>
      <c r="G49" s="64">
        <v>50000</v>
      </c>
    </row>
    <row r="50" spans="1:7" ht="18.75" x14ac:dyDescent="0.3">
      <c r="A50" s="109">
        <v>12</v>
      </c>
      <c r="B50" s="273" t="s">
        <v>196</v>
      </c>
      <c r="C50" s="279"/>
      <c r="D50" s="274"/>
      <c r="E50" s="58" t="s">
        <v>131</v>
      </c>
      <c r="F50" s="67" t="s">
        <v>165</v>
      </c>
      <c r="G50" s="64">
        <v>50000</v>
      </c>
    </row>
    <row r="51" spans="1:7" ht="18.75" x14ac:dyDescent="0.3">
      <c r="A51" s="109">
        <v>13</v>
      </c>
      <c r="B51" s="273" t="s">
        <v>303</v>
      </c>
      <c r="C51" s="279"/>
      <c r="D51" s="274"/>
      <c r="E51" s="58" t="s">
        <v>304</v>
      </c>
      <c r="F51" s="67" t="s">
        <v>165</v>
      </c>
      <c r="G51" s="64">
        <v>50000</v>
      </c>
    </row>
    <row r="52" spans="1:7" ht="18.75" x14ac:dyDescent="0.3">
      <c r="A52" s="109">
        <v>14</v>
      </c>
      <c r="B52" s="273" t="s">
        <v>199</v>
      </c>
      <c r="C52" s="279"/>
      <c r="D52" s="274"/>
      <c r="E52" s="58" t="s">
        <v>200</v>
      </c>
      <c r="F52" s="67" t="s">
        <v>201</v>
      </c>
      <c r="G52" s="64">
        <v>50000</v>
      </c>
    </row>
    <row r="53" spans="1:7" ht="18.75" x14ac:dyDescent="0.3">
      <c r="A53" s="109">
        <v>15</v>
      </c>
      <c r="B53" s="273" t="s">
        <v>208</v>
      </c>
      <c r="C53" s="279"/>
      <c r="D53" s="274"/>
      <c r="E53" s="58" t="s">
        <v>200</v>
      </c>
      <c r="F53" s="67" t="s">
        <v>201</v>
      </c>
      <c r="G53" s="64">
        <v>50000</v>
      </c>
    </row>
    <row r="54" spans="1:7" ht="18.75" x14ac:dyDescent="0.3">
      <c r="A54" s="109">
        <v>16</v>
      </c>
      <c r="B54" s="273" t="s">
        <v>206</v>
      </c>
      <c r="C54" s="279"/>
      <c r="D54" s="274"/>
      <c r="E54" s="58" t="s">
        <v>200</v>
      </c>
      <c r="F54" s="67" t="s">
        <v>201</v>
      </c>
      <c r="G54" s="64">
        <v>50000</v>
      </c>
    </row>
    <row r="55" spans="1:7" ht="18.75" x14ac:dyDescent="0.3">
      <c r="A55" s="109">
        <v>17</v>
      </c>
      <c r="B55" s="273" t="s">
        <v>278</v>
      </c>
      <c r="C55" s="279"/>
      <c r="D55" s="274"/>
      <c r="E55" s="58" t="s">
        <v>200</v>
      </c>
      <c r="F55" s="67" t="s">
        <v>201</v>
      </c>
      <c r="G55" s="64">
        <v>50000</v>
      </c>
    </row>
    <row r="56" spans="1:7" ht="18.75" x14ac:dyDescent="0.3">
      <c r="A56" s="109"/>
      <c r="B56" s="284" t="s">
        <v>20</v>
      </c>
      <c r="C56" s="284"/>
      <c r="D56" s="284"/>
      <c r="E56" s="97">
        <v>17</v>
      </c>
      <c r="F56" s="97"/>
      <c r="G56" s="107">
        <f>SUM(G39:G55)</f>
        <v>1480000</v>
      </c>
    </row>
    <row r="57" spans="1:7" ht="18.75" x14ac:dyDescent="0.3">
      <c r="A57" s="109"/>
      <c r="B57" s="110"/>
      <c r="C57" s="111"/>
      <c r="D57" s="104"/>
      <c r="E57" s="97"/>
      <c r="F57" s="97"/>
      <c r="G57" s="107"/>
    </row>
    <row r="58" spans="1:7" ht="18.75" x14ac:dyDescent="0.3">
      <c r="A58" s="109">
        <v>1</v>
      </c>
      <c r="B58" s="273" t="s">
        <v>149</v>
      </c>
      <c r="C58" s="279"/>
      <c r="D58" s="274"/>
      <c r="E58" s="60" t="s">
        <v>229</v>
      </c>
      <c r="F58" s="61" t="s">
        <v>151</v>
      </c>
      <c r="G58" s="64">
        <v>300000</v>
      </c>
    </row>
    <row r="59" spans="1:7" ht="18.75" x14ac:dyDescent="0.3">
      <c r="A59" s="109">
        <v>2</v>
      </c>
      <c r="B59" s="282" t="s">
        <v>34</v>
      </c>
      <c r="C59" s="282"/>
      <c r="D59" s="282"/>
      <c r="E59" s="60" t="s">
        <v>35</v>
      </c>
      <c r="F59" s="61" t="s">
        <v>49</v>
      </c>
      <c r="G59" s="64">
        <v>200000</v>
      </c>
    </row>
    <row r="60" spans="1:7" ht="18.75" x14ac:dyDescent="0.3">
      <c r="A60" s="109">
        <v>3</v>
      </c>
      <c r="B60" s="282" t="s">
        <v>36</v>
      </c>
      <c r="C60" s="282"/>
      <c r="D60" s="282"/>
      <c r="E60" s="60" t="s">
        <v>51</v>
      </c>
      <c r="F60" s="61" t="s">
        <v>49</v>
      </c>
      <c r="G60" s="64">
        <v>200000</v>
      </c>
    </row>
    <row r="61" spans="1:7" ht="18.75" x14ac:dyDescent="0.3">
      <c r="A61" s="109">
        <v>4</v>
      </c>
      <c r="B61" s="273" t="s">
        <v>155</v>
      </c>
      <c r="C61" s="279"/>
      <c r="D61" s="274"/>
      <c r="E61" s="60" t="s">
        <v>156</v>
      </c>
      <c r="F61" s="61" t="s">
        <v>50</v>
      </c>
      <c r="G61" s="64">
        <v>100000</v>
      </c>
    </row>
    <row r="62" spans="1:7" ht="18.75" x14ac:dyDescent="0.3">
      <c r="A62" s="109">
        <v>5</v>
      </c>
      <c r="B62" s="276" t="s">
        <v>179</v>
      </c>
      <c r="C62" s="277"/>
      <c r="D62" s="278"/>
      <c r="E62" s="60" t="s">
        <v>180</v>
      </c>
      <c r="F62" s="61" t="s">
        <v>50</v>
      </c>
      <c r="G62" s="64">
        <v>100000</v>
      </c>
    </row>
    <row r="63" spans="1:7" ht="18.75" x14ac:dyDescent="0.3">
      <c r="A63" s="109">
        <v>6</v>
      </c>
      <c r="B63" s="282" t="s">
        <v>37</v>
      </c>
      <c r="C63" s="282"/>
      <c r="D63" s="282"/>
      <c r="E63" s="60" t="s">
        <v>38</v>
      </c>
      <c r="F63" s="61" t="s">
        <v>80</v>
      </c>
      <c r="G63" s="64">
        <v>50000</v>
      </c>
    </row>
    <row r="64" spans="1:7" ht="18.75" x14ac:dyDescent="0.3">
      <c r="A64" s="109">
        <v>7</v>
      </c>
      <c r="B64" s="273" t="s">
        <v>138</v>
      </c>
      <c r="C64" s="279"/>
      <c r="D64" s="274"/>
      <c r="E64" s="60" t="s">
        <v>139</v>
      </c>
      <c r="F64" s="61" t="s">
        <v>165</v>
      </c>
      <c r="G64" s="64">
        <v>50000</v>
      </c>
    </row>
    <row r="65" spans="1:7" ht="18.75" x14ac:dyDescent="0.3">
      <c r="A65" s="109">
        <v>8</v>
      </c>
      <c r="B65" s="273" t="s">
        <v>157</v>
      </c>
      <c r="C65" s="279"/>
      <c r="D65" s="274"/>
      <c r="E65" s="60" t="s">
        <v>164</v>
      </c>
      <c r="F65" s="61" t="s">
        <v>165</v>
      </c>
      <c r="G65" s="64">
        <v>50000</v>
      </c>
    </row>
    <row r="66" spans="1:7" ht="18.75" x14ac:dyDescent="0.3">
      <c r="A66" s="109">
        <v>9</v>
      </c>
      <c r="B66" s="273" t="s">
        <v>158</v>
      </c>
      <c r="C66" s="279"/>
      <c r="D66" s="274"/>
      <c r="E66" s="60" t="s">
        <v>164</v>
      </c>
      <c r="F66" s="61" t="s">
        <v>165</v>
      </c>
      <c r="G66" s="64">
        <v>50000</v>
      </c>
    </row>
    <row r="67" spans="1:7" ht="18.75" x14ac:dyDescent="0.3">
      <c r="A67" s="109">
        <v>10</v>
      </c>
      <c r="B67" s="273" t="s">
        <v>168</v>
      </c>
      <c r="C67" s="279"/>
      <c r="D67" s="274"/>
      <c r="E67" s="60" t="s">
        <v>169</v>
      </c>
      <c r="F67" s="61" t="s">
        <v>165</v>
      </c>
      <c r="G67" s="64">
        <v>50000</v>
      </c>
    </row>
    <row r="68" spans="1:7" ht="18.75" x14ac:dyDescent="0.3">
      <c r="A68" s="109">
        <v>11</v>
      </c>
      <c r="B68" s="273" t="s">
        <v>173</v>
      </c>
      <c r="C68" s="279"/>
      <c r="D68" s="274"/>
      <c r="E68" s="60" t="s">
        <v>174</v>
      </c>
      <c r="F68" s="61" t="s">
        <v>165</v>
      </c>
      <c r="G68" s="64">
        <v>50000</v>
      </c>
    </row>
    <row r="69" spans="1:7" ht="18.75" x14ac:dyDescent="0.3">
      <c r="A69" s="109">
        <v>12</v>
      </c>
      <c r="B69" s="273" t="s">
        <v>190</v>
      </c>
      <c r="C69" s="279"/>
      <c r="D69" s="274"/>
      <c r="E69" s="60" t="s">
        <v>191</v>
      </c>
      <c r="F69" s="61" t="s">
        <v>165</v>
      </c>
      <c r="G69" s="64">
        <v>50000</v>
      </c>
    </row>
    <row r="70" spans="1:7" ht="18.75" x14ac:dyDescent="0.3">
      <c r="A70" s="109">
        <v>13</v>
      </c>
      <c r="B70" s="273" t="s">
        <v>159</v>
      </c>
      <c r="C70" s="279"/>
      <c r="D70" s="274"/>
      <c r="E70" s="60" t="s">
        <v>166</v>
      </c>
      <c r="F70" s="61" t="s">
        <v>167</v>
      </c>
      <c r="G70" s="64">
        <v>50000</v>
      </c>
    </row>
    <row r="71" spans="1:7" ht="18.75" x14ac:dyDescent="0.3">
      <c r="A71" s="109">
        <v>14</v>
      </c>
      <c r="B71" s="273" t="s">
        <v>160</v>
      </c>
      <c r="C71" s="279"/>
      <c r="D71" s="274"/>
      <c r="E71" s="60" t="s">
        <v>166</v>
      </c>
      <c r="F71" s="61" t="s">
        <v>167</v>
      </c>
      <c r="G71" s="64">
        <v>50000</v>
      </c>
    </row>
    <row r="72" spans="1:7" ht="18.75" x14ac:dyDescent="0.3">
      <c r="A72" s="109">
        <v>15</v>
      </c>
      <c r="B72" s="273" t="s">
        <v>161</v>
      </c>
      <c r="C72" s="279"/>
      <c r="D72" s="274"/>
      <c r="E72" s="60" t="s">
        <v>166</v>
      </c>
      <c r="F72" s="61" t="s">
        <v>167</v>
      </c>
      <c r="G72" s="64">
        <v>50000</v>
      </c>
    </row>
    <row r="73" spans="1:7" ht="18.75" x14ac:dyDescent="0.3">
      <c r="A73" s="109">
        <v>16</v>
      </c>
      <c r="B73" s="273" t="s">
        <v>162</v>
      </c>
      <c r="C73" s="279"/>
      <c r="D73" s="274"/>
      <c r="E73" s="60" t="s">
        <v>166</v>
      </c>
      <c r="F73" s="61" t="s">
        <v>167</v>
      </c>
      <c r="G73" s="64">
        <v>50000</v>
      </c>
    </row>
    <row r="74" spans="1:7" ht="18.75" x14ac:dyDescent="0.3">
      <c r="A74" s="109">
        <v>17</v>
      </c>
      <c r="B74" s="273" t="s">
        <v>163</v>
      </c>
      <c r="C74" s="279"/>
      <c r="D74" s="274"/>
      <c r="E74" s="60" t="s">
        <v>166</v>
      </c>
      <c r="F74" s="61" t="s">
        <v>167</v>
      </c>
      <c r="G74" s="64">
        <v>50000</v>
      </c>
    </row>
    <row r="75" spans="1:7" ht="18.75" x14ac:dyDescent="0.3">
      <c r="A75" s="109">
        <v>18</v>
      </c>
      <c r="B75" s="276" t="s">
        <v>181</v>
      </c>
      <c r="C75" s="277"/>
      <c r="D75" s="278"/>
      <c r="E75" s="60" t="s">
        <v>182</v>
      </c>
      <c r="F75" s="61" t="s">
        <v>167</v>
      </c>
      <c r="G75" s="64">
        <v>50000</v>
      </c>
    </row>
    <row r="76" spans="1:7" ht="18.75" x14ac:dyDescent="0.3">
      <c r="A76" s="109">
        <v>19</v>
      </c>
      <c r="B76" s="273" t="s">
        <v>289</v>
      </c>
      <c r="C76" s="279"/>
      <c r="D76" s="274"/>
      <c r="E76" s="60" t="s">
        <v>182</v>
      </c>
      <c r="F76" s="61" t="s">
        <v>167</v>
      </c>
      <c r="G76" s="64">
        <v>50000</v>
      </c>
    </row>
    <row r="77" spans="1:7" ht="18.75" x14ac:dyDescent="0.3">
      <c r="A77" s="109">
        <v>20</v>
      </c>
      <c r="B77" s="273" t="s">
        <v>290</v>
      </c>
      <c r="C77" s="279"/>
      <c r="D77" s="274"/>
      <c r="E77" s="60" t="s">
        <v>182</v>
      </c>
      <c r="F77" s="61" t="s">
        <v>167</v>
      </c>
      <c r="G77" s="64">
        <v>50000</v>
      </c>
    </row>
    <row r="78" spans="1:7" ht="18.75" x14ac:dyDescent="0.3">
      <c r="A78" s="109">
        <v>21</v>
      </c>
      <c r="B78" s="273" t="s">
        <v>170</v>
      </c>
      <c r="C78" s="279"/>
      <c r="D78" s="274"/>
      <c r="E78" s="60" t="s">
        <v>171</v>
      </c>
      <c r="F78" s="61" t="s">
        <v>167</v>
      </c>
      <c r="G78" s="64">
        <v>50000</v>
      </c>
    </row>
    <row r="79" spans="1:7" ht="18.75" x14ac:dyDescent="0.3">
      <c r="A79" s="109">
        <v>22</v>
      </c>
      <c r="B79" s="276" t="s">
        <v>175</v>
      </c>
      <c r="C79" s="277"/>
      <c r="D79" s="278"/>
      <c r="E79" s="60" t="s">
        <v>176</v>
      </c>
      <c r="F79" s="61" t="s">
        <v>167</v>
      </c>
      <c r="G79" s="64">
        <v>50000</v>
      </c>
    </row>
    <row r="80" spans="1:7" ht="18.75" x14ac:dyDescent="0.3">
      <c r="A80" s="109">
        <v>23</v>
      </c>
      <c r="B80" s="282" t="s">
        <v>6</v>
      </c>
      <c r="C80" s="282"/>
      <c r="D80" s="282"/>
      <c r="E80" s="60" t="s">
        <v>39</v>
      </c>
      <c r="F80" s="61" t="s">
        <v>79</v>
      </c>
      <c r="G80" s="64">
        <v>50000</v>
      </c>
    </row>
    <row r="81" spans="1:7" ht="18.75" x14ac:dyDescent="0.3">
      <c r="A81" s="109">
        <v>24</v>
      </c>
      <c r="B81" s="273" t="s">
        <v>7</v>
      </c>
      <c r="C81" s="279"/>
      <c r="D81" s="274"/>
      <c r="E81" s="58" t="s">
        <v>30</v>
      </c>
      <c r="F81" s="67" t="s">
        <v>79</v>
      </c>
      <c r="G81" s="64">
        <v>50000</v>
      </c>
    </row>
    <row r="82" spans="1:7" ht="18.75" x14ac:dyDescent="0.3">
      <c r="A82" s="109">
        <v>25</v>
      </c>
      <c r="B82" s="282" t="s">
        <v>62</v>
      </c>
      <c r="C82" s="282"/>
      <c r="D82" s="282"/>
      <c r="E82" s="60" t="s">
        <v>30</v>
      </c>
      <c r="F82" s="61" t="s">
        <v>78</v>
      </c>
      <c r="G82" s="64">
        <v>50000</v>
      </c>
    </row>
    <row r="83" spans="1:7" ht="18.75" x14ac:dyDescent="0.3">
      <c r="A83" s="109">
        <v>26</v>
      </c>
      <c r="B83" s="282" t="s">
        <v>19</v>
      </c>
      <c r="C83" s="282"/>
      <c r="D83" s="282"/>
      <c r="E83" s="60" t="s">
        <v>30</v>
      </c>
      <c r="F83" s="61" t="s">
        <v>79</v>
      </c>
      <c r="G83" s="64">
        <v>50000</v>
      </c>
    </row>
    <row r="84" spans="1:7" ht="18.75" x14ac:dyDescent="0.3">
      <c r="A84" s="109">
        <v>27</v>
      </c>
      <c r="B84" s="273" t="s">
        <v>262</v>
      </c>
      <c r="C84" s="279"/>
      <c r="D84" s="274"/>
      <c r="E84" s="60" t="s">
        <v>30</v>
      </c>
      <c r="F84" s="61" t="s">
        <v>79</v>
      </c>
      <c r="G84" s="64">
        <v>50000</v>
      </c>
    </row>
    <row r="85" spans="1:7" ht="18.75" x14ac:dyDescent="0.3">
      <c r="A85" s="109">
        <v>28</v>
      </c>
      <c r="B85" s="282" t="s">
        <v>45</v>
      </c>
      <c r="C85" s="282"/>
      <c r="D85" s="282"/>
      <c r="E85" s="60" t="s">
        <v>15</v>
      </c>
      <c r="F85" s="61" t="s">
        <v>167</v>
      </c>
      <c r="G85" s="64">
        <v>50000</v>
      </c>
    </row>
    <row r="86" spans="1:7" ht="18.75" x14ac:dyDescent="0.3">
      <c r="A86" s="109">
        <v>29</v>
      </c>
      <c r="B86" s="273" t="s">
        <v>40</v>
      </c>
      <c r="C86" s="279"/>
      <c r="D86" s="274"/>
      <c r="E86" s="60" t="s">
        <v>14</v>
      </c>
      <c r="F86" s="61" t="s">
        <v>48</v>
      </c>
      <c r="G86" s="62">
        <v>20000</v>
      </c>
    </row>
    <row r="87" spans="1:7" ht="18.75" x14ac:dyDescent="0.3">
      <c r="A87" s="109">
        <v>30</v>
      </c>
      <c r="B87" s="282" t="s">
        <v>17</v>
      </c>
      <c r="C87" s="282"/>
      <c r="D87" s="282"/>
      <c r="E87" s="60" t="s">
        <v>14</v>
      </c>
      <c r="F87" s="61" t="s">
        <v>48</v>
      </c>
      <c r="G87" s="62">
        <v>20000</v>
      </c>
    </row>
    <row r="88" spans="1:7" ht="18.75" x14ac:dyDescent="0.3">
      <c r="A88" s="109">
        <v>31</v>
      </c>
      <c r="B88" s="282" t="s">
        <v>41</v>
      </c>
      <c r="C88" s="282"/>
      <c r="D88" s="282"/>
      <c r="E88" s="60" t="s">
        <v>14</v>
      </c>
      <c r="F88" s="61" t="s">
        <v>48</v>
      </c>
      <c r="G88" s="62">
        <v>20000</v>
      </c>
    </row>
    <row r="89" spans="1:7" ht="18.75" x14ac:dyDescent="0.3">
      <c r="A89" s="109">
        <v>32</v>
      </c>
      <c r="B89" s="282" t="s">
        <v>42</v>
      </c>
      <c r="C89" s="282"/>
      <c r="D89" s="282"/>
      <c r="E89" s="60" t="s">
        <v>14</v>
      </c>
      <c r="F89" s="61" t="s">
        <v>48</v>
      </c>
      <c r="G89" s="62">
        <v>20000</v>
      </c>
    </row>
    <row r="90" spans="1:7" ht="18.75" x14ac:dyDescent="0.3">
      <c r="A90" s="109">
        <v>33</v>
      </c>
      <c r="B90" s="282" t="s">
        <v>43</v>
      </c>
      <c r="C90" s="282"/>
      <c r="D90" s="282"/>
      <c r="E90" s="60" t="s">
        <v>14</v>
      </c>
      <c r="F90" s="61" t="s">
        <v>48</v>
      </c>
      <c r="G90" s="62">
        <v>20000</v>
      </c>
    </row>
    <row r="91" spans="1:7" ht="18.75" x14ac:dyDescent="0.3">
      <c r="A91" s="109">
        <v>34</v>
      </c>
      <c r="B91" s="282" t="s">
        <v>44</v>
      </c>
      <c r="C91" s="282"/>
      <c r="D91" s="282"/>
      <c r="E91" s="60" t="s">
        <v>14</v>
      </c>
      <c r="F91" s="61" t="s">
        <v>48</v>
      </c>
      <c r="G91" s="62">
        <v>20000</v>
      </c>
    </row>
    <row r="92" spans="1:7" ht="18.75" x14ac:dyDescent="0.3">
      <c r="A92" s="109">
        <v>35</v>
      </c>
      <c r="B92" s="273" t="s">
        <v>18</v>
      </c>
      <c r="C92" s="279"/>
      <c r="D92" s="274"/>
      <c r="E92" s="58" t="s">
        <v>14</v>
      </c>
      <c r="F92" s="67" t="s">
        <v>48</v>
      </c>
      <c r="G92" s="62">
        <v>20000</v>
      </c>
    </row>
    <row r="93" spans="1:7" ht="18.75" x14ac:dyDescent="0.3">
      <c r="A93" s="109">
        <v>36</v>
      </c>
      <c r="B93" s="282" t="s">
        <v>63</v>
      </c>
      <c r="C93" s="282"/>
      <c r="D93" s="282"/>
      <c r="E93" s="60" t="s">
        <v>14</v>
      </c>
      <c r="F93" s="61" t="s">
        <v>218</v>
      </c>
      <c r="G93" s="62">
        <v>20000</v>
      </c>
    </row>
    <row r="94" spans="1:7" ht="18.75" x14ac:dyDescent="0.3">
      <c r="A94" s="109">
        <v>37</v>
      </c>
      <c r="B94" s="282" t="s">
        <v>64</v>
      </c>
      <c r="C94" s="282"/>
      <c r="D94" s="282"/>
      <c r="E94" s="60" t="s">
        <v>14</v>
      </c>
      <c r="F94" s="61" t="s">
        <v>218</v>
      </c>
      <c r="G94" s="62">
        <v>20000</v>
      </c>
    </row>
    <row r="95" spans="1:7" ht="18.75" x14ac:dyDescent="0.3">
      <c r="A95" s="109">
        <v>38</v>
      </c>
      <c r="B95" s="273" t="s">
        <v>217</v>
      </c>
      <c r="C95" s="279"/>
      <c r="D95" s="274"/>
      <c r="E95" s="60" t="s">
        <v>14</v>
      </c>
      <c r="F95" s="61" t="s">
        <v>218</v>
      </c>
      <c r="G95" s="62">
        <v>20000</v>
      </c>
    </row>
    <row r="96" spans="1:7" ht="18.75" x14ac:dyDescent="0.3">
      <c r="A96" s="109">
        <v>39</v>
      </c>
      <c r="B96" s="273" t="s">
        <v>261</v>
      </c>
      <c r="C96" s="279"/>
      <c r="D96" s="274"/>
      <c r="E96" s="60" t="s">
        <v>14</v>
      </c>
      <c r="F96" s="61" t="s">
        <v>218</v>
      </c>
      <c r="G96" s="62">
        <v>20000</v>
      </c>
    </row>
    <row r="97" spans="1:7" ht="18.75" x14ac:dyDescent="0.3">
      <c r="A97" s="109">
        <v>40</v>
      </c>
      <c r="B97" s="273" t="s">
        <v>275</v>
      </c>
      <c r="C97" s="279"/>
      <c r="D97" s="274"/>
      <c r="E97" s="60" t="s">
        <v>14</v>
      </c>
      <c r="F97" s="61" t="s">
        <v>218</v>
      </c>
      <c r="G97" s="62">
        <v>20000</v>
      </c>
    </row>
    <row r="98" spans="1:7" ht="18.75" x14ac:dyDescent="0.3">
      <c r="A98" s="109">
        <v>41</v>
      </c>
      <c r="B98" s="273" t="s">
        <v>276</v>
      </c>
      <c r="C98" s="279"/>
      <c r="D98" s="274"/>
      <c r="E98" s="60" t="s">
        <v>14</v>
      </c>
      <c r="F98" s="61" t="s">
        <v>218</v>
      </c>
      <c r="G98" s="62">
        <v>20000</v>
      </c>
    </row>
    <row r="99" spans="1:7" ht="18.75" x14ac:dyDescent="0.3">
      <c r="A99" s="109">
        <v>42</v>
      </c>
      <c r="B99" s="273" t="s">
        <v>283</v>
      </c>
      <c r="C99" s="279"/>
      <c r="D99" s="274"/>
      <c r="E99" s="60" t="s">
        <v>14</v>
      </c>
      <c r="F99" s="61" t="s">
        <v>218</v>
      </c>
      <c r="G99" s="62">
        <v>20000</v>
      </c>
    </row>
    <row r="100" spans="1:7" ht="18.75" x14ac:dyDescent="0.3">
      <c r="A100" s="109">
        <v>43</v>
      </c>
      <c r="B100" s="273" t="s">
        <v>277</v>
      </c>
      <c r="C100" s="279"/>
      <c r="D100" s="274"/>
      <c r="E100" s="60" t="s">
        <v>14</v>
      </c>
      <c r="F100" s="61" t="s">
        <v>218</v>
      </c>
      <c r="G100" s="62">
        <v>20000</v>
      </c>
    </row>
    <row r="101" spans="1:7" ht="18.75" x14ac:dyDescent="0.3">
      <c r="A101" s="109">
        <v>44</v>
      </c>
      <c r="B101" s="101" t="s">
        <v>313</v>
      </c>
      <c r="C101" s="102" t="s">
        <v>313</v>
      </c>
      <c r="D101" s="96"/>
      <c r="E101" s="60" t="s">
        <v>14</v>
      </c>
      <c r="F101" s="61" t="s">
        <v>218</v>
      </c>
      <c r="G101" s="62">
        <v>20000</v>
      </c>
    </row>
    <row r="102" spans="1:7" ht="18.75" x14ac:dyDescent="0.3">
      <c r="A102" s="109"/>
      <c r="B102" s="267" t="s">
        <v>20</v>
      </c>
      <c r="C102" s="268"/>
      <c r="D102" s="269"/>
      <c r="E102" s="103" t="s">
        <v>323</v>
      </c>
      <c r="F102" s="61"/>
      <c r="G102" s="107">
        <f>SUM(G58:G101)</f>
        <v>2370000</v>
      </c>
    </row>
    <row r="103" spans="1:7" ht="18.75" x14ac:dyDescent="0.3">
      <c r="A103" s="109"/>
      <c r="B103" s="110"/>
      <c r="C103" s="111"/>
      <c r="D103" s="104"/>
      <c r="E103" s="103"/>
      <c r="F103" s="61"/>
      <c r="G103" s="107"/>
    </row>
    <row r="104" spans="1:7" ht="18.75" x14ac:dyDescent="0.3">
      <c r="A104" s="109">
        <v>1</v>
      </c>
      <c r="B104" s="275" t="s">
        <v>85</v>
      </c>
      <c r="C104" s="275"/>
      <c r="D104" s="275"/>
      <c r="E104" s="60" t="s">
        <v>89</v>
      </c>
      <c r="F104" s="61" t="s">
        <v>219</v>
      </c>
      <c r="G104" s="64">
        <v>20000</v>
      </c>
    </row>
    <row r="105" spans="1:7" ht="18.75" x14ac:dyDescent="0.3">
      <c r="A105" s="109">
        <v>2</v>
      </c>
      <c r="B105" s="275" t="s">
        <v>98</v>
      </c>
      <c r="C105" s="275"/>
      <c r="D105" s="275"/>
      <c r="E105" s="60" t="s">
        <v>89</v>
      </c>
      <c r="F105" s="61" t="s">
        <v>219</v>
      </c>
      <c r="G105" s="64">
        <v>20000</v>
      </c>
    </row>
    <row r="106" spans="1:7" ht="18.75" x14ac:dyDescent="0.3">
      <c r="A106" s="109">
        <v>3</v>
      </c>
      <c r="B106" s="275" t="s">
        <v>86</v>
      </c>
      <c r="C106" s="275"/>
      <c r="D106" s="275"/>
      <c r="E106" s="60" t="s">
        <v>90</v>
      </c>
      <c r="F106" s="61" t="s">
        <v>219</v>
      </c>
      <c r="G106" s="64">
        <v>20000</v>
      </c>
    </row>
    <row r="107" spans="1:7" ht="18.75" x14ac:dyDescent="0.3">
      <c r="A107" s="109">
        <v>4</v>
      </c>
      <c r="B107" s="275" t="s">
        <v>87</v>
      </c>
      <c r="C107" s="275"/>
      <c r="D107" s="275"/>
      <c r="E107" s="60" t="s">
        <v>90</v>
      </c>
      <c r="F107" s="61" t="s">
        <v>219</v>
      </c>
      <c r="G107" s="64">
        <v>20000</v>
      </c>
    </row>
    <row r="108" spans="1:7" ht="18.75" x14ac:dyDescent="0.3">
      <c r="A108" s="109">
        <v>5</v>
      </c>
      <c r="B108" s="275" t="s">
        <v>88</v>
      </c>
      <c r="C108" s="275"/>
      <c r="D108" s="275"/>
      <c r="E108" s="60" t="s">
        <v>89</v>
      </c>
      <c r="F108" s="65">
        <v>0</v>
      </c>
      <c r="G108" s="64">
        <v>20000</v>
      </c>
    </row>
    <row r="109" spans="1:7" ht="18.75" x14ac:dyDescent="0.3">
      <c r="A109" s="109">
        <v>6</v>
      </c>
      <c r="B109" s="270" t="s">
        <v>291</v>
      </c>
      <c r="C109" s="271"/>
      <c r="D109" s="272"/>
      <c r="E109" s="60" t="s">
        <v>90</v>
      </c>
      <c r="F109" s="65">
        <v>0</v>
      </c>
      <c r="G109" s="64">
        <v>20000</v>
      </c>
    </row>
    <row r="110" spans="1:7" ht="18.75" x14ac:dyDescent="0.3">
      <c r="A110" s="109">
        <v>7</v>
      </c>
      <c r="B110" s="270" t="s">
        <v>292</v>
      </c>
      <c r="C110" s="271"/>
      <c r="D110" s="272"/>
      <c r="E110" s="60" t="s">
        <v>89</v>
      </c>
      <c r="F110" s="61" t="s">
        <v>219</v>
      </c>
      <c r="G110" s="64">
        <v>20000</v>
      </c>
    </row>
    <row r="111" spans="1:7" ht="18.75" x14ac:dyDescent="0.3">
      <c r="A111" s="109">
        <v>8</v>
      </c>
      <c r="B111" s="270" t="s">
        <v>300</v>
      </c>
      <c r="C111" s="271"/>
      <c r="D111" s="93"/>
      <c r="E111" s="60" t="s">
        <v>301</v>
      </c>
      <c r="F111" s="61"/>
      <c r="G111" s="64">
        <v>20000</v>
      </c>
    </row>
    <row r="112" spans="1:7" ht="18.75" x14ac:dyDescent="0.3">
      <c r="A112" s="109">
        <v>9</v>
      </c>
      <c r="B112" s="270" t="s">
        <v>306</v>
      </c>
      <c r="C112" s="271"/>
      <c r="D112" s="93"/>
      <c r="E112" s="60" t="s">
        <v>301</v>
      </c>
      <c r="F112" s="61"/>
      <c r="G112" s="64">
        <v>20000</v>
      </c>
    </row>
    <row r="113" spans="1:7" ht="18.75" x14ac:dyDescent="0.3">
      <c r="A113" s="109">
        <v>10</v>
      </c>
      <c r="B113" s="270" t="s">
        <v>305</v>
      </c>
      <c r="C113" s="271"/>
      <c r="D113" s="93"/>
      <c r="E113" s="60" t="s">
        <v>14</v>
      </c>
      <c r="F113" s="61"/>
      <c r="G113" s="64">
        <v>20000</v>
      </c>
    </row>
    <row r="114" spans="1:7" ht="18.75" x14ac:dyDescent="0.3">
      <c r="A114" s="109">
        <v>11</v>
      </c>
      <c r="B114" s="91" t="s">
        <v>314</v>
      </c>
      <c r="C114" s="92" t="s">
        <v>314</v>
      </c>
      <c r="D114" s="93"/>
      <c r="E114" s="60" t="s">
        <v>90</v>
      </c>
      <c r="F114" s="61"/>
      <c r="G114" s="64">
        <v>20000</v>
      </c>
    </row>
    <row r="115" spans="1:7" ht="18.75" x14ac:dyDescent="0.3">
      <c r="A115" s="109">
        <v>12</v>
      </c>
      <c r="B115" s="91" t="s">
        <v>302</v>
      </c>
      <c r="C115" s="92" t="s">
        <v>302</v>
      </c>
      <c r="D115" s="93"/>
      <c r="E115" s="60" t="s">
        <v>75</v>
      </c>
      <c r="F115" s="61"/>
      <c r="G115" s="64">
        <v>20000</v>
      </c>
    </row>
    <row r="116" spans="1:7" ht="18.75" x14ac:dyDescent="0.3">
      <c r="A116" s="109">
        <v>13</v>
      </c>
      <c r="B116" s="91" t="s">
        <v>317</v>
      </c>
      <c r="C116" s="92" t="s">
        <v>317</v>
      </c>
      <c r="D116" s="93"/>
      <c r="E116" s="60" t="s">
        <v>75</v>
      </c>
      <c r="F116" s="61"/>
      <c r="G116" s="64">
        <v>20000</v>
      </c>
    </row>
    <row r="117" spans="1:7" ht="18.75" x14ac:dyDescent="0.3">
      <c r="A117" s="109">
        <v>14</v>
      </c>
      <c r="B117" s="270" t="s">
        <v>309</v>
      </c>
      <c r="C117" s="271"/>
      <c r="D117" s="272"/>
      <c r="E117" s="60" t="s">
        <v>75</v>
      </c>
      <c r="F117" s="61"/>
      <c r="G117" s="64">
        <v>20000</v>
      </c>
    </row>
    <row r="118" spans="1:7" ht="18.75" x14ac:dyDescent="0.3">
      <c r="A118" s="109"/>
      <c r="B118" s="267" t="s">
        <v>20</v>
      </c>
      <c r="C118" s="268"/>
      <c r="D118" s="269"/>
      <c r="E118" s="103" t="s">
        <v>341</v>
      </c>
      <c r="F118" s="103"/>
      <c r="G118" s="107">
        <f>SUM(G104:G117)</f>
        <v>280000</v>
      </c>
    </row>
    <row r="119" spans="1:7" ht="18.75" x14ac:dyDescent="0.3">
      <c r="A119" s="109"/>
      <c r="B119" s="110"/>
      <c r="C119" s="111"/>
      <c r="D119" s="104"/>
      <c r="E119" s="103"/>
      <c r="F119" s="103"/>
      <c r="G119" s="107"/>
    </row>
    <row r="120" spans="1:7" ht="18.75" x14ac:dyDescent="0.3">
      <c r="A120" s="109">
        <v>1</v>
      </c>
      <c r="B120" s="101" t="s">
        <v>315</v>
      </c>
      <c r="C120" s="102" t="s">
        <v>335</v>
      </c>
      <c r="D120" s="104"/>
      <c r="E120" s="60" t="s">
        <v>316</v>
      </c>
      <c r="F120" s="61"/>
      <c r="G120" s="64">
        <v>50000</v>
      </c>
    </row>
    <row r="121" spans="1:7" ht="18.75" x14ac:dyDescent="0.3">
      <c r="A121" s="109">
        <v>2</v>
      </c>
      <c r="B121" s="273" t="s">
        <v>336</v>
      </c>
      <c r="C121" s="279"/>
      <c r="D121" s="274"/>
      <c r="E121" s="60" t="s">
        <v>131</v>
      </c>
      <c r="F121" s="61" t="s">
        <v>165</v>
      </c>
      <c r="G121" s="64">
        <v>50000</v>
      </c>
    </row>
    <row r="122" spans="1:7" ht="18.75" x14ac:dyDescent="0.3">
      <c r="A122" s="109">
        <v>3</v>
      </c>
      <c r="B122" s="273" t="s">
        <v>220</v>
      </c>
      <c r="C122" s="279"/>
      <c r="D122" s="274"/>
      <c r="E122" s="60" t="s">
        <v>139</v>
      </c>
      <c r="F122" s="61" t="s">
        <v>165</v>
      </c>
      <c r="G122" s="64">
        <v>50000</v>
      </c>
    </row>
    <row r="123" spans="1:7" ht="18.75" x14ac:dyDescent="0.3">
      <c r="A123" s="109">
        <v>4</v>
      </c>
      <c r="B123" s="273" t="s">
        <v>221</v>
      </c>
      <c r="C123" s="279"/>
      <c r="D123" s="274"/>
      <c r="E123" s="60" t="s">
        <v>223</v>
      </c>
      <c r="F123" s="61" t="s">
        <v>165</v>
      </c>
      <c r="G123" s="64">
        <v>50000</v>
      </c>
    </row>
    <row r="124" spans="1:7" ht="18.75" x14ac:dyDescent="0.3">
      <c r="A124" s="109">
        <v>5</v>
      </c>
      <c r="B124" s="273" t="s">
        <v>269</v>
      </c>
      <c r="C124" s="279"/>
      <c r="D124" s="274"/>
      <c r="E124" s="60" t="s">
        <v>270</v>
      </c>
      <c r="F124" s="61" t="s">
        <v>50</v>
      </c>
      <c r="G124" s="64">
        <v>50000</v>
      </c>
    </row>
    <row r="125" spans="1:7" ht="18.75" x14ac:dyDescent="0.3">
      <c r="A125" s="109">
        <v>6</v>
      </c>
      <c r="B125" s="273" t="s">
        <v>234</v>
      </c>
      <c r="C125" s="279"/>
      <c r="D125" s="274"/>
      <c r="E125" s="60" t="s">
        <v>271</v>
      </c>
      <c r="F125" s="61" t="s">
        <v>50</v>
      </c>
      <c r="G125" s="64">
        <v>50000</v>
      </c>
    </row>
    <row r="126" spans="1:7" ht="18.75" x14ac:dyDescent="0.3">
      <c r="A126" s="109">
        <v>7</v>
      </c>
      <c r="B126" s="273" t="s">
        <v>287</v>
      </c>
      <c r="C126" s="279"/>
      <c r="D126" s="274"/>
      <c r="E126" s="60" t="s">
        <v>288</v>
      </c>
      <c r="F126" s="61" t="s">
        <v>165</v>
      </c>
      <c r="G126" s="64">
        <v>50000</v>
      </c>
    </row>
    <row r="127" spans="1:7" ht="18.75" x14ac:dyDescent="0.3">
      <c r="A127" s="109">
        <v>8</v>
      </c>
      <c r="B127" s="273" t="s">
        <v>285</v>
      </c>
      <c r="C127" s="279"/>
      <c r="D127" s="274"/>
      <c r="E127" s="60" t="s">
        <v>286</v>
      </c>
      <c r="F127" s="61" t="s">
        <v>165</v>
      </c>
      <c r="G127" s="64">
        <v>50000</v>
      </c>
    </row>
    <row r="128" spans="1:7" ht="18.75" x14ac:dyDescent="0.3">
      <c r="A128" s="109">
        <v>9</v>
      </c>
      <c r="B128" s="273" t="s">
        <v>294</v>
      </c>
      <c r="C128" s="279"/>
      <c r="D128" s="96"/>
      <c r="E128" s="60" t="s">
        <v>297</v>
      </c>
      <c r="F128" s="61" t="s">
        <v>49</v>
      </c>
      <c r="G128" s="64">
        <v>50000</v>
      </c>
    </row>
    <row r="129" spans="1:7" ht="18.75" x14ac:dyDescent="0.3">
      <c r="A129" s="109">
        <v>10</v>
      </c>
      <c r="B129" s="101" t="s">
        <v>295</v>
      </c>
      <c r="C129" s="102"/>
      <c r="D129" s="96"/>
      <c r="E129" s="60" t="s">
        <v>298</v>
      </c>
      <c r="F129" s="61" t="s">
        <v>184</v>
      </c>
      <c r="G129" s="64">
        <v>50000</v>
      </c>
    </row>
    <row r="130" spans="1:7" ht="18.75" x14ac:dyDescent="0.3">
      <c r="A130" s="109">
        <v>11</v>
      </c>
      <c r="B130" s="273" t="s">
        <v>339</v>
      </c>
      <c r="C130" s="279"/>
      <c r="D130" s="274"/>
      <c r="E130" s="60" t="s">
        <v>338</v>
      </c>
      <c r="F130" s="61" t="s">
        <v>184</v>
      </c>
      <c r="G130" s="64">
        <v>50000</v>
      </c>
    </row>
    <row r="131" spans="1:7" ht="18.75" x14ac:dyDescent="0.3">
      <c r="A131" s="109">
        <v>12</v>
      </c>
      <c r="B131" s="101" t="s">
        <v>296</v>
      </c>
      <c r="C131" s="102"/>
      <c r="D131" s="96"/>
      <c r="E131" s="60" t="s">
        <v>299</v>
      </c>
      <c r="F131" s="61" t="s">
        <v>165</v>
      </c>
      <c r="G131" s="64">
        <v>50000</v>
      </c>
    </row>
    <row r="132" spans="1:7" ht="18.75" x14ac:dyDescent="0.3">
      <c r="B132" s="267" t="s">
        <v>20</v>
      </c>
      <c r="C132" s="268"/>
      <c r="D132" s="269"/>
      <c r="E132" s="103" t="s">
        <v>340</v>
      </c>
      <c r="F132" s="61"/>
      <c r="G132" s="107">
        <f>SUM(G120:G131)</f>
        <v>600000</v>
      </c>
    </row>
    <row r="133" spans="1:7" ht="18.75" x14ac:dyDescent="0.3">
      <c r="B133" s="286" t="s">
        <v>8</v>
      </c>
      <c r="C133" s="286"/>
      <c r="D133" s="286"/>
      <c r="E133" s="105"/>
      <c r="F133" s="106"/>
      <c r="G133" s="107">
        <f>G29+G37+G56+G102+G118</f>
        <v>7120000</v>
      </c>
    </row>
    <row r="134" spans="1:7" x14ac:dyDescent="0.2">
      <c r="B134" s="13"/>
      <c r="C134" s="13"/>
      <c r="D134" s="13"/>
      <c r="E134" s="13"/>
      <c r="F134" s="13"/>
      <c r="G134" s="13"/>
    </row>
  </sheetData>
  <mergeCells count="116">
    <mergeCell ref="B133:D133"/>
    <mergeCell ref="B22:D22"/>
    <mergeCell ref="B51:D51"/>
    <mergeCell ref="B121:D121"/>
    <mergeCell ref="B130:D130"/>
    <mergeCell ref="B123:D123"/>
    <mergeCell ref="B124:D124"/>
    <mergeCell ref="B125:D125"/>
    <mergeCell ref="B126:D126"/>
    <mergeCell ref="B127:D127"/>
    <mergeCell ref="B128:C128"/>
    <mergeCell ref="B111:C111"/>
    <mergeCell ref="B112:C112"/>
    <mergeCell ref="B113:C113"/>
    <mergeCell ref="B118:D118"/>
    <mergeCell ref="B122:D122"/>
    <mergeCell ref="B105:D105"/>
    <mergeCell ref="B106:D106"/>
    <mergeCell ref="B107:D107"/>
    <mergeCell ref="B108:D108"/>
    <mergeCell ref="B109:D109"/>
    <mergeCell ref="B110:D110"/>
    <mergeCell ref="B97:D97"/>
    <mergeCell ref="B98:D98"/>
    <mergeCell ref="B99:D99"/>
    <mergeCell ref="B100:D100"/>
    <mergeCell ref="B104:D104"/>
    <mergeCell ref="B91:D91"/>
    <mergeCell ref="B92:D92"/>
    <mergeCell ref="B93:D93"/>
    <mergeCell ref="B94:D94"/>
    <mergeCell ref="B95:D95"/>
    <mergeCell ref="B96:D96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61:D61"/>
    <mergeCell ref="B62:D62"/>
    <mergeCell ref="B63:D63"/>
    <mergeCell ref="B64:D64"/>
    <mergeCell ref="B65:D65"/>
    <mergeCell ref="B66:D66"/>
    <mergeCell ref="B55:D55"/>
    <mergeCell ref="B56:D56"/>
    <mergeCell ref="B58:D58"/>
    <mergeCell ref="B59:D59"/>
    <mergeCell ref="B60:D60"/>
    <mergeCell ref="B47:D47"/>
    <mergeCell ref="B48:D48"/>
    <mergeCell ref="B50:D50"/>
    <mergeCell ref="B52:D52"/>
    <mergeCell ref="B53:D53"/>
    <mergeCell ref="B54:D54"/>
    <mergeCell ref="B41:D41"/>
    <mergeCell ref="B42:D42"/>
    <mergeCell ref="B43:D43"/>
    <mergeCell ref="B44:D44"/>
    <mergeCell ref="B45:D45"/>
    <mergeCell ref="B46:C46"/>
    <mergeCell ref="B18:D18"/>
    <mergeCell ref="B19:D19"/>
    <mergeCell ref="B23:D23"/>
    <mergeCell ref="B34:D34"/>
    <mergeCell ref="B36:D36"/>
    <mergeCell ref="B37:D37"/>
    <mergeCell ref="B39:D39"/>
    <mergeCell ref="B40:D40"/>
    <mergeCell ref="B30:D30"/>
    <mergeCell ref="B31:D31"/>
    <mergeCell ref="B32:D32"/>
    <mergeCell ref="B33:D33"/>
    <mergeCell ref="B1:G2"/>
    <mergeCell ref="B102:D102"/>
    <mergeCell ref="B132:D132"/>
    <mergeCell ref="B117:D117"/>
    <mergeCell ref="B9:C9"/>
    <mergeCell ref="B10:D10"/>
    <mergeCell ref="B11:D11"/>
    <mergeCell ref="B12:D12"/>
    <mergeCell ref="B13:D13"/>
    <mergeCell ref="B14:D14"/>
    <mergeCell ref="B3:D3"/>
    <mergeCell ref="B4:D4"/>
    <mergeCell ref="B5:D5"/>
    <mergeCell ref="B6:D6"/>
    <mergeCell ref="B7:D7"/>
    <mergeCell ref="B8:D8"/>
    <mergeCell ref="B24:D24"/>
    <mergeCell ref="B25:D25"/>
    <mergeCell ref="B26:D26"/>
    <mergeCell ref="B27:D27"/>
    <mergeCell ref="B29:D29"/>
    <mergeCell ref="B15:D15"/>
    <mergeCell ref="B16:D16"/>
    <mergeCell ref="B17:D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Feb. 2017</vt:lpstr>
      <vt:lpstr>Sheet6</vt:lpstr>
      <vt:lpstr>Sheet4</vt:lpstr>
      <vt:lpstr>Sheet5</vt:lpstr>
      <vt:lpstr>Enhanced welfare</vt:lpstr>
      <vt:lpstr>Get Together</vt:lpstr>
      <vt:lpstr>MEMO</vt:lpstr>
      <vt:lpstr>17.9</vt:lpstr>
      <vt:lpstr>16.9</vt:lpstr>
      <vt:lpstr>15.9</vt:lpstr>
      <vt:lpstr>13.7</vt:lpstr>
      <vt:lpstr>12.7</vt:lpstr>
      <vt:lpstr>10.7</vt:lpstr>
      <vt:lpstr>9.7</vt:lpstr>
      <vt:lpstr>8.7</vt:lpstr>
      <vt:lpstr>sUMMARY</vt:lpstr>
      <vt:lpstr>14.7</vt:lpstr>
      <vt:lpstr>Sheet2</vt:lpstr>
      <vt:lpstr>15.7</vt:lpstr>
      <vt:lpstr>5.7</vt:lpstr>
      <vt:lpstr>Noninal roll</vt:lpstr>
      <vt:lpstr>Welfare List Mgt Staff</vt:lpstr>
      <vt:lpstr>Welfare Support Staff</vt:lpstr>
      <vt:lpstr>Welfare Deployed Staff</vt:lpstr>
      <vt:lpstr>Sheet1</vt:lpstr>
      <vt:lpstr>Sheet3</vt:lpstr>
      <vt:lpstr>'Feb. 2017'!Print_Area</vt:lpstr>
      <vt:lpstr>MEMO!Print_Area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2017-02-03T08:33:00Z</cp:lastPrinted>
  <dcterms:created xsi:type="dcterms:W3CDTF">2008-06-27T10:36:45Z</dcterms:created>
  <dcterms:modified xsi:type="dcterms:W3CDTF">2026-03-27T18:57:22Z</dcterms:modified>
</cp:coreProperties>
</file>