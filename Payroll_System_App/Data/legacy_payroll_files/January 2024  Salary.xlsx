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3" documentId="11_55EE9C6BB5C88CA00D8CE0153C4F69D986E021FF" xr6:coauthVersionLast="47" xr6:coauthVersionMax="47" xr10:uidLastSave="{CD7F90C1-FD8E-4B06-8E05-229BE8D3510A}"/>
  <bookViews>
    <workbookView xWindow="0" yWindow="1125" windowWidth="28800" windowHeight="10560" tabRatio="597" xr2:uid="{00000000-000D-0000-FFFF-FFFF00000000}"/>
  </bookViews>
  <sheets>
    <sheet name="JANUARY 2024" sheetId="1" r:id="rId1"/>
    <sheet name="Sheet4" sheetId="138" r:id="rId2"/>
    <sheet name="MEMO 1" sheetId="68" r:id="rId3"/>
    <sheet name="ENHANCED WELFARE 2024" sheetId="140" r:id="rId4"/>
    <sheet name="PROMOTIONS " sheetId="131" r:id="rId5"/>
    <sheet name="CHRISTMAS WELFARE" sheetId="135" r:id="rId6"/>
    <sheet name="CHRISTMAS WELFARE 1" sheetId="134" r:id="rId7"/>
    <sheet name="HALF 2023 (2)" sheetId="137" r:id="rId8"/>
    <sheet name="Sheet3" sheetId="136" r:id="rId9"/>
    <sheet name="NEW ENROLMENT IN NOVEMBER (2)" sheetId="132" r:id="rId10"/>
    <sheet name="Regularisation IN NOVEMBER (3)" sheetId="133" r:id="rId11"/>
    <sheet name="Sheet2" sheetId="130" r:id="rId12"/>
    <sheet name="PROMOTIONS" sheetId="129" r:id="rId13"/>
    <sheet name="SALARY STRUCTURE" sheetId="128" r:id="rId14"/>
    <sheet name="Wage Grant" sheetId="124" r:id="rId15"/>
    <sheet name="Wage Grant (2)" sheetId="126" r:id="rId16"/>
    <sheet name="1st 28 days in Nov" sheetId="123" r:id="rId17"/>
    <sheet name="Sallah Welfare April 2023" sheetId="119" r:id="rId18"/>
    <sheet name="Sallah Welfare June 2023" sheetId="120" r:id="rId19"/>
    <sheet name="Sallah Welfare June 2023 Latest" sheetId="121" r:id="rId20"/>
    <sheet name="Sheet1" sheetId="117" r:id="rId21"/>
    <sheet name="January 2023 PAYE" sheetId="115" r:id="rId22"/>
    <sheet name="January 2023 NHF)" sheetId="116" r:id="rId23"/>
    <sheet name="PAYE Computation" sheetId="114" r:id="rId24"/>
    <sheet name="Tax adj August, 2022" sheetId="87" r:id="rId25"/>
    <sheet name="Annual Increement" sheetId="78" r:id="rId26"/>
    <sheet name="Enhanced Welfare 2023 (2)" sheetId="110" r:id="rId27"/>
    <sheet name="Enhanced Welfare 2023 (3)" sheetId="113" r:id="rId28"/>
    <sheet name="17.9" sheetId="4" r:id="rId29"/>
    <sheet name="16.7" sheetId="5" r:id="rId30"/>
    <sheet name="15.7.1" sheetId="6" r:id="rId31"/>
    <sheet name="13.7" sheetId="7" r:id="rId32"/>
    <sheet name="12.7" sheetId="8" r:id="rId33"/>
    <sheet name="10.7" sheetId="9" r:id="rId34"/>
    <sheet name="9.7" sheetId="10" r:id="rId35"/>
    <sheet name="8.7" sheetId="11" r:id="rId36"/>
    <sheet name="SUMMARY" sheetId="12" r:id="rId37"/>
    <sheet name="14.7" sheetId="13" r:id="rId38"/>
    <sheet name="15.7" sheetId="23" r:id="rId39"/>
    <sheet name="Basic Salary" sheetId="61" r:id="rId40"/>
    <sheet name="JUNE 2023 (2)" sheetId="122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Print_Area" localSheetId="25">'Annual Increement'!$A$1:$AB$191</definedName>
    <definedName name="_xlnm.Print_Area" localSheetId="5">'CHRISTMAS WELFARE'!$A$1:$E$196</definedName>
    <definedName name="_xlnm.Print_Area" localSheetId="26">'Enhanced Welfare 2023 (2)'!$A$1:$G$193</definedName>
    <definedName name="_xlnm.Print_Area" localSheetId="27">'Enhanced Welfare 2023 (3)'!$A$1:$G$193</definedName>
    <definedName name="_xlnm.Print_Area" localSheetId="3">'ENHANCED WELFARE 2024'!$A$1:$G$196</definedName>
    <definedName name="_xlnm.Print_Area" localSheetId="7">'HALF 2023 (2)'!$A$1:$F$195</definedName>
    <definedName name="_xlnm.Print_Area" localSheetId="22">'January 2023 NHF)'!$A$1:$H$191</definedName>
    <definedName name="_xlnm.Print_Area" localSheetId="21">'January 2023 PAYE'!$A$1:$H$191</definedName>
    <definedName name="_xlnm.Print_Area" localSheetId="0">'JANUARY 2024'!$A$1:$Z$196</definedName>
    <definedName name="_xlnm.Print_Area" localSheetId="40">'JUNE 2023 (2)'!$A$1:$D$190</definedName>
    <definedName name="_xlnm.Print_Area" localSheetId="2">'MEMO 1'!$A$1:$H$60</definedName>
    <definedName name="_xlnm.Print_Area" localSheetId="9">'NEW ENROLMENT IN NOVEMBER (2)'!$A$1:$X$14</definedName>
    <definedName name="_xlnm.Print_Area" localSheetId="12">PROMOTIONS!$A$1:$AB$47</definedName>
    <definedName name="_xlnm.Print_Area" localSheetId="4">'PROMOTIONS '!$A$1:$AB$27</definedName>
    <definedName name="_xlnm.Print_Area" localSheetId="10">'Regularisation IN NOVEMBER (3)'!$A$1:$X$16</definedName>
    <definedName name="_xlnm.Print_Area" localSheetId="17">'Sallah Welfare April 2023'!$A$1:$E$190</definedName>
    <definedName name="_xlnm.Print_Area" localSheetId="18">'Sallah Welfare June 2023'!$A$1:$E$192</definedName>
    <definedName name="_xlnm.Print_Area" localSheetId="19">'Sallah Welfare June 2023 Latest'!$A$1:$E$189</definedName>
    <definedName name="_xlnm.Print_Area" localSheetId="24">'Tax adj August, 2022'!$A$1:$G$202</definedName>
    <definedName name="_xlnm.Print_Area" localSheetId="14">'Wage Grant'!$A$1:$I$192</definedName>
    <definedName name="_xlnm.Print_Area" localSheetId="15">'Wage Grant (2)'!$A$1:$H$62</definedName>
    <definedName name="_xlnm.Print_Titles" localSheetId="5">'CHRISTMAS WELFARE'!$4:$5</definedName>
    <definedName name="_xlnm.Print_Titles" localSheetId="26">'Enhanced Welfare 2023 (2)'!$4:$5</definedName>
    <definedName name="_xlnm.Print_Titles" localSheetId="27">'Enhanced Welfare 2023 (3)'!$4:$5</definedName>
    <definedName name="_xlnm.Print_Titles" localSheetId="3">'ENHANCED WELFARE 2024'!$4:$5</definedName>
    <definedName name="_xlnm.Print_Titles" localSheetId="7">'HALF 2023 (2)'!$4:$5</definedName>
    <definedName name="_xlnm.Print_Titles" localSheetId="22">'January 2023 NHF)'!$4:$5</definedName>
    <definedName name="_xlnm.Print_Titles" localSheetId="21">'January 2023 PAYE'!$4:$5</definedName>
    <definedName name="_xlnm.Print_Titles" localSheetId="0">'JANUARY 2024'!$4:$5</definedName>
    <definedName name="_xlnm.Print_Titles" localSheetId="40">'JUNE 2023 (2)'!$4:$5</definedName>
    <definedName name="_xlnm.Print_Titles" localSheetId="9">'NEW ENROLMENT IN NOVEMBER (2)'!$4:$5</definedName>
    <definedName name="_xlnm.Print_Titles" localSheetId="12">PROMOTIONS!$4:$5</definedName>
    <definedName name="_xlnm.Print_Titles" localSheetId="4">'PROMOTIONS '!$4:$5</definedName>
    <definedName name="_xlnm.Print_Titles" localSheetId="10">'Regularisation IN NOVEMBER (3)'!$4:$5</definedName>
    <definedName name="_xlnm.Print_Titles" localSheetId="17">'Sallah Welfare April 2023'!$4:$5</definedName>
    <definedName name="_xlnm.Print_Titles" localSheetId="18">'Sallah Welfare June 2023'!$4:$5</definedName>
    <definedName name="_xlnm.Print_Titles" localSheetId="19">'Sallah Welfare June 2023 Latest'!$4:$5</definedName>
    <definedName name="_xlnm.Print_Titles" localSheetId="14">'Wage Grant'!$5:$5</definedName>
    <definedName name="_xlnm.Print_Titles" localSheetId="15">'Wage Grant (2)'!$5:$5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4" i="1" l="1"/>
  <c r="V148" i="1"/>
  <c r="V145" i="1"/>
  <c r="V144" i="1"/>
  <c r="V137" i="1"/>
  <c r="V138" i="1"/>
  <c r="V139" i="1"/>
  <c r="V140" i="1"/>
  <c r="V136" i="1"/>
  <c r="V127" i="1"/>
  <c r="V126" i="1"/>
  <c r="V122" i="1"/>
  <c r="V123" i="1"/>
  <c r="V121" i="1"/>
  <c r="V117" i="1"/>
  <c r="V115" i="1"/>
  <c r="V107" i="1"/>
  <c r="V86" i="1"/>
  <c r="V78" i="1"/>
  <c r="V47" i="1"/>
  <c r="V13" i="1" l="1"/>
  <c r="V14" i="1"/>
  <c r="V20" i="1"/>
  <c r="E163" i="1" l="1"/>
  <c r="E164" i="1"/>
  <c r="E165" i="1"/>
  <c r="E166" i="1"/>
  <c r="E162" i="1"/>
  <c r="V162" i="1" s="1"/>
  <c r="N117" i="1" l="1"/>
  <c r="M109" i="1" l="1"/>
  <c r="M108" i="1"/>
  <c r="H35" i="68" l="1"/>
  <c r="O92" i="1"/>
  <c r="L92" i="1"/>
  <c r="K92" i="1"/>
  <c r="J92" i="1"/>
  <c r="H92" i="1"/>
  <c r="G92" i="1"/>
  <c r="H37" i="68"/>
  <c r="X30" i="1" l="1"/>
  <c r="N30" i="1"/>
  <c r="E30" i="1"/>
  <c r="H30" i="1" s="1"/>
  <c r="H34" i="68"/>
  <c r="F23" i="1"/>
  <c r="K30" i="1" l="1"/>
  <c r="L30" i="1"/>
  <c r="J30" i="1"/>
  <c r="O30" i="1"/>
  <c r="G30" i="1"/>
  <c r="R30" i="1" l="1"/>
  <c r="Z30" i="1" s="1"/>
  <c r="X23" i="1"/>
  <c r="R23" i="1"/>
  <c r="U27" i="1"/>
  <c r="T27" i="1"/>
  <c r="O27" i="1"/>
  <c r="M27" i="1"/>
  <c r="L27" i="1"/>
  <c r="K27" i="1"/>
  <c r="J27" i="1"/>
  <c r="H27" i="1"/>
  <c r="G27" i="1"/>
  <c r="F118" i="1"/>
  <c r="M118" i="1"/>
  <c r="P118" i="1"/>
  <c r="Q118" i="1"/>
  <c r="S118" i="1"/>
  <c r="Y118" i="1"/>
  <c r="V118" i="1"/>
  <c r="U115" i="1"/>
  <c r="T115" i="1"/>
  <c r="O115" i="1"/>
  <c r="L115" i="1"/>
  <c r="K115" i="1"/>
  <c r="J115" i="1"/>
  <c r="I115" i="1"/>
  <c r="I118" i="1" s="1"/>
  <c r="H115" i="1"/>
  <c r="G115" i="1"/>
  <c r="X27" i="1" l="1"/>
  <c r="R27" i="1"/>
  <c r="Z23" i="1"/>
  <c r="R115" i="1"/>
  <c r="X115" i="1"/>
  <c r="Z115" i="1" s="1"/>
  <c r="O25" i="1"/>
  <c r="N25" i="1"/>
  <c r="L25" i="1"/>
  <c r="K25" i="1"/>
  <c r="J25" i="1"/>
  <c r="H25" i="1"/>
  <c r="G25" i="1"/>
  <c r="M94" i="1"/>
  <c r="E94" i="1"/>
  <c r="J94" i="1" s="1"/>
  <c r="E111" i="1"/>
  <c r="E192" i="1"/>
  <c r="E191" i="1"/>
  <c r="E168" i="1"/>
  <c r="E169" i="1"/>
  <c r="E170" i="1"/>
  <c r="E171" i="1"/>
  <c r="E172" i="1"/>
  <c r="E167" i="1"/>
  <c r="N161" i="1"/>
  <c r="E161" i="1"/>
  <c r="L161" i="1" s="1"/>
  <c r="E158" i="1"/>
  <c r="E159" i="1"/>
  <c r="E157" i="1"/>
  <c r="E143" i="1"/>
  <c r="E130" i="1"/>
  <c r="E129" i="1"/>
  <c r="E116" i="1"/>
  <c r="E110" i="1"/>
  <c r="G108" i="1"/>
  <c r="H108" i="1"/>
  <c r="J108" i="1"/>
  <c r="K108" i="1"/>
  <c r="L108" i="1"/>
  <c r="O108" i="1"/>
  <c r="E106" i="1"/>
  <c r="V106" i="1" s="1"/>
  <c r="E100" i="1"/>
  <c r="E98" i="1"/>
  <c r="V98" i="1" s="1"/>
  <c r="E89" i="1"/>
  <c r="E81" i="1"/>
  <c r="E65" i="1"/>
  <c r="O58" i="1"/>
  <c r="L58" i="1"/>
  <c r="K58" i="1"/>
  <c r="J58" i="1"/>
  <c r="H58" i="1"/>
  <c r="G58" i="1"/>
  <c r="E17" i="1"/>
  <c r="E38" i="1"/>
  <c r="E33" i="1"/>
  <c r="E28" i="1"/>
  <c r="E21" i="1"/>
  <c r="E19" i="1"/>
  <c r="O16" i="1"/>
  <c r="L16" i="1"/>
  <c r="K16" i="1"/>
  <c r="J16" i="1"/>
  <c r="H16" i="1"/>
  <c r="G16" i="1"/>
  <c r="E9" i="1"/>
  <c r="E10" i="1"/>
  <c r="V10" i="1" s="1"/>
  <c r="E11" i="1"/>
  <c r="V11" i="1" s="1"/>
  <c r="E12" i="1"/>
  <c r="O130" i="1" l="1"/>
  <c r="L130" i="1"/>
  <c r="K130" i="1"/>
  <c r="J130" i="1"/>
  <c r="H130" i="1"/>
  <c r="G130" i="1"/>
  <c r="Z27" i="1"/>
  <c r="O161" i="1"/>
  <c r="R58" i="1"/>
  <c r="R108" i="1"/>
  <c r="O94" i="1"/>
  <c r="R25" i="1"/>
  <c r="G94" i="1"/>
  <c r="H94" i="1"/>
  <c r="K94" i="1"/>
  <c r="L94" i="1"/>
  <c r="G161" i="1"/>
  <c r="H161" i="1"/>
  <c r="J161" i="1"/>
  <c r="K161" i="1"/>
  <c r="R130" i="1" l="1"/>
  <c r="R161" i="1"/>
  <c r="R94" i="1"/>
  <c r="C194" i="140"/>
  <c r="E117" i="140"/>
  <c r="F116" i="140"/>
  <c r="F117" i="140" s="1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5" i="137"/>
  <c r="F117" i="137" s="1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6" i="137"/>
  <c r="F55" i="137"/>
  <c r="F57" i="137" s="1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102" i="137" l="1"/>
  <c r="F192" i="137"/>
  <c r="F193" i="137" s="1"/>
  <c r="F31" i="137"/>
  <c r="F71" i="137"/>
  <c r="F52" i="137"/>
  <c r="G31" i="140"/>
  <c r="G52" i="140"/>
  <c r="G192" i="140"/>
  <c r="G130" i="140"/>
  <c r="F130" i="137"/>
  <c r="G194" i="140" l="1"/>
  <c r="X24" i="1"/>
  <c r="N24" i="1" l="1"/>
  <c r="E24" i="1"/>
  <c r="L24" i="1" s="1"/>
  <c r="O24" i="1" l="1"/>
  <c r="K24" i="1"/>
  <c r="G24" i="1"/>
  <c r="H24" i="1"/>
  <c r="J24" i="1"/>
  <c r="R24" i="1" l="1"/>
  <c r="Z24" i="1" s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94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U101" i="1" l="1"/>
  <c r="T44" i="1"/>
  <c r="U44" i="1"/>
  <c r="P34" i="1" l="1"/>
  <c r="S34" i="1"/>
  <c r="T16" i="1"/>
  <c r="R16" i="1"/>
  <c r="N122" i="1"/>
  <c r="M45" i="1"/>
  <c r="M48" i="1"/>
  <c r="I48" i="1"/>
  <c r="E48" i="1"/>
  <c r="X16" i="1" l="1"/>
  <c r="Z16" i="1" s="1"/>
  <c r="N29" i="1"/>
  <c r="E29" i="1"/>
  <c r="AA7" i="131" l="1"/>
  <c r="X7" i="131"/>
  <c r="T7" i="131"/>
  <c r="S7" i="131"/>
  <c r="O7" i="131"/>
  <c r="N7" i="131"/>
  <c r="L7" i="131"/>
  <c r="K7" i="131"/>
  <c r="J7" i="131"/>
  <c r="H7" i="131"/>
  <c r="G7" i="131"/>
  <c r="G53" i="68" l="1"/>
  <c r="G52" i="68"/>
  <c r="G51" i="68"/>
  <c r="G50" i="68"/>
  <c r="G49" i="68"/>
  <c r="G48" i="68"/>
  <c r="G47" i="68"/>
  <c r="G46" i="68"/>
  <c r="G45" i="68"/>
  <c r="G44" i="68"/>
  <c r="G43" i="68"/>
  <c r="G42" i="68"/>
  <c r="F72" i="1" l="1"/>
  <c r="F102" i="1"/>
  <c r="I102" i="1"/>
  <c r="M102" i="1"/>
  <c r="P102" i="1"/>
  <c r="S102" i="1"/>
  <c r="V102" i="1"/>
  <c r="N72" i="1"/>
  <c r="P72" i="1"/>
  <c r="Q72" i="1"/>
  <c r="S72" i="1"/>
  <c r="V72" i="1"/>
  <c r="F34" i="1"/>
  <c r="U12" i="1"/>
  <c r="T12" i="1"/>
  <c r="O12" i="1"/>
  <c r="N12" i="1"/>
  <c r="L12" i="1"/>
  <c r="K12" i="1"/>
  <c r="J12" i="1"/>
  <c r="H12" i="1"/>
  <c r="G12" i="1"/>
  <c r="X22" i="1"/>
  <c r="E22" i="1"/>
  <c r="J22" i="1" s="1"/>
  <c r="M22" i="1"/>
  <c r="X12" i="1" l="1"/>
  <c r="R12" i="1"/>
  <c r="G22" i="1"/>
  <c r="H22" i="1"/>
  <c r="K22" i="1"/>
  <c r="L22" i="1"/>
  <c r="O22" i="1"/>
  <c r="Z12" i="1" l="1"/>
  <c r="R22" i="1"/>
  <c r="Z22" i="1" s="1"/>
  <c r="N174" i="1" l="1"/>
  <c r="N175" i="1"/>
  <c r="N173" i="1"/>
  <c r="E174" i="1"/>
  <c r="E173" i="1"/>
  <c r="E13" i="133"/>
  <c r="H13" i="133" s="1"/>
  <c r="G13" i="133"/>
  <c r="Q13" i="133"/>
  <c r="T13" i="133"/>
  <c r="U13" i="133"/>
  <c r="W13" i="133"/>
  <c r="E14" i="133"/>
  <c r="K14" i="133" s="1"/>
  <c r="G14" i="133"/>
  <c r="H14" i="133"/>
  <c r="J14" i="133"/>
  <c r="L14" i="133"/>
  <c r="Q14" i="133"/>
  <c r="W14" i="133"/>
  <c r="X14" i="133" s="1"/>
  <c r="X16" i="133" s="1"/>
  <c r="E15" i="133"/>
  <c r="L15" i="133" s="1"/>
  <c r="G15" i="133"/>
  <c r="H15" i="133"/>
  <c r="J15" i="133"/>
  <c r="K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O15" i="133" l="1"/>
  <c r="R15" i="133" s="1"/>
  <c r="Z15" i="133" s="1"/>
  <c r="O14" i="133"/>
  <c r="R14" i="133" s="1"/>
  <c r="Z14" i="133" s="1"/>
  <c r="X13" i="133"/>
  <c r="O13" i="133"/>
  <c r="J13" i="133"/>
  <c r="L13" i="133"/>
  <c r="K13" i="133"/>
  <c r="R13" i="133" l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X18" i="1"/>
  <c r="O18" i="1"/>
  <c r="L18" i="1"/>
  <c r="K18" i="1"/>
  <c r="J18" i="1"/>
  <c r="H18" i="1"/>
  <c r="G18" i="1"/>
  <c r="X71" i="1"/>
  <c r="O71" i="1"/>
  <c r="L71" i="1"/>
  <c r="K71" i="1"/>
  <c r="J71" i="1"/>
  <c r="H71" i="1"/>
  <c r="G71" i="1"/>
  <c r="E4" i="123"/>
  <c r="E3" i="123"/>
  <c r="D4" i="123"/>
  <c r="D3" i="123"/>
  <c r="W11" i="132"/>
  <c r="T7" i="132"/>
  <c r="S7" i="132"/>
  <c r="R18" i="1" l="1"/>
  <c r="Z18" i="1" s="1"/>
  <c r="R71" i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Z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I14" i="132" s="1"/>
  <c r="F8" i="132"/>
  <c r="U8" i="132"/>
  <c r="T8" i="132"/>
  <c r="T14" i="132" s="1"/>
  <c r="O8" i="132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P14" i="132" l="1"/>
  <c r="Z18" i="131"/>
  <c r="AB18" i="131" s="1"/>
  <c r="N14" i="132"/>
  <c r="S14" i="132"/>
  <c r="T23" i="131"/>
  <c r="Y23" i="131"/>
  <c r="T22" i="131"/>
  <c r="N24" i="131"/>
  <c r="O14" i="132"/>
  <c r="F14" i="132"/>
  <c r="Z22" i="131"/>
  <c r="AB22" i="131" s="1"/>
  <c r="R12" i="132"/>
  <c r="R8" i="132"/>
  <c r="V7" i="132"/>
  <c r="X7" i="132" s="1"/>
  <c r="V8" i="132"/>
  <c r="U12" i="132"/>
  <c r="U14" i="132" s="1"/>
  <c r="X8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Z23" i="131" l="1"/>
  <c r="AB23" i="131" s="1"/>
  <c r="R14" i="132"/>
  <c r="Q24" i="131"/>
  <c r="T24" i="131" s="1"/>
  <c r="Z24" i="131" s="1"/>
  <c r="AB24" i="131" s="1"/>
  <c r="W102" i="1" l="1"/>
  <c r="T11" i="131"/>
  <c r="T13" i="131" s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T17" i="131" l="1"/>
  <c r="F40" i="1"/>
  <c r="I40" i="1"/>
  <c r="M40" i="1"/>
  <c r="P40" i="1"/>
  <c r="Q40" i="1"/>
  <c r="U40" i="1"/>
  <c r="V40" i="1"/>
  <c r="W40" i="1"/>
  <c r="X44" i="1"/>
  <c r="O44" i="1"/>
  <c r="M44" i="1"/>
  <c r="L44" i="1"/>
  <c r="K44" i="1"/>
  <c r="J44" i="1"/>
  <c r="H44" i="1"/>
  <c r="G44" i="1"/>
  <c r="X57" i="1"/>
  <c r="O57" i="1"/>
  <c r="M57" i="1"/>
  <c r="L57" i="1"/>
  <c r="K57" i="1"/>
  <c r="J57" i="1"/>
  <c r="H57" i="1"/>
  <c r="G57" i="1"/>
  <c r="R44" i="1" l="1"/>
  <c r="Z44" i="1" s="1"/>
  <c r="R57" i="1"/>
  <c r="Z57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L8" i="131"/>
  <c r="H8" i="131"/>
  <c r="E8" i="131"/>
  <c r="X8" i="131"/>
  <c r="X27" i="131" s="1"/>
  <c r="N8" i="131"/>
  <c r="K8" i="131"/>
  <c r="J8" i="131"/>
  <c r="G8" i="131"/>
  <c r="F8" i="131"/>
  <c r="G3" i="131"/>
  <c r="E3" i="131"/>
  <c r="G1" i="131"/>
  <c r="E27" i="131" l="1"/>
  <c r="F27" i="131"/>
  <c r="V27" i="131"/>
  <c r="U27" i="131"/>
  <c r="P27" i="131"/>
  <c r="M27" i="131"/>
  <c r="N27" i="131"/>
  <c r="G27" i="131"/>
  <c r="H27" i="131"/>
  <c r="J27" i="131"/>
  <c r="K27" i="131"/>
  <c r="H38" i="68"/>
  <c r="S27" i="131"/>
  <c r="Q19" i="131"/>
  <c r="Y17" i="131"/>
  <c r="Y19" i="131" s="1"/>
  <c r="F19" i="131"/>
  <c r="Y7" i="131"/>
  <c r="Y8" i="131" s="1"/>
  <c r="I8" i="131"/>
  <c r="I27" i="131" s="1"/>
  <c r="E5" i="123"/>
  <c r="Q8" i="131" l="1"/>
  <c r="Y27" i="131"/>
  <c r="Z17" i="131"/>
  <c r="T19" i="131"/>
  <c r="U11" i="1"/>
  <c r="U138" i="1"/>
  <c r="U156" i="1"/>
  <c r="AB17" i="131" l="1"/>
  <c r="AB19" i="131" s="1"/>
  <c r="Z19" i="131"/>
  <c r="S45" i="129" l="1"/>
  <c r="Q186" i="1"/>
  <c r="N186" i="1"/>
  <c r="S43" i="129"/>
  <c r="S42" i="129"/>
  <c r="N156" i="1"/>
  <c r="N101" i="1"/>
  <c r="O101" i="1"/>
  <c r="I14" i="1"/>
  <c r="M90" i="1"/>
  <c r="E90" i="1"/>
  <c r="L101" i="1" l="1"/>
  <c r="H101" i="1"/>
  <c r="K101" i="1"/>
  <c r="G101" i="1"/>
  <c r="J101" i="1"/>
  <c r="M78" i="1"/>
  <c r="V15" i="129"/>
  <c r="I87" i="1"/>
  <c r="M17" i="1"/>
  <c r="N28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R101" i="1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34" i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H59" i="126" s="1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 s="1"/>
  <c r="F4" i="123"/>
  <c r="F3" i="123"/>
  <c r="F5" i="123" s="1"/>
  <c r="D5" i="123" l="1"/>
  <c r="W118" i="1"/>
  <c r="X9" i="1"/>
  <c r="F193" i="1" l="1"/>
  <c r="M193" i="1"/>
  <c r="P193" i="1"/>
  <c r="S193" i="1"/>
  <c r="V193" i="1"/>
  <c r="X192" i="1"/>
  <c r="N192" i="1"/>
  <c r="J192" i="1"/>
  <c r="X191" i="1"/>
  <c r="O191" i="1"/>
  <c r="N191" i="1"/>
  <c r="O192" i="1" l="1"/>
  <c r="L192" i="1"/>
  <c r="K192" i="1"/>
  <c r="G192" i="1"/>
  <c r="H192" i="1"/>
  <c r="J191" i="1"/>
  <c r="H191" i="1"/>
  <c r="L191" i="1"/>
  <c r="K191" i="1"/>
  <c r="G191" i="1"/>
  <c r="R191" i="1" l="1"/>
  <c r="Z191" i="1" s="1"/>
  <c r="R192" i="1"/>
  <c r="Z192" i="1" s="1"/>
  <c r="X190" i="1"/>
  <c r="O190" i="1"/>
  <c r="L190" i="1"/>
  <c r="K190" i="1"/>
  <c r="J190" i="1"/>
  <c r="H190" i="1"/>
  <c r="G190" i="1"/>
  <c r="X189" i="1"/>
  <c r="O189" i="1"/>
  <c r="L189" i="1"/>
  <c r="K189" i="1"/>
  <c r="J189" i="1"/>
  <c r="H189" i="1"/>
  <c r="G189" i="1"/>
  <c r="X188" i="1"/>
  <c r="R190" i="1" l="1"/>
  <c r="Z190" i="1" s="1"/>
  <c r="R189" i="1"/>
  <c r="Z189" i="1" s="1"/>
  <c r="O188" i="1" l="1"/>
  <c r="L188" i="1"/>
  <c r="K188" i="1"/>
  <c r="J188" i="1"/>
  <c r="H188" i="1"/>
  <c r="G188" i="1"/>
  <c r="R188" i="1" l="1"/>
  <c r="Z188" i="1" s="1"/>
  <c r="V92" i="1"/>
  <c r="U62" i="1" l="1"/>
  <c r="U187" i="1"/>
  <c r="T151" i="1"/>
  <c r="T101" i="1"/>
  <c r="X101" i="1" s="1"/>
  <c r="T11" i="1"/>
  <c r="T139" i="1" l="1"/>
  <c r="X139" i="1" s="1"/>
  <c r="O139" i="1"/>
  <c r="L139" i="1"/>
  <c r="K139" i="1"/>
  <c r="J139" i="1"/>
  <c r="H139" i="1"/>
  <c r="G139" i="1"/>
  <c r="R139" i="1" l="1"/>
  <c r="Z139" i="1" s="1"/>
  <c r="F95" i="1" l="1"/>
  <c r="X89" i="1"/>
  <c r="X92" i="1"/>
  <c r="X94" i="1"/>
  <c r="R92" i="1"/>
  <c r="X49" i="1"/>
  <c r="X51" i="1"/>
  <c r="X52" i="1"/>
  <c r="X53" i="1"/>
  <c r="X76" i="1"/>
  <c r="X81" i="1"/>
  <c r="R81" i="1"/>
  <c r="F131" i="1"/>
  <c r="M131" i="1"/>
  <c r="S131" i="1"/>
  <c r="V131" i="1"/>
  <c r="N95" i="1"/>
  <c r="P95" i="1"/>
  <c r="Q95" i="1"/>
  <c r="S95" i="1"/>
  <c r="V95" i="1"/>
  <c r="F82" i="1"/>
  <c r="I82" i="1"/>
  <c r="P82" i="1"/>
  <c r="Q82" i="1"/>
  <c r="S82" i="1"/>
  <c r="V82" i="1"/>
  <c r="F54" i="1"/>
  <c r="N54" i="1"/>
  <c r="P54" i="1"/>
  <c r="Q54" i="1"/>
  <c r="S54" i="1"/>
  <c r="V54" i="1"/>
  <c r="Z92" i="1" l="1"/>
  <c r="Z81" i="1"/>
  <c r="X159" i="1"/>
  <c r="O159" i="1"/>
  <c r="N159" i="1"/>
  <c r="L159" i="1"/>
  <c r="K159" i="1"/>
  <c r="J159" i="1"/>
  <c r="H159" i="1"/>
  <c r="G159" i="1"/>
  <c r="X33" i="1"/>
  <c r="Z33" i="1" s="1"/>
  <c r="R159" i="1" l="1"/>
  <c r="Z159" i="1" s="1"/>
  <c r="W82" i="1" l="1"/>
  <c r="X80" i="1"/>
  <c r="X161" i="1"/>
  <c r="Z161" i="1" s="1"/>
  <c r="X50" i="1"/>
  <c r="O50" i="1"/>
  <c r="L50" i="1"/>
  <c r="K50" i="1"/>
  <c r="J50" i="1"/>
  <c r="H50" i="1"/>
  <c r="G50" i="1"/>
  <c r="G80" i="1" l="1"/>
  <c r="E82" i="1"/>
  <c r="R50" i="1"/>
  <c r="Z50" i="1" s="1"/>
  <c r="J80" i="1"/>
  <c r="H80" i="1"/>
  <c r="K80" i="1"/>
  <c r="L80" i="1"/>
  <c r="O80" i="1"/>
  <c r="M132" i="1"/>
  <c r="R80" i="1" l="1"/>
  <c r="Z80" i="1" s="1"/>
  <c r="L169" i="1"/>
  <c r="U169" i="1" l="1"/>
  <c r="U78" i="1"/>
  <c r="X78" i="1" s="1"/>
  <c r="T126" i="1"/>
  <c r="T142" i="1"/>
  <c r="Z101" i="1" l="1"/>
  <c r="W34" i="1" l="1"/>
  <c r="C190" i="122"/>
  <c r="F51" i="68" l="1"/>
  <c r="U165" i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Q14" i="1"/>
  <c r="G21" i="1" l="1"/>
  <c r="H21" i="1"/>
  <c r="J21" i="1"/>
  <c r="K21" i="1"/>
  <c r="L21" i="1"/>
  <c r="N21" i="1"/>
  <c r="O21" i="1"/>
  <c r="T21" i="1"/>
  <c r="U21" i="1"/>
  <c r="U116" i="1"/>
  <c r="U118" i="1" s="1"/>
  <c r="T116" i="1"/>
  <c r="T118" i="1" s="1"/>
  <c r="O116" i="1"/>
  <c r="L116" i="1"/>
  <c r="K116" i="1"/>
  <c r="J116" i="1"/>
  <c r="H116" i="1"/>
  <c r="G116" i="1"/>
  <c r="R21" i="1" l="1"/>
  <c r="X21" i="1"/>
  <c r="X116" i="1"/>
  <c r="R116" i="1"/>
  <c r="Q123" i="1"/>
  <c r="Q131" i="1" s="1"/>
  <c r="U171" i="1"/>
  <c r="U167" i="1"/>
  <c r="U168" i="1"/>
  <c r="U166" i="1"/>
  <c r="X93" i="1" l="1"/>
  <c r="W95" i="1"/>
  <c r="Z21" i="1"/>
  <c r="Z116" i="1"/>
  <c r="F194" i="1"/>
  <c r="U48" i="1" l="1"/>
  <c r="T19" i="1"/>
  <c r="T150" i="1"/>
  <c r="W193" i="1" l="1"/>
  <c r="R184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130" i="1" l="1"/>
  <c r="Z130" i="1" s="1"/>
  <c r="W131" i="1" l="1"/>
  <c r="P125" i="1"/>
  <c r="P131" i="1" s="1"/>
  <c r="Q174" i="1" l="1"/>
  <c r="V112" i="1" l="1"/>
  <c r="W112" i="1"/>
  <c r="U59" i="1"/>
  <c r="V59" i="1"/>
  <c r="W59" i="1"/>
  <c r="V194" i="1" l="1"/>
  <c r="C194" i="1"/>
  <c r="T90" i="1"/>
  <c r="X90" i="1" s="1"/>
  <c r="U25" i="1"/>
  <c r="T158" i="1"/>
  <c r="T69" i="1"/>
  <c r="T68" i="1"/>
  <c r="W72" i="1" l="1"/>
  <c r="M67" i="1"/>
  <c r="I59" i="1" l="1"/>
  <c r="N59" i="1"/>
  <c r="P59" i="1"/>
  <c r="Q59" i="1"/>
  <c r="S59" i="1"/>
  <c r="T59" i="1"/>
  <c r="E59" i="1"/>
  <c r="I47" i="1" l="1"/>
  <c r="I54" i="1" s="1"/>
  <c r="X47" i="1" l="1"/>
  <c r="W54" i="1"/>
  <c r="W194" i="1" l="1"/>
  <c r="F188" i="115"/>
  <c r="G134" i="115"/>
  <c r="G138" i="115"/>
  <c r="G140" i="115"/>
  <c r="G149" i="115"/>
  <c r="G151" i="115"/>
  <c r="G152" i="115"/>
  <c r="G158" i="115"/>
  <c r="G160" i="115"/>
  <c r="G166" i="115"/>
  <c r="G167" i="115"/>
  <c r="G168" i="115"/>
  <c r="G169" i="115"/>
  <c r="G170" i="115"/>
  <c r="G171" i="115"/>
  <c r="G172" i="115"/>
  <c r="G174" i="115"/>
  <c r="G182" i="115"/>
  <c r="F130" i="115"/>
  <c r="G120" i="115"/>
  <c r="G122" i="115"/>
  <c r="G129" i="115"/>
  <c r="G111" i="115"/>
  <c r="F116" i="115"/>
  <c r="G104" i="115"/>
  <c r="F106" i="115"/>
  <c r="F99" i="115"/>
  <c r="G90" i="115"/>
  <c r="G92" i="115"/>
  <c r="G97" i="115"/>
  <c r="F85" i="115"/>
  <c r="G83" i="115"/>
  <c r="G80" i="115"/>
  <c r="F73" i="115"/>
  <c r="F77" i="115" s="1"/>
  <c r="M70" i="1"/>
  <c r="G65" i="115"/>
  <c r="G68" i="115"/>
  <c r="G69" i="115"/>
  <c r="G70" i="115"/>
  <c r="G72" i="115"/>
  <c r="F60" i="115"/>
  <c r="F61" i="115" s="1"/>
  <c r="F57" i="115"/>
  <c r="G47" i="115"/>
  <c r="G45" i="115"/>
  <c r="G41" i="115"/>
  <c r="F42" i="115"/>
  <c r="F37" i="115"/>
  <c r="G10" i="115"/>
  <c r="G22" i="115"/>
  <c r="G26" i="115"/>
  <c r="G27" i="115"/>
  <c r="G29" i="115"/>
  <c r="G32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E159" i="115"/>
  <c r="G159" i="115" s="1"/>
  <c r="E158" i="115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E137" i="115"/>
  <c r="G137" i="115" s="1"/>
  <c r="E136" i="115"/>
  <c r="G136" i="115" s="1"/>
  <c r="E135" i="115"/>
  <c r="G135" i="115" s="1"/>
  <c r="E133" i="115"/>
  <c r="G133" i="115" s="1"/>
  <c r="E129" i="115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E121" i="115"/>
  <c r="G121" i="115" s="1"/>
  <c r="E120" i="115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E91" i="115"/>
  <c r="G91" i="115" s="1"/>
  <c r="E90" i="115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E76" i="115"/>
  <c r="G76" i="115" s="1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G46" i="115" s="1"/>
  <c r="E45" i="115"/>
  <c r="E41" i="115"/>
  <c r="E40" i="115"/>
  <c r="G40" i="115" s="1"/>
  <c r="G42" i="115" s="1"/>
  <c r="E36" i="115"/>
  <c r="G36" i="115" s="1"/>
  <c r="E35" i="115"/>
  <c r="G35" i="115" s="1"/>
  <c r="E34" i="115"/>
  <c r="G34" i="115" s="1"/>
  <c r="E32" i="115"/>
  <c r="E31" i="115"/>
  <c r="G31" i="115" s="1"/>
  <c r="E30" i="115"/>
  <c r="G30" i="115" s="1"/>
  <c r="E28" i="115"/>
  <c r="G28" i="115" s="1"/>
  <c r="E26" i="115"/>
  <c r="E25" i="115"/>
  <c r="G25" i="115" s="1"/>
  <c r="E24" i="115"/>
  <c r="G24" i="115" s="1"/>
  <c r="E23" i="115"/>
  <c r="G23" i="115" s="1"/>
  <c r="E22" i="115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E9" i="115"/>
  <c r="G9" i="115" s="1"/>
  <c r="E8" i="115"/>
  <c r="G8" i="115" s="1"/>
  <c r="E7" i="115"/>
  <c r="G7" i="115" s="1"/>
  <c r="G37" i="115" s="1"/>
  <c r="E6" i="115"/>
  <c r="H126" i="116" l="1"/>
  <c r="G99" i="115"/>
  <c r="G85" i="115"/>
  <c r="G130" i="115"/>
  <c r="H12" i="116"/>
  <c r="H129" i="116"/>
  <c r="H49" i="116"/>
  <c r="H157" i="116"/>
  <c r="G188" i="115"/>
  <c r="H15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31" i="1" l="1"/>
  <c r="E118" i="1"/>
  <c r="E40" i="1"/>
  <c r="E72" i="1"/>
  <c r="E8" i="1" l="1"/>
  <c r="E34" i="1" s="1"/>
  <c r="E102" i="1"/>
  <c r="C191" i="113" l="1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100" i="113"/>
  <c r="F96" i="113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G191" i="113" l="1"/>
  <c r="F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G158" i="1"/>
  <c r="H158" i="1"/>
  <c r="J158" i="1"/>
  <c r="K158" i="1"/>
  <c r="L158" i="1"/>
  <c r="N158" i="1"/>
  <c r="O158" i="1"/>
  <c r="X25" i="1"/>
  <c r="Z25" i="1" s="1"/>
  <c r="X135" i="1"/>
  <c r="R135" i="1"/>
  <c r="M53" i="1"/>
  <c r="O53" i="1" l="1"/>
  <c r="K53" i="1"/>
  <c r="J53" i="1"/>
  <c r="H53" i="1"/>
  <c r="G53" i="1"/>
  <c r="G191" i="110"/>
  <c r="R158" i="1"/>
  <c r="L53" i="1"/>
  <c r="X158" i="1"/>
  <c r="T177" i="1"/>
  <c r="T183" i="1"/>
  <c r="T186" i="1"/>
  <c r="T173" i="1"/>
  <c r="T185" i="1"/>
  <c r="T178" i="1"/>
  <c r="T180" i="1"/>
  <c r="T179" i="1"/>
  <c r="T171" i="1"/>
  <c r="T170" i="1"/>
  <c r="T163" i="1"/>
  <c r="T175" i="1"/>
  <c r="T168" i="1"/>
  <c r="T166" i="1"/>
  <c r="T167" i="1"/>
  <c r="T164" i="1"/>
  <c r="T160" i="1"/>
  <c r="T165" i="1"/>
  <c r="T172" i="1"/>
  <c r="T169" i="1"/>
  <c r="T162" i="1"/>
  <c r="R53" i="1" l="1"/>
  <c r="Z53" i="1" s="1"/>
  <c r="Z158" i="1"/>
  <c r="U13" i="1" l="1"/>
  <c r="T13" i="1"/>
  <c r="T123" i="1"/>
  <c r="N172" i="1" l="1"/>
  <c r="N171" i="1"/>
  <c r="N170" i="1"/>
  <c r="N169" i="1"/>
  <c r="N168" i="1"/>
  <c r="N167" i="1"/>
  <c r="N39" i="1"/>
  <c r="N26" i="1"/>
  <c r="N153" i="1"/>
  <c r="N154" i="1"/>
  <c r="N152" i="1"/>
  <c r="N155" i="1" l="1"/>
  <c r="F48" i="68" l="1"/>
  <c r="F53" i="68"/>
  <c r="F52" i="68"/>
  <c r="F50" i="68"/>
  <c r="F49" i="68"/>
  <c r="F47" i="68"/>
  <c r="F46" i="68"/>
  <c r="F45" i="68"/>
  <c r="F44" i="68"/>
  <c r="F43" i="68"/>
  <c r="F42" i="68"/>
  <c r="N136" i="1"/>
  <c r="M106" i="1"/>
  <c r="N98" i="1"/>
  <c r="N11" i="1"/>
  <c r="M47" i="1"/>
  <c r="T20" i="1" l="1"/>
  <c r="T65" i="1" l="1"/>
  <c r="T149" i="1" l="1"/>
  <c r="H29" i="68"/>
  <c r="N31" i="1" l="1"/>
  <c r="U67" i="1"/>
  <c r="U108" i="1"/>
  <c r="T127" i="1"/>
  <c r="U121" i="1"/>
  <c r="T121" i="1"/>
  <c r="X17" i="1"/>
  <c r="T91" i="1"/>
  <c r="X91" i="1" s="1"/>
  <c r="X15" i="1" l="1"/>
  <c r="H3" i="1" l="1"/>
  <c r="E3" i="1"/>
  <c r="H1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7" i="1" l="1"/>
  <c r="U160" i="1"/>
  <c r="U153" i="1"/>
  <c r="T129" i="1"/>
  <c r="T125" i="1"/>
  <c r="U124" i="1"/>
  <c r="U43" i="1"/>
  <c r="U20" i="1"/>
  <c r="E112" i="1" l="1"/>
  <c r="I112" i="1"/>
  <c r="P112" i="1"/>
  <c r="P194" i="1" s="1"/>
  <c r="U63" i="1" l="1"/>
  <c r="T63" i="1"/>
  <c r="X63" i="1" l="1"/>
  <c r="O160" i="1" l="1"/>
  <c r="N160" i="1"/>
  <c r="L160" i="1"/>
  <c r="K160" i="1"/>
  <c r="J160" i="1"/>
  <c r="H160" i="1"/>
  <c r="G160" i="1"/>
  <c r="X160" i="1" l="1"/>
  <c r="R160" i="1"/>
  <c r="Z160" i="1" l="1"/>
  <c r="X128" i="1" l="1"/>
  <c r="N128" i="1"/>
  <c r="L128" i="1" l="1"/>
  <c r="G128" i="1"/>
  <c r="O128" i="1"/>
  <c r="H128" i="1"/>
  <c r="J128" i="1"/>
  <c r="K128" i="1"/>
  <c r="R128" i="1" l="1"/>
  <c r="Z128" i="1" s="1"/>
  <c r="U154" i="1"/>
  <c r="U127" i="1"/>
  <c r="T38" i="1"/>
  <c r="U28" i="1"/>
  <c r="S37" i="1" l="1"/>
  <c r="X129" i="1"/>
  <c r="O129" i="1"/>
  <c r="N129" i="1"/>
  <c r="L129" i="1"/>
  <c r="K129" i="1"/>
  <c r="J129" i="1"/>
  <c r="H129" i="1"/>
  <c r="G129" i="1"/>
  <c r="S40" i="1" l="1"/>
  <c r="R129" i="1"/>
  <c r="Z129" i="1" s="1"/>
  <c r="S194" i="1" l="1"/>
  <c r="N151" i="1"/>
  <c r="X151" i="1"/>
  <c r="K151" i="1"/>
  <c r="J93" i="1"/>
  <c r="M52" i="1"/>
  <c r="J52" i="1" l="1"/>
  <c r="J151" i="1"/>
  <c r="L151" i="1"/>
  <c r="G151" i="1"/>
  <c r="O151" i="1"/>
  <c r="H151" i="1"/>
  <c r="K93" i="1"/>
  <c r="L93" i="1"/>
  <c r="G93" i="1"/>
  <c r="O93" i="1"/>
  <c r="H93" i="1"/>
  <c r="G52" i="1"/>
  <c r="O52" i="1"/>
  <c r="H52" i="1"/>
  <c r="K52" i="1"/>
  <c r="L52" i="1"/>
  <c r="E54" i="68"/>
  <c r="U176" i="1"/>
  <c r="U162" i="1"/>
  <c r="X19" i="1"/>
  <c r="T70" i="1"/>
  <c r="R52" i="1" l="1"/>
  <c r="Z52" i="1" s="1"/>
  <c r="R93" i="1"/>
  <c r="Z93" i="1" s="1"/>
  <c r="R151" i="1"/>
  <c r="Z151" i="1" s="1"/>
  <c r="N32" i="1" l="1"/>
  <c r="U122" i="1" l="1"/>
  <c r="T122" i="1"/>
  <c r="T8" i="1"/>
  <c r="X8" i="1" l="1"/>
  <c r="M20" i="1"/>
  <c r="Z94" i="1"/>
  <c r="D39" i="61" l="1"/>
  <c r="D38" i="61"/>
  <c r="D37" i="61"/>
  <c r="X150" i="1"/>
  <c r="E193" i="1"/>
  <c r="N150" i="1"/>
  <c r="M91" i="1"/>
  <c r="H91" i="1"/>
  <c r="J69" i="1"/>
  <c r="L68" i="1"/>
  <c r="X69" i="1"/>
  <c r="M69" i="1"/>
  <c r="X68" i="1"/>
  <c r="M68" i="1"/>
  <c r="M51" i="1"/>
  <c r="O38" i="1"/>
  <c r="N38" i="1"/>
  <c r="L38" i="1"/>
  <c r="K38" i="1"/>
  <c r="J38" i="1"/>
  <c r="H38" i="1"/>
  <c r="G38" i="1"/>
  <c r="E54" i="1" l="1"/>
  <c r="E95" i="1"/>
  <c r="X38" i="1"/>
  <c r="O51" i="1"/>
  <c r="G51" i="1"/>
  <c r="R38" i="1"/>
  <c r="H51" i="1"/>
  <c r="K51" i="1"/>
  <c r="L51" i="1"/>
  <c r="J51" i="1"/>
  <c r="K150" i="1"/>
  <c r="L150" i="1"/>
  <c r="G150" i="1"/>
  <c r="O150" i="1"/>
  <c r="H150" i="1"/>
  <c r="J150" i="1"/>
  <c r="L91" i="1"/>
  <c r="G91" i="1"/>
  <c r="O91" i="1"/>
  <c r="J91" i="1"/>
  <c r="K91" i="1"/>
  <c r="K69" i="1"/>
  <c r="L69" i="1"/>
  <c r="G68" i="1"/>
  <c r="O68" i="1"/>
  <c r="H68" i="1"/>
  <c r="J68" i="1"/>
  <c r="K68" i="1"/>
  <c r="G69" i="1"/>
  <c r="O69" i="1"/>
  <c r="H69" i="1"/>
  <c r="R91" i="1" l="1"/>
  <c r="Z91" i="1" s="1"/>
  <c r="R51" i="1"/>
  <c r="Z51" i="1" s="1"/>
  <c r="Z38" i="1"/>
  <c r="R68" i="1"/>
  <c r="Z68" i="1" s="1"/>
  <c r="R69" i="1"/>
  <c r="Z69" i="1" s="1"/>
  <c r="N9" i="1" l="1"/>
  <c r="U142" i="1" l="1"/>
  <c r="U137" i="1"/>
  <c r="T88" i="1"/>
  <c r="X88" i="1" s="1"/>
  <c r="X20" i="1" l="1"/>
  <c r="X117" i="1"/>
  <c r="X118" i="1" s="1"/>
  <c r="X13" i="1"/>
  <c r="U106" i="1" l="1"/>
  <c r="U107" i="1"/>
  <c r="X106" i="1" l="1"/>
  <c r="U87" i="1"/>
  <c r="T86" i="1"/>
  <c r="X86" i="1" l="1"/>
  <c r="U181" i="1"/>
  <c r="T153" i="1"/>
  <c r="U186" i="1"/>
  <c r="U77" i="1"/>
  <c r="T188" i="78" l="1"/>
  <c r="F27" i="78" l="1"/>
  <c r="F71" i="78"/>
  <c r="T29" i="1"/>
  <c r="T157" i="1"/>
  <c r="T77" i="1"/>
  <c r="X77" i="1" l="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K112" i="78" s="1"/>
  <c r="F109" i="78"/>
  <c r="F105" i="78"/>
  <c r="F104" i="78"/>
  <c r="F103" i="78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M84" i="78" s="1"/>
  <c r="F82" i="78"/>
  <c r="F72" i="78"/>
  <c r="F69" i="78"/>
  <c r="F68" i="78"/>
  <c r="F67" i="78"/>
  <c r="F66" i="78"/>
  <c r="F64" i="78"/>
  <c r="F60" i="78"/>
  <c r="P60" i="78" s="1"/>
  <c r="F55" i="78"/>
  <c r="F53" i="78"/>
  <c r="F52" i="78"/>
  <c r="F51" i="78"/>
  <c r="F49" i="78"/>
  <c r="F42" i="78"/>
  <c r="F37" i="78"/>
  <c r="F36" i="78"/>
  <c r="P36" i="78" s="1"/>
  <c r="F35" i="78"/>
  <c r="F34" i="78"/>
  <c r="F33" i="78"/>
  <c r="F32" i="78"/>
  <c r="F31" i="78"/>
  <c r="F29" i="78"/>
  <c r="F28" i="78"/>
  <c r="F26" i="78"/>
  <c r="L26" i="78" s="1"/>
  <c r="F25" i="78"/>
  <c r="F22" i="78"/>
  <c r="F21" i="78"/>
  <c r="F20" i="78"/>
  <c r="F18" i="78"/>
  <c r="F14" i="78"/>
  <c r="K14" i="78" s="1"/>
  <c r="F13" i="78"/>
  <c r="F12" i="78"/>
  <c r="K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S186" i="78" s="1"/>
  <c r="U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F156" i="78"/>
  <c r="L156" i="78" s="1"/>
  <c r="P155" i="78"/>
  <c r="O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P110" i="78"/>
  <c r="N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F85" i="78"/>
  <c r="M85" i="78" s="1"/>
  <c r="P84" i="78"/>
  <c r="N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K74" i="78"/>
  <c r="F74" i="78"/>
  <c r="M74" i="78" s="1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F70" i="78"/>
  <c r="M70" i="78" s="1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O61" i="78"/>
  <c r="N61" i="78"/>
  <c r="J61" i="78"/>
  <c r="O60" i="78"/>
  <c r="H60" i="78"/>
  <c r="N59" i="78"/>
  <c r="F59" i="78"/>
  <c r="R56" i="78"/>
  <c r="Q56" i="78"/>
  <c r="J56" i="78"/>
  <c r="G56" i="78"/>
  <c r="P55" i="78"/>
  <c r="N55" i="78"/>
  <c r="M55" i="78"/>
  <c r="H55" i="78"/>
  <c r="M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K50" i="78"/>
  <c r="F50" i="78"/>
  <c r="N49" i="78"/>
  <c r="N48" i="78"/>
  <c r="F48" i="78"/>
  <c r="P48" i="78" s="1"/>
  <c r="N47" i="78"/>
  <c r="F47" i="78"/>
  <c r="P46" i="78"/>
  <c r="N46" i="78"/>
  <c r="M46" i="78"/>
  <c r="H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F38" i="78"/>
  <c r="I38" i="78" s="1"/>
  <c r="P37" i="78"/>
  <c r="O37" i="78"/>
  <c r="M37" i="78"/>
  <c r="L37" i="78"/>
  <c r="K37" i="78"/>
  <c r="I37" i="78"/>
  <c r="H37" i="78"/>
  <c r="O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L16" i="78"/>
  <c r="K16" i="78"/>
  <c r="I16" i="78"/>
  <c r="H16" i="78"/>
  <c r="F16" i="78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O11" i="78"/>
  <c r="F11" i="78"/>
  <c r="M11" i="78" s="1"/>
  <c r="P10" i="78"/>
  <c r="N10" i="78"/>
  <c r="M10" i="78"/>
  <c r="L10" i="78"/>
  <c r="K10" i="78"/>
  <c r="I10" i="78"/>
  <c r="H10" i="78"/>
  <c r="S9" i="78"/>
  <c r="U9" i="78" s="1"/>
  <c r="N9" i="78"/>
  <c r="I4" i="78"/>
  <c r="F4" i="78"/>
  <c r="F61" i="78" l="1"/>
  <c r="I60" i="78"/>
  <c r="S68" i="78"/>
  <c r="U68" i="78" s="1"/>
  <c r="I147" i="78"/>
  <c r="M173" i="78"/>
  <c r="W129" i="78"/>
  <c r="Y129" i="78" s="1"/>
  <c r="Y120" i="78"/>
  <c r="H36" i="78"/>
  <c r="I12" i="78"/>
  <c r="I23" i="78"/>
  <c r="H26" i="78"/>
  <c r="K36" i="78"/>
  <c r="N56" i="78"/>
  <c r="H59" i="78"/>
  <c r="K60" i="78"/>
  <c r="H70" i="78"/>
  <c r="N86" i="78"/>
  <c r="S81" i="78"/>
  <c r="U81" i="78" s="1"/>
  <c r="H84" i="78"/>
  <c r="H85" i="78"/>
  <c r="S85" i="78" s="1"/>
  <c r="U85" i="78" s="1"/>
  <c r="N117" i="78"/>
  <c r="M147" i="78"/>
  <c r="L157" i="78"/>
  <c r="L173" i="78"/>
  <c r="W99" i="78"/>
  <c r="Y99" i="78" s="1"/>
  <c r="Y90" i="78"/>
  <c r="W187" i="78"/>
  <c r="Y134" i="78"/>
  <c r="Y187" i="78" s="1"/>
  <c r="L12" i="78"/>
  <c r="L36" i="78"/>
  <c r="I59" i="78"/>
  <c r="I61" i="78" s="1"/>
  <c r="L60" i="78"/>
  <c r="I70" i="78"/>
  <c r="I84" i="78"/>
  <c r="I85" i="78"/>
  <c r="H155" i="78"/>
  <c r="H156" i="78"/>
  <c r="P181" i="78"/>
  <c r="W56" i="78"/>
  <c r="Y56" i="78" s="1"/>
  <c r="Y46" i="78"/>
  <c r="L23" i="78"/>
  <c r="M12" i="78"/>
  <c r="M23" i="78"/>
  <c r="M36" i="78"/>
  <c r="I46" i="78"/>
  <c r="S46" i="78" s="1"/>
  <c r="U46" i="78" s="1"/>
  <c r="S52" i="78"/>
  <c r="U52" i="78" s="1"/>
  <c r="H54" i="78"/>
  <c r="K59" i="78"/>
  <c r="M60" i="78"/>
  <c r="K70" i="78"/>
  <c r="S80" i="78"/>
  <c r="U80" i="78" s="1"/>
  <c r="K84" i="78"/>
  <c r="K85" i="78"/>
  <c r="H110" i="78"/>
  <c r="L128" i="78"/>
  <c r="P147" i="78"/>
  <c r="I155" i="78"/>
  <c r="I156" i="78"/>
  <c r="K181" i="78"/>
  <c r="W39" i="78"/>
  <c r="Y13" i="78"/>
  <c r="M26" i="78"/>
  <c r="Q188" i="78"/>
  <c r="N39" i="78"/>
  <c r="S16" i="78"/>
  <c r="U16" i="78" s="1"/>
  <c r="H48" i="78"/>
  <c r="S10" i="78"/>
  <c r="U10" i="78" s="1"/>
  <c r="R39" i="78"/>
  <c r="S15" i="78"/>
  <c r="U15" i="78" s="1"/>
  <c r="P26" i="78"/>
  <c r="S29" i="78"/>
  <c r="U29" i="78" s="1"/>
  <c r="K46" i="78"/>
  <c r="I54" i="78"/>
  <c r="M59" i="78"/>
  <c r="L70" i="78"/>
  <c r="H74" i="78"/>
  <c r="L84" i="78"/>
  <c r="L85" i="78"/>
  <c r="I110" i="78"/>
  <c r="P112" i="78"/>
  <c r="M128" i="78"/>
  <c r="S135" i="78"/>
  <c r="U135" i="78" s="1"/>
  <c r="K155" i="78"/>
  <c r="S155" i="78" s="1"/>
  <c r="U155" i="78" s="1"/>
  <c r="K156" i="78"/>
  <c r="W76" i="78"/>
  <c r="Y76" i="78" s="1"/>
  <c r="W106" i="78"/>
  <c r="Y106" i="78" s="1"/>
  <c r="Y104" i="78"/>
  <c r="H61" i="78"/>
  <c r="N99" i="78"/>
  <c r="L110" i="78"/>
  <c r="H112" i="78"/>
  <c r="L155" i="78"/>
  <c r="M156" i="78"/>
  <c r="S156" i="78" s="1"/>
  <c r="U156" i="78" s="1"/>
  <c r="W86" i="78"/>
  <c r="Y86" i="78" s="1"/>
  <c r="Y80" i="78"/>
  <c r="S19" i="78"/>
  <c r="U19" i="78" s="1"/>
  <c r="K54" i="78"/>
  <c r="K11" i="78"/>
  <c r="L54" i="78"/>
  <c r="P59" i="78"/>
  <c r="P61" i="78" s="1"/>
  <c r="N76" i="78"/>
  <c r="M110" i="78"/>
  <c r="L147" i="78"/>
  <c r="W61" i="78"/>
  <c r="Y61" i="78" s="1"/>
  <c r="W117" i="78"/>
  <c r="Y117" i="78" s="1"/>
  <c r="Y111" i="78"/>
  <c r="R117" i="78"/>
  <c r="P184" i="78"/>
  <c r="L182" i="78"/>
  <c r="S182" i="78" s="1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K106" i="78" s="1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L86" i="78" s="1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S74" i="78"/>
  <c r="U74" i="78" s="1"/>
  <c r="I74" i="78"/>
  <c r="H79" i="78"/>
  <c r="I83" i="78"/>
  <c r="F99" i="78"/>
  <c r="K89" i="78"/>
  <c r="P89" i="78"/>
  <c r="H89" i="78"/>
  <c r="M89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L56" i="78" s="1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S75" i="78"/>
  <c r="U75" i="78" s="1"/>
  <c r="I75" i="78"/>
  <c r="M79" i="78"/>
  <c r="M86" i="78" s="1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48" i="78" s="1"/>
  <c r="U48" i="78" s="1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F76" i="78"/>
  <c r="K96" i="78"/>
  <c r="M103" i="78"/>
  <c r="L103" i="78"/>
  <c r="I103" i="78"/>
  <c r="F106" i="78"/>
  <c r="H103" i="78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S134" i="78" s="1"/>
  <c r="U134" i="78" s="1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S126" i="78" s="1"/>
  <c r="U126" i="78" s="1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U174" i="78" s="1"/>
  <c r="S177" i="78"/>
  <c r="U177" i="78" s="1"/>
  <c r="H98" i="78"/>
  <c r="S98" i="78" s="1"/>
  <c r="U98" i="78" s="1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S170" i="78" s="1"/>
  <c r="U170" i="78" s="1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66" i="78" l="1"/>
  <c r="U166" i="78" s="1"/>
  <c r="S112" i="78"/>
  <c r="U112" i="78" s="1"/>
  <c r="S111" i="78"/>
  <c r="U111" i="78" s="1"/>
  <c r="S67" i="78"/>
  <c r="U67" i="78" s="1"/>
  <c r="H86" i="78"/>
  <c r="S157" i="78"/>
  <c r="U157" i="78" s="1"/>
  <c r="S145" i="78"/>
  <c r="U145" i="78" s="1"/>
  <c r="M106" i="78"/>
  <c r="I86" i="78"/>
  <c r="K76" i="78"/>
  <c r="S38" i="78"/>
  <c r="U38" i="78" s="1"/>
  <c r="W188" i="78"/>
  <c r="Y39" i="78"/>
  <c r="S167" i="78"/>
  <c r="U167" i="78" s="1"/>
  <c r="S159" i="78"/>
  <c r="U159" i="78" s="1"/>
  <c r="S124" i="78"/>
  <c r="U124" i="78" s="1"/>
  <c r="S105" i="78"/>
  <c r="U105" i="78" s="1"/>
  <c r="S122" i="78"/>
  <c r="U122" i="78" s="1"/>
  <c r="S69" i="78"/>
  <c r="U69" i="78" s="1"/>
  <c r="S133" i="78"/>
  <c r="U133" i="78" s="1"/>
  <c r="U187" i="78" s="1"/>
  <c r="S173" i="78"/>
  <c r="U173" i="78" s="1"/>
  <c r="S164" i="78"/>
  <c r="U164" i="78" s="1"/>
  <c r="S150" i="78"/>
  <c r="U150" i="78" s="1"/>
  <c r="S172" i="78"/>
  <c r="U172" i="78" s="1"/>
  <c r="M129" i="78"/>
  <c r="S103" i="78"/>
  <c r="U103" i="78" s="1"/>
  <c r="K56" i="78"/>
  <c r="S50" i="78"/>
  <c r="U50" i="78" s="1"/>
  <c r="N188" i="78"/>
  <c r="S47" i="78"/>
  <c r="U47" i="78" s="1"/>
  <c r="S36" i="78"/>
  <c r="U36" i="78" s="1"/>
  <c r="S54" i="78"/>
  <c r="U54" i="78" s="1"/>
  <c r="S70" i="78"/>
  <c r="U70" i="78" s="1"/>
  <c r="S138" i="78"/>
  <c r="U138" i="78" s="1"/>
  <c r="S137" i="78"/>
  <c r="U137" i="78" s="1"/>
  <c r="S114" i="78"/>
  <c r="U114" i="78" s="1"/>
  <c r="S160" i="78"/>
  <c r="U160" i="78" s="1"/>
  <c r="I117" i="78"/>
  <c r="S95" i="78"/>
  <c r="U95" i="78" s="1"/>
  <c r="S83" i="78"/>
  <c r="U83" i="78" s="1"/>
  <c r="K39" i="78"/>
  <c r="S17" i="78"/>
  <c r="U17" i="78" s="1"/>
  <c r="S23" i="78"/>
  <c r="U23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S76" i="78" l="1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T176" i="1"/>
  <c r="U134" i="1"/>
  <c r="X157" i="1" l="1"/>
  <c r="N157" i="1"/>
  <c r="L157" i="1"/>
  <c r="J157" i="1"/>
  <c r="T31" i="1"/>
  <c r="U100" i="1"/>
  <c r="U102" i="1" s="1"/>
  <c r="T124" i="1"/>
  <c r="T131" i="1" s="1"/>
  <c r="T111" i="1"/>
  <c r="K157" i="1" l="1"/>
  <c r="G157" i="1"/>
  <c r="O157" i="1"/>
  <c r="H157" i="1"/>
  <c r="R157" i="1" l="1"/>
  <c r="Z157" i="1" s="1"/>
  <c r="U175" i="1" l="1"/>
  <c r="Q187" i="1"/>
  <c r="Q183" i="1"/>
  <c r="U183" i="1"/>
  <c r="X183" i="1" s="1"/>
  <c r="N183" i="1"/>
  <c r="L183" i="1"/>
  <c r="K183" i="1"/>
  <c r="J183" i="1"/>
  <c r="H183" i="1"/>
  <c r="G183" i="1" l="1"/>
  <c r="O183" i="1"/>
  <c r="R183" i="1" l="1"/>
  <c r="Z183" i="1" s="1"/>
  <c r="N182" i="1" l="1"/>
  <c r="X187" i="1"/>
  <c r="N187" i="1"/>
  <c r="L187" i="1"/>
  <c r="K187" i="1"/>
  <c r="J187" i="1"/>
  <c r="H187" i="1"/>
  <c r="O187" i="1"/>
  <c r="G187" i="1" l="1"/>
  <c r="R187" i="1" l="1"/>
  <c r="Z187" i="1" s="1"/>
  <c r="Q112" i="1" l="1"/>
  <c r="U79" i="1" l="1"/>
  <c r="U32" i="1"/>
  <c r="U34" i="1" s="1"/>
  <c r="U185" i="1"/>
  <c r="U141" i="1"/>
  <c r="U46" i="1"/>
  <c r="T148" i="1"/>
  <c r="N181" i="1" l="1"/>
  <c r="N180" i="1"/>
  <c r="N179" i="1"/>
  <c r="N178" i="1"/>
  <c r="N177" i="1"/>
  <c r="N149" i="1"/>
  <c r="N148" i="1"/>
  <c r="N147" i="1"/>
  <c r="M66" i="1"/>
  <c r="M49" i="1"/>
  <c r="M46" i="1"/>
  <c r="X124" i="1" l="1"/>
  <c r="O124" i="1"/>
  <c r="N124" i="1"/>
  <c r="T28" i="1"/>
  <c r="O28" i="1"/>
  <c r="T39" i="1"/>
  <c r="O39" i="1"/>
  <c r="L111" i="1"/>
  <c r="X111" i="1"/>
  <c r="M111" i="1"/>
  <c r="N37" i="1"/>
  <c r="N40" i="1" s="1"/>
  <c r="O31" i="1"/>
  <c r="X39" i="1" l="1"/>
  <c r="T40" i="1"/>
  <c r="L124" i="1"/>
  <c r="O37" i="1"/>
  <c r="O40" i="1" s="1"/>
  <c r="L28" i="1"/>
  <c r="H28" i="1"/>
  <c r="X28" i="1"/>
  <c r="H39" i="1"/>
  <c r="J39" i="1"/>
  <c r="X31" i="1"/>
  <c r="K39" i="1"/>
  <c r="J28" i="1"/>
  <c r="L39" i="1"/>
  <c r="K28" i="1"/>
  <c r="J124" i="1"/>
  <c r="H124" i="1"/>
  <c r="K124" i="1"/>
  <c r="G124" i="1"/>
  <c r="G39" i="1"/>
  <c r="G28" i="1"/>
  <c r="J37" i="1"/>
  <c r="K111" i="1"/>
  <c r="K37" i="1"/>
  <c r="X37" i="1"/>
  <c r="O111" i="1"/>
  <c r="G111" i="1"/>
  <c r="H37" i="1"/>
  <c r="H111" i="1"/>
  <c r="J111" i="1"/>
  <c r="L37" i="1"/>
  <c r="L40" i="1" s="1"/>
  <c r="G37" i="1"/>
  <c r="G31" i="1"/>
  <c r="H31" i="1"/>
  <c r="J31" i="1"/>
  <c r="K31" i="1"/>
  <c r="L31" i="1"/>
  <c r="R31" i="1" s="1"/>
  <c r="H40" i="1" l="1"/>
  <c r="X40" i="1"/>
  <c r="K40" i="1"/>
  <c r="G40" i="1"/>
  <c r="J40" i="1"/>
  <c r="R124" i="1"/>
  <c r="Z124" i="1" s="1"/>
  <c r="R37" i="1"/>
  <c r="R28" i="1"/>
  <c r="Z28" i="1" s="1"/>
  <c r="R39" i="1"/>
  <c r="Z39" i="1" s="1"/>
  <c r="R111" i="1"/>
  <c r="Z31" i="1"/>
  <c r="R40" i="1" l="1"/>
  <c r="Z111" i="1"/>
  <c r="Z37" i="1"/>
  <c r="Z40" i="1" s="1"/>
  <c r="M19" i="1" l="1"/>
  <c r="Q9" i="1"/>
  <c r="C164" i="68"/>
  <c r="F54" i="68" l="1"/>
  <c r="X149" i="1" l="1"/>
  <c r="X152" i="1"/>
  <c r="X59" i="1"/>
  <c r="X26" i="1"/>
  <c r="X7" i="1"/>
  <c r="U172" i="1" l="1"/>
  <c r="U170" i="1"/>
  <c r="X184" i="1" l="1"/>
  <c r="Z184" i="1" s="1"/>
  <c r="X153" i="1"/>
  <c r="T43" i="1"/>
  <c r="T10" i="1"/>
  <c r="X10" i="1" l="1"/>
  <c r="Q182" i="1"/>
  <c r="Q185" i="1"/>
  <c r="Q181" i="1"/>
  <c r="Q180" i="1"/>
  <c r="Q179" i="1"/>
  <c r="Q178" i="1"/>
  <c r="Q177" i="1"/>
  <c r="N176" i="1"/>
  <c r="Q176" i="1"/>
  <c r="Q175" i="1"/>
  <c r="Q173" i="1"/>
  <c r="Q172" i="1"/>
  <c r="Q171" i="1"/>
  <c r="Q170" i="1"/>
  <c r="Q169" i="1"/>
  <c r="Q168" i="1"/>
  <c r="Q167" i="1"/>
  <c r="N166" i="1"/>
  <c r="Q166" i="1"/>
  <c r="N165" i="1"/>
  <c r="Q165" i="1"/>
  <c r="N164" i="1"/>
  <c r="Q164" i="1"/>
  <c r="N163" i="1"/>
  <c r="Q163" i="1"/>
  <c r="N162" i="1"/>
  <c r="Q162" i="1"/>
  <c r="N145" i="1"/>
  <c r="N142" i="1"/>
  <c r="N144" i="1"/>
  <c r="N143" i="1"/>
  <c r="N141" i="1"/>
  <c r="N140" i="1"/>
  <c r="N134" i="1"/>
  <c r="N127" i="1"/>
  <c r="N126" i="1"/>
  <c r="N125" i="1"/>
  <c r="N123" i="1"/>
  <c r="N13" i="1"/>
  <c r="N121" i="1"/>
  <c r="N100" i="1"/>
  <c r="N102" i="1" s="1"/>
  <c r="N118" i="1"/>
  <c r="N15" i="1"/>
  <c r="N77" i="1"/>
  <c r="N82" i="1" s="1"/>
  <c r="N8" i="1"/>
  <c r="N34" i="1" l="1"/>
  <c r="Q193" i="1"/>
  <c r="N193" i="1"/>
  <c r="N131" i="1"/>
  <c r="N194" i="1" l="1"/>
  <c r="U173" i="1"/>
  <c r="U145" i="1"/>
  <c r="Q20" i="1"/>
  <c r="T62" i="1"/>
  <c r="T45" i="1"/>
  <c r="M110" i="1" l="1"/>
  <c r="M107" i="1"/>
  <c r="M105" i="1"/>
  <c r="M89" i="1"/>
  <c r="M88" i="1"/>
  <c r="M86" i="1"/>
  <c r="M85" i="1"/>
  <c r="M79" i="1"/>
  <c r="M76" i="1"/>
  <c r="M75" i="1"/>
  <c r="M65" i="1"/>
  <c r="M63" i="1"/>
  <c r="M62" i="1"/>
  <c r="M59" i="1"/>
  <c r="M43" i="1"/>
  <c r="M7" i="1"/>
  <c r="M34" i="1" s="1"/>
  <c r="M72" i="1" l="1"/>
  <c r="M82" i="1"/>
  <c r="M95" i="1"/>
  <c r="M54" i="1"/>
  <c r="M112" i="1"/>
  <c r="R7" i="1"/>
  <c r="M194" i="1" l="1"/>
  <c r="U109" i="1"/>
  <c r="U112" i="1" s="1"/>
  <c r="U66" i="1"/>
  <c r="U72" i="1" s="1"/>
  <c r="T66" i="1"/>
  <c r="T146" i="1"/>
  <c r="X109" i="1" l="1"/>
  <c r="U178" i="1" l="1"/>
  <c r="U75" i="1"/>
  <c r="U82" i="1" s="1"/>
  <c r="X75" i="1" l="1"/>
  <c r="T99" i="1"/>
  <c r="U125" i="1" l="1"/>
  <c r="U131" i="1" s="1"/>
  <c r="X174" i="1" l="1"/>
  <c r="X142" i="1" l="1"/>
  <c r="X179" i="1"/>
  <c r="X186" i="1"/>
  <c r="X177" i="1"/>
  <c r="X180" i="1"/>
  <c r="X166" i="1"/>
  <c r="X164" i="1"/>
  <c r="U163" i="1"/>
  <c r="U193" i="1" s="1"/>
  <c r="T136" i="1"/>
  <c r="T110" i="1"/>
  <c r="T79" i="1"/>
  <c r="L182" i="1"/>
  <c r="T82" i="1" l="1"/>
  <c r="X79" i="1"/>
  <c r="X82" i="1" s="1"/>
  <c r="X182" i="1"/>
  <c r="H182" i="1"/>
  <c r="G182" i="1"/>
  <c r="O182" i="1"/>
  <c r="K182" i="1"/>
  <c r="J182" i="1"/>
  <c r="R182" i="1" l="1"/>
  <c r="Z182" i="1" l="1"/>
  <c r="X110" i="1" l="1"/>
  <c r="J110" i="1"/>
  <c r="L90" i="1"/>
  <c r="L89" i="1"/>
  <c r="O19" i="1"/>
  <c r="X29" i="1"/>
  <c r="L32" i="1"/>
  <c r="L29" i="1"/>
  <c r="T32" i="1"/>
  <c r="T34" i="1" s="1"/>
  <c r="H79" i="1"/>
  <c r="O76" i="1"/>
  <c r="L76" i="1"/>
  <c r="K76" i="1"/>
  <c r="J76" i="1"/>
  <c r="H76" i="1"/>
  <c r="G76" i="1"/>
  <c r="R76" i="1" l="1"/>
  <c r="Z76" i="1" s="1"/>
  <c r="X32" i="1"/>
  <c r="K110" i="1"/>
  <c r="L110" i="1"/>
  <c r="G110" i="1"/>
  <c r="O110" i="1"/>
  <c r="K32" i="1"/>
  <c r="H110" i="1"/>
  <c r="K90" i="1"/>
  <c r="H19" i="1"/>
  <c r="J19" i="1"/>
  <c r="L19" i="1"/>
  <c r="G89" i="1"/>
  <c r="O89" i="1"/>
  <c r="K19" i="1"/>
  <c r="H89" i="1"/>
  <c r="G90" i="1"/>
  <c r="O90" i="1"/>
  <c r="J89" i="1"/>
  <c r="K89" i="1"/>
  <c r="J90" i="1"/>
  <c r="H90" i="1"/>
  <c r="G19" i="1"/>
  <c r="J79" i="1"/>
  <c r="K79" i="1"/>
  <c r="L79" i="1"/>
  <c r="G79" i="1"/>
  <c r="O79" i="1"/>
  <c r="O29" i="1"/>
  <c r="H29" i="1"/>
  <c r="G32" i="1"/>
  <c r="O32" i="1"/>
  <c r="H32" i="1"/>
  <c r="K29" i="1"/>
  <c r="J32" i="1"/>
  <c r="G29" i="1"/>
  <c r="J29" i="1"/>
  <c r="R32" i="1" l="1"/>
  <c r="R19" i="1"/>
  <c r="Z19" i="1" s="1"/>
  <c r="R90" i="1"/>
  <c r="Z90" i="1" s="1"/>
  <c r="R89" i="1"/>
  <c r="Z89" i="1" s="1"/>
  <c r="R79" i="1"/>
  <c r="Z79" i="1" s="1"/>
  <c r="R110" i="1"/>
  <c r="Z110" i="1" s="1"/>
  <c r="Z32" i="1"/>
  <c r="R29" i="1"/>
  <c r="J65" i="1"/>
  <c r="O63" i="1"/>
  <c r="L63" i="1"/>
  <c r="K63" i="1"/>
  <c r="J63" i="1"/>
  <c r="H63" i="1"/>
  <c r="G63" i="1"/>
  <c r="O8" i="1"/>
  <c r="L77" i="1"/>
  <c r="K77" i="1"/>
  <c r="J77" i="1"/>
  <c r="O77" i="1"/>
  <c r="J9" i="1"/>
  <c r="Z29" i="1" l="1"/>
  <c r="R63" i="1"/>
  <c r="Z63" i="1" s="1"/>
  <c r="X65" i="1"/>
  <c r="O9" i="1"/>
  <c r="K8" i="1"/>
  <c r="J8" i="1"/>
  <c r="K9" i="1"/>
  <c r="K65" i="1"/>
  <c r="H8" i="1"/>
  <c r="L8" i="1"/>
  <c r="G9" i="1"/>
  <c r="L65" i="1"/>
  <c r="O65" i="1"/>
  <c r="G65" i="1"/>
  <c r="H65" i="1"/>
  <c r="G8" i="1"/>
  <c r="H77" i="1"/>
  <c r="G77" i="1"/>
  <c r="R77" i="1" s="1"/>
  <c r="Z77" i="1" s="1"/>
  <c r="L9" i="1"/>
  <c r="H9" i="1"/>
  <c r="R8" i="1" l="1"/>
  <c r="R9" i="1"/>
  <c r="Z9" i="1" s="1"/>
  <c r="R65" i="1"/>
  <c r="Z65" i="1" s="1"/>
  <c r="Z8" i="1" l="1"/>
  <c r="X99" i="1" l="1"/>
  <c r="X85" i="1" l="1"/>
  <c r="X165" i="1" l="1"/>
  <c r="X145" i="1"/>
  <c r="X137" i="1"/>
  <c r="X127" i="1"/>
  <c r="X126" i="1"/>
  <c r="X123" i="1"/>
  <c r="X136" i="1" l="1"/>
  <c r="D50" i="61"/>
  <c r="B8" i="61"/>
  <c r="D7" i="61"/>
  <c r="D6" i="61"/>
  <c r="D5" i="61"/>
  <c r="X163" i="1" l="1"/>
  <c r="X167" i="1"/>
  <c r="X168" i="1"/>
  <c r="X170" i="1"/>
  <c r="X171" i="1"/>
  <c r="X172" i="1"/>
  <c r="X173" i="1"/>
  <c r="X175" i="1"/>
  <c r="X178" i="1"/>
  <c r="X185" i="1"/>
  <c r="X176" i="1"/>
  <c r="X162" i="1"/>
  <c r="X155" i="1"/>
  <c r="X125" i="1"/>
  <c r="X169" i="1" l="1"/>
  <c r="I123" i="1"/>
  <c r="I13" i="1"/>
  <c r="I34" i="1" s="1"/>
  <c r="I85" i="1"/>
  <c r="I86" i="1"/>
  <c r="I95" i="1" l="1"/>
  <c r="K146" i="1"/>
  <c r="O146" i="1" l="1"/>
  <c r="J146" i="1"/>
  <c r="H146" i="1"/>
  <c r="L146" i="1"/>
  <c r="G146" i="1"/>
  <c r="R146" i="1" l="1"/>
  <c r="X70" i="1" l="1"/>
  <c r="T48" i="1" l="1"/>
  <c r="X48" i="1" s="1"/>
  <c r="X11" i="1" l="1"/>
  <c r="X146" i="1"/>
  <c r="Z146" i="1" s="1"/>
  <c r="T154" i="1" l="1"/>
  <c r="X154" i="1" s="1"/>
  <c r="X148" i="1"/>
  <c r="T64" i="1" l="1"/>
  <c r="U95" i="1" l="1"/>
  <c r="X64" i="1"/>
  <c r="X156" i="1"/>
  <c r="T134" i="1" l="1"/>
  <c r="T98" i="1"/>
  <c r="X98" i="1" l="1"/>
  <c r="O156" i="1"/>
  <c r="L156" i="1"/>
  <c r="K156" i="1"/>
  <c r="J156" i="1"/>
  <c r="H156" i="1"/>
  <c r="G156" i="1"/>
  <c r="R156" i="1" l="1"/>
  <c r="Z156" i="1" s="1"/>
  <c r="U45" i="1" l="1"/>
  <c r="X45" i="1" l="1"/>
  <c r="U54" i="1"/>
  <c r="U194" i="1" s="1"/>
  <c r="T138" i="1"/>
  <c r="T108" i="1"/>
  <c r="X108" i="1" s="1"/>
  <c r="X138" i="1" l="1"/>
  <c r="X122" i="1" l="1"/>
  <c r="Q102" i="1" l="1"/>
  <c r="O186" i="1" l="1"/>
  <c r="J186" i="1"/>
  <c r="H186" i="1"/>
  <c r="L186" i="1"/>
  <c r="K186" i="1" l="1"/>
  <c r="G186" i="1"/>
  <c r="R186" i="1" l="1"/>
  <c r="I62" i="1"/>
  <c r="I72" i="1" s="1"/>
  <c r="X62" i="1" l="1"/>
  <c r="L62" i="1"/>
  <c r="O62" i="1"/>
  <c r="K62" i="1"/>
  <c r="G62" i="1"/>
  <c r="H62" i="1"/>
  <c r="J62" i="1"/>
  <c r="R62" i="1" l="1"/>
  <c r="Z62" i="1" l="1"/>
  <c r="L105" i="1" l="1"/>
  <c r="G105" i="1" l="1"/>
  <c r="O105" i="1"/>
  <c r="H105" i="1"/>
  <c r="K105" i="1"/>
  <c r="J105" i="1"/>
  <c r="L20" i="1"/>
  <c r="R105" i="1" l="1"/>
  <c r="H20" i="1"/>
  <c r="O20" i="1"/>
  <c r="J20" i="1"/>
  <c r="K20" i="1"/>
  <c r="G20" i="1"/>
  <c r="R20" i="1" l="1"/>
  <c r="Z20" i="1" s="1"/>
  <c r="Q15" i="1" l="1"/>
  <c r="Q34" i="1" s="1"/>
  <c r="I134" i="1" l="1"/>
  <c r="I193" i="1" s="1"/>
  <c r="I121" i="1"/>
  <c r="I131" i="1" s="1"/>
  <c r="I194" i="1" l="1"/>
  <c r="Q194" i="1"/>
  <c r="X134" i="1"/>
  <c r="X121" i="1"/>
  <c r="X131" i="1" s="1"/>
  <c r="X43" i="1" l="1"/>
  <c r="Z186" i="1"/>
  <c r="X141" i="1" l="1"/>
  <c r="G43" i="1"/>
  <c r="H43" i="1"/>
  <c r="J43" i="1"/>
  <c r="K43" i="1"/>
  <c r="L43" i="1"/>
  <c r="O43" i="1"/>
  <c r="R43" i="1" l="1"/>
  <c r="Z43" i="1" l="1"/>
  <c r="X66" i="1" l="1"/>
  <c r="X140" i="1"/>
  <c r="O26" i="1" l="1"/>
  <c r="L26" i="1"/>
  <c r="K26" i="1"/>
  <c r="J26" i="1"/>
  <c r="H26" i="1"/>
  <c r="G26" i="1"/>
  <c r="R26" i="1" l="1"/>
  <c r="Z26" i="1" s="1"/>
  <c r="T100" i="1" l="1"/>
  <c r="T102" i="1" s="1"/>
  <c r="X100" i="1" l="1"/>
  <c r="X102" i="1" s="1"/>
  <c r="X107" i="1"/>
  <c r="X14" i="1"/>
  <c r="X34" i="1" s="1"/>
  <c r="L179" i="1"/>
  <c r="X143" i="1" l="1"/>
  <c r="G154" i="1" l="1"/>
  <c r="H154" i="1"/>
  <c r="J154" i="1"/>
  <c r="K154" i="1"/>
  <c r="L154" i="1"/>
  <c r="O154" i="1"/>
  <c r="R154" i="1" l="1"/>
  <c r="G174" i="1" l="1"/>
  <c r="H174" i="1"/>
  <c r="J174" i="1"/>
  <c r="K174" i="1"/>
  <c r="L174" i="1"/>
  <c r="O174" i="1"/>
  <c r="R174" i="1" l="1"/>
  <c r="Z174" i="1" s="1"/>
  <c r="Z154" i="1"/>
  <c r="O70" i="1"/>
  <c r="L70" i="1"/>
  <c r="K70" i="1"/>
  <c r="J70" i="1"/>
  <c r="H70" i="1"/>
  <c r="G70" i="1"/>
  <c r="G155" i="1"/>
  <c r="H155" i="1"/>
  <c r="J155" i="1"/>
  <c r="K155" i="1"/>
  <c r="L155" i="1"/>
  <c r="O155" i="1"/>
  <c r="G145" i="1"/>
  <c r="H145" i="1"/>
  <c r="J145" i="1"/>
  <c r="K145" i="1"/>
  <c r="L145" i="1"/>
  <c r="O145" i="1"/>
  <c r="R155" i="1" l="1"/>
  <c r="R145" i="1"/>
  <c r="R70" i="1"/>
  <c r="O109" i="1"/>
  <c r="L109" i="1"/>
  <c r="K109" i="1"/>
  <c r="J109" i="1"/>
  <c r="H109" i="1"/>
  <c r="G109" i="1"/>
  <c r="O143" i="1"/>
  <c r="L143" i="1"/>
  <c r="K143" i="1"/>
  <c r="J143" i="1"/>
  <c r="H143" i="1"/>
  <c r="G143" i="1"/>
  <c r="Z155" i="1" l="1"/>
  <c r="Z70" i="1"/>
  <c r="R109" i="1"/>
  <c r="Z109" i="1" s="1"/>
  <c r="R143" i="1"/>
  <c r="G153" i="1"/>
  <c r="H153" i="1"/>
  <c r="J153" i="1"/>
  <c r="K153" i="1"/>
  <c r="L153" i="1"/>
  <c r="O153" i="1"/>
  <c r="Z143" i="1" l="1"/>
  <c r="R153" i="1"/>
  <c r="Z153" i="1" s="1"/>
  <c r="G185" i="1" l="1"/>
  <c r="H185" i="1"/>
  <c r="J185" i="1"/>
  <c r="K185" i="1"/>
  <c r="L185" i="1"/>
  <c r="O185" i="1"/>
  <c r="R185" i="1" l="1"/>
  <c r="Z185" i="1" s="1"/>
  <c r="G173" i="1"/>
  <c r="H173" i="1"/>
  <c r="J173" i="1"/>
  <c r="K173" i="1"/>
  <c r="L173" i="1"/>
  <c r="O173" i="1"/>
  <c r="R173" i="1" l="1"/>
  <c r="G152" i="1"/>
  <c r="H152" i="1"/>
  <c r="J152" i="1"/>
  <c r="K152" i="1"/>
  <c r="L152" i="1"/>
  <c r="O152" i="1"/>
  <c r="R152" i="1" l="1"/>
  <c r="Z152" i="1" s="1"/>
  <c r="G66" i="1"/>
  <c r="H66" i="1"/>
  <c r="J66" i="1"/>
  <c r="K66" i="1"/>
  <c r="L66" i="1"/>
  <c r="O66" i="1"/>
  <c r="R66" i="1" l="1"/>
  <c r="Z66" i="1" l="1"/>
  <c r="Z7" i="1" l="1"/>
  <c r="Z173" i="1" l="1"/>
  <c r="T105" i="1" l="1"/>
  <c r="T112" i="1" s="1"/>
  <c r="X105" i="1" l="1"/>
  <c r="X112" i="1" s="1"/>
  <c r="T147" i="1" l="1"/>
  <c r="X147" i="1" s="1"/>
  <c r="X181" i="1" l="1"/>
  <c r="O179" i="1" l="1"/>
  <c r="K179" i="1"/>
  <c r="J179" i="1"/>
  <c r="H179" i="1"/>
  <c r="G179" i="1"/>
  <c r="R179" i="1" l="1"/>
  <c r="Z179" i="1" s="1"/>
  <c r="L180" i="1" l="1"/>
  <c r="O178" i="1"/>
  <c r="L178" i="1"/>
  <c r="K178" i="1"/>
  <c r="J178" i="1"/>
  <c r="H178" i="1"/>
  <c r="G178" i="1"/>
  <c r="R178" i="1" l="1"/>
  <c r="Z178" i="1" s="1"/>
  <c r="Z105" i="1"/>
  <c r="T87" i="1" l="1"/>
  <c r="X87" i="1" s="1"/>
  <c r="G181" i="1" l="1"/>
  <c r="H181" i="1"/>
  <c r="J181" i="1"/>
  <c r="K181" i="1"/>
  <c r="L181" i="1"/>
  <c r="O181" i="1"/>
  <c r="G149" i="1"/>
  <c r="H149" i="1"/>
  <c r="J149" i="1"/>
  <c r="K149" i="1"/>
  <c r="L149" i="1"/>
  <c r="O149" i="1"/>
  <c r="R149" i="1" l="1"/>
  <c r="Z149" i="1" s="1"/>
  <c r="R181" i="1"/>
  <c r="Z181" i="1" s="1"/>
  <c r="O11" i="1" l="1"/>
  <c r="L11" i="1"/>
  <c r="K11" i="1"/>
  <c r="J11" i="1"/>
  <c r="H11" i="1"/>
  <c r="G11" i="1"/>
  <c r="R11" i="1" l="1"/>
  <c r="G180" i="1"/>
  <c r="H180" i="1"/>
  <c r="J180" i="1"/>
  <c r="K180" i="1"/>
  <c r="O180" i="1"/>
  <c r="G148" i="1"/>
  <c r="H148" i="1"/>
  <c r="J148" i="1"/>
  <c r="K148" i="1"/>
  <c r="L148" i="1"/>
  <c r="O148" i="1"/>
  <c r="Z11" i="1" l="1"/>
  <c r="R180" i="1"/>
  <c r="Z180" i="1" s="1"/>
  <c r="R148" i="1"/>
  <c r="Z148" i="1" s="1"/>
  <c r="G177" i="1" l="1"/>
  <c r="H177" i="1"/>
  <c r="J177" i="1"/>
  <c r="K177" i="1"/>
  <c r="L177" i="1"/>
  <c r="O177" i="1"/>
  <c r="G147" i="1"/>
  <c r="H147" i="1"/>
  <c r="J147" i="1"/>
  <c r="K147" i="1"/>
  <c r="L147" i="1"/>
  <c r="O147" i="1"/>
  <c r="R147" i="1" l="1"/>
  <c r="R177" i="1"/>
  <c r="Z177" i="1" l="1"/>
  <c r="G176" i="1"/>
  <c r="H176" i="1"/>
  <c r="J176" i="1"/>
  <c r="K176" i="1"/>
  <c r="L176" i="1"/>
  <c r="O176" i="1"/>
  <c r="R176" i="1" l="1"/>
  <c r="Z176" i="1" s="1"/>
  <c r="O48" i="1" l="1"/>
  <c r="L48" i="1"/>
  <c r="K48" i="1"/>
  <c r="J48" i="1"/>
  <c r="H48" i="1"/>
  <c r="G48" i="1"/>
  <c r="R48" i="1" l="1"/>
  <c r="Z48" i="1" s="1"/>
  <c r="T67" i="1"/>
  <c r="T72" i="1" s="1"/>
  <c r="T46" i="1"/>
  <c r="X46" i="1" l="1"/>
  <c r="T54" i="1"/>
  <c r="X67" i="1"/>
  <c r="X72" i="1" s="1"/>
  <c r="Z145" i="1"/>
  <c r="X54" i="1" l="1"/>
  <c r="G136" i="1"/>
  <c r="H136" i="1"/>
  <c r="J136" i="1"/>
  <c r="K136" i="1"/>
  <c r="L136" i="1"/>
  <c r="O136" i="1"/>
  <c r="R136" i="1" l="1"/>
  <c r="Z136" i="1" l="1"/>
  <c r="L141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5" i="1"/>
  <c r="L175" i="1"/>
  <c r="K175" i="1"/>
  <c r="J175" i="1"/>
  <c r="H175" i="1"/>
  <c r="G175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42" i="1"/>
  <c r="L142" i="1"/>
  <c r="K142" i="1"/>
  <c r="J142" i="1"/>
  <c r="H142" i="1"/>
  <c r="G142" i="1"/>
  <c r="T144" i="1"/>
  <c r="T193" i="1" s="1"/>
  <c r="O144" i="1"/>
  <c r="L144" i="1"/>
  <c r="K144" i="1"/>
  <c r="J144" i="1"/>
  <c r="H144" i="1"/>
  <c r="G144" i="1"/>
  <c r="O99" i="1"/>
  <c r="L99" i="1"/>
  <c r="K99" i="1"/>
  <c r="J99" i="1"/>
  <c r="H99" i="1"/>
  <c r="G99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27" i="1"/>
  <c r="L127" i="1"/>
  <c r="K127" i="1"/>
  <c r="J127" i="1"/>
  <c r="H127" i="1"/>
  <c r="G127" i="1"/>
  <c r="O126" i="1"/>
  <c r="L126" i="1"/>
  <c r="K126" i="1"/>
  <c r="J126" i="1"/>
  <c r="H126" i="1"/>
  <c r="G126" i="1"/>
  <c r="O125" i="1"/>
  <c r="L125" i="1"/>
  <c r="E9" i="11" s="1"/>
  <c r="D9" i="11" s="1"/>
  <c r="K125" i="1"/>
  <c r="J125" i="1"/>
  <c r="E7" i="11" s="1"/>
  <c r="D7" i="11" s="1"/>
  <c r="H125" i="1"/>
  <c r="G125" i="1"/>
  <c r="O140" i="1"/>
  <c r="L140" i="1"/>
  <c r="K140" i="1"/>
  <c r="J140" i="1"/>
  <c r="H140" i="1"/>
  <c r="G140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78" i="1"/>
  <c r="L78" i="1"/>
  <c r="K78" i="1"/>
  <c r="J78" i="1"/>
  <c r="H78" i="1"/>
  <c r="G78" i="1"/>
  <c r="O88" i="1"/>
  <c r="L88" i="1"/>
  <c r="K88" i="1"/>
  <c r="J88" i="1"/>
  <c r="H88" i="1"/>
  <c r="G88" i="1"/>
  <c r="O141" i="1"/>
  <c r="K141" i="1"/>
  <c r="J141" i="1"/>
  <c r="H141" i="1"/>
  <c r="G141" i="1"/>
  <c r="O67" i="1"/>
  <c r="L67" i="1"/>
  <c r="K67" i="1"/>
  <c r="J67" i="1"/>
  <c r="H67" i="1"/>
  <c r="G67" i="1"/>
  <c r="O87" i="1"/>
  <c r="L87" i="1"/>
  <c r="K87" i="1"/>
  <c r="J87" i="1"/>
  <c r="H87" i="1"/>
  <c r="G87" i="1"/>
  <c r="O14" i="1"/>
  <c r="L14" i="1"/>
  <c r="K14" i="1"/>
  <c r="J14" i="1"/>
  <c r="H14" i="1"/>
  <c r="G14" i="1"/>
  <c r="O107" i="1"/>
  <c r="L107" i="1"/>
  <c r="K107" i="1"/>
  <c r="J107" i="1"/>
  <c r="H107" i="1"/>
  <c r="G107" i="1"/>
  <c r="O85" i="1"/>
  <c r="L85" i="1"/>
  <c r="K85" i="1"/>
  <c r="J85" i="1"/>
  <c r="H85" i="1"/>
  <c r="G85" i="1"/>
  <c r="O46" i="1"/>
  <c r="L46" i="1"/>
  <c r="K46" i="1"/>
  <c r="J46" i="1"/>
  <c r="H46" i="1"/>
  <c r="G46" i="1"/>
  <c r="O86" i="1"/>
  <c r="L86" i="1"/>
  <c r="K86" i="1"/>
  <c r="J86" i="1"/>
  <c r="H86" i="1"/>
  <c r="G86" i="1"/>
  <c r="O106" i="1"/>
  <c r="L106" i="1"/>
  <c r="K106" i="1"/>
  <c r="J106" i="1"/>
  <c r="H106" i="1"/>
  <c r="G106" i="1"/>
  <c r="E8" i="7"/>
  <c r="D8" i="7" s="1"/>
  <c r="O75" i="1"/>
  <c r="L75" i="1"/>
  <c r="K75" i="1"/>
  <c r="K82" i="1" s="1"/>
  <c r="J75" i="1"/>
  <c r="H75" i="1"/>
  <c r="G75" i="1"/>
  <c r="O64" i="1"/>
  <c r="O72" i="1" s="1"/>
  <c r="L64" i="1"/>
  <c r="K64" i="1"/>
  <c r="J64" i="1"/>
  <c r="J72" i="1" s="1"/>
  <c r="H64" i="1"/>
  <c r="G64" i="1"/>
  <c r="O10" i="1"/>
  <c r="L10" i="1"/>
  <c r="K10" i="1"/>
  <c r="J10" i="1"/>
  <c r="H10" i="1"/>
  <c r="G10" i="1"/>
  <c r="O49" i="1"/>
  <c r="L49" i="1"/>
  <c r="K49" i="1"/>
  <c r="J49" i="1"/>
  <c r="H49" i="1"/>
  <c r="G49" i="1"/>
  <c r="O59" i="1"/>
  <c r="L59" i="1"/>
  <c r="K59" i="1"/>
  <c r="J59" i="1"/>
  <c r="H59" i="1"/>
  <c r="G59" i="1"/>
  <c r="O17" i="1"/>
  <c r="L17" i="1"/>
  <c r="K17" i="1"/>
  <c r="J17" i="1"/>
  <c r="H17" i="1"/>
  <c r="G17" i="1"/>
  <c r="O47" i="1"/>
  <c r="L47" i="1"/>
  <c r="K47" i="1"/>
  <c r="J47" i="1"/>
  <c r="H47" i="1"/>
  <c r="G47" i="1"/>
  <c r="O45" i="1"/>
  <c r="L45" i="1"/>
  <c r="K45" i="1"/>
  <c r="J45" i="1"/>
  <c r="H45" i="1"/>
  <c r="G45" i="1"/>
  <c r="O117" i="1"/>
  <c r="O118" i="1" s="1"/>
  <c r="L117" i="1"/>
  <c r="L118" i="1" s="1"/>
  <c r="K117" i="1"/>
  <c r="K118" i="1" s="1"/>
  <c r="J117" i="1"/>
  <c r="J118" i="1" s="1"/>
  <c r="H117" i="1"/>
  <c r="H118" i="1" s="1"/>
  <c r="G117" i="1"/>
  <c r="G118" i="1" s="1"/>
  <c r="O15" i="1"/>
  <c r="L15" i="1"/>
  <c r="K15" i="1"/>
  <c r="J15" i="1"/>
  <c r="H15" i="1"/>
  <c r="G15" i="1"/>
  <c r="O98" i="1"/>
  <c r="L98" i="1"/>
  <c r="K98" i="1"/>
  <c r="J98" i="1"/>
  <c r="H98" i="1"/>
  <c r="G98" i="1"/>
  <c r="E12" i="5"/>
  <c r="D12" i="5" s="1"/>
  <c r="E10" i="5"/>
  <c r="D10" i="5" s="1"/>
  <c r="E9" i="5"/>
  <c r="D9" i="5" s="1"/>
  <c r="E8" i="5"/>
  <c r="D8" i="5" s="1"/>
  <c r="E6" i="5"/>
  <c r="D6" i="5" s="1"/>
  <c r="L72" i="1" l="1"/>
  <c r="K72" i="1"/>
  <c r="J82" i="1"/>
  <c r="H72" i="1"/>
  <c r="G72" i="1"/>
  <c r="R10" i="1"/>
  <c r="Z10" i="1" s="1"/>
  <c r="R15" i="1"/>
  <c r="Z15" i="1" s="1"/>
  <c r="R98" i="1"/>
  <c r="O82" i="1"/>
  <c r="H82" i="1"/>
  <c r="J193" i="1"/>
  <c r="R86" i="1"/>
  <c r="Z86" i="1" s="1"/>
  <c r="AA86" i="1" s="1"/>
  <c r="R78" i="1"/>
  <c r="Z78" i="1" s="1"/>
  <c r="L82" i="1"/>
  <c r="L193" i="1"/>
  <c r="O193" i="1"/>
  <c r="G193" i="1"/>
  <c r="K193" i="1"/>
  <c r="G82" i="1"/>
  <c r="H193" i="1"/>
  <c r="R17" i="1"/>
  <c r="Z17" i="1" s="1"/>
  <c r="R169" i="1"/>
  <c r="Z169" i="1" s="1"/>
  <c r="L54" i="1"/>
  <c r="O95" i="1"/>
  <c r="K54" i="1"/>
  <c r="R46" i="1"/>
  <c r="Z46" i="1" s="1"/>
  <c r="L95" i="1"/>
  <c r="G95" i="1"/>
  <c r="R49" i="1"/>
  <c r="Z49" i="1" s="1"/>
  <c r="H95" i="1"/>
  <c r="H54" i="1"/>
  <c r="J95" i="1"/>
  <c r="T95" i="1"/>
  <c r="R45" i="1"/>
  <c r="Z45" i="1" s="1"/>
  <c r="J54" i="1"/>
  <c r="O54" i="1"/>
  <c r="R88" i="1"/>
  <c r="Z88" i="1" s="1"/>
  <c r="G54" i="1"/>
  <c r="R47" i="1"/>
  <c r="R87" i="1"/>
  <c r="Z87" i="1" s="1"/>
  <c r="K95" i="1"/>
  <c r="L112" i="1"/>
  <c r="H112" i="1"/>
  <c r="J112" i="1"/>
  <c r="O112" i="1"/>
  <c r="G112" i="1"/>
  <c r="K112" i="1"/>
  <c r="R175" i="1"/>
  <c r="Z175" i="1" s="1"/>
  <c r="X144" i="1"/>
  <c r="X193" i="1" s="1"/>
  <c r="R117" i="1"/>
  <c r="R118" i="1" s="1"/>
  <c r="E12" i="7"/>
  <c r="D12" i="7" s="1"/>
  <c r="E9" i="7"/>
  <c r="D9" i="7" s="1"/>
  <c r="E10" i="7"/>
  <c r="D10" i="7" s="1"/>
  <c r="E6" i="7"/>
  <c r="D6" i="7" s="1"/>
  <c r="Z147" i="1"/>
  <c r="E8" i="6"/>
  <c r="D8" i="6" s="1"/>
  <c r="E12" i="6"/>
  <c r="D12" i="6" s="1"/>
  <c r="E9" i="6"/>
  <c r="D9" i="6" s="1"/>
  <c r="E6" i="6"/>
  <c r="D6" i="6" s="1"/>
  <c r="R4" i="12"/>
  <c r="R7" i="12"/>
  <c r="R8" i="12"/>
  <c r="R142" i="1"/>
  <c r="Z142" i="1" s="1"/>
  <c r="R163" i="1"/>
  <c r="Z163" i="1" s="1"/>
  <c r="R106" i="1"/>
  <c r="R167" i="1"/>
  <c r="Z167" i="1" s="1"/>
  <c r="R64" i="1"/>
  <c r="R67" i="1"/>
  <c r="Z67" i="1" s="1"/>
  <c r="R121" i="1"/>
  <c r="R141" i="1"/>
  <c r="Z141" i="1" s="1"/>
  <c r="R107" i="1"/>
  <c r="R122" i="1"/>
  <c r="R126" i="1"/>
  <c r="Z126" i="1" s="1"/>
  <c r="R137" i="1"/>
  <c r="R138" i="1"/>
  <c r="Z138" i="1" s="1"/>
  <c r="R144" i="1"/>
  <c r="R170" i="1"/>
  <c r="Z170" i="1" s="1"/>
  <c r="R172" i="1"/>
  <c r="Z172" i="1" s="1"/>
  <c r="R14" i="1"/>
  <c r="Z108" i="1"/>
  <c r="R162" i="1"/>
  <c r="Z162" i="1" s="1"/>
  <c r="R166" i="1"/>
  <c r="R168" i="1"/>
  <c r="Z168" i="1" s="1"/>
  <c r="R140" i="1"/>
  <c r="Z140" i="1" s="1"/>
  <c r="R85" i="1"/>
  <c r="R134" i="1"/>
  <c r="R125" i="1"/>
  <c r="Z125" i="1" s="1"/>
  <c r="R127" i="1"/>
  <c r="R99" i="1"/>
  <c r="Z99" i="1" s="1"/>
  <c r="R164" i="1"/>
  <c r="Z164" i="1" s="1"/>
  <c r="R165" i="1"/>
  <c r="R171" i="1"/>
  <c r="Z171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75" i="1"/>
  <c r="R59" i="1"/>
  <c r="C14" i="23"/>
  <c r="E10" i="6"/>
  <c r="D10" i="6" s="1"/>
  <c r="E12" i="11"/>
  <c r="D12" i="11" s="1"/>
  <c r="D4" i="5"/>
  <c r="R72" i="1" l="1"/>
  <c r="Z98" i="1"/>
  <c r="T194" i="1"/>
  <c r="X95" i="1"/>
  <c r="X194" i="1" s="1"/>
  <c r="Z127" i="1"/>
  <c r="S18" i="131"/>
  <c r="R82" i="1"/>
  <c r="R95" i="1"/>
  <c r="Z47" i="1"/>
  <c r="R54" i="1"/>
  <c r="Z117" i="1"/>
  <c r="R112" i="1"/>
  <c r="Z135" i="1"/>
  <c r="Z137" i="1"/>
  <c r="Z166" i="1"/>
  <c r="Z14" i="1"/>
  <c r="E14" i="7"/>
  <c r="D14" i="7" s="1"/>
  <c r="Z64" i="1"/>
  <c r="Z72" i="1" s="1"/>
  <c r="Z134" i="1"/>
  <c r="Z107" i="1"/>
  <c r="Z85" i="1"/>
  <c r="Z106" i="1"/>
  <c r="Z121" i="1"/>
  <c r="Z144" i="1"/>
  <c r="Z165" i="1"/>
  <c r="Z122" i="1"/>
  <c r="E14" i="4"/>
  <c r="D14" i="4" s="1"/>
  <c r="D5" i="7"/>
  <c r="D14" i="5"/>
  <c r="E14" i="5"/>
  <c r="L13" i="1"/>
  <c r="L34" i="1" s="1"/>
  <c r="E14" i="13"/>
  <c r="D14" i="13" s="1"/>
  <c r="K13" i="1"/>
  <c r="K34" i="1" s="1"/>
  <c r="E13" i="8"/>
  <c r="D13" i="8" s="1"/>
  <c r="G13" i="1"/>
  <c r="G34" i="1" s="1"/>
  <c r="O13" i="1"/>
  <c r="O34" i="1" s="1"/>
  <c r="J13" i="1"/>
  <c r="J34" i="1" s="1"/>
  <c r="H13" i="1"/>
  <c r="H34" i="1" s="1"/>
  <c r="L123" i="1"/>
  <c r="L131" i="1" s="1"/>
  <c r="Z75" i="1"/>
  <c r="Z82" i="1" s="1"/>
  <c r="Z59" i="1"/>
  <c r="E14" i="6"/>
  <c r="D14" i="6" s="1"/>
  <c r="Z118" i="1" l="1"/>
  <c r="H51" i="68" s="1"/>
  <c r="R13" i="1"/>
  <c r="R34" i="1" s="1"/>
  <c r="Z95" i="1"/>
  <c r="Z54" i="1"/>
  <c r="Z112" i="1"/>
  <c r="H45" i="68"/>
  <c r="H43" i="68"/>
  <c r="J123" i="1"/>
  <c r="J131" i="1" s="1"/>
  <c r="O123" i="1"/>
  <c r="O131" i="1" s="1"/>
  <c r="K123" i="1"/>
  <c r="K131" i="1" s="1"/>
  <c r="G123" i="1"/>
  <c r="G131" i="1" s="1"/>
  <c r="H123" i="1"/>
  <c r="H131" i="1" s="1"/>
  <c r="Z13" i="1" l="1"/>
  <c r="Z34" i="1" s="1"/>
  <c r="H50" i="68"/>
  <c r="H47" i="68"/>
  <c r="H44" i="68"/>
  <c r="H48" i="68"/>
  <c r="R123" i="1"/>
  <c r="R131" i="1" s="1"/>
  <c r="Z123" i="1" l="1"/>
  <c r="Z131" i="1" s="1"/>
  <c r="H52" i="68" l="1"/>
  <c r="J100" i="1" l="1"/>
  <c r="J102" i="1" s="1"/>
  <c r="L100" i="1"/>
  <c r="L102" i="1" s="1"/>
  <c r="K100" i="1"/>
  <c r="K102" i="1" s="1"/>
  <c r="O100" i="1"/>
  <c r="O102" i="1" s="1"/>
  <c r="G100" i="1"/>
  <c r="H100" i="1"/>
  <c r="H102" i="1" s="1"/>
  <c r="G102" i="1" l="1"/>
  <c r="G194" i="1" s="1"/>
  <c r="H194" i="1"/>
  <c r="O194" i="1"/>
  <c r="K194" i="1"/>
  <c r="L194" i="1"/>
  <c r="J194" i="1"/>
  <c r="R100" i="1"/>
  <c r="R102" i="1" s="1"/>
  <c r="Z100" i="1" l="1"/>
  <c r="R150" i="1"/>
  <c r="R193" i="1" s="1"/>
  <c r="Z102" i="1" l="1"/>
  <c r="H49" i="68" s="1"/>
  <c r="R194" i="1"/>
  <c r="Z150" i="1"/>
  <c r="Z193" i="1" s="1"/>
  <c r="Z194" i="1" s="1"/>
  <c r="H53" i="68" l="1"/>
  <c r="H46" i="68" l="1"/>
  <c r="E194" i="1"/>
  <c r="G23" i="68"/>
  <c r="G25" i="68"/>
  <c r="H42" i="68"/>
  <c r="H20" i="68"/>
  <c r="G26" i="68"/>
  <c r="G24" i="68"/>
  <c r="H54" i="68" l="1"/>
  <c r="H27" i="68"/>
  <c r="H28" i="68" s="1"/>
  <c r="H30" i="68" s="1"/>
  <c r="Z11" i="131" l="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2" i="131"/>
  <c r="Q18" i="131"/>
  <c r="Q11" i="131"/>
  <c r="Q13" i="131"/>
  <c r="Q27" i="131"/>
  <c r="Q7" i="131"/>
</calcChain>
</file>

<file path=xl/sharedStrings.xml><?xml version="1.0" encoding="utf-8"?>
<sst xmlns="http://schemas.openxmlformats.org/spreadsheetml/2006/main" count="8861" uniqueCount="775">
  <si>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</si>
  <si>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</si>
  <si>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</si>
  <si>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</si>
  <si>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</si>
  <si>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</si>
  <si>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</si>
  <si>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</si>
  <si>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</si>
  <si>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</si>
  <si>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</si>
  <si>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</si>
  <si>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</si>
  <si>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</si>
  <si>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</si>
  <si>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</si>
  <si>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</si>
  <si>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</si>
  <si>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</si>
  <si>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</si>
  <si>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</si>
  <si>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</si>
  <si>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</si>
  <si>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</si>
  <si>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</si>
  <si>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</si>
  <si>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</si>
  <si>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</si>
  <si>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</si>
  <si>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</si>
  <si>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</si>
  <si>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</si>
  <si>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</si>
  <si>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</si>
  <si>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</si>
  <si>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</si>
  <si>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</si>
  <si>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</si>
  <si>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</si>
  <si>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</si>
  <si>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</si>
  <si>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</si>
  <si>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</si>
  <si>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</si>
  <si>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</si>
  <si>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</si>
  <si>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</si>
  <si>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</si>
  <si>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</si>
  <si>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</si>
  <si>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</si>
  <si>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</si>
  <si>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</si>
  <si>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</si>
  <si>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</si>
  <si>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</si>
  <si>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</si>
  <si>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</si>
  <si>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</si>
  <si>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</si>
  <si>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</si>
  <si>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</si>
  <si>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</si>
  <si>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</si>
  <si>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</si>
  <si>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</si>
  <si>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</si>
  <si>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</si>
  <si>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</si>
  <si>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</si>
  <si>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</si>
  <si>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</si>
  <si>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</si>
  <si>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</si>
  <si>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</si>
  <si>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</si>
  <si>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</si>
  <si>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</si>
  <si>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</si>
  <si>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</si>
  <si>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</si>
  <si>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</si>
  <si>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</si>
  <si>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</si>
  <si>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</si>
  <si>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</si>
  <si>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</si>
  <si>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</si>
  <si>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</si>
  <si>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</si>
  <si>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</si>
  <si>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</si>
  <si>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</si>
  <si>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</si>
  <si>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</si>
  <si>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</si>
  <si>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</si>
  <si>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</si>
  <si>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</si>
  <si>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</si>
  <si>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</si>
  <si>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</si>
  <si>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</si>
  <si>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</si>
  <si>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</si>
  <si>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</si>
  <si>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</si>
  <si>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</si>
  <si>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</si>
  <si>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</si>
  <si>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</si>
  <si>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</si>
  <si>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</si>
  <si>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</si>
  <si>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</si>
  <si>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</si>
  <si>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</si>
  <si>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</si>
  <si>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</si>
  <si>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</si>
  <si>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</si>
  <si>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</si>
  <si>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</si>
  <si>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</si>
  <si>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</si>
  <si>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</si>
  <si>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</si>
  <si>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</si>
  <si>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</si>
  <si>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</si>
  <si>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</si>
  <si>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</si>
  <si>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</si>
  <si>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</si>
  <si>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</si>
  <si>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</si>
  <si>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</si>
  <si>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</si>
  <si>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</si>
  <si>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</si>
  <si>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</si>
  <si>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</si>
  <si>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</si>
  <si>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</si>
  <si>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</si>
  <si>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</si>
  <si>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</si>
  <si>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</si>
  <si>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</si>
  <si>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</si>
  <si>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</si>
  <si>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</si>
  <si>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</si>
  <si>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</si>
  <si>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</si>
  <si>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</si>
  <si>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</si>
  <si>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</si>
  <si>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</si>
  <si>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</si>
  <si>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</si>
  <si>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</si>
  <si>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</si>
  <si>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</si>
  <si>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</si>
  <si>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</si>
  <si>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</si>
  <si>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</si>
  <si>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</si>
  <si>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</si>
  <si>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</si>
  <si>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</si>
  <si>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</si>
  <si>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</si>
  <si>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</si>
  <si>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</si>
  <si>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</si>
  <si>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</si>
  <si>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</si>
  <si>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</si>
  <si>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</si>
  <si>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</si>
  <si>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</si>
  <si>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</si>
  <si>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</si>
  <si>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</si>
  <si>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</si>
  <si>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</si>
  <si>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</si>
  <si>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</si>
  <si>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</si>
  <si>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</si>
  <si>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</si>
  <si>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</si>
  <si>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</si>
  <si>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</si>
  <si>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</si>
  <si>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</si>
  <si>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</si>
  <si>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</si>
  <si>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</si>
  <si>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</si>
  <si>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</si>
  <si>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</si>
  <si>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</si>
  <si>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</si>
  <si>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</si>
  <si>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</si>
  <si>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</si>
  <si>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</si>
  <si>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</si>
  <si>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</si>
  <si>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</si>
  <si>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</si>
  <si>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</si>
  <si>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</si>
  <si>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</si>
  <si>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</si>
  <si>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</si>
  <si>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</si>
  <si>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</si>
  <si>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</si>
  <si>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</si>
  <si>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</si>
  <si>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</si>
  <si>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</si>
  <si>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</si>
  <si>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</si>
  <si>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</si>
  <si>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</si>
  <si>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</si>
  <si>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</si>
  <si>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</si>
  <si>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</si>
  <si>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</si>
  <si>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</si>
  <si>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</si>
  <si>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</si>
  <si>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</si>
  <si>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</si>
  <si>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</si>
  <si>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</si>
  <si>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</si>
  <si>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</si>
  <si>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</si>
  <si>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</si>
  <si>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</si>
  <si>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</si>
  <si>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</si>
  <si>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</si>
  <si>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</si>
  <si>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</si>
  <si>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</si>
  <si>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</si>
  <si>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</si>
  <si>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</si>
  <si>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</si>
  <si>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</si>
  <si>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</si>
  <si>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</si>
  <si>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</si>
  <si>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</si>
  <si>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</si>
  <si>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</si>
  <si>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</si>
  <si>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</si>
  <si>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</si>
  <si>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</si>
  <si>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</si>
  <si>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</si>
  <si>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</si>
  <si>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</si>
  <si>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</si>
  <si>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</si>
  <si>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</si>
  <si>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</si>
  <si>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</si>
  <si>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</si>
  <si>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</si>
  <si>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</si>
  <si>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</si>
  <si>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</si>
  <si>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</si>
  <si>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</si>
  <si>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</si>
  <si>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</si>
  <si>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</si>
  <si>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</si>
  <si>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</si>
  <si>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</si>
  <si>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</si>
  <si>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</si>
  <si>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</si>
  <si>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</si>
  <si>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</si>
  <si>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</si>
  <si>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</si>
  <si>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</si>
  <si>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</si>
  <si>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</si>
  <si>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</si>
  <si>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</si>
  <si>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</si>
  <si>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</si>
  <si>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</si>
  <si>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</si>
  <si>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</si>
  <si>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</si>
  <si>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</si>
  <si>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</si>
  <si>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</si>
  <si>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</si>
  <si>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</si>
  <si>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</si>
  <si>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</si>
  <si>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</si>
  <si>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</si>
  <si>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</si>
  <si>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</si>
  <si>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</si>
  <si>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</si>
  <si>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</si>
  <si>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</si>
  <si>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</si>
  <si>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</si>
  <si>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</si>
  <si>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</si>
  <si>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</si>
  <si>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</si>
  <si>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</si>
  <si>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</si>
  <si>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</si>
  <si>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</si>
  <si>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</si>
  <si>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</si>
  <si>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</si>
  <si>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</si>
  <si>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</si>
  <si>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</si>
  <si>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</si>
  <si>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</si>
  <si>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</si>
  <si>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</si>
  <si>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</si>
  <si>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</si>
  <si>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</si>
  <si>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</si>
  <si>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</si>
  <si>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</si>
  <si>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</si>
  <si>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</si>
  <si>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</si>
  <si>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</si>
  <si>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</si>
  <si>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</si>
  <si>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</si>
  <si>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</si>
  <si>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</si>
  <si>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</si>
  <si>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</si>
  <si>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</si>
  <si>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</si>
  <si>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</si>
  <si>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</si>
  <si>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</si>
  <si>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</si>
  <si>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</si>
  <si>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</si>
  <si>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</si>
  <si>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</si>
  <si>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</si>
  <si>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</si>
  <si>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</si>
  <si>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</si>
  <si>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</si>
  <si>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</si>
  <si>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</si>
  <si>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</si>
  <si>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</si>
  <si>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</si>
  <si>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</si>
  <si>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</si>
  <si>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</si>
  <si>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</si>
  <si>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</si>
  <si>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</si>
  <si>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</si>
  <si>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</si>
  <si>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</si>
  <si>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</si>
  <si>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</si>
  <si>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</si>
  <si>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</si>
  <si>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</si>
  <si>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</si>
  <si>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</si>
  <si>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</si>
  <si>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</si>
  <si>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</si>
  <si>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</si>
  <si>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</si>
  <si>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</si>
  <si>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</si>
  <si>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</si>
  <si>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</si>
  <si>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</si>
  <si>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</si>
  <si>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</si>
  <si>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</si>
  <si>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</si>
  <si>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</si>
  <si>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</si>
  <si>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</si>
  <si>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</si>
  <si>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</si>
  <si>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</si>
  <si>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</si>
  <si>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</si>
  <si>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</si>
  <si>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</si>
  <si>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</si>
  <si>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</si>
  <si>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</si>
  <si>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</si>
  <si>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</si>
  <si>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</si>
  <si>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</si>
  <si>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</si>
  <si>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</si>
  <si>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</si>
  <si>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</si>
  <si>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</si>
  <si>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</si>
  <si>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</si>
  <si>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</si>
  <si>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</si>
  <si>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</si>
  <si>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</si>
  <si>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</si>
  <si>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</si>
  <si>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</si>
  <si>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</si>
  <si>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</si>
  <si>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</si>
  <si>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</si>
  <si>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</si>
  <si>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</si>
  <si>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</si>
  <si>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</si>
  <si>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</si>
  <si>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</si>
  <si>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</si>
  <si>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</si>
  <si>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</si>
  <si>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</si>
  <si>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</si>
  <si>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</si>
  <si>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</si>
  <si>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</si>
  <si>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</si>
  <si>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</si>
  <si>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</si>
  <si>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</si>
  <si>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</si>
  <si>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</si>
  <si>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</si>
  <si>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</si>
  <si>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</si>
  <si>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</si>
  <si>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</si>
  <si>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</si>
  <si>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</si>
  <si>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</si>
  <si>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</si>
  <si>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</si>
  <si>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</si>
  <si>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</si>
  <si>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</si>
  <si>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</si>
  <si>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</si>
  <si>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</si>
  <si>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</si>
  <si>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</si>
  <si>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</si>
  <si>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</si>
  <si>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</si>
  <si>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</si>
  <si>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</si>
  <si>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</si>
  <si>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</si>
  <si>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</si>
  <si>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</si>
  <si>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</si>
  <si>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</si>
  <si>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</si>
  <si>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</si>
  <si>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</si>
  <si>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</si>
  <si>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</si>
  <si>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</si>
  <si>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</si>
  <si>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</si>
  <si>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</si>
  <si>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</si>
  <si>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</si>
  <si>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</si>
  <si>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</si>
  <si>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</si>
  <si>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</si>
  <si>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</si>
  <si>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</si>
  <si>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</si>
  <si>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</si>
  <si>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</si>
  <si>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</si>
  <si>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</si>
  <si>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</si>
  <si>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</si>
  <si>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</si>
  <si>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</si>
  <si>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</si>
  <si>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</si>
  <si>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</si>
  <si>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</si>
  <si>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</si>
  <si>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</si>
  <si>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</si>
  <si>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</si>
  <si>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</si>
  <si>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</si>
  <si>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</si>
  <si>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</si>
  <si>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</si>
  <si>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</si>
  <si>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</si>
  <si>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</si>
  <si>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</si>
  <si>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</si>
  <si>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</si>
  <si>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</si>
  <si>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</si>
  <si>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</si>
  <si>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</si>
  <si>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</si>
  <si>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</si>
  <si>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</si>
  <si>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</si>
  <si>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</si>
  <si>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</si>
  <si>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</si>
  <si>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</si>
  <si>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</si>
  <si>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</si>
  <si>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</si>
  <si>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</si>
  <si>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</si>
  <si>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</si>
  <si>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</si>
  <si>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</si>
  <si>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</si>
  <si>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</si>
  <si>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</si>
  <si>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</si>
  <si>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</si>
  <si>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</si>
  <si>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</si>
  <si>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</si>
  <si>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</si>
  <si>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</si>
  <si>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</si>
  <si>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</si>
  <si>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</si>
  <si>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</si>
  <si>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</si>
  <si>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</si>
  <si>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</si>
  <si>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</si>
  <si>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</si>
  <si>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</si>
  <si>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</si>
  <si>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</si>
  <si>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</si>
  <si>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</si>
  <si>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</si>
  <si>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</si>
  <si>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</si>
  <si>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</si>
  <si>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</si>
  <si>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</si>
  <si>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</si>
  <si>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</si>
  <si>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</si>
  <si>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</si>
  <si>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</si>
  <si>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</si>
  <si>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</si>
  <si>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</si>
  <si>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</si>
  <si>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</si>
  <si>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</si>
  <si>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</si>
  <si>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</si>
  <si>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</si>
  <si>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</si>
  <si>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</si>
  <si>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</si>
  <si>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</si>
  <si>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</si>
  <si>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</si>
  <si>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</si>
  <si>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</si>
  <si>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</si>
  <si>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</si>
  <si>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</si>
  <si>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</si>
  <si>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</si>
  <si>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</si>
  <si>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</si>
  <si>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</si>
  <si>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</si>
  <si>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</si>
  <si>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</si>
  <si>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</si>
  <si>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</si>
  <si>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</si>
  <si>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</si>
  <si>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</si>
  <si>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</si>
  <si>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</si>
  <si>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</si>
  <si>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</si>
  <si>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</si>
  <si>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</si>
  <si>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</si>
  <si>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</si>
  <si>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</si>
  <si>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</si>
  <si>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</si>
  <si>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</si>
  <si>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</si>
  <si>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</si>
  <si>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</si>
  <si>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</si>
  <si>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</si>
  <si>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</si>
  <si>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</si>
  <si>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</si>
  <si>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</si>
  <si>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</si>
  <si>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</si>
  <si>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</si>
  <si>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</si>
  <si>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</si>
  <si>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</si>
  <si>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</si>
  <si>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</si>
  <si>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</si>
  <si>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</si>
  <si>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</si>
  <si>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</si>
  <si>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</si>
  <si>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</si>
  <si>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</si>
  <si>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</si>
  <si>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</si>
  <si>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</si>
  <si>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</si>
  <si>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</si>
  <si>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</si>
  <si>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</si>
  <si>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</si>
  <si>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</si>
  <si>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</si>
  <si>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</si>
  <si>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</si>
  <si>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</si>
  <si>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</si>
  <si>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</si>
  <si>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</si>
  <si>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</si>
  <si>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</si>
  <si>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</si>
  <si>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</si>
  <si>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</si>
  <si>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</si>
  <si>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</si>
  <si>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</si>
  <si>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</si>
  <si>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</si>
  <si>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</si>
  <si>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</si>
  <si>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</si>
  <si>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</si>
  <si>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</si>
  <si>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</si>
  <si>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</si>
  <si>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</si>
  <si>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</si>
  <si>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</si>
  <si>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</si>
  <si>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</si>
  <si>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</si>
  <si>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</si>
  <si>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</si>
  <si>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</si>
  <si>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</si>
  <si>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</si>
  <si>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</si>
  <si>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</si>
  <si>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</si>
  <si>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</si>
  <si>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</si>
  <si>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</si>
  <si>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</si>
  <si>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</si>
  <si>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</si>
  <si>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</si>
  <si>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</si>
  <si>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</si>
  <si>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</si>
  <si>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</si>
  <si>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</si>
  <si>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</si>
  <si>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</si>
  <si>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</si>
  <si>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</si>
  <si>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</si>
  <si>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</si>
  <si>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</si>
  <si>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</si>
  <si>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</si>
  <si>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</si>
  <si>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</si>
  <si>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</si>
  <si>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NET PAY AS PER  DECEMBER, 2023 PAYROLL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</si>
  <si>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</si>
  <si>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</si>
  <si>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</si>
  <si>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</si>
  <si>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</si>
  <si>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</si>
  <si>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</si>
  <si>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</si>
  <si>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</si>
  <si>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</si>
  <si>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</si>
  <si>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</si>
  <si>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</si>
  <si>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</si>
  <si>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</si>
  <si>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</si>
  <si>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</si>
  <si>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</si>
  <si>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</si>
  <si>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</si>
  <si>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</si>
  <si>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JANUARY, 2024</t>
  </si>
  <si>
    <t>STAFF PAYROLL FOR THE MONTH OF JANUARY, 2024</t>
  </si>
  <si>
    <t>Net Effect of Yearly Increment in Steps</t>
  </si>
  <si>
    <t>SUBJECT: PAYROLL FOR THE MONTH OF JANUARY 2024</t>
  </si>
  <si>
    <t>Find below the details of NILDS Staff Payroll for the Month of  January 2024:</t>
  </si>
  <si>
    <t>GROSS SALARY FOR  JANUARY, 2024</t>
  </si>
  <si>
    <t>TOTAL DEDUCTIONS FOR  JANUARY 2024</t>
  </si>
  <si>
    <t>NET PAY AS PER  JANUARY, 2024 PAYROLL</t>
  </si>
  <si>
    <t>NET INCREASE/ (DECREASE)  IN PAY FOR  JANUARY, 2024</t>
  </si>
  <si>
    <t>IDRIS IBRAHIM</t>
  </si>
  <si>
    <t>Effect of Conversion of Dr Idris Ibrahim to Permanent Staff</t>
  </si>
  <si>
    <t>ABUBAKAR SULAIMAN SODEEQ</t>
  </si>
  <si>
    <t>Effect of Removal of Promotion Arrears of Dr. Bethel Ighuba &amp; 3 others</t>
  </si>
  <si>
    <t>13(7)</t>
  </si>
  <si>
    <t>Effect of Placement of Abubakar Suleiman &amp; Rafiu Mustapha</t>
  </si>
  <si>
    <t>Effect of Cooperative Adjustment for January, 2024</t>
  </si>
  <si>
    <t xml:space="preserve">Net effect of Leg. Duty Allowance to Dr. Doris Aaron 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</si>
  <si>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 221,290.19 </t>
    </r>
    <r>
      <rPr>
        <sz val="14"/>
        <rFont val="Times New Roman"/>
        <family val="1"/>
      </rPr>
      <t xml:space="preserve">to Guaranty Trust Bank  being January, 2024 Salary, </t>
    </r>
    <r>
      <rPr>
        <b/>
        <sz val="14"/>
        <rFont val="Times New Roman"/>
        <family val="1"/>
      </rPr>
      <t xml:space="preserve">N12,351,445.68 </t>
    </r>
    <r>
      <rPr>
        <sz val="14"/>
        <rFont val="Times New Roman"/>
        <family val="1"/>
      </rPr>
      <t>being NILDS Coop Society deductions for January 2024,</t>
    </r>
    <r>
      <rPr>
        <b/>
        <sz val="14"/>
        <rFont val="Times New Roman"/>
        <family val="1"/>
      </rPr>
      <t xml:space="preserve"> N7,445,494.58   </t>
    </r>
    <r>
      <rPr>
        <sz val="14"/>
        <rFont val="Times New Roman"/>
        <family val="1"/>
      </rPr>
      <t xml:space="preserve">being PAYE Tax Deductions from Staff Salary for the month  of January 2024 and </t>
    </r>
    <r>
      <rPr>
        <b/>
        <sz val="14"/>
        <rFont val="Times New Roman"/>
        <family val="1"/>
      </rPr>
      <t xml:space="preserve">N23,031.31 </t>
    </r>
    <r>
      <rPr>
        <sz val="14"/>
        <rFont val="Times New Roman"/>
        <family val="1"/>
      </rPr>
      <t xml:space="preserve"> being NHF deductions from staff for January 2024 </t>
    </r>
  </si>
  <si>
    <t>30TH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</si>
</sst>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4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7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164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4" fontId="28" fillId="0" borderId="0" xfId="1" applyFont="1"/>
    <xf numFmtId="49" fontId="9" fillId="0" borderId="1" xfId="0" applyNumberFormat="1" applyFont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164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7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center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29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31" fillId="4" borderId="0" xfId="0" applyFont="1" applyFill="1" applyAlignment="1">
      <alignment horizontal="left"/>
    </xf>
    <xf numFmtId="0" fontId="38" fillId="4" borderId="0" xfId="0" applyFont="1" applyFill="1"/>
    <xf numFmtId="0" fontId="2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1" defaultTableStyle="TableStyleMedium9" defaultPivotStyle="PivotStyleLight16">
    <tableStyle name="Invisible" pivot="0" table="0" count="0" xr9:uid="{9BFE4E9D-25C1-42EA-85AB-3B572185E7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2/December%202022%20Payroll/December,%20%202022%20Salary.xlsx" TargetMode="External"/><Relationship Id="rId1" Type="http://schemas.openxmlformats.org/officeDocument/2006/relationships/externalLinkPath" Target="/Users/RAHILA/Documents/Payroll%20Matters%202022/December%202022%20Payroll/December,%20%202022%20Sal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19%20to%202021/BASIC%20SALARY%20SCHEDULE.xlsx" TargetMode="External"/><Relationship Id="rId1" Type="http://schemas.openxmlformats.org/officeDocument/2006/relationships/externalLinkPath" Target="/Users/RAHILA/Documents/Payroll%20Matters%202019%20to%202021/BASIC%20SALARY%20SCHEDUL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October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ember 2022"/>
      <sheetName val="Summary Nov"/>
      <sheetName val="December 2022 (2)"/>
      <sheetName val="December 2022 (3)"/>
      <sheetName val="Sheet1"/>
      <sheetName val="MEMO 1"/>
      <sheetName val="Half Salary Allowance "/>
      <sheetName val="Promotion Effect"/>
      <sheetName val="movemt to Contract schedule"/>
      <sheetName val="Adjustment of Hardship Allowanc"/>
      <sheetName val="Christmass Welfare (1)"/>
      <sheetName val="Christmass Welfare (2)"/>
      <sheetName val="Sheet5"/>
      <sheetName val="Promotion Arrear"/>
      <sheetName val="Arrears in Nov"/>
      <sheetName val="Tax Effect on Promotion"/>
      <sheetName val="Tax adj August, 2022"/>
      <sheetName val="Retirement"/>
      <sheetName val="New staff"/>
      <sheetName val="Annual Increement"/>
      <sheetName val="Enhanced Welfare 2023"/>
      <sheetName val="Enhanced Welfare 2023 (2)"/>
      <sheetName val="Enhanced Welfare 2023 (3)"/>
      <sheetName val="Sheet4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>
        <row r="126">
          <cell r="E126">
            <v>25854.1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7">
          <cell r="D17">
            <v>24975.81</v>
          </cell>
        </row>
        <row r="40">
          <cell r="D40">
            <v>4915.9399999999996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9"/>
  <sheetViews>
    <sheetView tabSelected="1" zoomScaleNormal="100" zoomScaleSheetLayoutView="50" workbookViewId="0">
      <pane xSplit="3" ySplit="7" topLeftCell="D124" activePane="bottomRight" state="frozen"/>
      <selection pane="topRight" activeCell="E1" sqref="E1"/>
      <selection pane="bottomLeft" activeCell="A10" sqref="A10"/>
      <selection pane="bottomRight" activeCell="A126" sqref="A126:XFD126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17.85546875" style="164" customWidth="1"/>
    <col min="6" max="6" width="18" style="164" customWidth="1"/>
    <col min="7" max="7" width="19.42578125" style="164" customWidth="1"/>
    <col min="8" max="8" width="16" style="164" customWidth="1"/>
    <col min="9" max="9" width="18.140625" style="164" customWidth="1"/>
    <col min="10" max="10" width="18" style="164" customWidth="1"/>
    <col min="11" max="11" width="20" style="164" customWidth="1"/>
    <col min="12" max="12" width="18.140625" style="164" customWidth="1"/>
    <col min="13" max="13" width="18.28515625" style="164" customWidth="1"/>
    <col min="14" max="14" width="18.140625" style="164" customWidth="1"/>
    <col min="15" max="15" width="15.7109375" style="164" customWidth="1"/>
    <col min="16" max="16" width="18.28515625" style="164" customWidth="1"/>
    <col min="17" max="17" width="17.85546875" style="164" customWidth="1"/>
    <col min="18" max="18" width="19.28515625" style="164" customWidth="1"/>
    <col min="19" max="19" width="9.140625" style="164" customWidth="1"/>
    <col min="20" max="20" width="18.42578125" style="164" customWidth="1"/>
    <col min="21" max="21" width="17.7109375" style="164" customWidth="1"/>
    <col min="22" max="22" width="14.42578125" style="164" customWidth="1"/>
    <col min="23" max="23" width="18.140625" style="164" customWidth="1"/>
    <col min="24" max="26" width="19.28515625" style="164" customWidth="1"/>
    <col min="27" max="27" width="21.7109375" style="164" customWidth="1"/>
    <col min="28" max="16384" width="9.140625" style="164"/>
  </cols>
  <sheetData>
    <row r="1" spans="1:27" ht="27" customHeight="1">
      <c r="A1" s="403" t="s">
        <v>234</v>
      </c>
      <c r="B1" s="403"/>
      <c r="C1" s="403"/>
      <c r="D1" s="403"/>
      <c r="E1" s="403"/>
      <c r="F1" s="403"/>
      <c r="G1" s="403"/>
      <c r="H1" s="163">
        <f>'[1]FEB 08'!F8/'[1]FEB 08'!Q8</f>
        <v>0.3</v>
      </c>
      <c r="I1" s="168"/>
      <c r="J1" s="163"/>
      <c r="K1" s="163"/>
      <c r="L1" s="163"/>
      <c r="M1" s="163"/>
      <c r="N1" s="163"/>
      <c r="O1" s="163"/>
      <c r="P1" s="163"/>
      <c r="Q1" s="163"/>
    </row>
    <row r="2" spans="1:27" ht="33.75" customHeight="1">
      <c r="A2" s="165" t="s">
        <v>757</v>
      </c>
      <c r="B2" s="166"/>
      <c r="C2" s="165"/>
      <c r="D2" s="165"/>
      <c r="E2" s="167"/>
      <c r="F2" s="167"/>
      <c r="G2" s="167"/>
      <c r="H2" s="168"/>
      <c r="J2" s="168"/>
      <c r="K2" s="168"/>
      <c r="L2" s="168"/>
      <c r="M2" s="168"/>
      <c r="N2" s="168"/>
      <c r="O2" s="168"/>
      <c r="P2" s="168"/>
      <c r="Q2" s="168"/>
      <c r="R2" s="169"/>
      <c r="S2" s="169"/>
      <c r="T2" s="169"/>
      <c r="U2" s="169"/>
      <c r="V2" s="169"/>
      <c r="W2" s="169"/>
      <c r="X2" s="169"/>
      <c r="Y2" s="169"/>
      <c r="Z2" s="169"/>
    </row>
    <row r="3" spans="1:27" ht="9.75" customHeight="1">
      <c r="E3" s="163" t="e">
        <f>'[1]FEB 08'!E11/'[1]FEB 08'!M11</f>
        <v>#REF!</v>
      </c>
      <c r="F3" s="163"/>
      <c r="G3" s="163"/>
      <c r="H3" s="163" t="e">
        <f>'[1]FEB 08'!F11/'[1]FEB 08'!Q11</f>
        <v>#REF!</v>
      </c>
      <c r="I3" s="163"/>
      <c r="J3" s="163"/>
      <c r="K3" s="163"/>
      <c r="L3" s="163"/>
      <c r="M3" s="163"/>
      <c r="N3" s="163"/>
      <c r="O3" s="163"/>
      <c r="P3" s="163"/>
      <c r="Q3" s="163"/>
    </row>
    <row r="4" spans="1:27" ht="49.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3" t="s">
        <v>352</v>
      </c>
      <c r="T4" s="173" t="s">
        <v>457</v>
      </c>
      <c r="U4" s="173" t="s">
        <v>180</v>
      </c>
      <c r="V4" s="173" t="s">
        <v>458</v>
      </c>
      <c r="W4" s="174" t="s">
        <v>38</v>
      </c>
      <c r="X4" s="256" t="s">
        <v>459</v>
      </c>
      <c r="Y4" s="175" t="s">
        <v>657</v>
      </c>
      <c r="Z4" s="221" t="s">
        <v>756</v>
      </c>
    </row>
    <row r="5" spans="1:27" ht="17.25" customHeight="1">
      <c r="C5" s="177"/>
      <c r="D5" s="177"/>
      <c r="E5" s="178" t="s">
        <v>5</v>
      </c>
      <c r="F5" s="29"/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178" t="s">
        <v>5</v>
      </c>
      <c r="R5" s="210" t="s">
        <v>5</v>
      </c>
      <c r="S5" s="178" t="s">
        <v>5</v>
      </c>
      <c r="T5" s="178" t="s">
        <v>5</v>
      </c>
      <c r="U5" s="178" t="s">
        <v>5</v>
      </c>
      <c r="V5" s="178" t="s">
        <v>5</v>
      </c>
      <c r="W5" s="178" t="s">
        <v>5</v>
      </c>
      <c r="X5" s="257" t="s">
        <v>5</v>
      </c>
      <c r="Y5" s="178" t="s">
        <v>5</v>
      </c>
      <c r="Z5" s="216" t="s">
        <v>5</v>
      </c>
    </row>
    <row r="6" spans="1:27" ht="20.100000000000001" customHeight="1">
      <c r="A6" s="176" t="s">
        <v>143</v>
      </c>
      <c r="B6" s="177" t="s">
        <v>433</v>
      </c>
      <c r="C6" s="177"/>
      <c r="D6" s="177"/>
      <c r="E6" s="178"/>
      <c r="F6" s="29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210"/>
      <c r="S6" s="178"/>
      <c r="T6" s="178"/>
      <c r="U6" s="178"/>
      <c r="V6" s="178"/>
      <c r="W6" s="178"/>
      <c r="X6" s="257"/>
      <c r="Y6" s="178"/>
      <c r="Z6" s="216"/>
    </row>
    <row r="7" spans="1:2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">
        <v>160488.75</v>
      </c>
      <c r="F7" s="23"/>
      <c r="G7" s="23">
        <v>320977.5</v>
      </c>
      <c r="H7" s="23">
        <v>48146.63</v>
      </c>
      <c r="I7" s="23">
        <v>120366.57</v>
      </c>
      <c r="J7" s="23">
        <v>72219.94</v>
      </c>
      <c r="K7" s="23">
        <v>0</v>
      </c>
      <c r="L7" s="23">
        <v>120366.57</v>
      </c>
      <c r="M7" s="179">
        <f>250000</f>
        <v>250000</v>
      </c>
      <c r="N7" s="179"/>
      <c r="O7" s="23">
        <v>16048.88</v>
      </c>
      <c r="P7" s="23">
        <v>25000</v>
      </c>
      <c r="Q7" s="23">
        <v>25235</v>
      </c>
      <c r="R7" s="204">
        <f>Q7+P7+O7+N7+M7+L7+K7+J7+I7+H7+G7+F7+E7</f>
        <v>1158849.8399999999</v>
      </c>
      <c r="S7" s="23"/>
      <c r="T7" s="23"/>
      <c r="U7" s="23"/>
      <c r="V7" s="23"/>
      <c r="W7" s="23">
        <v>201165.83594666663</v>
      </c>
      <c r="X7" s="258">
        <f t="shared" ref="X7:X33" si="0">W7+V7+U7+T7+S7</f>
        <v>201165.83594666663</v>
      </c>
      <c r="Y7" s="23">
        <v>957684.00405333319</v>
      </c>
      <c r="Z7" s="207">
        <f t="shared" ref="Z7:Z33" si="1">R7-X7</f>
        <v>957684.00405333319</v>
      </c>
      <c r="AA7" s="180"/>
    </row>
    <row r="8" spans="1:27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">
        <f>42653.17</f>
        <v>42653.17</v>
      </c>
      <c r="F8" s="25"/>
      <c r="G8" s="25">
        <f>E8*300%</f>
        <v>127959.51</v>
      </c>
      <c r="H8" s="25">
        <f>E8*7.5%</f>
        <v>3198.9877499999998</v>
      </c>
      <c r="I8" s="25">
        <v>40122.19</v>
      </c>
      <c r="J8" s="25">
        <f>E8*50%</f>
        <v>21326.584999999999</v>
      </c>
      <c r="K8" s="25">
        <f>E8*350%</f>
        <v>149286.095</v>
      </c>
      <c r="L8" s="25">
        <f>E8*100%</f>
        <v>42653.17</v>
      </c>
      <c r="M8" s="179"/>
      <c r="N8" s="179">
        <f>90000</f>
        <v>90000</v>
      </c>
      <c r="O8" s="25">
        <f>E8*10%</f>
        <v>4265.317</v>
      </c>
      <c r="P8" s="25">
        <v>20000</v>
      </c>
      <c r="Q8" s="23">
        <v>0</v>
      </c>
      <c r="R8" s="204">
        <f t="shared" ref="R8:R21" si="2">Q8+P8+O8+N8+M8+L8+K8+J8+I8+H8+G8+F8+E8</f>
        <v>541465.02474999998</v>
      </c>
      <c r="S8" s="23"/>
      <c r="T8" s="23">
        <f>100000</f>
        <v>100000</v>
      </c>
      <c r="U8" s="23"/>
      <c r="V8" s="23"/>
      <c r="W8" s="23">
        <v>82627.951418666678</v>
      </c>
      <c r="X8" s="258">
        <f t="shared" si="0"/>
        <v>182627.95141866669</v>
      </c>
      <c r="Y8" s="23">
        <v>358837.07333133329</v>
      </c>
      <c r="Z8" s="207">
        <f t="shared" si="1"/>
        <v>358837.07333133329</v>
      </c>
      <c r="AA8" s="180"/>
    </row>
    <row r="9" spans="1:27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">
        <f t="shared" ref="E9:E12" si="3">42653.17</f>
        <v>42653.17</v>
      </c>
      <c r="F9" s="25"/>
      <c r="G9" s="25">
        <f t="shared" ref="G9" si="4">E9*300%</f>
        <v>127959.51</v>
      </c>
      <c r="H9" s="25">
        <f t="shared" ref="H9" si="5">E9*7.5%</f>
        <v>3198.9877499999998</v>
      </c>
      <c r="I9" s="25">
        <v>40122.19</v>
      </c>
      <c r="J9" s="25">
        <f>E9*50%</f>
        <v>21326.584999999999</v>
      </c>
      <c r="K9" s="23">
        <f t="shared" ref="K9" si="6">E9*350%</f>
        <v>149286.095</v>
      </c>
      <c r="L9" s="25">
        <f t="shared" ref="L9" si="7">E9*100%</f>
        <v>42653.17</v>
      </c>
      <c r="M9" s="179"/>
      <c r="N9" s="179">
        <f>90000</f>
        <v>90000</v>
      </c>
      <c r="O9" s="25">
        <f t="shared" ref="O9" si="8">E9*10%</f>
        <v>4265.317</v>
      </c>
      <c r="P9" s="25">
        <v>20000</v>
      </c>
      <c r="Q9" s="25">
        <f>100000+100000</f>
        <v>200000</v>
      </c>
      <c r="R9" s="204">
        <f t="shared" si="2"/>
        <v>741465.0247500001</v>
      </c>
      <c r="S9" s="23"/>
      <c r="T9" s="23"/>
      <c r="U9" s="23"/>
      <c r="V9" s="23"/>
      <c r="W9" s="25">
        <v>121027.95141866669</v>
      </c>
      <c r="X9" s="258">
        <f t="shared" si="0"/>
        <v>121027.95141866669</v>
      </c>
      <c r="Y9" s="23">
        <v>609350.48574999999</v>
      </c>
      <c r="Z9" s="207">
        <f t="shared" si="1"/>
        <v>620437.07333133346</v>
      </c>
      <c r="AA9" s="180"/>
    </row>
    <row r="10" spans="1:27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">
        <f t="shared" si="3"/>
        <v>42653.17</v>
      </c>
      <c r="F10" s="25"/>
      <c r="G10" s="25">
        <f>E10*300%</f>
        <v>127959.51</v>
      </c>
      <c r="H10" s="25">
        <f>E10*7.5%</f>
        <v>3198.9877499999998</v>
      </c>
      <c r="I10" s="25">
        <v>40122.19</v>
      </c>
      <c r="J10" s="25">
        <f>E10*50%</f>
        <v>21326.584999999999</v>
      </c>
      <c r="K10" s="25">
        <f>E10*350%</f>
        <v>149286.095</v>
      </c>
      <c r="L10" s="25">
        <f>E10*100%</f>
        <v>42653.17</v>
      </c>
      <c r="M10" s="179">
        <v>180000</v>
      </c>
      <c r="N10" s="179"/>
      <c r="O10" s="25">
        <f>E10*10%</f>
        <v>4265.317</v>
      </c>
      <c r="P10" s="25">
        <v>20000</v>
      </c>
      <c r="Q10" s="25">
        <v>0</v>
      </c>
      <c r="R10" s="204">
        <f t="shared" si="2"/>
        <v>631465.0247500001</v>
      </c>
      <c r="S10" s="23"/>
      <c r="T10" s="25">
        <f>50000</f>
        <v>50000</v>
      </c>
      <c r="U10" s="25">
        <v>103000</v>
      </c>
      <c r="V10" s="23">
        <f t="shared" ref="V10:V20" si="9">0.025*E10</f>
        <v>1066.32925</v>
      </c>
      <c r="W10" s="25">
        <v>99703.216202666677</v>
      </c>
      <c r="X10" s="258">
        <f t="shared" si="0"/>
        <v>253769.54545266667</v>
      </c>
      <c r="Y10" s="23">
        <v>469602.37349999999</v>
      </c>
      <c r="Z10" s="207">
        <f t="shared" si="1"/>
        <v>377695.4792973334</v>
      </c>
      <c r="AA10" s="180"/>
    </row>
    <row r="11" spans="1:27" ht="20.100000000000001" customHeight="1">
      <c r="A11" s="28">
        <v>5</v>
      </c>
      <c r="B11" s="158" t="s">
        <v>203</v>
      </c>
      <c r="C11" s="20" t="s">
        <v>475</v>
      </c>
      <c r="D11" s="28" t="s">
        <v>496</v>
      </c>
      <c r="E11" s="23">
        <f t="shared" si="3"/>
        <v>42653.17</v>
      </c>
      <c r="F11" s="25"/>
      <c r="G11" s="25">
        <f t="shared" ref="G11:G16" si="10">E11*300%</f>
        <v>127959.51</v>
      </c>
      <c r="H11" s="25">
        <f t="shared" ref="H11:H16" si="11">E11*7.5%</f>
        <v>3198.9877499999998</v>
      </c>
      <c r="I11" s="25">
        <v>40122.19</v>
      </c>
      <c r="J11" s="25">
        <f t="shared" ref="J11:J12" si="12">E11*50%</f>
        <v>21326.584999999999</v>
      </c>
      <c r="K11" s="25">
        <f t="shared" ref="K11:K16" si="13">E11*350%</f>
        <v>149286.095</v>
      </c>
      <c r="L11" s="25">
        <f t="shared" ref="L11:L16" si="14">E11*100%</f>
        <v>42653.17</v>
      </c>
      <c r="M11" s="179"/>
      <c r="N11" s="179">
        <f>80000+10000</f>
        <v>90000</v>
      </c>
      <c r="O11" s="25">
        <f t="shared" ref="O11:O16" si="15">E11*10%</f>
        <v>4265.317</v>
      </c>
      <c r="P11" s="25">
        <v>20000</v>
      </c>
      <c r="Q11" s="23">
        <v>150000</v>
      </c>
      <c r="R11" s="204">
        <f t="shared" si="2"/>
        <v>691465.0247500001</v>
      </c>
      <c r="S11" s="23"/>
      <c r="T11" s="23">
        <f>20000+60000</f>
        <v>80000</v>
      </c>
      <c r="U11" s="23">
        <f>'[2]OCTOBER 2023 '!$D$193</f>
        <v>230499.8</v>
      </c>
      <c r="V11" s="23">
        <f t="shared" si="9"/>
        <v>1066.32925</v>
      </c>
      <c r="W11" s="23">
        <v>111223.21620266668</v>
      </c>
      <c r="X11" s="258">
        <f t="shared" si="0"/>
        <v>422789.34545266663</v>
      </c>
      <c r="Y11" s="23">
        <v>257582.57350000006</v>
      </c>
      <c r="Z11" s="207">
        <f t="shared" si="1"/>
        <v>268675.67929733347</v>
      </c>
      <c r="AA11" s="180"/>
    </row>
    <row r="12" spans="1:27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">
        <f t="shared" si="3"/>
        <v>42653.17</v>
      </c>
      <c r="F12" s="25"/>
      <c r="G12" s="25">
        <f t="shared" si="10"/>
        <v>127959.51</v>
      </c>
      <c r="H12" s="25">
        <f t="shared" si="11"/>
        <v>3198.9877499999998</v>
      </c>
      <c r="I12" s="25">
        <v>40122.19</v>
      </c>
      <c r="J12" s="25">
        <f t="shared" si="12"/>
        <v>21326.584999999999</v>
      </c>
      <c r="K12" s="25">
        <f t="shared" si="13"/>
        <v>149286.095</v>
      </c>
      <c r="L12" s="25">
        <f t="shared" si="14"/>
        <v>42653.17</v>
      </c>
      <c r="M12" s="179"/>
      <c r="N12" s="179">
        <f>90000</f>
        <v>90000</v>
      </c>
      <c r="O12" s="25">
        <f t="shared" si="15"/>
        <v>4265.317</v>
      </c>
      <c r="P12" s="25">
        <v>20000</v>
      </c>
      <c r="Q12" s="25">
        <v>100000</v>
      </c>
      <c r="R12" s="204">
        <f>SUM(E12:Q12)</f>
        <v>641465.02474999998</v>
      </c>
      <c r="S12" s="23"/>
      <c r="T12" s="23">
        <f>50000</f>
        <v>50000</v>
      </c>
      <c r="U12" s="23">
        <f>91666.67</f>
        <v>91666.67</v>
      </c>
      <c r="V12" s="23"/>
      <c r="W12" s="25">
        <v>101827.95141866668</v>
      </c>
      <c r="X12" s="258">
        <f>W12+V12+U12+T12+S12</f>
        <v>243494.62141866668</v>
      </c>
      <c r="Y12" s="23">
        <v>386883.81575000001</v>
      </c>
      <c r="Z12" s="207">
        <f>R12-X12</f>
        <v>397970.40333133331</v>
      </c>
      <c r="AA12" s="180"/>
    </row>
    <row r="13" spans="1:27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5">
        <v>33507.5</v>
      </c>
      <c r="F13" s="25"/>
      <c r="G13" s="25">
        <f>E13*300%</f>
        <v>100522.5</v>
      </c>
      <c r="H13" s="25">
        <f>E13*7.5%</f>
        <v>2513.0625</v>
      </c>
      <c r="I13" s="25">
        <f>40122.19</f>
        <v>40122.19</v>
      </c>
      <c r="J13" s="25">
        <f>E13*50%</f>
        <v>16753.75</v>
      </c>
      <c r="K13" s="23">
        <f>E13*350%</f>
        <v>117276.25</v>
      </c>
      <c r="L13" s="25">
        <f>E13*100%</f>
        <v>33507.5</v>
      </c>
      <c r="M13" s="179"/>
      <c r="N13" s="179">
        <f t="shared" ref="N13:N123" si="16">80000</f>
        <v>80000</v>
      </c>
      <c r="O13" s="25">
        <f>E13*10%</f>
        <v>3350.75</v>
      </c>
      <c r="P13" s="25">
        <v>20000</v>
      </c>
      <c r="Q13" s="25">
        <v>50000</v>
      </c>
      <c r="R13" s="204">
        <f t="shared" si="2"/>
        <v>497553.5025</v>
      </c>
      <c r="S13" s="23"/>
      <c r="T13" s="23">
        <f>50000-40000</f>
        <v>10000</v>
      </c>
      <c r="U13" s="23">
        <f>90000+110000</f>
        <v>200000</v>
      </c>
      <c r="V13" s="23">
        <f t="shared" si="9"/>
        <v>837.6875</v>
      </c>
      <c r="W13" s="25">
        <v>74036.103146666661</v>
      </c>
      <c r="X13" s="258">
        <f t="shared" si="0"/>
        <v>284873.79064666666</v>
      </c>
      <c r="Y13" s="23">
        <v>212679.71500000003</v>
      </c>
      <c r="Z13" s="207">
        <f t="shared" si="1"/>
        <v>212679.71185333334</v>
      </c>
      <c r="AA13" s="180"/>
    </row>
    <row r="14" spans="1:27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5">
        <v>31019.84</v>
      </c>
      <c r="F14" s="25"/>
      <c r="G14" s="25">
        <f>E14*300%</f>
        <v>93059.520000000004</v>
      </c>
      <c r="H14" s="25">
        <f>E14*7.5%</f>
        <v>2326.4879999999998</v>
      </c>
      <c r="I14" s="25">
        <f>40122.19</f>
        <v>40122.19</v>
      </c>
      <c r="J14" s="25">
        <f>E14*50%</f>
        <v>15509.92</v>
      </c>
      <c r="K14" s="25">
        <f>E14*350%</f>
        <v>108569.44</v>
      </c>
      <c r="L14" s="25">
        <f>E14*100%</f>
        <v>31019.84</v>
      </c>
      <c r="M14" s="179">
        <v>160000</v>
      </c>
      <c r="N14" s="179"/>
      <c r="O14" s="25">
        <f>E14*10%</f>
        <v>3101.9840000000004</v>
      </c>
      <c r="P14" s="25">
        <v>20000</v>
      </c>
      <c r="Q14" s="25">
        <f>100000</f>
        <v>100000</v>
      </c>
      <c r="R14" s="23">
        <f>SUM(E14:Q14)</f>
        <v>604729.22200000007</v>
      </c>
      <c r="S14" s="23"/>
      <c r="T14" s="23"/>
      <c r="U14" s="23"/>
      <c r="V14" s="23">
        <f t="shared" si="9"/>
        <v>775.49600000000009</v>
      </c>
      <c r="W14" s="23">
        <v>94625.782058666678</v>
      </c>
      <c r="X14" s="258">
        <f>W14+V14+U14+T14+S14</f>
        <v>95401.278058666678</v>
      </c>
      <c r="Y14" s="23">
        <v>509246.91013333341</v>
      </c>
      <c r="Z14" s="207">
        <f>R14-X14</f>
        <v>509327.94394133339</v>
      </c>
      <c r="AA14" s="180"/>
    </row>
    <row r="15" spans="1:27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5">
        <v>27611.23</v>
      </c>
      <c r="F15" s="25"/>
      <c r="G15" s="25">
        <f t="shared" si="10"/>
        <v>82833.69</v>
      </c>
      <c r="H15" s="25">
        <f t="shared" si="11"/>
        <v>2070.8422499999997</v>
      </c>
      <c r="I15" s="23">
        <v>0</v>
      </c>
      <c r="J15" s="25">
        <f t="shared" ref="J15:J19" si="17">E15*50%</f>
        <v>13805.615</v>
      </c>
      <c r="K15" s="23">
        <f t="shared" si="13"/>
        <v>96639.304999999993</v>
      </c>
      <c r="L15" s="25">
        <f t="shared" si="14"/>
        <v>27611.23</v>
      </c>
      <c r="M15" s="179"/>
      <c r="N15" s="179">
        <f t="shared" ref="N15" si="18">70000</f>
        <v>70000</v>
      </c>
      <c r="O15" s="25">
        <f t="shared" si="15"/>
        <v>2761.123</v>
      </c>
      <c r="P15" s="25">
        <v>20000</v>
      </c>
      <c r="Q15" s="25">
        <f>0</f>
        <v>0</v>
      </c>
      <c r="R15" s="204">
        <f t="shared" si="2"/>
        <v>343333.03524999996</v>
      </c>
      <c r="S15" s="23"/>
      <c r="T15" s="23"/>
      <c r="U15" s="23"/>
      <c r="V15" s="23"/>
      <c r="W15" s="25">
        <v>44846.616588666657</v>
      </c>
      <c r="X15" s="258">
        <f t="shared" si="0"/>
        <v>44846.616588666657</v>
      </c>
      <c r="Y15" s="23">
        <v>298486.41524999996</v>
      </c>
      <c r="Z15" s="207">
        <f t="shared" si="1"/>
        <v>298486.41866133327</v>
      </c>
      <c r="AA15" s="180"/>
    </row>
    <row r="16" spans="1:27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5">
        <v>27611.23</v>
      </c>
      <c r="F16" s="25"/>
      <c r="G16" s="25">
        <f t="shared" si="10"/>
        <v>82833.69</v>
      </c>
      <c r="H16" s="25">
        <f t="shared" si="11"/>
        <v>2070.8422499999997</v>
      </c>
      <c r="I16" s="25">
        <v>0</v>
      </c>
      <c r="J16" s="25">
        <f t="shared" si="17"/>
        <v>13805.615</v>
      </c>
      <c r="K16" s="23">
        <f t="shared" si="13"/>
        <v>96639.304999999993</v>
      </c>
      <c r="L16" s="25">
        <f t="shared" si="14"/>
        <v>27611.23</v>
      </c>
      <c r="M16" s="179">
        <v>140000</v>
      </c>
      <c r="N16" s="179"/>
      <c r="O16" s="25">
        <f t="shared" si="15"/>
        <v>2761.123</v>
      </c>
      <c r="P16" s="25">
        <v>20000</v>
      </c>
      <c r="Q16" s="25">
        <v>50000</v>
      </c>
      <c r="R16" s="204">
        <f>SUM(E16:Q16)</f>
        <v>463333.03525000007</v>
      </c>
      <c r="S16" s="23"/>
      <c r="T16" s="23">
        <f>50000</f>
        <v>50000</v>
      </c>
      <c r="U16" s="23"/>
      <c r="V16" s="23"/>
      <c r="W16" s="23">
        <v>46666.666666666664</v>
      </c>
      <c r="X16" s="261">
        <f t="shared" si="0"/>
        <v>96666.666666666657</v>
      </c>
      <c r="Y16" s="23">
        <v>339193.16374999995</v>
      </c>
      <c r="Z16" s="207">
        <f t="shared" si="1"/>
        <v>366666.36858333345</v>
      </c>
      <c r="AA16" s="180"/>
    </row>
    <row r="17" spans="1:27" ht="20.100000000000001" customHeight="1">
      <c r="A17" s="28">
        <v>11</v>
      </c>
      <c r="B17" s="156" t="s">
        <v>184</v>
      </c>
      <c r="C17" s="20" t="s">
        <v>78</v>
      </c>
      <c r="D17" s="28" t="s">
        <v>222</v>
      </c>
      <c r="E17" s="25">
        <f>'[3]December 2022'!$E$126</f>
        <v>25854.1</v>
      </c>
      <c r="F17" s="25"/>
      <c r="G17" s="25">
        <f>E17*300%</f>
        <v>77562.299999999988</v>
      </c>
      <c r="H17" s="25">
        <f>E17*7.5%</f>
        <v>1939.0574999999999</v>
      </c>
      <c r="I17" s="25"/>
      <c r="J17" s="25">
        <f>E17*50%</f>
        <v>12927.05</v>
      </c>
      <c r="K17" s="25">
        <f>E17*350%</f>
        <v>90489.349999999991</v>
      </c>
      <c r="L17" s="25">
        <f>E17*100%</f>
        <v>25854.1</v>
      </c>
      <c r="M17" s="179">
        <f>140000</f>
        <v>140000</v>
      </c>
      <c r="N17" s="179"/>
      <c r="O17" s="25">
        <f>E17*10%</f>
        <v>2585.41</v>
      </c>
      <c r="P17" s="25">
        <v>20000</v>
      </c>
      <c r="Q17" s="25">
        <v>150000</v>
      </c>
      <c r="R17" s="23">
        <f>SUM(E17:Q17)</f>
        <v>547211.36749999993</v>
      </c>
      <c r="S17" s="23"/>
      <c r="T17" s="23">
        <v>70000</v>
      </c>
      <c r="U17" s="23"/>
      <c r="V17" s="23"/>
      <c r="W17" s="25">
        <v>46666.666666666664</v>
      </c>
      <c r="X17" s="258">
        <f>W17+V17+U17+T17+S17</f>
        <v>116666.66666666666</v>
      </c>
      <c r="Y17" s="23">
        <v>321708.61891333334</v>
      </c>
      <c r="Z17" s="207">
        <f>R17-X17</f>
        <v>430544.70083333331</v>
      </c>
      <c r="AA17" s="180"/>
    </row>
    <row r="18" spans="1:27" ht="20.100000000000001" customHeight="1">
      <c r="A18" s="28">
        <v>12</v>
      </c>
      <c r="B18" s="156" t="s">
        <v>724</v>
      </c>
      <c r="C18" s="20" t="s">
        <v>725</v>
      </c>
      <c r="D18" s="28" t="s">
        <v>175</v>
      </c>
      <c r="E18" s="25">
        <v>26339.3</v>
      </c>
      <c r="F18" s="25"/>
      <c r="G18" s="25">
        <f>E18*300%</f>
        <v>79017.899999999994</v>
      </c>
      <c r="H18" s="25">
        <f>E18*7.5%</f>
        <v>1975.4474999999998</v>
      </c>
      <c r="I18" s="25">
        <v>0</v>
      </c>
      <c r="J18" s="25">
        <f>E18*50%</f>
        <v>13169.65</v>
      </c>
      <c r="K18" s="25">
        <f>E18*350%</f>
        <v>92187.55</v>
      </c>
      <c r="L18" s="25">
        <f>E18*100%</f>
        <v>26339.3</v>
      </c>
      <c r="M18" s="179"/>
      <c r="N18" s="179">
        <v>70000</v>
      </c>
      <c r="O18" s="25">
        <f>E18*10%</f>
        <v>2633.9300000000003</v>
      </c>
      <c r="P18" s="25">
        <v>15000</v>
      </c>
      <c r="Q18" s="25"/>
      <c r="R18" s="204">
        <f>SUM(E18:Q18)</f>
        <v>326663.07749999996</v>
      </c>
      <c r="S18" s="20"/>
      <c r="T18" s="20"/>
      <c r="U18" s="23"/>
      <c r="V18" s="23"/>
      <c r="W18" s="23">
        <v>42046.063686666661</v>
      </c>
      <c r="X18" s="258">
        <f>42046.06</f>
        <v>42046.06</v>
      </c>
      <c r="Y18" s="288">
        <v>284617.01749999996</v>
      </c>
      <c r="Z18" s="365">
        <f>R18-X18</f>
        <v>284617.01749999996</v>
      </c>
    </row>
    <row r="19" spans="1:27" ht="20.100000000000001" customHeight="1">
      <c r="A19" s="28">
        <v>13</v>
      </c>
      <c r="B19" s="156" t="s">
        <v>334</v>
      </c>
      <c r="C19" s="161" t="s">
        <v>351</v>
      </c>
      <c r="D19" s="181" t="s">
        <v>170</v>
      </c>
      <c r="E19" s="25">
        <f>25523.45</f>
        <v>25523.45</v>
      </c>
      <c r="F19" s="25"/>
      <c r="G19" s="25">
        <f t="shared" ref="G19:G22" si="19">E19*300%</f>
        <v>76570.350000000006</v>
      </c>
      <c r="H19" s="25">
        <f t="shared" ref="H19:H22" si="20">E19*7.5%</f>
        <v>1914.25875</v>
      </c>
      <c r="I19" s="25">
        <v>0</v>
      </c>
      <c r="J19" s="25">
        <f t="shared" si="17"/>
        <v>12761.725</v>
      </c>
      <c r="K19" s="23">
        <f t="shared" ref="K19:K22" si="21">E19*350%</f>
        <v>89332.074999999997</v>
      </c>
      <c r="L19" s="25">
        <f t="shared" ref="L19:L22" si="22">E19*100%</f>
        <v>25523.45</v>
      </c>
      <c r="M19" s="179">
        <f>120000</f>
        <v>120000</v>
      </c>
      <c r="N19" s="179"/>
      <c r="O19" s="25">
        <f t="shared" ref="O19:O22" si="23">E19*10%</f>
        <v>2552.3450000000003</v>
      </c>
      <c r="P19" s="25">
        <v>15000</v>
      </c>
      <c r="Q19" s="25">
        <v>0</v>
      </c>
      <c r="R19" s="204">
        <f t="shared" si="2"/>
        <v>369177.65375</v>
      </c>
      <c r="S19" s="23"/>
      <c r="T19" s="23">
        <f>50000</f>
        <v>50000</v>
      </c>
      <c r="U19" s="23">
        <v>0</v>
      </c>
      <c r="V19" s="23"/>
      <c r="W19" s="25">
        <v>46666.666666666664</v>
      </c>
      <c r="X19" s="258">
        <f t="shared" si="0"/>
        <v>96666.666666666657</v>
      </c>
      <c r="Y19" s="23">
        <v>265334.39383333339</v>
      </c>
      <c r="Z19" s="207">
        <f t="shared" si="1"/>
        <v>272510.98708333331</v>
      </c>
      <c r="AA19" s="180"/>
    </row>
    <row r="20" spans="1:27" ht="20.100000000000001" customHeight="1">
      <c r="A20" s="28">
        <v>14</v>
      </c>
      <c r="B20" s="157" t="s">
        <v>291</v>
      </c>
      <c r="C20" s="20" t="s">
        <v>346</v>
      </c>
      <c r="D20" s="181" t="s">
        <v>500</v>
      </c>
      <c r="E20" s="25">
        <v>24741.26</v>
      </c>
      <c r="F20" s="25"/>
      <c r="G20" s="25">
        <f t="shared" si="19"/>
        <v>74223.78</v>
      </c>
      <c r="H20" s="25">
        <f t="shared" si="20"/>
        <v>1855.5944999999997</v>
      </c>
      <c r="I20" s="25"/>
      <c r="J20" s="25">
        <f>E20*50%</f>
        <v>12370.63</v>
      </c>
      <c r="K20" s="25">
        <f t="shared" si="21"/>
        <v>86594.409999999989</v>
      </c>
      <c r="L20" s="25">
        <f t="shared" si="22"/>
        <v>24741.26</v>
      </c>
      <c r="M20" s="179">
        <f>120000</f>
        <v>120000</v>
      </c>
      <c r="N20" s="179"/>
      <c r="O20" s="25">
        <f t="shared" si="23"/>
        <v>2474.1260000000002</v>
      </c>
      <c r="P20" s="25">
        <v>15000</v>
      </c>
      <c r="Q20" s="25">
        <f>100000</f>
        <v>100000</v>
      </c>
      <c r="R20" s="204">
        <f t="shared" si="2"/>
        <v>462001.06050000002</v>
      </c>
      <c r="S20" s="23"/>
      <c r="T20" s="25">
        <f>30000-20000</f>
        <v>10000</v>
      </c>
      <c r="U20" s="25">
        <f>95833.33</f>
        <v>95833.33</v>
      </c>
      <c r="V20" s="23">
        <f t="shared" si="9"/>
        <v>618.53150000000005</v>
      </c>
      <c r="W20" s="25">
        <v>46666.666666666664</v>
      </c>
      <c r="X20" s="258">
        <f t="shared" si="0"/>
        <v>153118.52816666666</v>
      </c>
      <c r="Y20" s="23">
        <v>281897.15799999994</v>
      </c>
      <c r="Z20" s="207">
        <f t="shared" si="1"/>
        <v>308882.53233333339</v>
      </c>
      <c r="AA20" s="180"/>
    </row>
    <row r="21" spans="1:27" ht="18.75" customHeight="1">
      <c r="A21" s="28">
        <v>15</v>
      </c>
      <c r="B21" s="156" t="s">
        <v>253</v>
      </c>
      <c r="C21" s="161" t="s">
        <v>478</v>
      </c>
      <c r="D21" s="181" t="s">
        <v>497</v>
      </c>
      <c r="E21" s="25">
        <f>22837.82</f>
        <v>22837.82</v>
      </c>
      <c r="F21" s="25"/>
      <c r="G21" s="25">
        <f t="shared" si="19"/>
        <v>68513.459999999992</v>
      </c>
      <c r="H21" s="25">
        <f t="shared" si="20"/>
        <v>1712.8364999999999</v>
      </c>
      <c r="I21" s="23"/>
      <c r="J21" s="25">
        <f>E21*50%</f>
        <v>11418.91</v>
      </c>
      <c r="K21" s="23">
        <f t="shared" si="21"/>
        <v>79932.37</v>
      </c>
      <c r="L21" s="25">
        <f t="shared" si="22"/>
        <v>22837.82</v>
      </c>
      <c r="M21" s="179"/>
      <c r="N21" s="179">
        <f>60000</f>
        <v>60000</v>
      </c>
      <c r="O21" s="25">
        <f t="shared" si="23"/>
        <v>2283.7820000000002</v>
      </c>
      <c r="P21" s="25">
        <v>15000</v>
      </c>
      <c r="Q21" s="25">
        <v>100000</v>
      </c>
      <c r="R21" s="204">
        <f t="shared" si="2"/>
        <v>384536.99849999993</v>
      </c>
      <c r="S21" s="23"/>
      <c r="T21" s="23">
        <f>20000</f>
        <v>20000</v>
      </c>
      <c r="U21" s="23">
        <f>111833.33</f>
        <v>111833.33</v>
      </c>
      <c r="V21" s="23"/>
      <c r="W21" s="25">
        <v>52497.770378666646</v>
      </c>
      <c r="X21" s="258">
        <f t="shared" si="0"/>
        <v>184331.10037866666</v>
      </c>
      <c r="Y21" s="23">
        <v>193954.07400000002</v>
      </c>
      <c r="Z21" s="207">
        <f t="shared" si="1"/>
        <v>200205.89812133327</v>
      </c>
      <c r="AA21" s="180"/>
    </row>
    <row r="22" spans="1:27" ht="20.100000000000001" customHeight="1">
      <c r="A22" s="28">
        <v>16</v>
      </c>
      <c r="B22" s="158" t="s">
        <v>321</v>
      </c>
      <c r="C22" s="112" t="s">
        <v>115</v>
      </c>
      <c r="D22" s="28" t="s">
        <v>369</v>
      </c>
      <c r="E22" s="25">
        <f>20749</f>
        <v>20749</v>
      </c>
      <c r="F22" s="25"/>
      <c r="G22" s="25">
        <f t="shared" si="19"/>
        <v>62247</v>
      </c>
      <c r="H22" s="25">
        <f t="shared" si="20"/>
        <v>1556.175</v>
      </c>
      <c r="I22" s="25"/>
      <c r="J22" s="25">
        <f t="shared" ref="J22" si="24">E22*50%</f>
        <v>10374.5</v>
      </c>
      <c r="K22" s="25">
        <f t="shared" si="21"/>
        <v>72621.5</v>
      </c>
      <c r="L22" s="25">
        <f t="shared" si="22"/>
        <v>20749</v>
      </c>
      <c r="M22" s="179">
        <f t="shared" ref="M22" si="25">100000</f>
        <v>100000</v>
      </c>
      <c r="N22" s="179"/>
      <c r="O22" s="25">
        <f t="shared" si="23"/>
        <v>2074.9</v>
      </c>
      <c r="P22" s="25">
        <v>10000</v>
      </c>
      <c r="Q22" s="25">
        <v>100000</v>
      </c>
      <c r="R22" s="204">
        <f t="shared" ref="R22" si="26">SUM(E22:Q22)</f>
        <v>400372.07500000001</v>
      </c>
      <c r="S22" s="23"/>
      <c r="T22" s="23">
        <v>52000</v>
      </c>
      <c r="U22" s="23"/>
      <c r="V22" s="23"/>
      <c r="W22" s="25">
        <v>46666.666666666664</v>
      </c>
      <c r="X22" s="261">
        <f t="shared" si="0"/>
        <v>98666.666666666657</v>
      </c>
      <c r="Y22" s="23">
        <v>344833.96500000003</v>
      </c>
      <c r="Z22" s="207">
        <f t="shared" si="1"/>
        <v>301705.40833333333</v>
      </c>
      <c r="AA22" s="180"/>
    </row>
    <row r="23" spans="1:27" ht="21.6" customHeight="1">
      <c r="A23" s="28">
        <v>17</v>
      </c>
      <c r="B23" s="156" t="s">
        <v>765</v>
      </c>
      <c r="C23" s="112" t="s">
        <v>422</v>
      </c>
      <c r="D23" s="181" t="s">
        <v>369</v>
      </c>
      <c r="E23" s="25">
        <v>20749</v>
      </c>
      <c r="F23" s="25">
        <f>700000</f>
        <v>700000</v>
      </c>
      <c r="G23" s="25">
        <v>62247</v>
      </c>
      <c r="H23" s="25">
        <v>1556.175</v>
      </c>
      <c r="I23" s="25">
        <v>0</v>
      </c>
      <c r="J23" s="25">
        <v>10374.5</v>
      </c>
      <c r="K23" s="23">
        <v>72621.5</v>
      </c>
      <c r="L23" s="25">
        <v>20749</v>
      </c>
      <c r="M23" s="179">
        <v>110000</v>
      </c>
      <c r="N23" s="179"/>
      <c r="O23" s="25">
        <v>2074.9</v>
      </c>
      <c r="P23" s="25">
        <v>15000</v>
      </c>
      <c r="Q23" s="25">
        <v>0</v>
      </c>
      <c r="R23" s="204">
        <f t="shared" ref="R23" si="27">SUM(E23:Q23)</f>
        <v>1015372.0750000001</v>
      </c>
      <c r="S23" s="23"/>
      <c r="T23" s="23">
        <v>0</v>
      </c>
      <c r="U23" s="23"/>
      <c r="V23" s="23"/>
      <c r="W23" s="25">
        <v>46666.666666666664</v>
      </c>
      <c r="X23" s="258">
        <f t="shared" ref="X23" si="28">W23+V23+U23+T23+S23</f>
        <v>46666.666666666664</v>
      </c>
      <c r="Y23" s="23"/>
      <c r="Z23" s="207">
        <f t="shared" ref="Z23" si="29">R23-X23</f>
        <v>968705.40833333344</v>
      </c>
      <c r="AA23" s="180"/>
    </row>
    <row r="24" spans="1:27" ht="20.100000000000001" customHeight="1">
      <c r="A24" s="28">
        <v>18</v>
      </c>
      <c r="B24" s="158" t="s">
        <v>742</v>
      </c>
      <c r="C24" s="112" t="s">
        <v>743</v>
      </c>
      <c r="D24" s="28" t="s">
        <v>104</v>
      </c>
      <c r="E24" s="25">
        <f>17286.33</f>
        <v>17286.330000000002</v>
      </c>
      <c r="F24" s="25"/>
      <c r="G24" s="25">
        <f>E24*300%</f>
        <v>51858.990000000005</v>
      </c>
      <c r="H24" s="25">
        <f>E24*7.5%</f>
        <v>1296.4747500000001</v>
      </c>
      <c r="I24" s="25"/>
      <c r="J24" s="25">
        <f>E24*50%</f>
        <v>8643.1650000000009</v>
      </c>
      <c r="K24" s="23">
        <f>E24*350%</f>
        <v>60502.155000000006</v>
      </c>
      <c r="L24" s="25">
        <f>E24*100%</f>
        <v>17286.330000000002</v>
      </c>
      <c r="M24" s="179"/>
      <c r="N24" s="179">
        <f>50000+10000</f>
        <v>60000</v>
      </c>
      <c r="O24" s="25">
        <f>E24*10%</f>
        <v>1728.6330000000003</v>
      </c>
      <c r="P24" s="25">
        <v>10000</v>
      </c>
      <c r="Q24" s="25">
        <v>100000</v>
      </c>
      <c r="R24" s="204">
        <f>SUM(E24:Q24)</f>
        <v>328602.07775000005</v>
      </c>
      <c r="S24" s="23"/>
      <c r="T24" s="23"/>
      <c r="U24" s="23"/>
      <c r="V24" s="23"/>
      <c r="W24" s="25">
        <v>42371.815728666676</v>
      </c>
      <c r="X24" s="261">
        <f t="shared" si="0"/>
        <v>42371.815728666676</v>
      </c>
      <c r="Y24" s="23">
        <v>286230.25775000005</v>
      </c>
      <c r="Z24" s="207">
        <f t="shared" si="1"/>
        <v>286230.26202133339</v>
      </c>
      <c r="AA24" s="180"/>
    </row>
    <row r="25" spans="1:27" ht="18.75" customHeight="1">
      <c r="A25" s="28">
        <v>19</v>
      </c>
      <c r="B25" s="20" t="s">
        <v>434</v>
      </c>
      <c r="C25" s="20" t="s">
        <v>17</v>
      </c>
      <c r="D25" s="28" t="s">
        <v>747</v>
      </c>
      <c r="E25" s="25">
        <v>15641.2</v>
      </c>
      <c r="F25" s="25"/>
      <c r="G25" s="25">
        <f>E25*300%</f>
        <v>46923.600000000006</v>
      </c>
      <c r="H25" s="25">
        <f>E25*7.5%</f>
        <v>1173.0899999999999</v>
      </c>
      <c r="I25" s="25"/>
      <c r="J25" s="25">
        <f>E25*50%</f>
        <v>7820.6</v>
      </c>
      <c r="K25" s="23">
        <f>E25*350%</f>
        <v>54744.200000000004</v>
      </c>
      <c r="L25" s="25">
        <f>E25*100%</f>
        <v>15641.2</v>
      </c>
      <c r="M25" s="179"/>
      <c r="N25" s="179">
        <f>50000+10000</f>
        <v>60000</v>
      </c>
      <c r="O25" s="25">
        <f>E25*10%</f>
        <v>1564.1200000000001</v>
      </c>
      <c r="P25" s="25">
        <v>10000</v>
      </c>
      <c r="Q25" s="25"/>
      <c r="R25" s="204">
        <f>Q25+P25+O25+N25+M25+L25+K25+J25+I25+H25+G25+F25+E25</f>
        <v>213508.01</v>
      </c>
      <c r="S25" s="23"/>
      <c r="T25" s="23">
        <v>10000</v>
      </c>
      <c r="U25" s="23">
        <f>20000</f>
        <v>20000</v>
      </c>
      <c r="V25" s="23"/>
      <c r="W25" s="25">
        <v>23036.01234666667</v>
      </c>
      <c r="X25" s="258">
        <f t="shared" si="0"/>
        <v>53036.01234666667</v>
      </c>
      <c r="Y25" s="23">
        <v>153563.13163733331</v>
      </c>
      <c r="Z25" s="207">
        <f t="shared" si="1"/>
        <v>160471.99765333335</v>
      </c>
      <c r="AA25" s="180"/>
    </row>
    <row r="26" spans="1:27" ht="18.75" customHeight="1">
      <c r="A26" s="28">
        <v>20</v>
      </c>
      <c r="B26" s="157" t="s">
        <v>254</v>
      </c>
      <c r="C26" s="161" t="s">
        <v>17</v>
      </c>
      <c r="D26" s="181" t="s">
        <v>747</v>
      </c>
      <c r="E26" s="25">
        <v>15641.2</v>
      </c>
      <c r="F26" s="25"/>
      <c r="G26" s="25">
        <f>E26*300%</f>
        <v>46923.600000000006</v>
      </c>
      <c r="H26" s="25">
        <f>E26*7.5%</f>
        <v>1173.0899999999999</v>
      </c>
      <c r="I26" s="25"/>
      <c r="J26" s="25">
        <f>E26*50%</f>
        <v>7820.6</v>
      </c>
      <c r="K26" s="23">
        <f>E26*350%</f>
        <v>54744.200000000004</v>
      </c>
      <c r="L26" s="25">
        <f>E26*100%</f>
        <v>15641.2</v>
      </c>
      <c r="M26" s="179"/>
      <c r="N26" s="179">
        <f>50000+10000</f>
        <v>60000</v>
      </c>
      <c r="O26" s="25">
        <f>E26*10%</f>
        <v>1564.1200000000001</v>
      </c>
      <c r="P26" s="25">
        <v>10000</v>
      </c>
      <c r="Q26" s="25"/>
      <c r="R26" s="204">
        <f>Q26+P26+O26+N26+M26+L26+K26+J26+I26+H26+G26+F26+E26</f>
        <v>213508.01</v>
      </c>
      <c r="S26" s="23"/>
      <c r="T26" s="23"/>
      <c r="U26" s="23"/>
      <c r="V26" s="23"/>
      <c r="W26" s="25">
        <v>23036.01234666667</v>
      </c>
      <c r="X26" s="258">
        <f t="shared" si="0"/>
        <v>23036.01234666667</v>
      </c>
      <c r="Y26" s="23">
        <v>187017.56464533333</v>
      </c>
      <c r="Z26" s="207">
        <f t="shared" si="1"/>
        <v>190471.99765333335</v>
      </c>
      <c r="AA26" s="180"/>
    </row>
    <row r="27" spans="1:27" ht="20.100000000000001" customHeight="1">
      <c r="A27" s="28">
        <v>21</v>
      </c>
      <c r="B27" s="156" t="s">
        <v>320</v>
      </c>
      <c r="C27" s="112" t="s">
        <v>115</v>
      </c>
      <c r="D27" s="28" t="s">
        <v>747</v>
      </c>
      <c r="E27" s="25">
        <v>15641.2</v>
      </c>
      <c r="F27" s="25"/>
      <c r="G27" s="25">
        <f t="shared" ref="G27" si="30">E27*300%</f>
        <v>46923.600000000006</v>
      </c>
      <c r="H27" s="25">
        <f t="shared" ref="H27" si="31">E27*7.5%</f>
        <v>1173.0899999999999</v>
      </c>
      <c r="I27" s="25"/>
      <c r="J27" s="25">
        <f t="shared" ref="J27" si="32">E27*50%</f>
        <v>7820.6</v>
      </c>
      <c r="K27" s="25">
        <f t="shared" ref="K27" si="33">E27*350%</f>
        <v>54744.200000000004</v>
      </c>
      <c r="L27" s="25">
        <f t="shared" ref="L27" si="34">E27*100%</f>
        <v>15641.2</v>
      </c>
      <c r="M27" s="179">
        <f t="shared" ref="M27" si="35">100000</f>
        <v>100000</v>
      </c>
      <c r="N27" s="179"/>
      <c r="O27" s="25">
        <f t="shared" ref="O27" si="36">E27*10%</f>
        <v>1564.1200000000001</v>
      </c>
      <c r="P27" s="25">
        <v>10000</v>
      </c>
      <c r="Q27" s="25"/>
      <c r="R27" s="204">
        <f t="shared" ref="R27" si="37">SUM(E27:Q27)</f>
        <v>253508.01</v>
      </c>
      <c r="S27" s="23"/>
      <c r="T27" s="23">
        <f>10000</f>
        <v>10000</v>
      </c>
      <c r="U27" s="23">
        <f>95833.33</f>
        <v>95833.33</v>
      </c>
      <c r="V27" s="23"/>
      <c r="W27" s="25">
        <v>29756.01234666667</v>
      </c>
      <c r="X27" s="261">
        <f t="shared" si="0"/>
        <v>135589.34234666667</v>
      </c>
      <c r="Y27" s="23">
        <v>114464.23464533334</v>
      </c>
      <c r="Z27" s="207">
        <f t="shared" si="1"/>
        <v>117918.66765333334</v>
      </c>
      <c r="AA27" s="180"/>
    </row>
    <row r="28" spans="1:27" ht="18.75" customHeight="1">
      <c r="A28" s="28">
        <v>22</v>
      </c>
      <c r="B28" s="157" t="s">
        <v>288</v>
      </c>
      <c r="C28" s="161" t="s">
        <v>706</v>
      </c>
      <c r="D28" s="181" t="s">
        <v>498</v>
      </c>
      <c r="E28" s="25">
        <f t="shared" ref="E28" si="38">15188.67</f>
        <v>15188.67</v>
      </c>
      <c r="F28" s="25"/>
      <c r="G28" s="25">
        <f t="shared" ref="G28" si="39">E28*300%</f>
        <v>45566.01</v>
      </c>
      <c r="H28" s="25">
        <f t="shared" ref="H28" si="40">E28*7.5%</f>
        <v>1139.1502499999999</v>
      </c>
      <c r="I28" s="25"/>
      <c r="J28" s="25">
        <f t="shared" ref="J28" si="41">E28*50%</f>
        <v>7594.335</v>
      </c>
      <c r="K28" s="23">
        <f t="shared" ref="K28" si="42">E28*350%</f>
        <v>53160.345000000001</v>
      </c>
      <c r="L28" s="25">
        <f t="shared" ref="L28:L32" si="43">E28*100%</f>
        <v>15188.67</v>
      </c>
      <c r="M28" s="179"/>
      <c r="N28" s="179">
        <f>60000</f>
        <v>60000</v>
      </c>
      <c r="O28" s="25">
        <f t="shared" ref="O28:O32" si="44">E28*10%</f>
        <v>1518.8670000000002</v>
      </c>
      <c r="P28" s="25">
        <v>10000</v>
      </c>
      <c r="Q28" s="20"/>
      <c r="R28" s="25">
        <f t="shared" ref="R28" si="45">SUM(E28:Q28)</f>
        <v>209356.04725</v>
      </c>
      <c r="S28" s="25"/>
      <c r="T28" s="23">
        <f>20000</f>
        <v>20000</v>
      </c>
      <c r="U28" s="23">
        <f>17500</f>
        <v>17500</v>
      </c>
      <c r="V28" s="23"/>
      <c r="W28" s="25">
        <v>22338.48260466666</v>
      </c>
      <c r="X28" s="258">
        <f t="shared" si="0"/>
        <v>59838.482604666657</v>
      </c>
      <c r="Y28" s="23">
        <v>146063.20183333333</v>
      </c>
      <c r="Z28" s="207">
        <f t="shared" si="1"/>
        <v>149517.56464533333</v>
      </c>
      <c r="AA28" s="180"/>
    </row>
    <row r="29" spans="1:27" ht="18.75" customHeight="1">
      <c r="A29" s="28">
        <v>23</v>
      </c>
      <c r="B29" s="157" t="s">
        <v>328</v>
      </c>
      <c r="C29" s="20" t="s">
        <v>738</v>
      </c>
      <c r="D29" s="28" t="s">
        <v>428</v>
      </c>
      <c r="E29" s="25">
        <f>14736.14</f>
        <v>14736.14</v>
      </c>
      <c r="F29" s="25"/>
      <c r="G29" s="25">
        <f t="shared" ref="G29:G32" si="46">E29*300%</f>
        <v>44208.42</v>
      </c>
      <c r="H29" s="25">
        <f t="shared" ref="H29:H32" si="47">E29*7.5%</f>
        <v>1105.2104999999999</v>
      </c>
      <c r="I29" s="25"/>
      <c r="J29" s="25">
        <f>E29*50%</f>
        <v>7368.07</v>
      </c>
      <c r="K29" s="25">
        <f t="shared" ref="K29:K32" si="48">E29*350%</f>
        <v>51576.49</v>
      </c>
      <c r="L29" s="25">
        <f>E29*100%</f>
        <v>14736.14</v>
      </c>
      <c r="M29" s="179"/>
      <c r="N29" s="179">
        <f>60000</f>
        <v>60000</v>
      </c>
      <c r="O29" s="25">
        <f>E29*10%</f>
        <v>1473.614</v>
      </c>
      <c r="P29" s="25">
        <v>10000</v>
      </c>
      <c r="Q29" s="25"/>
      <c r="R29" s="204">
        <f>SUM(E29:Q29)</f>
        <v>205204.0845</v>
      </c>
      <c r="S29" s="23"/>
      <c r="T29" s="23">
        <f>30000+20000</f>
        <v>50000</v>
      </c>
      <c r="U29" s="23">
        <v>0</v>
      </c>
      <c r="V29" s="23"/>
      <c r="W29" s="25">
        <v>21640.952862666669</v>
      </c>
      <c r="X29" s="258">
        <f t="shared" si="0"/>
        <v>71640.952862666672</v>
      </c>
      <c r="Y29" s="23">
        <v>138329.89449999999</v>
      </c>
      <c r="Z29" s="207">
        <f t="shared" si="1"/>
        <v>133563.13163733331</v>
      </c>
      <c r="AA29" s="180"/>
    </row>
    <row r="30" spans="1:27" ht="18.75" customHeight="1">
      <c r="A30" s="28">
        <v>24</v>
      </c>
      <c r="B30" s="157" t="s">
        <v>767</v>
      </c>
      <c r="C30" s="20" t="s">
        <v>738</v>
      </c>
      <c r="D30" s="28" t="s">
        <v>428</v>
      </c>
      <c r="E30" s="25">
        <f>14736.14</f>
        <v>14736.14</v>
      </c>
      <c r="F30" s="25"/>
      <c r="G30" s="25">
        <f t="shared" ref="G30" si="49">E30*300%</f>
        <v>44208.42</v>
      </c>
      <c r="H30" s="25">
        <f t="shared" ref="H30" si="50">E30*7.5%</f>
        <v>1105.2104999999999</v>
      </c>
      <c r="I30" s="25"/>
      <c r="J30" s="25">
        <f>E30*50%</f>
        <v>7368.07</v>
      </c>
      <c r="K30" s="25">
        <f t="shared" ref="K30" si="51">E30*350%</f>
        <v>51576.49</v>
      </c>
      <c r="L30" s="25">
        <f>E30*100%</f>
        <v>14736.14</v>
      </c>
      <c r="M30" s="179"/>
      <c r="N30" s="179">
        <f>60000</f>
        <v>60000</v>
      </c>
      <c r="O30" s="25">
        <f>E30*10%</f>
        <v>1473.614</v>
      </c>
      <c r="P30" s="25">
        <v>10000</v>
      </c>
      <c r="Q30" s="25"/>
      <c r="R30" s="204">
        <f>SUM(E30:Q30)</f>
        <v>205204.0845</v>
      </c>
      <c r="S30" s="23"/>
      <c r="T30" s="23"/>
      <c r="U30" s="23">
        <v>0</v>
      </c>
      <c r="V30" s="23"/>
      <c r="W30" s="25">
        <v>21640.952862666669</v>
      </c>
      <c r="X30" s="258">
        <f t="shared" ref="X30" si="52">W30+V30+U30+T30+S30</f>
        <v>21640.952862666669</v>
      </c>
      <c r="Y30" s="23">
        <v>159773.23413333335</v>
      </c>
      <c r="Z30" s="207">
        <f t="shared" ref="Z30" si="53">R30-X30</f>
        <v>183563.13163733334</v>
      </c>
      <c r="AA30" s="180"/>
    </row>
    <row r="31" spans="1:27" ht="18.75" customHeight="1">
      <c r="A31" s="28">
        <v>25</v>
      </c>
      <c r="B31" s="157" t="s">
        <v>360</v>
      </c>
      <c r="C31" s="112" t="s">
        <v>372</v>
      </c>
      <c r="D31" s="181" t="s">
        <v>498</v>
      </c>
      <c r="E31" s="25">
        <v>15188.67</v>
      </c>
      <c r="F31" s="25"/>
      <c r="G31" s="25">
        <f t="shared" si="46"/>
        <v>45566.01</v>
      </c>
      <c r="H31" s="25">
        <f t="shared" si="47"/>
        <v>1139.1502499999999</v>
      </c>
      <c r="I31" s="25"/>
      <c r="J31" s="25">
        <f>E31*50%</f>
        <v>7594.335</v>
      </c>
      <c r="K31" s="25">
        <f t="shared" si="48"/>
        <v>53160.345000000001</v>
      </c>
      <c r="L31" s="25">
        <f t="shared" si="43"/>
        <v>15188.67</v>
      </c>
      <c r="M31" s="179"/>
      <c r="N31" s="179">
        <f>60000</f>
        <v>60000</v>
      </c>
      <c r="O31" s="25">
        <f t="shared" si="44"/>
        <v>1518.8670000000002</v>
      </c>
      <c r="P31" s="25">
        <v>10000</v>
      </c>
      <c r="Q31" s="25"/>
      <c r="R31" s="204">
        <f t="shared" ref="R31" si="54">Q31+P31+O31+N31+M31+L31+K31+J31+I31+H31+G31+F31+E31</f>
        <v>209356.04725</v>
      </c>
      <c r="S31" s="23"/>
      <c r="T31" s="23">
        <f>50000</f>
        <v>50000</v>
      </c>
      <c r="U31" s="23">
        <v>50000</v>
      </c>
      <c r="V31" s="23"/>
      <c r="W31" s="179">
        <v>22338.48260466666</v>
      </c>
      <c r="X31" s="258">
        <f t="shared" si="0"/>
        <v>122338.48260466666</v>
      </c>
      <c r="Y31" s="23">
        <v>87017.564645333347</v>
      </c>
      <c r="Z31" s="207">
        <f t="shared" si="1"/>
        <v>87017.564645333347</v>
      </c>
      <c r="AA31" s="180"/>
    </row>
    <row r="32" spans="1:27" ht="18.75" customHeight="1">
      <c r="A32" s="28">
        <v>26</v>
      </c>
      <c r="B32" s="157" t="s">
        <v>330</v>
      </c>
      <c r="C32" s="20" t="s">
        <v>533</v>
      </c>
      <c r="D32" s="28" t="s">
        <v>51</v>
      </c>
      <c r="E32" s="25">
        <v>13112.16</v>
      </c>
      <c r="F32" s="25"/>
      <c r="G32" s="25">
        <f t="shared" si="46"/>
        <v>39336.479999999996</v>
      </c>
      <c r="H32" s="25">
        <f t="shared" si="47"/>
        <v>983.41199999999992</v>
      </c>
      <c r="I32" s="25"/>
      <c r="J32" s="25">
        <f>E32*50%</f>
        <v>6556.08</v>
      </c>
      <c r="K32" s="25">
        <f t="shared" si="48"/>
        <v>45892.56</v>
      </c>
      <c r="L32" s="25">
        <f t="shared" si="43"/>
        <v>13112.16</v>
      </c>
      <c r="M32" s="179"/>
      <c r="N32" s="179">
        <f>50000</f>
        <v>50000</v>
      </c>
      <c r="O32" s="25">
        <f t="shared" si="44"/>
        <v>1311.2160000000001</v>
      </c>
      <c r="P32" s="25">
        <v>10000</v>
      </c>
      <c r="Q32" s="25"/>
      <c r="R32" s="204">
        <f>SUM(E32:Q32)</f>
        <v>180304.068</v>
      </c>
      <c r="S32" s="23"/>
      <c r="T32" s="23">
        <f>0</f>
        <v>0</v>
      </c>
      <c r="U32" s="23">
        <f>26666.67</f>
        <v>26666.67</v>
      </c>
      <c r="V32" s="23"/>
      <c r="W32" s="25">
        <v>17572.88500266667</v>
      </c>
      <c r="X32" s="258">
        <f t="shared" si="0"/>
        <v>44239.555002666668</v>
      </c>
      <c r="Y32" s="23">
        <v>133106.71613333334</v>
      </c>
      <c r="Z32" s="207">
        <f t="shared" si="1"/>
        <v>136064.51299733334</v>
      </c>
      <c r="AA32" s="180"/>
    </row>
    <row r="33" spans="1:27" ht="18.75" customHeight="1">
      <c r="A33" s="28">
        <v>27</v>
      </c>
      <c r="B33" s="157" t="s">
        <v>555</v>
      </c>
      <c r="C33" s="161" t="s">
        <v>314</v>
      </c>
      <c r="D33" s="181" t="s">
        <v>176</v>
      </c>
      <c r="E33" s="25">
        <f>12732</f>
        <v>12732</v>
      </c>
      <c r="F33" s="25"/>
      <c r="G33" s="25">
        <v>37055.82</v>
      </c>
      <c r="H33" s="25">
        <v>926.39549999999997</v>
      </c>
      <c r="I33" s="25"/>
      <c r="J33" s="25">
        <v>6175.97</v>
      </c>
      <c r="K33" s="25">
        <v>43231.79</v>
      </c>
      <c r="L33" s="25">
        <v>12351.94</v>
      </c>
      <c r="M33" s="179"/>
      <c r="N33" s="179">
        <v>50000</v>
      </c>
      <c r="O33" s="25">
        <v>1235.1940000000002</v>
      </c>
      <c r="P33" s="25">
        <v>10000</v>
      </c>
      <c r="Q33" s="25"/>
      <c r="R33" s="204">
        <v>173329.04949999999</v>
      </c>
      <c r="S33" s="23"/>
      <c r="T33" s="23">
        <v>20000</v>
      </c>
      <c r="U33" s="23">
        <v>0</v>
      </c>
      <c r="V33" s="23"/>
      <c r="W33" s="25">
        <v>16512.68219066667</v>
      </c>
      <c r="X33" s="258">
        <f t="shared" si="0"/>
        <v>36512.682190666674</v>
      </c>
      <c r="Y33" s="23">
        <v>136816.36730933332</v>
      </c>
      <c r="Z33" s="207">
        <f t="shared" si="1"/>
        <v>136816.36730933332</v>
      </c>
      <c r="AA33" s="180"/>
    </row>
    <row r="34" spans="1:27" ht="26.25" customHeight="1">
      <c r="A34" s="28"/>
      <c r="B34" s="159" t="s">
        <v>15</v>
      </c>
      <c r="C34" s="29">
        <v>27</v>
      </c>
      <c r="D34" s="181"/>
      <c r="E34" s="183">
        <f t="shared" ref="E34:X34" si="55">SUM(E7:E33)</f>
        <v>810202.0399999998</v>
      </c>
      <c r="F34" s="183">
        <f t="shared" si="55"/>
        <v>700000</v>
      </c>
      <c r="G34" s="183">
        <f t="shared" si="55"/>
        <v>2268977.19</v>
      </c>
      <c r="H34" s="183">
        <f t="shared" si="55"/>
        <v>96846.62225</v>
      </c>
      <c r="I34" s="183">
        <f t="shared" si="55"/>
        <v>401221.9</v>
      </c>
      <c r="J34" s="183">
        <f t="shared" si="55"/>
        <v>396886.55499999988</v>
      </c>
      <c r="K34" s="183">
        <f t="shared" si="55"/>
        <v>2272666.3050000002</v>
      </c>
      <c r="L34" s="183">
        <f t="shared" si="55"/>
        <v>769699.7999999997</v>
      </c>
      <c r="M34" s="183">
        <f t="shared" si="55"/>
        <v>1420000</v>
      </c>
      <c r="N34" s="183">
        <f t="shared" si="55"/>
        <v>1160000</v>
      </c>
      <c r="O34" s="183">
        <f t="shared" si="55"/>
        <v>80982.202999999994</v>
      </c>
      <c r="P34" s="183">
        <f t="shared" si="55"/>
        <v>410000</v>
      </c>
      <c r="Q34" s="183">
        <f t="shared" si="55"/>
        <v>1225235</v>
      </c>
      <c r="R34" s="183">
        <f t="shared" si="55"/>
        <v>12012337.555249996</v>
      </c>
      <c r="S34" s="183">
        <f t="shared" si="55"/>
        <v>0</v>
      </c>
      <c r="T34" s="183">
        <f t="shared" si="55"/>
        <v>702000</v>
      </c>
      <c r="U34" s="183">
        <f t="shared" si="55"/>
        <v>1042833.1299999999</v>
      </c>
      <c r="V34" s="183">
        <f t="shared" si="55"/>
        <v>4364.3734999999997</v>
      </c>
      <c r="W34" s="183">
        <f t="shared" si="55"/>
        <v>1545872.7493640005</v>
      </c>
      <c r="X34" s="183">
        <f t="shared" si="55"/>
        <v>3295070.249177333</v>
      </c>
      <c r="Y34" s="183">
        <v>7198101.0709386664</v>
      </c>
      <c r="Z34" s="183">
        <f>SUM(Z7:Z33)</f>
        <v>8717267.3060726672</v>
      </c>
      <c r="AA34" s="180"/>
    </row>
    <row r="35" spans="1:27" ht="18.75" customHeight="1">
      <c r="A35" s="28"/>
      <c r="B35" s="123"/>
      <c r="C35" s="20"/>
      <c r="D35" s="181"/>
      <c r="E35" s="183"/>
      <c r="F35" s="183"/>
      <c r="G35" s="183"/>
      <c r="H35" s="183"/>
      <c r="I35" s="183"/>
      <c r="J35" s="183"/>
      <c r="K35" s="183"/>
      <c r="L35" s="183"/>
      <c r="M35" s="179"/>
      <c r="N35" s="179"/>
      <c r="O35" s="183"/>
      <c r="P35" s="183"/>
      <c r="Q35" s="183"/>
      <c r="R35" s="211"/>
      <c r="S35" s="183"/>
      <c r="T35" s="183"/>
      <c r="U35" s="183"/>
      <c r="V35" s="183"/>
      <c r="W35" s="183"/>
      <c r="X35" s="259"/>
      <c r="Y35" s="183"/>
      <c r="Z35" s="217"/>
      <c r="AA35" s="180"/>
    </row>
    <row r="36" spans="1:27" ht="18.75" customHeight="1">
      <c r="A36" s="28"/>
      <c r="B36" s="159" t="s">
        <v>284</v>
      </c>
      <c r="C36" s="20"/>
      <c r="D36" s="181"/>
      <c r="E36" s="25"/>
      <c r="F36" s="25"/>
      <c r="G36" s="25"/>
      <c r="H36" s="25"/>
      <c r="I36" s="25"/>
      <c r="J36" s="25"/>
      <c r="K36" s="23"/>
      <c r="L36" s="25"/>
      <c r="M36" s="179"/>
      <c r="N36" s="179"/>
      <c r="O36" s="25"/>
      <c r="P36" s="25"/>
      <c r="Q36" s="25"/>
      <c r="R36" s="204"/>
      <c r="S36" s="23"/>
      <c r="T36" s="23"/>
      <c r="U36" s="23"/>
      <c r="V36" s="23"/>
      <c r="W36" s="25"/>
      <c r="X36" s="258"/>
      <c r="Y36" s="23"/>
      <c r="Z36" s="207"/>
      <c r="AA36" s="180"/>
    </row>
    <row r="37" spans="1:27" ht="18.75" customHeight="1">
      <c r="A37" s="28">
        <v>1</v>
      </c>
      <c r="B37" s="157" t="s">
        <v>361</v>
      </c>
      <c r="C37" s="20" t="s">
        <v>362</v>
      </c>
      <c r="D37" s="28" t="s">
        <v>161</v>
      </c>
      <c r="E37" s="25">
        <v>81740.02</v>
      </c>
      <c r="F37" s="25"/>
      <c r="G37" s="25">
        <f>E37*300%</f>
        <v>245220.06</v>
      </c>
      <c r="H37" s="25">
        <f>E37*7.5%</f>
        <v>6130.5015000000003</v>
      </c>
      <c r="I37" s="25">
        <v>80244.38</v>
      </c>
      <c r="J37" s="25">
        <f>E37*50%</f>
        <v>40870.01</v>
      </c>
      <c r="K37" s="25">
        <f>E37*350%</f>
        <v>286090.07</v>
      </c>
      <c r="L37" s="25">
        <f t="shared" ref="L37:L38" si="56">E37*100%</f>
        <v>81740.02</v>
      </c>
      <c r="M37" s="179"/>
      <c r="N37" s="179">
        <f>100000</f>
        <v>100000</v>
      </c>
      <c r="O37" s="25">
        <f t="shared" ref="O37:O38" si="57">E37*10%</f>
        <v>8174.0020000000004</v>
      </c>
      <c r="P37" s="25">
        <v>20000</v>
      </c>
      <c r="Q37" s="25"/>
      <c r="R37" s="204">
        <f>SUM(E37:Q37)</f>
        <v>950209.06350000005</v>
      </c>
      <c r="S37" s="23">
        <f>'JANUARY 2024'!F196</f>
        <v>0</v>
      </c>
      <c r="T37" s="23">
        <v>200000</v>
      </c>
      <c r="U37" s="23">
        <v>0</v>
      </c>
      <c r="V37" s="23"/>
      <c r="W37" s="25">
        <v>161106.80685866668</v>
      </c>
      <c r="X37" s="258">
        <f>W37+V37+U37+T37+S37</f>
        <v>361106.80685866671</v>
      </c>
      <c r="Y37" s="23">
        <v>689102.25664133334</v>
      </c>
      <c r="Z37" s="207">
        <f>R37-X37</f>
        <v>589102.25664133334</v>
      </c>
      <c r="AA37" s="180"/>
    </row>
    <row r="38" spans="1:27" ht="18.75" customHeight="1">
      <c r="A38" s="28">
        <v>2</v>
      </c>
      <c r="B38" s="157" t="s">
        <v>419</v>
      </c>
      <c r="C38" s="20" t="s">
        <v>427</v>
      </c>
      <c r="D38" s="28" t="s">
        <v>176</v>
      </c>
      <c r="E38" s="25">
        <f>12732</f>
        <v>12732</v>
      </c>
      <c r="F38" s="25"/>
      <c r="G38" s="25">
        <f t="shared" ref="G38" si="58">E38*300%</f>
        <v>38196</v>
      </c>
      <c r="H38" s="25">
        <f t="shared" ref="H38" si="59">E38*7.5%</f>
        <v>954.9</v>
      </c>
      <c r="I38" s="25"/>
      <c r="J38" s="25">
        <f t="shared" ref="J38" si="60">E38*50%</f>
        <v>6366</v>
      </c>
      <c r="K38" s="25">
        <f t="shared" ref="K38" si="61">E38*350%</f>
        <v>44562</v>
      </c>
      <c r="L38" s="25">
        <f t="shared" si="56"/>
        <v>12732</v>
      </c>
      <c r="M38" s="179"/>
      <c r="N38" s="179">
        <f>50000</f>
        <v>50000</v>
      </c>
      <c r="O38" s="25">
        <f t="shared" si="57"/>
        <v>1273.2</v>
      </c>
      <c r="P38" s="25">
        <v>10000</v>
      </c>
      <c r="Q38" s="25"/>
      <c r="R38" s="204">
        <f>(Q38+P38+O38+N38+M38+L38+K38+J38+I38+H38+G38+F38+E38)</f>
        <v>176816.09999999998</v>
      </c>
      <c r="S38" s="23"/>
      <c r="T38" s="23">
        <f>20000</f>
        <v>20000</v>
      </c>
      <c r="U38" s="23"/>
      <c r="V38" s="23">
        <v>0</v>
      </c>
      <c r="W38" s="25">
        <v>17042.713866666661</v>
      </c>
      <c r="X38" s="258">
        <f>W38+V38+U38+T38+S38</f>
        <v>37042.713866666658</v>
      </c>
      <c r="Y38" s="23">
        <v>136816.36730933332</v>
      </c>
      <c r="Z38" s="207">
        <f>R38-X38</f>
        <v>139773.38613333332</v>
      </c>
      <c r="AA38" s="180"/>
    </row>
    <row r="39" spans="1:27" ht="18.75" customHeight="1">
      <c r="A39" s="28">
        <v>3</v>
      </c>
      <c r="B39" s="156" t="s">
        <v>720</v>
      </c>
      <c r="C39" s="161" t="s">
        <v>721</v>
      </c>
      <c r="D39" s="181" t="s">
        <v>207</v>
      </c>
      <c r="E39" s="25">
        <v>17784.099999999999</v>
      </c>
      <c r="F39" s="25"/>
      <c r="G39" s="25">
        <f>E39*300%</f>
        <v>53352.299999999996</v>
      </c>
      <c r="H39" s="25">
        <f>E39*7.5%</f>
        <v>1333.8074999999999</v>
      </c>
      <c r="I39" s="25"/>
      <c r="J39" s="25">
        <f>E39*50%</f>
        <v>8892.0499999999993</v>
      </c>
      <c r="K39" s="23">
        <f>E39*350%</f>
        <v>62244.349999999991</v>
      </c>
      <c r="L39" s="25">
        <f>E39*100%</f>
        <v>17784.099999999999</v>
      </c>
      <c r="M39" s="179"/>
      <c r="N39" s="179">
        <f>50000+10000</f>
        <v>60000</v>
      </c>
      <c r="O39" s="25">
        <f>E39*10%</f>
        <v>1778.4099999999999</v>
      </c>
      <c r="P39" s="25">
        <v>10000</v>
      </c>
      <c r="Q39" s="25"/>
      <c r="R39" s="204">
        <f>SUM(E39:Q39)</f>
        <v>233169.11749999999</v>
      </c>
      <c r="S39" s="23"/>
      <c r="T39" s="23">
        <f>10000</f>
        <v>10000</v>
      </c>
      <c r="U39" s="23"/>
      <c r="V39" s="23"/>
      <c r="W39" s="25">
        <v>26339.078406666667</v>
      </c>
      <c r="X39" s="258">
        <f>W39+V39+U39+T39+S39</f>
        <v>36339.078406666667</v>
      </c>
      <c r="Y39" s="23">
        <v>193030.34775000002</v>
      </c>
      <c r="Z39" s="207">
        <f>R39-X39</f>
        <v>196830.03909333333</v>
      </c>
      <c r="AA39" s="180"/>
    </row>
    <row r="40" spans="1:27" ht="19.5" customHeight="1">
      <c r="A40" s="28"/>
      <c r="B40" s="158"/>
      <c r="C40" s="29">
        <v>3</v>
      </c>
      <c r="D40" s="28"/>
      <c r="E40" s="183">
        <f>SUM(E37:E39)</f>
        <v>112256.12</v>
      </c>
      <c r="F40" s="183">
        <f t="shared" ref="F40:Z40" si="62">SUM(F37:F39)</f>
        <v>0</v>
      </c>
      <c r="G40" s="183">
        <f t="shared" si="62"/>
        <v>336768.36</v>
      </c>
      <c r="H40" s="183">
        <f t="shared" si="62"/>
        <v>8419.2089999999989</v>
      </c>
      <c r="I40" s="183">
        <f t="shared" si="62"/>
        <v>80244.38</v>
      </c>
      <c r="J40" s="183">
        <f t="shared" si="62"/>
        <v>56128.06</v>
      </c>
      <c r="K40" s="183">
        <f t="shared" si="62"/>
        <v>392896.42</v>
      </c>
      <c r="L40" s="183">
        <f t="shared" si="62"/>
        <v>112256.12</v>
      </c>
      <c r="M40" s="183">
        <f t="shared" si="62"/>
        <v>0</v>
      </c>
      <c r="N40" s="183">
        <f t="shared" si="62"/>
        <v>210000</v>
      </c>
      <c r="O40" s="183">
        <f t="shared" si="62"/>
        <v>11225.612000000001</v>
      </c>
      <c r="P40" s="183">
        <f t="shared" si="62"/>
        <v>40000</v>
      </c>
      <c r="Q40" s="183">
        <f t="shared" si="62"/>
        <v>0</v>
      </c>
      <c r="R40" s="183">
        <f t="shared" si="62"/>
        <v>1360194.281</v>
      </c>
      <c r="S40" s="183">
        <f t="shared" si="62"/>
        <v>0</v>
      </c>
      <c r="T40" s="183">
        <f t="shared" si="62"/>
        <v>230000</v>
      </c>
      <c r="U40" s="183">
        <f t="shared" si="62"/>
        <v>0</v>
      </c>
      <c r="V40" s="183">
        <f t="shared" si="62"/>
        <v>0</v>
      </c>
      <c r="W40" s="183">
        <f t="shared" si="62"/>
        <v>204488.599132</v>
      </c>
      <c r="X40" s="183">
        <f t="shared" si="62"/>
        <v>434488.599132</v>
      </c>
      <c r="Y40" s="183">
        <v>1018948.9717006667</v>
      </c>
      <c r="Z40" s="183">
        <f t="shared" si="62"/>
        <v>925705.68186799996</v>
      </c>
      <c r="AA40" s="180"/>
    </row>
    <row r="41" spans="1:27" ht="20.100000000000001" customHeight="1">
      <c r="A41" s="28"/>
      <c r="B41" s="158"/>
      <c r="C41" s="20"/>
      <c r="D41" s="28"/>
      <c r="E41" s="183"/>
      <c r="F41" s="183"/>
      <c r="G41" s="183"/>
      <c r="H41" s="183"/>
      <c r="I41" s="183"/>
      <c r="J41" s="183"/>
      <c r="K41" s="183"/>
      <c r="L41" s="183"/>
      <c r="M41" s="179"/>
      <c r="N41" s="179"/>
      <c r="O41" s="183"/>
      <c r="P41" s="183"/>
      <c r="Q41" s="183"/>
      <c r="R41" s="211"/>
      <c r="S41" s="183"/>
      <c r="T41" s="183"/>
      <c r="U41" s="183"/>
      <c r="V41" s="183"/>
      <c r="W41" s="183"/>
      <c r="X41" s="258"/>
      <c r="Y41" s="23"/>
      <c r="Z41" s="207"/>
      <c r="AA41" s="180"/>
    </row>
    <row r="42" spans="1:27" ht="20.100000000000001" customHeight="1">
      <c r="A42" s="28"/>
      <c r="B42" s="185" t="s">
        <v>56</v>
      </c>
      <c r="C42" s="170"/>
      <c r="D42" s="174"/>
      <c r="E42" s="183"/>
      <c r="F42" s="183"/>
      <c r="G42" s="183"/>
      <c r="H42" s="23"/>
      <c r="I42" s="23"/>
      <c r="J42" s="23"/>
      <c r="K42" s="23"/>
      <c r="L42" s="23"/>
      <c r="M42" s="179"/>
      <c r="N42" s="179"/>
      <c r="O42" s="23"/>
      <c r="P42" s="23"/>
      <c r="Q42" s="23"/>
      <c r="R42" s="204"/>
      <c r="S42" s="23"/>
      <c r="T42" s="23"/>
      <c r="U42" s="23"/>
      <c r="V42" s="23"/>
      <c r="W42" s="23"/>
      <c r="X42" s="258"/>
      <c r="Y42" s="23"/>
      <c r="Z42" s="207"/>
      <c r="AA42" s="180"/>
    </row>
    <row r="43" spans="1:27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5">
        <v>81740.02</v>
      </c>
      <c r="F43" s="25"/>
      <c r="G43" s="25">
        <f>E43*300%</f>
        <v>245220.06</v>
      </c>
      <c r="H43" s="25">
        <f>E43*7.5%</f>
        <v>6130.5015000000003</v>
      </c>
      <c r="I43" s="25">
        <v>80244.38</v>
      </c>
      <c r="J43" s="25">
        <f>E43*50%</f>
        <v>40870.01</v>
      </c>
      <c r="K43" s="25">
        <f>E43*350%</f>
        <v>286090.07</v>
      </c>
      <c r="L43" s="25">
        <f t="shared" ref="L43:L51" si="63">E43*100%</f>
        <v>81740.02</v>
      </c>
      <c r="M43" s="179">
        <f>200000</f>
        <v>200000</v>
      </c>
      <c r="N43" s="179"/>
      <c r="O43" s="25">
        <f t="shared" ref="O43:O51" si="64">E43*10%</f>
        <v>8174.0020000000004</v>
      </c>
      <c r="P43" s="25">
        <v>20000</v>
      </c>
      <c r="Q43" s="25"/>
      <c r="R43" s="204">
        <f t="shared" ref="R43:R53" si="65">SUM(E43:Q43)</f>
        <v>1050209.0635000002</v>
      </c>
      <c r="S43" s="23"/>
      <c r="T43" s="23">
        <f>200000</f>
        <v>200000</v>
      </c>
      <c r="U43" s="23">
        <f>380000</f>
        <v>380000</v>
      </c>
      <c r="V43" s="23"/>
      <c r="W43" s="25">
        <v>180306.80685866671</v>
      </c>
      <c r="X43" s="258">
        <f t="shared" ref="X43:X53" si="66">W43+V43+U43+T43+S43</f>
        <v>760306.80685866671</v>
      </c>
      <c r="Y43" s="23">
        <v>289902.25664133346</v>
      </c>
      <c r="Z43" s="207">
        <f t="shared" ref="Z43:Z53" si="67">R43-X43</f>
        <v>289902.25664133346</v>
      </c>
      <c r="AA43" s="180"/>
    </row>
    <row r="44" spans="1:27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5">
        <v>33507.5</v>
      </c>
      <c r="F44" s="25"/>
      <c r="G44" s="25">
        <f>E44*300%</f>
        <v>100522.5</v>
      </c>
      <c r="H44" s="25">
        <f>E44*7.5%</f>
        <v>2513.0625</v>
      </c>
      <c r="I44" s="25">
        <v>40122.19</v>
      </c>
      <c r="J44" s="25">
        <f>E44*50%</f>
        <v>16753.75</v>
      </c>
      <c r="K44" s="25">
        <f>E44*350%</f>
        <v>117276.25</v>
      </c>
      <c r="L44" s="25">
        <f>E44*100%</f>
        <v>33507.5</v>
      </c>
      <c r="M44" s="179">
        <f>160000</f>
        <v>160000</v>
      </c>
      <c r="N44" s="179"/>
      <c r="O44" s="25">
        <f>E44*10%</f>
        <v>3350.75</v>
      </c>
      <c r="P44" s="25">
        <v>20000</v>
      </c>
      <c r="Q44" s="25">
        <v>0</v>
      </c>
      <c r="R44" s="204">
        <f>SUM(E44:Q44)</f>
        <v>527553.50249999994</v>
      </c>
      <c r="S44" s="23"/>
      <c r="T44" s="23">
        <f>50000</f>
        <v>50000</v>
      </c>
      <c r="U44" s="23">
        <f>385000</f>
        <v>385000</v>
      </c>
      <c r="V44" s="23"/>
      <c r="W44" s="25">
        <v>79956.939146666657</v>
      </c>
      <c r="X44" s="258">
        <f t="shared" si="66"/>
        <v>514956.93914666667</v>
      </c>
      <c r="Y44" s="23">
        <v>-67360.375793333398</v>
      </c>
      <c r="Z44" s="207">
        <f t="shared" si="67"/>
        <v>12596.563353333273</v>
      </c>
      <c r="AA44" s="180"/>
    </row>
    <row r="45" spans="1:27" ht="20.100000000000001" customHeight="1">
      <c r="A45" s="28">
        <v>3</v>
      </c>
      <c r="B45" s="156" t="s">
        <v>165</v>
      </c>
      <c r="C45" s="20" t="s">
        <v>739</v>
      </c>
      <c r="D45" s="28" t="s">
        <v>221</v>
      </c>
      <c r="E45" s="25">
        <v>41157.69</v>
      </c>
      <c r="F45" s="25"/>
      <c r="G45" s="25">
        <f>E45*300%</f>
        <v>123473.07</v>
      </c>
      <c r="H45" s="25">
        <f>E45*7.5%</f>
        <v>3086.8267500000002</v>
      </c>
      <c r="I45" s="25">
        <v>40122.19</v>
      </c>
      <c r="J45" s="25">
        <f>E45*50%</f>
        <v>20578.845000000001</v>
      </c>
      <c r="K45" s="25">
        <f>E45*350%</f>
        <v>144051.91500000001</v>
      </c>
      <c r="L45" s="25">
        <f>E45*100%</f>
        <v>41157.69</v>
      </c>
      <c r="M45" s="179">
        <f>180000</f>
        <v>180000</v>
      </c>
      <c r="N45" s="179"/>
      <c r="O45" s="25">
        <f>E45*10%</f>
        <v>4115.7690000000002</v>
      </c>
      <c r="P45" s="25">
        <v>20000</v>
      </c>
      <c r="Q45" s="25"/>
      <c r="R45" s="204">
        <f t="shared" si="65"/>
        <v>617743.99575</v>
      </c>
      <c r="S45" s="23"/>
      <c r="T45" s="23">
        <f>80000+23000</f>
        <v>103000</v>
      </c>
      <c r="U45" s="23">
        <f>246905.96</f>
        <v>246905.96</v>
      </c>
      <c r="V45" s="23"/>
      <c r="W45" s="25">
        <v>97273.513850666655</v>
      </c>
      <c r="X45" s="258">
        <f t="shared" si="66"/>
        <v>447179.47385066666</v>
      </c>
      <c r="Y45" s="23">
        <v>715566.80374999985</v>
      </c>
      <c r="Z45" s="207">
        <f t="shared" si="67"/>
        <v>170564.52189933334</v>
      </c>
      <c r="AA45" s="180"/>
    </row>
    <row r="46" spans="1:27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5">
        <v>33507.5</v>
      </c>
      <c r="F46" s="25"/>
      <c r="G46" s="25">
        <f>E46*300%</f>
        <v>100522.5</v>
      </c>
      <c r="H46" s="25">
        <f>E46*7.5%</f>
        <v>2513.0625</v>
      </c>
      <c r="I46" s="25">
        <v>40122.19</v>
      </c>
      <c r="J46" s="25">
        <f>E46*50%</f>
        <v>16753.75</v>
      </c>
      <c r="K46" s="25">
        <f>E46*350%</f>
        <v>117276.25</v>
      </c>
      <c r="L46" s="25">
        <f>E46*100%</f>
        <v>33507.5</v>
      </c>
      <c r="M46" s="179">
        <f>160000</f>
        <v>160000</v>
      </c>
      <c r="N46" s="179"/>
      <c r="O46" s="25">
        <f>E46*10%</f>
        <v>3350.75</v>
      </c>
      <c r="P46" s="25">
        <v>20000</v>
      </c>
      <c r="Q46" s="25"/>
      <c r="R46" s="204">
        <f t="shared" si="65"/>
        <v>527553.50249999994</v>
      </c>
      <c r="S46" s="23"/>
      <c r="T46" s="23">
        <f>30000</f>
        <v>30000</v>
      </c>
      <c r="U46" s="23">
        <f>176288.88</f>
        <v>176288.88</v>
      </c>
      <c r="V46" s="23"/>
      <c r="W46" s="25">
        <v>79956.939146666657</v>
      </c>
      <c r="X46" s="258">
        <f t="shared" si="66"/>
        <v>286245.81914666668</v>
      </c>
      <c r="Y46" s="23">
        <v>241307.68335333327</v>
      </c>
      <c r="Z46" s="207">
        <f t="shared" si="67"/>
        <v>241307.68335333327</v>
      </c>
      <c r="AA46" s="180"/>
    </row>
    <row r="47" spans="1:27" ht="20.100000000000001" customHeight="1">
      <c r="A47" s="28">
        <v>5</v>
      </c>
      <c r="B47" s="156" t="s">
        <v>118</v>
      </c>
      <c r="C47" s="20" t="s">
        <v>258</v>
      </c>
      <c r="D47" s="28" t="s">
        <v>75</v>
      </c>
      <c r="E47" s="25">
        <v>33507.5</v>
      </c>
      <c r="F47" s="25"/>
      <c r="G47" s="25">
        <f t="shared" ref="G47:G51" si="68">E47*300%</f>
        <v>100522.5</v>
      </c>
      <c r="H47" s="25">
        <f t="shared" ref="H47:H51" si="69">E47*7.5%</f>
        <v>2513.0625</v>
      </c>
      <c r="I47" s="25">
        <f>40122.19</f>
        <v>40122.19</v>
      </c>
      <c r="J47" s="25">
        <f t="shared" ref="J47:J51" si="70">E47*50%</f>
        <v>16753.75</v>
      </c>
      <c r="K47" s="25">
        <f t="shared" ref="K47:K51" si="71">E47*350%</f>
        <v>117276.25</v>
      </c>
      <c r="L47" s="25">
        <f t="shared" si="63"/>
        <v>33507.5</v>
      </c>
      <c r="M47" s="179">
        <f>140000+20000</f>
        <v>160000</v>
      </c>
      <c r="N47" s="179"/>
      <c r="O47" s="25">
        <f t="shared" si="64"/>
        <v>3350.75</v>
      </c>
      <c r="P47" s="25">
        <v>20000</v>
      </c>
      <c r="Q47" s="25">
        <v>0</v>
      </c>
      <c r="R47" s="204">
        <f t="shared" si="65"/>
        <v>527553.50249999994</v>
      </c>
      <c r="S47" s="23"/>
      <c r="T47" s="23"/>
      <c r="U47" s="23"/>
      <c r="V47" s="23">
        <f>0.025*E47</f>
        <v>837.6875</v>
      </c>
      <c r="W47" s="25">
        <v>79796.103146666646</v>
      </c>
      <c r="X47" s="258">
        <f t="shared" si="66"/>
        <v>80633.790646666646</v>
      </c>
      <c r="Y47" s="23">
        <v>437565.49000000005</v>
      </c>
      <c r="Z47" s="207">
        <f t="shared" si="67"/>
        <v>446919.71185333328</v>
      </c>
      <c r="AA47" s="180"/>
    </row>
    <row r="48" spans="1:27" ht="20.100000000000001" customHeight="1">
      <c r="A48" s="28">
        <v>6</v>
      </c>
      <c r="B48" s="156" t="s">
        <v>205</v>
      </c>
      <c r="C48" s="20" t="s">
        <v>258</v>
      </c>
      <c r="D48" s="28" t="s">
        <v>30</v>
      </c>
      <c r="E48" s="25">
        <f>31018.84</f>
        <v>31018.84</v>
      </c>
      <c r="F48" s="25"/>
      <c r="G48" s="25">
        <f t="shared" si="68"/>
        <v>93056.52</v>
      </c>
      <c r="H48" s="25">
        <f t="shared" si="69"/>
        <v>2326.413</v>
      </c>
      <c r="I48" s="25">
        <f>40122.19</f>
        <v>40122.19</v>
      </c>
      <c r="J48" s="25">
        <f t="shared" si="70"/>
        <v>15509.42</v>
      </c>
      <c r="K48" s="25">
        <f t="shared" si="71"/>
        <v>108565.94</v>
      </c>
      <c r="L48" s="25">
        <f t="shared" si="63"/>
        <v>31018.84</v>
      </c>
      <c r="M48" s="179">
        <f>140000+20000</f>
        <v>160000</v>
      </c>
      <c r="N48" s="179"/>
      <c r="O48" s="25">
        <f t="shared" si="64"/>
        <v>3101.884</v>
      </c>
      <c r="P48" s="25">
        <v>20000</v>
      </c>
      <c r="Q48" s="25"/>
      <c r="R48" s="204">
        <f t="shared" si="65"/>
        <v>504720.04700000002</v>
      </c>
      <c r="S48" s="23"/>
      <c r="T48" s="23">
        <f>15000</f>
        <v>15000</v>
      </c>
      <c r="U48" s="23">
        <f>216666.67</f>
        <v>216666.67</v>
      </c>
      <c r="V48" s="23"/>
      <c r="W48" s="25">
        <v>75572.915690666661</v>
      </c>
      <c r="X48" s="258">
        <f t="shared" si="66"/>
        <v>307239.58569066669</v>
      </c>
      <c r="Y48" s="23">
        <v>197617.20699999999</v>
      </c>
      <c r="Z48" s="207">
        <f t="shared" si="67"/>
        <v>197480.46130933333</v>
      </c>
      <c r="AA48" s="180"/>
    </row>
    <row r="49" spans="1:27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5">
        <v>27611.23</v>
      </c>
      <c r="F49" s="25"/>
      <c r="G49" s="25">
        <f>E49*300%</f>
        <v>82833.69</v>
      </c>
      <c r="H49" s="25">
        <f>E49*7.5%</f>
        <v>2070.8422499999997</v>
      </c>
      <c r="I49" s="25"/>
      <c r="J49" s="25">
        <f>E49*50%</f>
        <v>13805.615</v>
      </c>
      <c r="K49" s="25">
        <f>E49*350%</f>
        <v>96639.304999999993</v>
      </c>
      <c r="L49" s="25">
        <f>E49*100%</f>
        <v>27611.23</v>
      </c>
      <c r="M49" s="179">
        <f>140000</f>
        <v>140000</v>
      </c>
      <c r="N49" s="179"/>
      <c r="O49" s="25">
        <f>E49*10%</f>
        <v>2761.123</v>
      </c>
      <c r="P49" s="25">
        <v>20000</v>
      </c>
      <c r="Q49" s="25"/>
      <c r="R49" s="204">
        <f t="shared" si="65"/>
        <v>413333.03525000007</v>
      </c>
      <c r="S49" s="23"/>
      <c r="T49" s="23"/>
      <c r="U49" s="23"/>
      <c r="V49" s="23">
        <v>0</v>
      </c>
      <c r="W49" s="23">
        <v>58026.609434666672</v>
      </c>
      <c r="X49" s="258">
        <f t="shared" si="66"/>
        <v>58026.609434666672</v>
      </c>
      <c r="Y49" s="23">
        <v>355306.42581533338</v>
      </c>
      <c r="Z49" s="207">
        <f t="shared" si="67"/>
        <v>355306.42581533338</v>
      </c>
      <c r="AA49" s="180"/>
    </row>
    <row r="50" spans="1:27" ht="20.100000000000001" customHeight="1">
      <c r="A50" s="28">
        <v>8</v>
      </c>
      <c r="B50" s="156" t="s">
        <v>551</v>
      </c>
      <c r="C50" s="20" t="s">
        <v>84</v>
      </c>
      <c r="D50" s="28" t="s">
        <v>207</v>
      </c>
      <c r="E50" s="25">
        <v>17784.099999999999</v>
      </c>
      <c r="F50" s="25"/>
      <c r="G50" s="25">
        <f t="shared" si="68"/>
        <v>53352.299999999996</v>
      </c>
      <c r="H50" s="25">
        <f t="shared" si="69"/>
        <v>1333.8074999999999</v>
      </c>
      <c r="I50" s="25"/>
      <c r="J50" s="25">
        <f t="shared" si="70"/>
        <v>8892.0499999999993</v>
      </c>
      <c r="K50" s="25">
        <f t="shared" si="71"/>
        <v>62244.349999999991</v>
      </c>
      <c r="L50" s="25">
        <f t="shared" si="63"/>
        <v>17784.099999999999</v>
      </c>
      <c r="M50" s="179">
        <v>100000</v>
      </c>
      <c r="N50" s="179"/>
      <c r="O50" s="25">
        <f t="shared" si="64"/>
        <v>1778.4099999999999</v>
      </c>
      <c r="P50" s="25">
        <v>10000</v>
      </c>
      <c r="Q50" s="25"/>
      <c r="R50" s="204">
        <f t="shared" si="65"/>
        <v>273169.11749999999</v>
      </c>
      <c r="S50" s="23"/>
      <c r="T50" s="23"/>
      <c r="U50" s="23"/>
      <c r="V50" s="23"/>
      <c r="W50" s="25">
        <v>33059.078406666667</v>
      </c>
      <c r="X50" s="258">
        <f t="shared" si="66"/>
        <v>33059.078406666667</v>
      </c>
      <c r="Y50" s="23">
        <v>236310.25775000005</v>
      </c>
      <c r="Z50" s="207">
        <f t="shared" si="67"/>
        <v>240110.03909333333</v>
      </c>
      <c r="AA50" s="180"/>
    </row>
    <row r="51" spans="1:27" ht="20.100000000000001" customHeight="1">
      <c r="A51" s="28">
        <v>9</v>
      </c>
      <c r="B51" s="156" t="s">
        <v>420</v>
      </c>
      <c r="C51" s="20" t="s">
        <v>84</v>
      </c>
      <c r="D51" s="28" t="s">
        <v>498</v>
      </c>
      <c r="E51" s="25">
        <v>15188.67</v>
      </c>
      <c r="F51" s="25"/>
      <c r="G51" s="25">
        <f t="shared" si="68"/>
        <v>45566.01</v>
      </c>
      <c r="H51" s="25">
        <f t="shared" si="69"/>
        <v>1139.1502499999999</v>
      </c>
      <c r="I51" s="25"/>
      <c r="J51" s="25">
        <f t="shared" si="70"/>
        <v>7594.335</v>
      </c>
      <c r="K51" s="25">
        <f t="shared" si="71"/>
        <v>53160.345000000001</v>
      </c>
      <c r="L51" s="25">
        <f t="shared" si="63"/>
        <v>15188.67</v>
      </c>
      <c r="M51" s="179">
        <f>100000</f>
        <v>100000</v>
      </c>
      <c r="N51" s="179"/>
      <c r="O51" s="25">
        <f t="shared" si="64"/>
        <v>1518.8670000000002</v>
      </c>
      <c r="P51" s="25">
        <v>10000</v>
      </c>
      <c r="Q51" s="25"/>
      <c r="R51" s="204">
        <f t="shared" si="65"/>
        <v>249356.04725</v>
      </c>
      <c r="S51" s="23"/>
      <c r="T51" s="23"/>
      <c r="U51" s="23"/>
      <c r="V51" s="23"/>
      <c r="W51" s="25">
        <v>29058.48260466666</v>
      </c>
      <c r="X51" s="258">
        <f t="shared" si="66"/>
        <v>29058.48260466666</v>
      </c>
      <c r="Y51" s="23">
        <v>216843.13163733334</v>
      </c>
      <c r="Z51" s="207">
        <f t="shared" si="67"/>
        <v>220297.56464533333</v>
      </c>
      <c r="AA51" s="180"/>
    </row>
    <row r="52" spans="1:27" ht="20.100000000000001" customHeight="1">
      <c r="A52" s="28">
        <v>10</v>
      </c>
      <c r="B52" s="156" t="s">
        <v>435</v>
      </c>
      <c r="C52" s="20" t="s">
        <v>84</v>
      </c>
      <c r="D52" s="28" t="s">
        <v>498</v>
      </c>
      <c r="E52" s="25">
        <v>15188.67</v>
      </c>
      <c r="F52" s="25"/>
      <c r="G52" s="25">
        <f t="shared" ref="G52" si="72">E52*300%</f>
        <v>45566.01</v>
      </c>
      <c r="H52" s="25">
        <f t="shared" ref="H52" si="73">E52*7.5%</f>
        <v>1139.1502499999999</v>
      </c>
      <c r="I52" s="25"/>
      <c r="J52" s="25">
        <f t="shared" ref="J52" si="74">E52*50%</f>
        <v>7594.335</v>
      </c>
      <c r="K52" s="25">
        <f t="shared" ref="K52" si="75">E52*350%</f>
        <v>53160.345000000001</v>
      </c>
      <c r="L52" s="25">
        <f t="shared" ref="L52" si="76">E52*100%</f>
        <v>15188.67</v>
      </c>
      <c r="M52" s="179">
        <f>100000</f>
        <v>100000</v>
      </c>
      <c r="N52" s="179"/>
      <c r="O52" s="25">
        <f t="shared" ref="O52" si="77">E52*10%</f>
        <v>1518.8670000000002</v>
      </c>
      <c r="P52" s="25">
        <v>10000</v>
      </c>
      <c r="Q52" s="25"/>
      <c r="R52" s="204">
        <f t="shared" si="65"/>
        <v>249356.04725</v>
      </c>
      <c r="S52" s="23"/>
      <c r="T52" s="23"/>
      <c r="U52" s="23"/>
      <c r="V52" s="23"/>
      <c r="W52" s="25">
        <v>28360.952862666662</v>
      </c>
      <c r="X52" s="258">
        <f t="shared" si="66"/>
        <v>28360.952862666662</v>
      </c>
      <c r="Y52" s="23">
        <v>216843.13163733334</v>
      </c>
      <c r="Z52" s="207">
        <f t="shared" si="67"/>
        <v>220995.09438733335</v>
      </c>
      <c r="AA52" s="180"/>
    </row>
    <row r="53" spans="1:27" ht="20.100000000000001" customHeight="1">
      <c r="A53" s="28">
        <v>11</v>
      </c>
      <c r="B53" s="156" t="s">
        <v>452</v>
      </c>
      <c r="C53" s="20" t="s">
        <v>84</v>
      </c>
      <c r="D53" s="28" t="s">
        <v>498</v>
      </c>
      <c r="E53" s="25">
        <v>15188.67</v>
      </c>
      <c r="F53" s="25"/>
      <c r="G53" s="25">
        <f t="shared" ref="G53" si="78">E53*300%</f>
        <v>45566.01</v>
      </c>
      <c r="H53" s="25">
        <f t="shared" ref="H53" si="79">E53*7.5%</f>
        <v>1139.1502499999999</v>
      </c>
      <c r="I53" s="25"/>
      <c r="J53" s="25">
        <f t="shared" ref="J53" si="80">E53*50%</f>
        <v>7594.335</v>
      </c>
      <c r="K53" s="25">
        <f t="shared" ref="K53" si="81">E53*350%</f>
        <v>53160.345000000001</v>
      </c>
      <c r="L53" s="25">
        <f t="shared" ref="L53" si="82">E53*100%</f>
        <v>15188.67</v>
      </c>
      <c r="M53" s="179">
        <f>100000</f>
        <v>100000</v>
      </c>
      <c r="N53" s="179"/>
      <c r="O53" s="25">
        <f t="shared" ref="O53" si="83">E53*10%</f>
        <v>1518.8670000000002</v>
      </c>
      <c r="P53" s="25">
        <v>10000</v>
      </c>
      <c r="Q53" s="25"/>
      <c r="R53" s="204">
        <f t="shared" si="65"/>
        <v>249356.04725</v>
      </c>
      <c r="S53" s="23"/>
      <c r="T53" s="23"/>
      <c r="U53" s="23"/>
      <c r="V53" s="23"/>
      <c r="W53" s="25">
        <v>29058.48260466666</v>
      </c>
      <c r="X53" s="258">
        <f t="shared" si="66"/>
        <v>29058.48260466666</v>
      </c>
      <c r="Y53" s="23">
        <v>216843.13163733334</v>
      </c>
      <c r="Z53" s="207">
        <f t="shared" si="67"/>
        <v>220297.56464533333</v>
      </c>
      <c r="AA53" s="180"/>
    </row>
    <row r="54" spans="1:27" ht="25.5" customHeight="1">
      <c r="A54" s="28"/>
      <c r="B54" s="159" t="s">
        <v>15</v>
      </c>
      <c r="C54" s="29">
        <v>11</v>
      </c>
      <c r="D54" s="29"/>
      <c r="E54" s="68">
        <f t="shared" ref="E54:X54" si="84">SUM(E43:E53)</f>
        <v>345400.38999999996</v>
      </c>
      <c r="F54" s="68">
        <f t="shared" si="84"/>
        <v>0</v>
      </c>
      <c r="G54" s="68">
        <f t="shared" si="84"/>
        <v>1036201.1700000002</v>
      </c>
      <c r="H54" s="68">
        <f t="shared" si="84"/>
        <v>25905.029249999996</v>
      </c>
      <c r="I54" s="68">
        <f t="shared" si="84"/>
        <v>280855.33</v>
      </c>
      <c r="J54" s="68">
        <f t="shared" si="84"/>
        <v>172700.19499999998</v>
      </c>
      <c r="K54" s="68">
        <f t="shared" si="84"/>
        <v>1208901.365</v>
      </c>
      <c r="L54" s="68">
        <f t="shared" si="84"/>
        <v>345400.38999999996</v>
      </c>
      <c r="M54" s="68">
        <f t="shared" si="84"/>
        <v>1560000</v>
      </c>
      <c r="N54" s="68">
        <f t="shared" si="84"/>
        <v>0</v>
      </c>
      <c r="O54" s="68">
        <f t="shared" si="84"/>
        <v>34540.038999999997</v>
      </c>
      <c r="P54" s="68">
        <f t="shared" si="84"/>
        <v>180000</v>
      </c>
      <c r="Q54" s="68">
        <f t="shared" si="84"/>
        <v>0</v>
      </c>
      <c r="R54" s="68">
        <f t="shared" si="84"/>
        <v>5189903.9082500003</v>
      </c>
      <c r="S54" s="68">
        <f t="shared" si="84"/>
        <v>0</v>
      </c>
      <c r="T54" s="68">
        <f t="shared" si="84"/>
        <v>398000</v>
      </c>
      <c r="U54" s="68">
        <f t="shared" si="84"/>
        <v>1404861.5099999998</v>
      </c>
      <c r="V54" s="68">
        <f t="shared" si="84"/>
        <v>837.6875</v>
      </c>
      <c r="W54" s="68">
        <f t="shared" si="84"/>
        <v>770426.8237533333</v>
      </c>
      <c r="X54" s="358">
        <f t="shared" si="84"/>
        <v>2574126.021253333</v>
      </c>
      <c r="Y54" s="68">
        <v>3378453.7623419999</v>
      </c>
      <c r="Z54" s="337">
        <f>SUM(Z43:Z53)</f>
        <v>2615777.8869966664</v>
      </c>
      <c r="AA54" s="180"/>
    </row>
    <row r="55" spans="1:27" ht="20.100000000000001" customHeight="1">
      <c r="A55" s="28"/>
      <c r="B55" s="123"/>
      <c r="C55" s="29"/>
      <c r="D55" s="29"/>
      <c r="E55" s="30"/>
      <c r="F55" s="30"/>
      <c r="G55" s="30"/>
      <c r="H55" s="30"/>
      <c r="I55" s="30"/>
      <c r="J55" s="30"/>
      <c r="K55" s="30"/>
      <c r="L55" s="30"/>
      <c r="M55" s="179"/>
      <c r="N55" s="179"/>
      <c r="O55" s="30"/>
      <c r="P55" s="30"/>
      <c r="Q55" s="30"/>
      <c r="R55" s="212"/>
      <c r="S55" s="30"/>
      <c r="T55" s="30"/>
      <c r="U55" s="30"/>
      <c r="V55" s="30"/>
      <c r="W55" s="30"/>
      <c r="X55" s="260"/>
      <c r="Y55" s="30"/>
      <c r="Z55" s="218"/>
      <c r="AA55" s="180"/>
    </row>
    <row r="56" spans="1:27" ht="20.100000000000001" customHeight="1">
      <c r="A56" s="28"/>
      <c r="B56" s="159" t="s">
        <v>195</v>
      </c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179"/>
      <c r="N56" s="179"/>
      <c r="O56" s="30"/>
      <c r="P56" s="30"/>
      <c r="Q56" s="30"/>
      <c r="R56" s="212"/>
      <c r="S56" s="30"/>
      <c r="T56" s="30"/>
      <c r="U56" s="30"/>
      <c r="V56" s="30"/>
      <c r="W56" s="30"/>
      <c r="X56" s="260"/>
      <c r="Y56" s="30"/>
      <c r="Z56" s="218"/>
      <c r="AA56" s="180"/>
    </row>
    <row r="57" spans="1:27" ht="20.100000000000001" customHeight="1">
      <c r="A57" s="28">
        <v>1</v>
      </c>
      <c r="B57" s="156" t="s">
        <v>11</v>
      </c>
      <c r="C57" s="161" t="s">
        <v>200</v>
      </c>
      <c r="D57" s="181" t="s">
        <v>161</v>
      </c>
      <c r="E57" s="25">
        <v>81740.02</v>
      </c>
      <c r="F57" s="25"/>
      <c r="G57" s="25">
        <f>E57*300%</f>
        <v>245220.06</v>
      </c>
      <c r="H57" s="25">
        <f>E57*7.5%</f>
        <v>6130.5015000000003</v>
      </c>
      <c r="I57" s="25">
        <v>80244.38</v>
      </c>
      <c r="J57" s="25">
        <f>E57*50%</f>
        <v>40870.01</v>
      </c>
      <c r="K57" s="25">
        <f>E57*350%</f>
        <v>286090.07</v>
      </c>
      <c r="L57" s="25">
        <f>E57*100%</f>
        <v>81740.02</v>
      </c>
      <c r="M57" s="179">
        <f>200000</f>
        <v>200000</v>
      </c>
      <c r="N57" s="179"/>
      <c r="O57" s="25">
        <f>E57*10%</f>
        <v>8174.0020000000004</v>
      </c>
      <c r="P57" s="25">
        <v>20000</v>
      </c>
      <c r="Q57" s="25">
        <v>0</v>
      </c>
      <c r="R57" s="204">
        <f>SUM(E57:Q57)</f>
        <v>1050209.0635000002</v>
      </c>
      <c r="S57" s="23"/>
      <c r="T57" s="23">
        <v>120000</v>
      </c>
      <c r="U57" s="23">
        <v>120000</v>
      </c>
      <c r="V57" s="23">
        <v>0</v>
      </c>
      <c r="W57" s="402">
        <v>180306.80685866671</v>
      </c>
      <c r="X57" s="258">
        <f>W57+V57+U57+T57+S57</f>
        <v>420306.80685866671</v>
      </c>
      <c r="Y57" s="23">
        <v>629902.25664133346</v>
      </c>
      <c r="Z57" s="207">
        <f>R57-X57</f>
        <v>629902.25664133346</v>
      </c>
      <c r="AA57" s="180"/>
    </row>
    <row r="58" spans="1:27" ht="20.100000000000001" customHeight="1">
      <c r="A58" s="28">
        <v>2</v>
      </c>
      <c r="B58" s="156" t="s">
        <v>276</v>
      </c>
      <c r="C58" s="161" t="s">
        <v>340</v>
      </c>
      <c r="D58" s="181" t="s">
        <v>748</v>
      </c>
      <c r="E58" s="25">
        <v>33507.5</v>
      </c>
      <c r="F58" s="25"/>
      <c r="G58" s="25">
        <f>E58*300%</f>
        <v>100522.5</v>
      </c>
      <c r="H58" s="25">
        <f>E58*7.5%</f>
        <v>2513.0625</v>
      </c>
      <c r="I58" s="25">
        <v>40122.19</v>
      </c>
      <c r="J58" s="25">
        <f>E58*50%</f>
        <v>16753.75</v>
      </c>
      <c r="K58" s="25">
        <f>E58*350%</f>
        <v>117276.25</v>
      </c>
      <c r="L58" s="25">
        <f>E58*100%</f>
        <v>33507.5</v>
      </c>
      <c r="M58" s="179"/>
      <c r="N58" s="179">
        <v>80000</v>
      </c>
      <c r="O58" s="25">
        <f>E58*10%</f>
        <v>3350.75</v>
      </c>
      <c r="P58" s="25">
        <v>20000</v>
      </c>
      <c r="Q58" s="25"/>
      <c r="R58" s="204">
        <f t="shared" ref="R58" si="85">SUM(E58:Q58)</f>
        <v>447553.5025</v>
      </c>
      <c r="S58" s="23"/>
      <c r="T58" s="23">
        <v>50000</v>
      </c>
      <c r="U58" s="23">
        <v>145000</v>
      </c>
      <c r="V58" s="23">
        <v>0</v>
      </c>
      <c r="W58" s="402">
        <v>64596.939146666664</v>
      </c>
      <c r="X58" s="258">
        <v>257404.98</v>
      </c>
      <c r="Y58" s="23">
        <v>178732.07000000004</v>
      </c>
      <c r="Z58" s="207">
        <v>178732.07000000004</v>
      </c>
      <c r="AA58" s="180"/>
    </row>
    <row r="59" spans="1:27" ht="20.100000000000001" customHeight="1">
      <c r="A59" s="28"/>
      <c r="B59" s="159" t="s">
        <v>15</v>
      </c>
      <c r="C59" s="29">
        <v>2</v>
      </c>
      <c r="D59" s="29"/>
      <c r="E59" s="68">
        <f>SUM(E57:E58)</f>
        <v>115247.52</v>
      </c>
      <c r="F59" s="68"/>
      <c r="G59" s="68">
        <f>SUM(G57:G58)</f>
        <v>345742.56</v>
      </c>
      <c r="H59" s="68">
        <f t="shared" ref="H59:Z59" si="86">SUM(H57:H58)</f>
        <v>8643.5640000000003</v>
      </c>
      <c r="I59" s="68">
        <f t="shared" si="86"/>
        <v>120366.57</v>
      </c>
      <c r="J59" s="68">
        <f t="shared" si="86"/>
        <v>57623.76</v>
      </c>
      <c r="K59" s="68">
        <f t="shared" si="86"/>
        <v>403366.32</v>
      </c>
      <c r="L59" s="68">
        <f t="shared" si="86"/>
        <v>115247.52</v>
      </c>
      <c r="M59" s="68">
        <f t="shared" si="86"/>
        <v>200000</v>
      </c>
      <c r="N59" s="68">
        <f t="shared" si="86"/>
        <v>80000</v>
      </c>
      <c r="O59" s="68">
        <f t="shared" si="86"/>
        <v>11524.752</v>
      </c>
      <c r="P59" s="68">
        <f t="shared" si="86"/>
        <v>40000</v>
      </c>
      <c r="Q59" s="68">
        <f t="shared" si="86"/>
        <v>0</v>
      </c>
      <c r="R59" s="68">
        <f t="shared" si="86"/>
        <v>1497762.5660000001</v>
      </c>
      <c r="S59" s="68">
        <f t="shared" si="86"/>
        <v>0</v>
      </c>
      <c r="T59" s="68">
        <f t="shared" si="86"/>
        <v>170000</v>
      </c>
      <c r="U59" s="68">
        <f t="shared" si="86"/>
        <v>265000</v>
      </c>
      <c r="V59" s="68">
        <f t="shared" si="86"/>
        <v>0</v>
      </c>
      <c r="W59" s="68">
        <f t="shared" si="86"/>
        <v>244903.74600533338</v>
      </c>
      <c r="X59" s="358">
        <f t="shared" si="86"/>
        <v>677711.78685866669</v>
      </c>
      <c r="Y59" s="68">
        <v>808634.32664133352</v>
      </c>
      <c r="Z59" s="337">
        <f t="shared" si="86"/>
        <v>808634.32664133352</v>
      </c>
      <c r="AA59" s="180"/>
    </row>
    <row r="60" spans="1:27" ht="20.100000000000001" customHeight="1">
      <c r="A60" s="28"/>
      <c r="B60" s="159"/>
      <c r="C60" s="29"/>
      <c r="D60" s="29"/>
      <c r="E60" s="30"/>
      <c r="F60" s="30"/>
      <c r="G60" s="30"/>
      <c r="H60" s="30"/>
      <c r="I60" s="30"/>
      <c r="J60" s="30"/>
      <c r="K60" s="30"/>
      <c r="L60" s="30"/>
      <c r="M60" s="179"/>
      <c r="N60" s="179"/>
      <c r="O60" s="30"/>
      <c r="P60" s="30"/>
      <c r="Q60" s="30"/>
      <c r="R60" s="212"/>
      <c r="S60" s="30"/>
      <c r="T60" s="30"/>
      <c r="U60" s="30"/>
      <c r="V60" s="30"/>
      <c r="W60" s="30"/>
      <c r="X60" s="260"/>
      <c r="Y60" s="30"/>
      <c r="Z60" s="218"/>
      <c r="AA60" s="180"/>
    </row>
    <row r="61" spans="1:27" ht="20.100000000000001" customHeight="1">
      <c r="A61" s="28"/>
      <c r="B61" s="159" t="s">
        <v>461</v>
      </c>
      <c r="C61" s="29"/>
      <c r="D61" s="29"/>
      <c r="E61" s="30"/>
      <c r="F61" s="30"/>
      <c r="G61" s="30"/>
      <c r="H61" s="30"/>
      <c r="I61" s="30"/>
      <c r="J61" s="30"/>
      <c r="K61" s="30"/>
      <c r="L61" s="30"/>
      <c r="M61" s="179"/>
      <c r="N61" s="179"/>
      <c r="O61" s="30"/>
      <c r="P61" s="30"/>
      <c r="Q61" s="30"/>
      <c r="R61" s="212"/>
      <c r="S61" s="30"/>
      <c r="T61" s="30"/>
      <c r="U61" s="30"/>
      <c r="V61" s="30"/>
      <c r="W61" s="30"/>
      <c r="X61" s="260"/>
      <c r="Y61" s="30"/>
      <c r="Z61" s="218"/>
      <c r="AA61" s="180"/>
    </row>
    <row r="62" spans="1:27" ht="20.100000000000001" customHeight="1">
      <c r="A62" s="28">
        <v>1</v>
      </c>
      <c r="B62" s="156" t="s">
        <v>277</v>
      </c>
      <c r="C62" s="112" t="s">
        <v>278</v>
      </c>
      <c r="D62" s="28" t="s">
        <v>161</v>
      </c>
      <c r="E62" s="25">
        <v>81740.02</v>
      </c>
      <c r="F62" s="25"/>
      <c r="G62" s="25">
        <f t="shared" ref="G62:G71" si="87">E62*300%</f>
        <v>245220.06</v>
      </c>
      <c r="H62" s="25">
        <f t="shared" ref="H62:H71" si="88">E62*7.5%</f>
        <v>6130.5015000000003</v>
      </c>
      <c r="I62" s="25">
        <f>80244.38</f>
        <v>80244.38</v>
      </c>
      <c r="J62" s="25">
        <f t="shared" ref="J62:J71" si="89">E62*50%</f>
        <v>40870.01</v>
      </c>
      <c r="K62" s="25">
        <f t="shared" ref="K62:K71" si="90">E62*350%</f>
        <v>286090.07</v>
      </c>
      <c r="L62" s="25">
        <f t="shared" ref="L62:L71" si="91">E62*100%</f>
        <v>81740.02</v>
      </c>
      <c r="M62" s="179">
        <f>200000</f>
        <v>200000</v>
      </c>
      <c r="N62" s="179"/>
      <c r="O62" s="25">
        <f t="shared" ref="O62:O71" si="92">E62*10%</f>
        <v>8174.0020000000004</v>
      </c>
      <c r="P62" s="25">
        <v>20000</v>
      </c>
      <c r="Q62" s="25">
        <v>0</v>
      </c>
      <c r="R62" s="205">
        <f t="shared" ref="R62:R71" si="93">SUM(E62:Q62)</f>
        <v>1050209.0635000002</v>
      </c>
      <c r="S62" s="25"/>
      <c r="T62" s="25">
        <f>100000+100000</f>
        <v>200000</v>
      </c>
      <c r="U62" s="25">
        <f>223611.11</f>
        <v>223611.11</v>
      </c>
      <c r="V62" s="25"/>
      <c r="W62" s="25">
        <v>180306.80685866671</v>
      </c>
      <c r="X62" s="261">
        <f t="shared" ref="X62:X70" si="94">W62+V62+U62+T62+S62</f>
        <v>603917.91685866669</v>
      </c>
      <c r="Y62" s="25">
        <v>446291.14664133347</v>
      </c>
      <c r="Z62" s="208">
        <f t="shared" ref="Z62:Z70" si="95">R62-X62</f>
        <v>446291.14664133347</v>
      </c>
      <c r="AA62" s="180"/>
    </row>
    <row r="63" spans="1:27" ht="20.100000000000001" customHeight="1">
      <c r="A63" s="28">
        <v>2</v>
      </c>
      <c r="B63" s="289" t="s">
        <v>332</v>
      </c>
      <c r="C63" s="112" t="s">
        <v>188</v>
      </c>
      <c r="D63" s="181" t="s">
        <v>148</v>
      </c>
      <c r="E63" s="25">
        <v>32263.200000000001</v>
      </c>
      <c r="F63" s="25"/>
      <c r="G63" s="25">
        <f t="shared" si="87"/>
        <v>96789.6</v>
      </c>
      <c r="H63" s="25">
        <f t="shared" si="88"/>
        <v>2419.7399999999998</v>
      </c>
      <c r="I63" s="25">
        <v>40122.19</v>
      </c>
      <c r="J63" s="25">
        <f t="shared" si="89"/>
        <v>16131.6</v>
      </c>
      <c r="K63" s="25">
        <f t="shared" si="90"/>
        <v>112921.2</v>
      </c>
      <c r="L63" s="25">
        <f t="shared" si="91"/>
        <v>32263.200000000001</v>
      </c>
      <c r="M63" s="179">
        <f>160000</f>
        <v>160000</v>
      </c>
      <c r="N63" s="179"/>
      <c r="O63" s="25">
        <f t="shared" si="92"/>
        <v>3226.32</v>
      </c>
      <c r="P63" s="25">
        <v>20000</v>
      </c>
      <c r="Q63" s="182">
        <v>0</v>
      </c>
      <c r="R63" s="205">
        <f t="shared" si="93"/>
        <v>516137.05000000005</v>
      </c>
      <c r="S63" s="23"/>
      <c r="T63" s="23">
        <f>100000</f>
        <v>100000</v>
      </c>
      <c r="U63" s="23">
        <f>131250</f>
        <v>131250</v>
      </c>
      <c r="V63" s="23"/>
      <c r="W63" s="25">
        <v>77764.98026666668</v>
      </c>
      <c r="X63" s="261">
        <f t="shared" si="94"/>
        <v>309014.98026666668</v>
      </c>
      <c r="Y63" s="23">
        <v>197897.13130933337</v>
      </c>
      <c r="Z63" s="207">
        <f t="shared" si="95"/>
        <v>207122.06973333337</v>
      </c>
      <c r="AA63" s="180"/>
    </row>
    <row r="64" spans="1:27" ht="20.100000000000001" customHeight="1">
      <c r="A64" s="28">
        <v>3</v>
      </c>
      <c r="B64" s="156" t="s">
        <v>189</v>
      </c>
      <c r="C64" s="20" t="s">
        <v>297</v>
      </c>
      <c r="D64" s="28" t="s">
        <v>222</v>
      </c>
      <c r="E64" s="25">
        <v>25854.1</v>
      </c>
      <c r="F64" s="25"/>
      <c r="G64" s="25">
        <f t="shared" si="87"/>
        <v>77562.299999999988</v>
      </c>
      <c r="H64" s="25">
        <f t="shared" si="88"/>
        <v>1939.0574999999999</v>
      </c>
      <c r="I64" s="25"/>
      <c r="J64" s="25">
        <f t="shared" si="89"/>
        <v>12927.05</v>
      </c>
      <c r="K64" s="25">
        <f t="shared" si="90"/>
        <v>90489.349999999991</v>
      </c>
      <c r="L64" s="25">
        <f t="shared" si="91"/>
        <v>25854.1</v>
      </c>
      <c r="M64" s="179">
        <v>140000</v>
      </c>
      <c r="N64" s="179"/>
      <c r="O64" s="25">
        <f t="shared" si="92"/>
        <v>2585.41</v>
      </c>
      <c r="P64" s="25">
        <v>20000</v>
      </c>
      <c r="Q64" s="25"/>
      <c r="R64" s="25">
        <f t="shared" si="93"/>
        <v>397211.36749999999</v>
      </c>
      <c r="S64" s="25"/>
      <c r="T64" s="25">
        <f>110000</f>
        <v>110000</v>
      </c>
      <c r="U64" s="25"/>
      <c r="V64" s="25"/>
      <c r="W64" s="25">
        <v>54931.249226666667</v>
      </c>
      <c r="X64" s="261">
        <f t="shared" si="94"/>
        <v>164931.24922666667</v>
      </c>
      <c r="Y64" s="25">
        <v>232280.14083333334</v>
      </c>
      <c r="Z64" s="208">
        <f t="shared" si="95"/>
        <v>232280.11827333333</v>
      </c>
      <c r="AA64" s="180"/>
    </row>
    <row r="65" spans="1:27" ht="20.100000000000001" customHeight="1">
      <c r="A65" s="28">
        <v>4</v>
      </c>
      <c r="B65" s="157" t="s">
        <v>448</v>
      </c>
      <c r="C65" s="112" t="s">
        <v>257</v>
      </c>
      <c r="D65" s="181" t="s">
        <v>170</v>
      </c>
      <c r="E65" s="25">
        <f>25523.45</f>
        <v>25523.45</v>
      </c>
      <c r="F65" s="25"/>
      <c r="G65" s="25">
        <f t="shared" si="87"/>
        <v>76570.350000000006</v>
      </c>
      <c r="H65" s="25">
        <f t="shared" si="88"/>
        <v>1914.25875</v>
      </c>
      <c r="I65" s="25">
        <v>0</v>
      </c>
      <c r="J65" s="25">
        <f t="shared" si="89"/>
        <v>12761.725</v>
      </c>
      <c r="K65" s="23">
        <f t="shared" si="90"/>
        <v>89332.074999999997</v>
      </c>
      <c r="L65" s="25">
        <f t="shared" si="91"/>
        <v>25523.45</v>
      </c>
      <c r="M65" s="179">
        <f t="shared" ref="M65" si="96">120000</f>
        <v>120000</v>
      </c>
      <c r="N65" s="179"/>
      <c r="O65" s="25">
        <f t="shared" si="92"/>
        <v>2552.3450000000003</v>
      </c>
      <c r="P65" s="25">
        <v>15000</v>
      </c>
      <c r="Q65" s="25">
        <v>0</v>
      </c>
      <c r="R65" s="204">
        <f t="shared" si="93"/>
        <v>369177.65375</v>
      </c>
      <c r="S65" s="23"/>
      <c r="T65" s="23">
        <f>20000+65000</f>
        <v>85000</v>
      </c>
      <c r="U65" s="23">
        <v>0</v>
      </c>
      <c r="V65" s="23">
        <v>0</v>
      </c>
      <c r="W65" s="25">
        <v>49548.776186666662</v>
      </c>
      <c r="X65" s="261">
        <f t="shared" si="94"/>
        <v>134548.77618666666</v>
      </c>
      <c r="Y65" s="23">
        <v>228830.19021733329</v>
      </c>
      <c r="Z65" s="207">
        <f t="shared" si="95"/>
        <v>234628.87756333334</v>
      </c>
      <c r="AA65" s="180"/>
    </row>
    <row r="66" spans="1:27" ht="20.100000000000001" customHeight="1">
      <c r="A66" s="28">
        <v>5</v>
      </c>
      <c r="B66" s="158" t="s">
        <v>229</v>
      </c>
      <c r="C66" s="112" t="s">
        <v>297</v>
      </c>
      <c r="D66" s="181" t="s">
        <v>174</v>
      </c>
      <c r="E66" s="25">
        <v>28489.81</v>
      </c>
      <c r="F66" s="25"/>
      <c r="G66" s="25">
        <f>E66*300%</f>
        <v>85469.430000000008</v>
      </c>
      <c r="H66" s="25">
        <f>E66*7.5%</f>
        <v>2136.7357499999998</v>
      </c>
      <c r="I66" s="25"/>
      <c r="J66" s="25">
        <f>E66*50%</f>
        <v>14244.905000000001</v>
      </c>
      <c r="K66" s="23">
        <f>E66*350%</f>
        <v>99714.335000000006</v>
      </c>
      <c r="L66" s="25">
        <f>E66*100%</f>
        <v>28489.81</v>
      </c>
      <c r="M66" s="179">
        <f>140000</f>
        <v>140000</v>
      </c>
      <c r="N66" s="179"/>
      <c r="O66" s="25">
        <f>E66*10%</f>
        <v>2848.9810000000002</v>
      </c>
      <c r="P66" s="25">
        <v>20000</v>
      </c>
      <c r="Q66" s="25"/>
      <c r="R66" s="204">
        <f>SUM(E66:Q66)</f>
        <v>421394.00675000006</v>
      </c>
      <c r="S66" s="23"/>
      <c r="T66" s="23">
        <f>10000</f>
        <v>10000</v>
      </c>
      <c r="U66" s="23">
        <f>54585.66</f>
        <v>54585.66</v>
      </c>
      <c r="V66" s="23"/>
      <c r="W66" s="23">
        <v>46666.666666666664</v>
      </c>
      <c r="X66" s="261">
        <f t="shared" si="94"/>
        <v>111252.32666666666</v>
      </c>
      <c r="Y66" s="23">
        <v>290720.76581533341</v>
      </c>
      <c r="Z66" s="207">
        <f t="shared" si="95"/>
        <v>310141.6800833334</v>
      </c>
      <c r="AA66" s="180"/>
    </row>
    <row r="67" spans="1:27" ht="20.100000000000001" customHeight="1">
      <c r="A67" s="28">
        <v>7</v>
      </c>
      <c r="B67" s="156" t="s">
        <v>117</v>
      </c>
      <c r="C67" s="20" t="s">
        <v>84</v>
      </c>
      <c r="D67" s="28" t="s">
        <v>415</v>
      </c>
      <c r="E67" s="25">
        <v>21520.880000000001</v>
      </c>
      <c r="F67" s="25"/>
      <c r="G67" s="25">
        <f t="shared" si="87"/>
        <v>64562.64</v>
      </c>
      <c r="H67" s="25">
        <f t="shared" si="88"/>
        <v>1614.066</v>
      </c>
      <c r="I67" s="25">
        <v>0</v>
      </c>
      <c r="J67" s="25">
        <f t="shared" si="89"/>
        <v>10760.44</v>
      </c>
      <c r="K67" s="25">
        <f t="shared" si="90"/>
        <v>75323.08</v>
      </c>
      <c r="L67" s="25">
        <f t="shared" si="91"/>
        <v>21520.880000000001</v>
      </c>
      <c r="M67" s="179">
        <f>110000</f>
        <v>110000</v>
      </c>
      <c r="N67" s="179"/>
      <c r="O67" s="25">
        <f t="shared" si="92"/>
        <v>2152.0880000000002</v>
      </c>
      <c r="P67" s="25">
        <v>15000</v>
      </c>
      <c r="Q67" s="25">
        <v>0</v>
      </c>
      <c r="R67" s="204">
        <f t="shared" si="93"/>
        <v>322454.07400000002</v>
      </c>
      <c r="S67" s="23"/>
      <c r="T67" s="23">
        <f>10000</f>
        <v>10000</v>
      </c>
      <c r="U67" s="23">
        <f>65885.83</f>
        <v>65885.83</v>
      </c>
      <c r="V67" s="23"/>
      <c r="W67" s="25">
        <v>41338.951098666665</v>
      </c>
      <c r="X67" s="261">
        <f t="shared" si="94"/>
        <v>117224.78109866666</v>
      </c>
      <c r="Y67" s="23">
        <v>199337.065</v>
      </c>
      <c r="Z67" s="207">
        <f t="shared" si="95"/>
        <v>205229.29290133336</v>
      </c>
      <c r="AA67" s="180"/>
    </row>
    <row r="68" spans="1:27" ht="20.100000000000001" customHeight="1">
      <c r="A68" s="28">
        <v>8</v>
      </c>
      <c r="B68" s="156" t="s">
        <v>424</v>
      </c>
      <c r="C68" s="112" t="s">
        <v>422</v>
      </c>
      <c r="D68" s="28" t="s">
        <v>415</v>
      </c>
      <c r="E68" s="25">
        <v>21520.880000000001</v>
      </c>
      <c r="F68" s="25"/>
      <c r="G68" s="25">
        <f t="shared" ref="G68:G69" si="97">E68*300%</f>
        <v>64562.64</v>
      </c>
      <c r="H68" s="25">
        <f t="shared" ref="H68:H69" si="98">E68*7.5%</f>
        <v>1614.066</v>
      </c>
      <c r="I68" s="25">
        <v>0</v>
      </c>
      <c r="J68" s="25">
        <f t="shared" ref="J68:J69" si="99">E68*50%</f>
        <v>10760.44</v>
      </c>
      <c r="K68" s="23">
        <f t="shared" ref="K68:K69" si="100">E68*350%</f>
        <v>75323.08</v>
      </c>
      <c r="L68" s="25">
        <f t="shared" ref="L68:L69" si="101">E68*100%</f>
        <v>21520.880000000001</v>
      </c>
      <c r="M68" s="179">
        <f t="shared" ref="M68:M69" si="102">110000</f>
        <v>110000</v>
      </c>
      <c r="N68" s="179"/>
      <c r="O68" s="25">
        <f t="shared" ref="O68:O69" si="103">E68*10%</f>
        <v>2152.0880000000002</v>
      </c>
      <c r="P68" s="25">
        <v>15000</v>
      </c>
      <c r="Q68" s="25">
        <v>0</v>
      </c>
      <c r="R68" s="204">
        <f>SUM(E68:Q68)</f>
        <v>322454.07400000002</v>
      </c>
      <c r="S68" s="23"/>
      <c r="T68" s="23">
        <f>52000-2000</f>
        <v>50000</v>
      </c>
      <c r="U68" s="23"/>
      <c r="V68" s="23"/>
      <c r="W68" s="25">
        <v>41338.951098666665</v>
      </c>
      <c r="X68" s="261">
        <f t="shared" si="94"/>
        <v>91338.951098666672</v>
      </c>
      <c r="Y68" s="23">
        <v>225222.89973333332</v>
      </c>
      <c r="Z68" s="207">
        <f t="shared" si="95"/>
        <v>231115.12290133335</v>
      </c>
      <c r="AA68" s="180"/>
    </row>
    <row r="69" spans="1:27" ht="20.100000000000001" customHeight="1">
      <c r="A69" s="28">
        <v>9</v>
      </c>
      <c r="B69" s="156" t="s">
        <v>423</v>
      </c>
      <c r="C69" s="112" t="s">
        <v>422</v>
      </c>
      <c r="D69" s="28" t="s">
        <v>415</v>
      </c>
      <c r="E69" s="25">
        <v>21520.880000000001</v>
      </c>
      <c r="F69" s="25"/>
      <c r="G69" s="25">
        <f t="shared" si="97"/>
        <v>64562.64</v>
      </c>
      <c r="H69" s="25">
        <f t="shared" si="98"/>
        <v>1614.066</v>
      </c>
      <c r="I69" s="25">
        <v>0</v>
      </c>
      <c r="J69" s="25">
        <f t="shared" si="99"/>
        <v>10760.44</v>
      </c>
      <c r="K69" s="23">
        <f t="shared" si="100"/>
        <v>75323.08</v>
      </c>
      <c r="L69" s="25">
        <f t="shared" si="101"/>
        <v>21520.880000000001</v>
      </c>
      <c r="M69" s="179">
        <f t="shared" si="102"/>
        <v>110000</v>
      </c>
      <c r="N69" s="179"/>
      <c r="O69" s="25">
        <f t="shared" si="103"/>
        <v>2152.0880000000002</v>
      </c>
      <c r="P69" s="25">
        <v>15000</v>
      </c>
      <c r="Q69" s="25">
        <v>0</v>
      </c>
      <c r="R69" s="204">
        <f>SUM(E69:Q69)</f>
        <v>322454.07400000002</v>
      </c>
      <c r="S69" s="23"/>
      <c r="T69" s="23">
        <f>67000-2000</f>
        <v>65000</v>
      </c>
      <c r="U69" s="23"/>
      <c r="V69" s="23"/>
      <c r="W69" s="25">
        <v>41338.951098666665</v>
      </c>
      <c r="X69" s="261">
        <f t="shared" si="94"/>
        <v>106338.95109866667</v>
      </c>
      <c r="Y69" s="23">
        <v>210222.89973333332</v>
      </c>
      <c r="Z69" s="207">
        <f t="shared" si="95"/>
        <v>216115.12290133335</v>
      </c>
      <c r="AA69" s="180"/>
    </row>
    <row r="70" spans="1:27" ht="20.100000000000001" customHeight="1">
      <c r="A70" s="28">
        <v>10</v>
      </c>
      <c r="B70" s="156" t="s">
        <v>242</v>
      </c>
      <c r="C70" s="20" t="s">
        <v>484</v>
      </c>
      <c r="D70" s="28" t="s">
        <v>497</v>
      </c>
      <c r="E70" s="401">
        <v>22837.82</v>
      </c>
      <c r="F70" s="25"/>
      <c r="G70" s="25">
        <f t="shared" si="87"/>
        <v>68513.459999999992</v>
      </c>
      <c r="H70" s="25">
        <f t="shared" si="88"/>
        <v>1712.8364999999999</v>
      </c>
      <c r="I70" s="25"/>
      <c r="J70" s="25">
        <f t="shared" si="89"/>
        <v>11418.91</v>
      </c>
      <c r="K70" s="25">
        <f t="shared" si="90"/>
        <v>79932.37</v>
      </c>
      <c r="L70" s="25">
        <f t="shared" si="91"/>
        <v>22837.82</v>
      </c>
      <c r="M70" s="179">
        <f>110000</f>
        <v>110000</v>
      </c>
      <c r="N70" s="179"/>
      <c r="O70" s="25">
        <f t="shared" si="92"/>
        <v>2283.7820000000002</v>
      </c>
      <c r="P70" s="25">
        <v>15000</v>
      </c>
      <c r="Q70" s="25"/>
      <c r="R70" s="204">
        <f t="shared" si="93"/>
        <v>334536.99849999999</v>
      </c>
      <c r="S70" s="23"/>
      <c r="T70" s="23">
        <f>80000+20000</f>
        <v>100000</v>
      </c>
      <c r="U70" s="23"/>
      <c r="V70" s="23"/>
      <c r="W70" s="25">
        <v>43368.882414666667</v>
      </c>
      <c r="X70" s="261">
        <f t="shared" si="94"/>
        <v>143368.88241466667</v>
      </c>
      <c r="Y70" s="23">
        <v>181115.12290133335</v>
      </c>
      <c r="Z70" s="207">
        <f t="shared" si="95"/>
        <v>191168.11608533331</v>
      </c>
      <c r="AA70" s="180"/>
    </row>
    <row r="71" spans="1:27" ht="21.6" customHeight="1">
      <c r="A71" s="28">
        <v>11</v>
      </c>
      <c r="B71" s="156" t="s">
        <v>726</v>
      </c>
      <c r="C71" s="20" t="s">
        <v>84</v>
      </c>
      <c r="D71" s="28" t="s">
        <v>207</v>
      </c>
      <c r="E71" s="179">
        <v>18281.64</v>
      </c>
      <c r="F71" s="25"/>
      <c r="G71" s="25">
        <f t="shared" si="87"/>
        <v>54844.92</v>
      </c>
      <c r="H71" s="25">
        <f t="shared" si="88"/>
        <v>1371.1229999999998</v>
      </c>
      <c r="I71" s="25"/>
      <c r="J71" s="25">
        <f t="shared" si="89"/>
        <v>9140.82</v>
      </c>
      <c r="K71" s="25">
        <f t="shared" si="90"/>
        <v>63985.74</v>
      </c>
      <c r="L71" s="25">
        <f t="shared" si="91"/>
        <v>18281.64</v>
      </c>
      <c r="M71" s="179">
        <v>100000</v>
      </c>
      <c r="N71" s="179"/>
      <c r="O71" s="25">
        <f t="shared" si="92"/>
        <v>1828.164</v>
      </c>
      <c r="P71" s="25">
        <v>10000</v>
      </c>
      <c r="Q71" s="25"/>
      <c r="R71" s="204">
        <f t="shared" si="93"/>
        <v>277734.04699999996</v>
      </c>
      <c r="S71" s="20"/>
      <c r="T71" s="20"/>
      <c r="U71" s="20"/>
      <c r="V71" s="20"/>
      <c r="W71" s="25">
        <v>33825.986562666658</v>
      </c>
      <c r="X71" s="261">
        <f>32291.82</f>
        <v>32291.82</v>
      </c>
      <c r="Y71" s="23">
        <v>236310.25775000005</v>
      </c>
      <c r="Z71" s="365">
        <f>R71-X71</f>
        <v>245442.22699999996</v>
      </c>
    </row>
    <row r="72" spans="1:27" ht="27" customHeight="1">
      <c r="A72" s="28"/>
      <c r="B72" s="159" t="s">
        <v>15</v>
      </c>
      <c r="C72" s="29">
        <v>12</v>
      </c>
      <c r="D72" s="29"/>
      <c r="E72" s="68">
        <f t="shared" ref="E72:X72" si="104">SUM(E62:E71)</f>
        <v>299552.68000000005</v>
      </c>
      <c r="F72" s="68">
        <f t="shared" si="104"/>
        <v>0</v>
      </c>
      <c r="G72" s="68">
        <f t="shared" si="104"/>
        <v>898658.04000000015</v>
      </c>
      <c r="H72" s="68">
        <f t="shared" si="104"/>
        <v>22466.451000000001</v>
      </c>
      <c r="I72" s="68">
        <f t="shared" si="104"/>
        <v>120366.57</v>
      </c>
      <c r="J72" s="68">
        <f t="shared" si="104"/>
        <v>149776.34000000003</v>
      </c>
      <c r="K72" s="68">
        <f t="shared" si="104"/>
        <v>1048434.3799999998</v>
      </c>
      <c r="L72" s="68">
        <f t="shared" si="104"/>
        <v>299552.68000000005</v>
      </c>
      <c r="M72" s="68">
        <f t="shared" si="104"/>
        <v>1300000</v>
      </c>
      <c r="N72" s="68">
        <f t="shared" si="104"/>
        <v>0</v>
      </c>
      <c r="O72" s="68">
        <f t="shared" si="104"/>
        <v>29955.268</v>
      </c>
      <c r="P72" s="68">
        <f t="shared" si="104"/>
        <v>165000</v>
      </c>
      <c r="Q72" s="68">
        <f t="shared" si="104"/>
        <v>0</v>
      </c>
      <c r="R72" s="68">
        <f t="shared" si="104"/>
        <v>4333762.4090000009</v>
      </c>
      <c r="S72" s="68">
        <f t="shared" si="104"/>
        <v>0</v>
      </c>
      <c r="T72" s="68">
        <f t="shared" si="104"/>
        <v>730000</v>
      </c>
      <c r="U72" s="68">
        <f t="shared" si="104"/>
        <v>475332.60000000003</v>
      </c>
      <c r="V72" s="68">
        <f t="shared" si="104"/>
        <v>0</v>
      </c>
      <c r="W72" s="68">
        <f t="shared" si="104"/>
        <v>610430.20147866686</v>
      </c>
      <c r="X72" s="68">
        <f t="shared" si="104"/>
        <v>1814228.6349160003</v>
      </c>
      <c r="Y72" s="68">
        <v>2562691.85458</v>
      </c>
      <c r="Z72" s="68">
        <f>SUM(Z62:Z71)</f>
        <v>2519533.7740839999</v>
      </c>
      <c r="AA72" s="180"/>
    </row>
    <row r="73" spans="1:27" ht="20.100000000000001" customHeight="1">
      <c r="A73" s="28"/>
      <c r="B73" s="123"/>
      <c r="C73" s="29"/>
      <c r="D73" s="29"/>
      <c r="E73" s="30"/>
      <c r="F73" s="30"/>
      <c r="G73" s="30"/>
      <c r="H73" s="30"/>
      <c r="I73" s="30"/>
      <c r="J73" s="30"/>
      <c r="K73" s="30"/>
      <c r="L73" s="30"/>
      <c r="M73" s="179"/>
      <c r="N73" s="179"/>
      <c r="O73" s="30"/>
      <c r="P73" s="30"/>
      <c r="Q73" s="30"/>
      <c r="R73" s="212"/>
      <c r="S73" s="30"/>
      <c r="T73" s="30"/>
      <c r="U73" s="30"/>
      <c r="V73" s="30"/>
      <c r="W73" s="30"/>
      <c r="X73" s="260"/>
      <c r="Y73" s="30"/>
      <c r="Z73" s="218"/>
      <c r="AA73" s="180"/>
    </row>
    <row r="74" spans="1:27" ht="20.100000000000001" customHeight="1">
      <c r="A74" s="28"/>
      <c r="B74" s="159" t="s">
        <v>462</v>
      </c>
      <c r="C74" s="29"/>
      <c r="D74" s="29"/>
      <c r="E74" s="30"/>
      <c r="F74" s="30"/>
      <c r="G74" s="30"/>
      <c r="H74" s="30"/>
      <c r="I74" s="30"/>
      <c r="J74" s="30"/>
      <c r="K74" s="30"/>
      <c r="L74" s="30"/>
      <c r="M74" s="179"/>
      <c r="N74" s="179"/>
      <c r="O74" s="30"/>
      <c r="P74" s="30"/>
      <c r="Q74" s="30"/>
      <c r="R74" s="212"/>
      <c r="S74" s="30"/>
      <c r="T74" s="30"/>
      <c r="U74" s="30"/>
      <c r="V74" s="30"/>
      <c r="W74" s="30"/>
      <c r="X74" s="260"/>
      <c r="Y74" s="30"/>
      <c r="Z74" s="218"/>
      <c r="AA74" s="180"/>
    </row>
    <row r="75" spans="1:27" ht="20.100000000000001" customHeight="1">
      <c r="A75" s="28">
        <v>1</v>
      </c>
      <c r="B75" s="156" t="s">
        <v>19</v>
      </c>
      <c r="C75" s="20" t="s">
        <v>201</v>
      </c>
      <c r="D75" s="28" t="s">
        <v>161</v>
      </c>
      <c r="E75" s="25">
        <v>81740.02</v>
      </c>
      <c r="F75" s="25"/>
      <c r="G75" s="25">
        <f t="shared" ref="G75:G80" si="105">E75*300%</f>
        <v>245220.06</v>
      </c>
      <c r="H75" s="25">
        <f t="shared" ref="H75:H80" si="106">E75*7.5%</f>
        <v>6130.5015000000003</v>
      </c>
      <c r="I75" s="25">
        <v>80244.38</v>
      </c>
      <c r="J75" s="25">
        <f>E75*50%</f>
        <v>40870.01</v>
      </c>
      <c r="K75" s="25">
        <f t="shared" ref="K75:K80" si="107">E75*350%</f>
        <v>286090.07</v>
      </c>
      <c r="L75" s="25">
        <f>E75*100%</f>
        <v>81740.02</v>
      </c>
      <c r="M75" s="179">
        <f>200000</f>
        <v>200000</v>
      </c>
      <c r="N75" s="179"/>
      <c r="O75" s="25">
        <f>E75*10%</f>
        <v>8174.0020000000004</v>
      </c>
      <c r="P75" s="25">
        <v>20000</v>
      </c>
      <c r="Q75" s="25">
        <v>0</v>
      </c>
      <c r="R75" s="204">
        <f>SUM(E75:Q75)</f>
        <v>1050209.0635000002</v>
      </c>
      <c r="S75" s="23"/>
      <c r="T75" s="23">
        <v>250000</v>
      </c>
      <c r="U75" s="23">
        <f>0</f>
        <v>0</v>
      </c>
      <c r="V75" s="23">
        <v>0</v>
      </c>
      <c r="W75" s="25">
        <v>180306.80685866671</v>
      </c>
      <c r="X75" s="258">
        <f t="shared" ref="X75:X81" si="108">W75+V75+U75+T75+S75</f>
        <v>430306.80685866671</v>
      </c>
      <c r="Y75" s="23">
        <v>619902.25664133346</v>
      </c>
      <c r="Z75" s="207">
        <f t="shared" ref="Z75:Z81" si="109">R75-X75</f>
        <v>619902.25664133346</v>
      </c>
      <c r="AA75" s="180"/>
    </row>
    <row r="76" spans="1:27" ht="20.100000000000001" customHeight="1">
      <c r="A76" s="28">
        <v>2</v>
      </c>
      <c r="B76" s="158" t="s">
        <v>325</v>
      </c>
      <c r="C76" s="20" t="s">
        <v>245</v>
      </c>
      <c r="D76" s="181" t="s">
        <v>412</v>
      </c>
      <c r="E76" s="23">
        <v>32263.200000000001</v>
      </c>
      <c r="F76" s="25"/>
      <c r="G76" s="25">
        <f t="shared" si="105"/>
        <v>96789.6</v>
      </c>
      <c r="H76" s="25">
        <f t="shared" si="106"/>
        <v>2419.7399999999998</v>
      </c>
      <c r="I76" s="25">
        <v>40122.19</v>
      </c>
      <c r="J76" s="25">
        <f t="shared" ref="J76" si="110">E76*50%</f>
        <v>16131.6</v>
      </c>
      <c r="K76" s="25">
        <f t="shared" si="107"/>
        <v>112921.2</v>
      </c>
      <c r="L76" s="25">
        <f t="shared" ref="L76" si="111">E76*100%</f>
        <v>32263.200000000001</v>
      </c>
      <c r="M76" s="179">
        <f>160000</f>
        <v>160000</v>
      </c>
      <c r="N76" s="179"/>
      <c r="O76" s="25">
        <f t="shared" ref="O76" si="112">E76*10%</f>
        <v>3226.32</v>
      </c>
      <c r="P76" s="25">
        <v>20000</v>
      </c>
      <c r="Q76" s="182">
        <v>0</v>
      </c>
      <c r="R76" s="204">
        <f t="shared" ref="R76:R81" si="113">SUM(E76:Q76)</f>
        <v>516137.05000000005</v>
      </c>
      <c r="S76" s="23"/>
      <c r="T76" s="23"/>
      <c r="U76" s="23"/>
      <c r="V76" s="23">
        <v>0</v>
      </c>
      <c r="W76" s="25">
        <v>77764.98026666668</v>
      </c>
      <c r="X76" s="258">
        <f t="shared" si="108"/>
        <v>77764.98026666668</v>
      </c>
      <c r="Y76" s="23">
        <v>429147.13130933337</v>
      </c>
      <c r="Z76" s="207">
        <f t="shared" si="109"/>
        <v>438372.06973333337</v>
      </c>
      <c r="AA76" s="180"/>
    </row>
    <row r="77" spans="1:27" ht="20.100000000000001" customHeight="1">
      <c r="A77" s="28">
        <v>3</v>
      </c>
      <c r="B77" s="157" t="s">
        <v>333</v>
      </c>
      <c r="C77" s="161" t="s">
        <v>387</v>
      </c>
      <c r="D77" s="28" t="s">
        <v>748</v>
      </c>
      <c r="E77" s="25">
        <v>33507.5</v>
      </c>
      <c r="F77" s="25"/>
      <c r="G77" s="25">
        <f>E77*300%</f>
        <v>100522.5</v>
      </c>
      <c r="H77" s="25">
        <f>E77*7.5%</f>
        <v>2513.0625</v>
      </c>
      <c r="I77" s="25">
        <v>40122.19</v>
      </c>
      <c r="J77" s="25">
        <f>E77*50%</f>
        <v>16753.75</v>
      </c>
      <c r="K77" s="25">
        <f>E77*350%</f>
        <v>117276.25</v>
      </c>
      <c r="L77" s="25">
        <f>E77*100%</f>
        <v>33507.5</v>
      </c>
      <c r="M77" s="179"/>
      <c r="N77" s="179">
        <f>80000</f>
        <v>80000</v>
      </c>
      <c r="O77" s="25">
        <f>E77*10%</f>
        <v>3350.75</v>
      </c>
      <c r="P77" s="25">
        <v>20000</v>
      </c>
      <c r="Q77" s="182">
        <v>0</v>
      </c>
      <c r="R77" s="204">
        <f t="shared" si="113"/>
        <v>447553.5025</v>
      </c>
      <c r="S77" s="23"/>
      <c r="T77" s="23">
        <f>50000</f>
        <v>50000</v>
      </c>
      <c r="U77" s="23">
        <f>59583.33</f>
        <v>59583.33</v>
      </c>
      <c r="V77" s="23"/>
      <c r="W77" s="23">
        <v>64596.939146666664</v>
      </c>
      <c r="X77" s="258">
        <f t="shared" si="108"/>
        <v>174180.26914666666</v>
      </c>
      <c r="Y77" s="23">
        <v>264148.73973333335</v>
      </c>
      <c r="Z77" s="207">
        <f t="shared" si="109"/>
        <v>273373.23335333331</v>
      </c>
      <c r="AA77" s="180"/>
    </row>
    <row r="78" spans="1:27" ht="20.100000000000001" customHeight="1">
      <c r="A78" s="28">
        <v>4</v>
      </c>
      <c r="B78" s="156" t="s">
        <v>26</v>
      </c>
      <c r="C78" s="20" t="s">
        <v>707</v>
      </c>
      <c r="D78" s="181" t="s">
        <v>162</v>
      </c>
      <c r="E78" s="25">
        <v>26732.65</v>
      </c>
      <c r="F78" s="25"/>
      <c r="G78" s="25">
        <f>E78*300%</f>
        <v>80197.950000000012</v>
      </c>
      <c r="H78" s="25">
        <f>E78*7.5%</f>
        <v>2004.94875</v>
      </c>
      <c r="I78" s="25">
        <v>0</v>
      </c>
      <c r="J78" s="25">
        <f>E78*50%</f>
        <v>13366.325000000001</v>
      </c>
      <c r="K78" s="23">
        <f>E78*350%</f>
        <v>93564.275000000009</v>
      </c>
      <c r="L78" s="25">
        <f>E78*100%</f>
        <v>26732.65</v>
      </c>
      <c r="M78" s="179">
        <f>140000</f>
        <v>140000</v>
      </c>
      <c r="N78" s="179"/>
      <c r="O78" s="25">
        <f>E78*10%</f>
        <v>2673.2650000000003</v>
      </c>
      <c r="P78" s="25">
        <v>20000</v>
      </c>
      <c r="Q78" s="25">
        <v>0</v>
      </c>
      <c r="R78" s="23">
        <f t="shared" si="113"/>
        <v>405272.06374999997</v>
      </c>
      <c r="S78" s="23"/>
      <c r="T78" s="23">
        <v>20000</v>
      </c>
      <c r="U78" s="23">
        <f>96664.65</f>
        <v>96664.65</v>
      </c>
      <c r="V78" s="23">
        <f>0.025*E78</f>
        <v>668.31625000000008</v>
      </c>
      <c r="W78" s="25">
        <v>56350.58618666666</v>
      </c>
      <c r="X78" s="258">
        <f t="shared" si="108"/>
        <v>173683.55243666665</v>
      </c>
      <c r="Y78" s="23">
        <v>224977.40458333335</v>
      </c>
      <c r="Z78" s="207">
        <f t="shared" si="109"/>
        <v>231588.51131333332</v>
      </c>
      <c r="AA78" s="180"/>
    </row>
    <row r="79" spans="1:27" ht="20.100000000000001" customHeight="1">
      <c r="A79" s="28">
        <v>5</v>
      </c>
      <c r="B79" s="156" t="s">
        <v>324</v>
      </c>
      <c r="C79" s="20" t="s">
        <v>243</v>
      </c>
      <c r="D79" s="28" t="s">
        <v>164</v>
      </c>
      <c r="E79" s="25">
        <v>17784.099999999999</v>
      </c>
      <c r="F79" s="25"/>
      <c r="G79" s="25">
        <f t="shared" si="105"/>
        <v>53352.299999999996</v>
      </c>
      <c r="H79" s="25">
        <f t="shared" si="106"/>
        <v>1333.8074999999999</v>
      </c>
      <c r="I79" s="25"/>
      <c r="J79" s="25">
        <f t="shared" ref="J79:J80" si="114">E79*50%</f>
        <v>8892.0499999999993</v>
      </c>
      <c r="K79" s="25">
        <f t="shared" si="107"/>
        <v>62244.349999999991</v>
      </c>
      <c r="L79" s="25">
        <f t="shared" ref="L79:L80" si="115">E79*100%</f>
        <v>17784.099999999999</v>
      </c>
      <c r="M79" s="179">
        <f>100000</f>
        <v>100000</v>
      </c>
      <c r="N79" s="179"/>
      <c r="O79" s="25">
        <f t="shared" ref="O79:O80" si="116">E79*10%</f>
        <v>1778.4099999999999</v>
      </c>
      <c r="P79" s="25">
        <v>10000</v>
      </c>
      <c r="Q79" s="25"/>
      <c r="R79" s="204">
        <f t="shared" si="113"/>
        <v>273169.11749999999</v>
      </c>
      <c r="S79" s="23"/>
      <c r="T79" s="23">
        <f>50000</f>
        <v>50000</v>
      </c>
      <c r="U79" s="23">
        <f>50000</f>
        <v>50000</v>
      </c>
      <c r="V79" s="23"/>
      <c r="W79" s="25">
        <v>17507.548966666665</v>
      </c>
      <c r="X79" s="258">
        <f t="shared" si="108"/>
        <v>117507.54896666667</v>
      </c>
      <c r="Y79" s="23">
        <v>140110.03909333333</v>
      </c>
      <c r="Z79" s="207">
        <f t="shared" si="109"/>
        <v>155661.56853333331</v>
      </c>
      <c r="AA79" s="180"/>
    </row>
    <row r="80" spans="1:27" ht="20.100000000000001" customHeight="1">
      <c r="A80" s="28">
        <v>6</v>
      </c>
      <c r="B80" s="156" t="s">
        <v>554</v>
      </c>
      <c r="C80" s="20" t="s">
        <v>243</v>
      </c>
      <c r="D80" s="28" t="s">
        <v>498</v>
      </c>
      <c r="E80" s="25">
        <v>15188.67</v>
      </c>
      <c r="F80" s="25"/>
      <c r="G80" s="25">
        <f t="shared" si="105"/>
        <v>45566.01</v>
      </c>
      <c r="H80" s="25">
        <f t="shared" si="106"/>
        <v>1139.1502499999999</v>
      </c>
      <c r="I80" s="25"/>
      <c r="J80" s="25">
        <f t="shared" si="114"/>
        <v>7594.335</v>
      </c>
      <c r="K80" s="25">
        <f t="shared" si="107"/>
        <v>53160.345000000001</v>
      </c>
      <c r="L80" s="25">
        <f t="shared" si="115"/>
        <v>15188.67</v>
      </c>
      <c r="M80" s="179">
        <v>100000</v>
      </c>
      <c r="N80" s="179"/>
      <c r="O80" s="25">
        <f t="shared" si="116"/>
        <v>1518.8670000000002</v>
      </c>
      <c r="P80" s="25">
        <v>10000</v>
      </c>
      <c r="Q80" s="25"/>
      <c r="R80" s="204">
        <f t="shared" si="113"/>
        <v>249356.04725</v>
      </c>
      <c r="S80" s="23"/>
      <c r="T80" s="23"/>
      <c r="U80" s="23"/>
      <c r="V80" s="23"/>
      <c r="W80" s="25">
        <v>29058.48260466666</v>
      </c>
      <c r="X80" s="258">
        <f t="shared" si="108"/>
        <v>29058.48260466666</v>
      </c>
      <c r="Y80" s="23">
        <v>216843.13449999999</v>
      </c>
      <c r="Z80" s="207">
        <f t="shared" si="109"/>
        <v>220297.56464533333</v>
      </c>
      <c r="AA80" s="180"/>
    </row>
    <row r="81" spans="1:27" ht="20.100000000000001" customHeight="1">
      <c r="A81" s="28">
        <v>7</v>
      </c>
      <c r="B81" s="156" t="s">
        <v>552</v>
      </c>
      <c r="C81" s="20" t="s">
        <v>553</v>
      </c>
      <c r="D81" s="28" t="s">
        <v>176</v>
      </c>
      <c r="E81" s="25">
        <f>12732</f>
        <v>12732</v>
      </c>
      <c r="F81" s="25"/>
      <c r="G81" s="25">
        <v>37058.82</v>
      </c>
      <c r="H81" s="25">
        <v>926.47050000000002</v>
      </c>
      <c r="I81" s="25"/>
      <c r="J81" s="25">
        <v>6176.47</v>
      </c>
      <c r="K81" s="25">
        <v>43235.29</v>
      </c>
      <c r="L81" s="25">
        <v>12352.94</v>
      </c>
      <c r="M81" s="179">
        <v>100000</v>
      </c>
      <c r="N81" s="179">
        <v>0</v>
      </c>
      <c r="O81" s="25">
        <v>1235.2940000000001</v>
      </c>
      <c r="P81" s="25">
        <v>10000</v>
      </c>
      <c r="Q81" s="25"/>
      <c r="R81" s="204">
        <f t="shared" si="113"/>
        <v>223717.28450000001</v>
      </c>
      <c r="S81" s="23"/>
      <c r="T81" s="23">
        <v>20000</v>
      </c>
      <c r="U81" s="23">
        <v>0</v>
      </c>
      <c r="V81" s="23">
        <v>0</v>
      </c>
      <c r="W81" s="25">
        <v>24751.170462666665</v>
      </c>
      <c r="X81" s="258">
        <f t="shared" si="108"/>
        <v>44751.170462666661</v>
      </c>
      <c r="Y81" s="23">
        <v>178650.73450000002</v>
      </c>
      <c r="Z81" s="207">
        <f t="shared" si="109"/>
        <v>178966.11403733335</v>
      </c>
      <c r="AA81" s="180"/>
    </row>
    <row r="82" spans="1:27" ht="20.100000000000001" customHeight="1">
      <c r="A82" s="28"/>
      <c r="B82" s="159" t="s">
        <v>15</v>
      </c>
      <c r="C82" s="29">
        <v>7</v>
      </c>
      <c r="D82" s="29"/>
      <c r="E82" s="68">
        <f>SUM(E75:E81)</f>
        <v>219948.14</v>
      </c>
      <c r="F82" s="68">
        <f t="shared" ref="F82:Z82" si="117">SUM(F75:F81)</f>
        <v>0</v>
      </c>
      <c r="G82" s="68">
        <f t="shared" si="117"/>
        <v>658707.24</v>
      </c>
      <c r="H82" s="68">
        <f t="shared" si="117"/>
        <v>16467.681</v>
      </c>
      <c r="I82" s="68">
        <f t="shared" si="117"/>
        <v>160488.76</v>
      </c>
      <c r="J82" s="68">
        <f t="shared" si="117"/>
        <v>109784.54000000001</v>
      </c>
      <c r="K82" s="68">
        <f t="shared" si="117"/>
        <v>768491.78</v>
      </c>
      <c r="L82" s="68">
        <f t="shared" si="117"/>
        <v>219569.08000000002</v>
      </c>
      <c r="M82" s="68">
        <f t="shared" si="117"/>
        <v>800000</v>
      </c>
      <c r="N82" s="68">
        <f t="shared" si="117"/>
        <v>80000</v>
      </c>
      <c r="O82" s="68">
        <f t="shared" si="117"/>
        <v>21956.908000000003</v>
      </c>
      <c r="P82" s="68">
        <f t="shared" si="117"/>
        <v>110000</v>
      </c>
      <c r="Q82" s="68">
        <f t="shared" si="117"/>
        <v>0</v>
      </c>
      <c r="R82" s="68">
        <f t="shared" si="117"/>
        <v>3165414.1290000002</v>
      </c>
      <c r="S82" s="68">
        <f t="shared" si="117"/>
        <v>0</v>
      </c>
      <c r="T82" s="68">
        <f t="shared" si="117"/>
        <v>390000</v>
      </c>
      <c r="U82" s="68">
        <f t="shared" si="117"/>
        <v>206247.97999999998</v>
      </c>
      <c r="V82" s="68">
        <f t="shared" si="117"/>
        <v>668.31625000000008</v>
      </c>
      <c r="W82" s="68">
        <f t="shared" si="117"/>
        <v>450336.51449266676</v>
      </c>
      <c r="X82" s="358">
        <f t="shared" si="117"/>
        <v>1047252.8107426667</v>
      </c>
      <c r="Y82" s="68">
        <v>2073779.4403606665</v>
      </c>
      <c r="Z82" s="337">
        <f t="shared" si="117"/>
        <v>2118161.3182573337</v>
      </c>
      <c r="AA82" s="180"/>
    </row>
    <row r="83" spans="1:27" ht="20.100000000000001" customHeight="1">
      <c r="A83" s="28"/>
      <c r="B83" s="159"/>
      <c r="C83" s="29"/>
      <c r="D83" s="29"/>
      <c r="E83" s="30"/>
      <c r="F83" s="30"/>
      <c r="G83" s="30"/>
      <c r="H83" s="30"/>
      <c r="I83" s="30"/>
      <c r="J83" s="30"/>
      <c r="K83" s="30"/>
      <c r="L83" s="30"/>
      <c r="M83" s="179"/>
      <c r="N83" s="179"/>
      <c r="O83" s="30"/>
      <c r="P83" s="30"/>
      <c r="Q83" s="30"/>
      <c r="R83" s="213"/>
      <c r="S83" s="182"/>
      <c r="T83" s="182"/>
      <c r="U83" s="182"/>
      <c r="V83" s="182"/>
      <c r="W83" s="30"/>
      <c r="X83" s="258"/>
      <c r="Y83" s="23"/>
      <c r="Z83" s="207"/>
      <c r="AA83" s="180"/>
    </row>
    <row r="84" spans="1:27" ht="20.100000000000001" customHeight="1">
      <c r="A84" s="28"/>
      <c r="B84" s="159" t="s">
        <v>463</v>
      </c>
      <c r="C84" s="186"/>
      <c r="D84" s="29"/>
      <c r="E84" s="30"/>
      <c r="F84" s="30"/>
      <c r="G84" s="30"/>
      <c r="H84" s="30"/>
      <c r="I84" s="30"/>
      <c r="J84" s="30"/>
      <c r="K84" s="30"/>
      <c r="L84" s="30"/>
      <c r="M84" s="179"/>
      <c r="N84" s="179"/>
      <c r="O84" s="30"/>
      <c r="P84" s="30"/>
      <c r="Q84" s="30"/>
      <c r="R84" s="213"/>
      <c r="S84" s="182"/>
      <c r="T84" s="182"/>
      <c r="U84" s="182"/>
      <c r="V84" s="182"/>
      <c r="W84" s="30"/>
      <c r="X84" s="258"/>
      <c r="Y84" s="23"/>
      <c r="Z84" s="207"/>
      <c r="AA84" s="180"/>
    </row>
    <row r="85" spans="1:27" ht="20.100000000000001" customHeight="1">
      <c r="A85" s="28">
        <v>1</v>
      </c>
      <c r="B85" s="156" t="s">
        <v>169</v>
      </c>
      <c r="C85" s="20" t="s">
        <v>258</v>
      </c>
      <c r="D85" s="28" t="s">
        <v>75</v>
      </c>
      <c r="E85" s="25">
        <v>33507.5</v>
      </c>
      <c r="F85" s="25"/>
      <c r="G85" s="25">
        <f t="shared" ref="G85:G88" si="118">E85*300%</f>
        <v>100522.5</v>
      </c>
      <c r="H85" s="25">
        <f t="shared" ref="H85:H88" si="119">E85*7.5%</f>
        <v>2513.0625</v>
      </c>
      <c r="I85" s="25">
        <f>40122.19</f>
        <v>40122.19</v>
      </c>
      <c r="J85" s="25">
        <f t="shared" ref="J85:J88" si="120">E85*50%</f>
        <v>16753.75</v>
      </c>
      <c r="K85" s="25">
        <f t="shared" ref="K85:K88" si="121">E85*350%</f>
        <v>117276.25</v>
      </c>
      <c r="L85" s="25">
        <f t="shared" ref="L85:L88" si="122">E85*100%</f>
        <v>33507.5</v>
      </c>
      <c r="M85" s="179">
        <f>160000</f>
        <v>160000</v>
      </c>
      <c r="N85" s="179"/>
      <c r="O85" s="25">
        <f t="shared" ref="O85:O88" si="123">E85*10%</f>
        <v>3350.75</v>
      </c>
      <c r="P85" s="25">
        <v>20000</v>
      </c>
      <c r="Q85" s="25">
        <v>100000</v>
      </c>
      <c r="R85" s="204">
        <f t="shared" ref="R85:R94" si="124">SUM(E85:Q85)</f>
        <v>627553.50249999994</v>
      </c>
      <c r="S85" s="23"/>
      <c r="T85" s="23"/>
      <c r="U85" s="23"/>
      <c r="V85" s="23"/>
      <c r="W85" s="25">
        <v>99156.939146666671</v>
      </c>
      <c r="X85" s="258">
        <f t="shared" ref="X85:X94" si="125">W85+V85+U85+T85+S85</f>
        <v>99156.939146666671</v>
      </c>
      <c r="Y85" s="23">
        <v>528396.5625</v>
      </c>
      <c r="Z85" s="207">
        <f t="shared" ref="Z85:Z94" si="126">R85-X85</f>
        <v>528396.56335333327</v>
      </c>
      <c r="AA85" s="180"/>
    </row>
    <row r="86" spans="1:27" ht="20.100000000000001" customHeight="1">
      <c r="A86" s="28">
        <v>2</v>
      </c>
      <c r="B86" s="156" t="s">
        <v>192</v>
      </c>
      <c r="C86" s="20" t="s">
        <v>258</v>
      </c>
      <c r="D86" s="28" t="s">
        <v>75</v>
      </c>
      <c r="E86" s="25">
        <v>33507.5</v>
      </c>
      <c r="F86" s="25"/>
      <c r="G86" s="25">
        <f>E86*300%</f>
        <v>100522.5</v>
      </c>
      <c r="H86" s="25">
        <f>E86*7.5%</f>
        <v>2513.0625</v>
      </c>
      <c r="I86" s="25">
        <f>40122.19</f>
        <v>40122.19</v>
      </c>
      <c r="J86" s="25">
        <f>E86*50%</f>
        <v>16753.75</v>
      </c>
      <c r="K86" s="25">
        <f>E86*350%</f>
        <v>117276.25</v>
      </c>
      <c r="L86" s="25">
        <f>E86*100%</f>
        <v>33507.5</v>
      </c>
      <c r="M86" s="179">
        <f>160000</f>
        <v>160000</v>
      </c>
      <c r="N86" s="179"/>
      <c r="O86" s="25">
        <f>E86*10%</f>
        <v>3350.75</v>
      </c>
      <c r="P86" s="25">
        <v>20000</v>
      </c>
      <c r="Q86" s="25"/>
      <c r="R86" s="204">
        <f t="shared" si="124"/>
        <v>527553.50249999994</v>
      </c>
      <c r="S86" s="23"/>
      <c r="T86" s="23">
        <f>30000</f>
        <v>30000</v>
      </c>
      <c r="U86" s="23">
        <v>98750</v>
      </c>
      <c r="V86" s="23">
        <f>0.025*E86</f>
        <v>837.6875</v>
      </c>
      <c r="W86" s="25">
        <v>98996.103146666661</v>
      </c>
      <c r="X86" s="258">
        <f t="shared" si="125"/>
        <v>228583.79064666666</v>
      </c>
      <c r="Y86" s="23">
        <v>318169.71185333328</v>
      </c>
      <c r="Z86" s="207">
        <f t="shared" si="126"/>
        <v>298969.71185333328</v>
      </c>
      <c r="AA86" s="180">
        <f>Y86-Z86</f>
        <v>19200</v>
      </c>
    </row>
    <row r="87" spans="1:27" ht="20.100000000000001" customHeight="1">
      <c r="A87" s="28">
        <v>3</v>
      </c>
      <c r="B87" s="156" t="s">
        <v>202</v>
      </c>
      <c r="C87" s="20" t="s">
        <v>258</v>
      </c>
      <c r="D87" s="28" t="s">
        <v>30</v>
      </c>
      <c r="E87" s="25">
        <v>31019.84</v>
      </c>
      <c r="F87" s="25"/>
      <c r="G87" s="25">
        <f t="shared" si="118"/>
        <v>93059.520000000004</v>
      </c>
      <c r="H87" s="25">
        <f t="shared" si="119"/>
        <v>2326.4879999999998</v>
      </c>
      <c r="I87" s="25">
        <f>40122.19</f>
        <v>40122.19</v>
      </c>
      <c r="J87" s="25">
        <f t="shared" si="120"/>
        <v>15509.92</v>
      </c>
      <c r="K87" s="25">
        <f t="shared" si="121"/>
        <v>108569.44</v>
      </c>
      <c r="L87" s="25">
        <f t="shared" si="122"/>
        <v>31019.84</v>
      </c>
      <c r="M87" s="179">
        <v>160000</v>
      </c>
      <c r="N87" s="179"/>
      <c r="O87" s="25">
        <f t="shared" si="123"/>
        <v>3101.9840000000004</v>
      </c>
      <c r="P87" s="25">
        <v>20000</v>
      </c>
      <c r="Q87" s="25"/>
      <c r="R87" s="23">
        <f t="shared" si="124"/>
        <v>504729.22200000007</v>
      </c>
      <c r="S87" s="23"/>
      <c r="T87" s="23">
        <f>50000</f>
        <v>50000</v>
      </c>
      <c r="U87" s="179">
        <f>79861.11</f>
        <v>79861.11</v>
      </c>
      <c r="V87" s="23"/>
      <c r="W87" s="23">
        <v>79956.939146666657</v>
      </c>
      <c r="X87" s="258">
        <f t="shared" si="125"/>
        <v>209818.04914666666</v>
      </c>
      <c r="Y87" s="23">
        <v>299295.1733333334</v>
      </c>
      <c r="Z87" s="207">
        <f t="shared" si="126"/>
        <v>294911.17285333341</v>
      </c>
      <c r="AA87" s="180"/>
    </row>
    <row r="88" spans="1:27" ht="21.6" customHeight="1">
      <c r="A88" s="28">
        <v>4</v>
      </c>
      <c r="B88" s="156" t="s">
        <v>101</v>
      </c>
      <c r="C88" s="20" t="s">
        <v>80</v>
      </c>
      <c r="D88" s="181" t="s">
        <v>175</v>
      </c>
      <c r="E88" s="25">
        <v>26339.3</v>
      </c>
      <c r="F88" s="25"/>
      <c r="G88" s="25">
        <f t="shared" si="118"/>
        <v>79017.899999999994</v>
      </c>
      <c r="H88" s="25">
        <f t="shared" si="119"/>
        <v>1975.4474999999998</v>
      </c>
      <c r="I88" s="25">
        <v>0</v>
      </c>
      <c r="J88" s="25">
        <f t="shared" si="120"/>
        <v>13169.65</v>
      </c>
      <c r="K88" s="23">
        <f t="shared" si="121"/>
        <v>92187.55</v>
      </c>
      <c r="L88" s="25">
        <f t="shared" si="122"/>
        <v>26339.3</v>
      </c>
      <c r="M88" s="179">
        <f>120000</f>
        <v>120000</v>
      </c>
      <c r="N88" s="179"/>
      <c r="O88" s="25">
        <f t="shared" si="123"/>
        <v>2633.9300000000003</v>
      </c>
      <c r="P88" s="25">
        <v>15000</v>
      </c>
      <c r="Q88" s="25">
        <v>0</v>
      </c>
      <c r="R88" s="204">
        <f t="shared" si="124"/>
        <v>376663.07749999996</v>
      </c>
      <c r="S88" s="23"/>
      <c r="T88" s="23">
        <f>50000</f>
        <v>50000</v>
      </c>
      <c r="U88" s="23">
        <v>0</v>
      </c>
      <c r="V88" s="23"/>
      <c r="W88" s="25">
        <v>75574.677290666688</v>
      </c>
      <c r="X88" s="258">
        <f t="shared" si="125"/>
        <v>125574.67729066669</v>
      </c>
      <c r="Y88" s="23">
        <v>269628.87756333337</v>
      </c>
      <c r="Z88" s="207">
        <f t="shared" si="126"/>
        <v>251088.40020933328</v>
      </c>
      <c r="AA88" s="180"/>
    </row>
    <row r="89" spans="1:27" ht="21.6" customHeight="1">
      <c r="A89" s="28">
        <v>5</v>
      </c>
      <c r="B89" s="156" t="s">
        <v>336</v>
      </c>
      <c r="C89" s="161" t="s">
        <v>257</v>
      </c>
      <c r="D89" s="181" t="s">
        <v>170</v>
      </c>
      <c r="E89" s="25">
        <f>25523.45</f>
        <v>25523.45</v>
      </c>
      <c r="F89" s="25"/>
      <c r="G89" s="25">
        <f t="shared" ref="G89:G94" si="127">E89*300%</f>
        <v>76570.350000000006</v>
      </c>
      <c r="H89" s="25">
        <f t="shared" ref="H89:H94" si="128">E89*7.5%</f>
        <v>1914.25875</v>
      </c>
      <c r="I89" s="25">
        <v>0</v>
      </c>
      <c r="J89" s="25">
        <f t="shared" ref="J89:J94" si="129">E89*50%</f>
        <v>12761.725</v>
      </c>
      <c r="K89" s="23">
        <f t="shared" ref="K89:K94" si="130">E89*350%</f>
        <v>89332.074999999997</v>
      </c>
      <c r="L89" s="25">
        <f t="shared" ref="L89:L94" si="131">E89*100%</f>
        <v>25523.45</v>
      </c>
      <c r="M89" s="179">
        <f t="shared" ref="M89" si="132">120000</f>
        <v>120000</v>
      </c>
      <c r="N89" s="179"/>
      <c r="O89" s="25">
        <f t="shared" ref="O89:O94" si="133">E89*10%</f>
        <v>2552.3450000000003</v>
      </c>
      <c r="P89" s="25">
        <v>15000</v>
      </c>
      <c r="Q89" s="25">
        <v>0</v>
      </c>
      <c r="R89" s="204">
        <f t="shared" si="124"/>
        <v>369177.65375</v>
      </c>
      <c r="S89" s="23"/>
      <c r="T89" s="23">
        <v>50000</v>
      </c>
      <c r="U89" s="23">
        <v>20000</v>
      </c>
      <c r="V89" s="23"/>
      <c r="W89" s="25">
        <v>50985.977546666662</v>
      </c>
      <c r="X89" s="258">
        <f t="shared" si="125"/>
        <v>120985.97754666666</v>
      </c>
      <c r="Y89" s="23">
        <v>313830.19021733332</v>
      </c>
      <c r="Z89" s="207">
        <f t="shared" si="126"/>
        <v>248191.67620333334</v>
      </c>
      <c r="AA89" s="180"/>
    </row>
    <row r="90" spans="1:27" ht="21.6" customHeight="1">
      <c r="A90" s="28">
        <v>6</v>
      </c>
      <c r="B90" s="156" t="s">
        <v>337</v>
      </c>
      <c r="C90" s="161" t="s">
        <v>297</v>
      </c>
      <c r="D90" s="181" t="s">
        <v>95</v>
      </c>
      <c r="E90" s="25">
        <f>[4]Sheet1!$D$17</f>
        <v>24975.81</v>
      </c>
      <c r="F90" s="25"/>
      <c r="G90" s="25">
        <f t="shared" si="127"/>
        <v>74927.430000000008</v>
      </c>
      <c r="H90" s="25">
        <f t="shared" si="128"/>
        <v>1873.1857500000001</v>
      </c>
      <c r="I90" s="25">
        <v>0</v>
      </c>
      <c r="J90" s="25">
        <f t="shared" si="129"/>
        <v>12487.905000000001</v>
      </c>
      <c r="K90" s="23">
        <f t="shared" si="130"/>
        <v>87415.335000000006</v>
      </c>
      <c r="L90" s="25">
        <f t="shared" si="131"/>
        <v>24975.81</v>
      </c>
      <c r="M90" s="179">
        <f>140000</f>
        <v>140000</v>
      </c>
      <c r="N90" s="179"/>
      <c r="O90" s="25">
        <f t="shared" si="133"/>
        <v>2497.5810000000001</v>
      </c>
      <c r="P90" s="25">
        <v>20000</v>
      </c>
      <c r="Q90" s="25">
        <v>0</v>
      </c>
      <c r="R90" s="23">
        <f t="shared" si="124"/>
        <v>389153.05674999999</v>
      </c>
      <c r="S90" s="23"/>
      <c r="T90" s="23">
        <f>100000-100000</f>
        <v>0</v>
      </c>
      <c r="U90" s="23"/>
      <c r="V90" s="23"/>
      <c r="W90" s="25">
        <v>49548.776186666662</v>
      </c>
      <c r="X90" s="258">
        <f t="shared" si="125"/>
        <v>49548.776186666662</v>
      </c>
      <c r="Y90" s="23">
        <v>335768.93408333336</v>
      </c>
      <c r="Z90" s="207">
        <f t="shared" si="126"/>
        <v>339604.2805633333</v>
      </c>
      <c r="AA90" s="180"/>
    </row>
    <row r="91" spans="1:27" ht="21.6" customHeight="1">
      <c r="A91" s="28">
        <v>7</v>
      </c>
      <c r="B91" s="156" t="s">
        <v>421</v>
      </c>
      <c r="C91" s="112" t="s">
        <v>422</v>
      </c>
      <c r="D91" s="181" t="s">
        <v>415</v>
      </c>
      <c r="E91" s="25">
        <v>21520.880000000001</v>
      </c>
      <c r="F91" s="25"/>
      <c r="G91" s="25">
        <f t="shared" si="127"/>
        <v>64562.64</v>
      </c>
      <c r="H91" s="25">
        <f t="shared" si="128"/>
        <v>1614.066</v>
      </c>
      <c r="I91" s="25">
        <v>0</v>
      </c>
      <c r="J91" s="25">
        <f t="shared" si="129"/>
        <v>10760.44</v>
      </c>
      <c r="K91" s="23">
        <f t="shared" si="130"/>
        <v>75323.08</v>
      </c>
      <c r="L91" s="25">
        <f t="shared" si="131"/>
        <v>21520.880000000001</v>
      </c>
      <c r="M91" s="179">
        <f t="shared" ref="M91" si="134">110000</f>
        <v>110000</v>
      </c>
      <c r="N91" s="179"/>
      <c r="O91" s="25">
        <f t="shared" si="133"/>
        <v>2152.0880000000002</v>
      </c>
      <c r="P91" s="25">
        <v>15000</v>
      </c>
      <c r="Q91" s="25">
        <v>0</v>
      </c>
      <c r="R91" s="204">
        <f t="shared" si="124"/>
        <v>322454.07400000002</v>
      </c>
      <c r="S91" s="23"/>
      <c r="T91" s="23">
        <f>20000</f>
        <v>20000</v>
      </c>
      <c r="U91" s="23">
        <v>43750</v>
      </c>
      <c r="V91" s="23"/>
      <c r="W91" s="25">
        <v>53384.053562666668</v>
      </c>
      <c r="X91" s="258">
        <f t="shared" si="125"/>
        <v>117134.05356266667</v>
      </c>
      <c r="Y91" s="23">
        <v>211472.89973333332</v>
      </c>
      <c r="Z91" s="207">
        <f t="shared" si="126"/>
        <v>205320.02043733335</v>
      </c>
      <c r="AA91" s="180"/>
    </row>
    <row r="92" spans="1:27" ht="21.6" customHeight="1">
      <c r="A92" s="28">
        <v>8</v>
      </c>
      <c r="B92" s="156" t="s">
        <v>556</v>
      </c>
      <c r="C92" s="112" t="s">
        <v>257</v>
      </c>
      <c r="D92" s="181" t="s">
        <v>769</v>
      </c>
      <c r="E92" s="25">
        <v>23074.99</v>
      </c>
      <c r="F92" s="25"/>
      <c r="G92" s="25">
        <f t="shared" si="127"/>
        <v>69224.97</v>
      </c>
      <c r="H92" s="25">
        <f t="shared" si="128"/>
        <v>1730.6242500000001</v>
      </c>
      <c r="I92" s="25">
        <v>0</v>
      </c>
      <c r="J92" s="25">
        <f t="shared" si="129"/>
        <v>11537.495000000001</v>
      </c>
      <c r="K92" s="23">
        <f t="shared" si="130"/>
        <v>80762.465000000011</v>
      </c>
      <c r="L92" s="25">
        <f t="shared" si="131"/>
        <v>23074.99</v>
      </c>
      <c r="M92" s="179">
        <v>120000</v>
      </c>
      <c r="N92" s="179"/>
      <c r="O92" s="25">
        <f t="shared" si="133"/>
        <v>2307.4990000000003</v>
      </c>
      <c r="P92" s="25">
        <v>15000</v>
      </c>
      <c r="Q92" s="25">
        <v>0</v>
      </c>
      <c r="R92" s="204">
        <f t="shared" si="124"/>
        <v>346713.03325000004</v>
      </c>
      <c r="S92" s="23"/>
      <c r="T92" s="23">
        <v>0</v>
      </c>
      <c r="U92" s="23"/>
      <c r="V92" s="23">
        <f>0.025*E92</f>
        <v>576.87475000000006</v>
      </c>
      <c r="W92" s="25">
        <v>41242.036140666671</v>
      </c>
      <c r="X92" s="258">
        <f t="shared" si="125"/>
        <v>41818.910890666673</v>
      </c>
      <c r="Y92" s="23">
        <v>274704.17000000004</v>
      </c>
      <c r="Z92" s="207">
        <f>R92-X92-9271.87</f>
        <v>295622.25235933339</v>
      </c>
      <c r="AA92" s="180"/>
    </row>
    <row r="93" spans="1:27" ht="21.6" customHeight="1">
      <c r="A93" s="28">
        <v>9</v>
      </c>
      <c r="B93" s="156" t="s">
        <v>436</v>
      </c>
      <c r="C93" s="20" t="s">
        <v>470</v>
      </c>
      <c r="D93" s="28" t="s">
        <v>207</v>
      </c>
      <c r="E93" s="179">
        <v>18281.64</v>
      </c>
      <c r="F93" s="25"/>
      <c r="G93" s="25">
        <f t="shared" si="127"/>
        <v>54844.92</v>
      </c>
      <c r="H93" s="25">
        <f t="shared" si="128"/>
        <v>1371.1229999999998</v>
      </c>
      <c r="I93" s="25"/>
      <c r="J93" s="25">
        <f t="shared" si="129"/>
        <v>9140.82</v>
      </c>
      <c r="K93" s="25">
        <f t="shared" si="130"/>
        <v>63985.74</v>
      </c>
      <c r="L93" s="25">
        <f t="shared" si="131"/>
        <v>18281.64</v>
      </c>
      <c r="M93" s="179">
        <v>100000</v>
      </c>
      <c r="N93" s="179"/>
      <c r="O93" s="25">
        <f t="shared" si="133"/>
        <v>1828.164</v>
      </c>
      <c r="P93" s="25">
        <v>10000</v>
      </c>
      <c r="Q93" s="25"/>
      <c r="R93" s="204">
        <f t="shared" si="124"/>
        <v>277734.04699999996</v>
      </c>
      <c r="S93" s="23"/>
      <c r="T93" s="23"/>
      <c r="U93" s="23"/>
      <c r="V93" s="23"/>
      <c r="W93" s="25">
        <v>45414.456252666663</v>
      </c>
      <c r="X93" s="258">
        <f t="shared" si="125"/>
        <v>45414.456252666663</v>
      </c>
      <c r="Y93" s="23">
        <v>236310.25775000005</v>
      </c>
      <c r="Z93" s="207">
        <f t="shared" si="126"/>
        <v>232319.59074733331</v>
      </c>
      <c r="AA93" s="180"/>
    </row>
    <row r="94" spans="1:27" ht="21.6" customHeight="1">
      <c r="A94" s="28">
        <v>10</v>
      </c>
      <c r="B94" s="156" t="s">
        <v>406</v>
      </c>
      <c r="C94" s="112" t="s">
        <v>432</v>
      </c>
      <c r="D94" s="181" t="s">
        <v>51</v>
      </c>
      <c r="E94" s="179">
        <f>13112.16</f>
        <v>13112.16</v>
      </c>
      <c r="F94" s="25"/>
      <c r="G94" s="25">
        <f t="shared" si="127"/>
        <v>39336.479999999996</v>
      </c>
      <c r="H94" s="25">
        <f t="shared" si="128"/>
        <v>983.41199999999992</v>
      </c>
      <c r="I94" s="25"/>
      <c r="J94" s="25">
        <f t="shared" si="129"/>
        <v>6556.08</v>
      </c>
      <c r="K94" s="23">
        <f t="shared" si="130"/>
        <v>45892.56</v>
      </c>
      <c r="L94" s="25">
        <f t="shared" si="131"/>
        <v>13112.16</v>
      </c>
      <c r="M94" s="179">
        <f t="shared" ref="M94" si="135">100000</f>
        <v>100000</v>
      </c>
      <c r="N94" s="179"/>
      <c r="O94" s="25">
        <f t="shared" si="133"/>
        <v>1311.2160000000001</v>
      </c>
      <c r="P94" s="25">
        <v>10000</v>
      </c>
      <c r="Q94" s="25">
        <v>24566.195445000001</v>
      </c>
      <c r="R94" s="204">
        <f t="shared" si="124"/>
        <v>254870.26344499999</v>
      </c>
      <c r="S94" s="23"/>
      <c r="T94" s="23">
        <v>50000</v>
      </c>
      <c r="U94" s="23"/>
      <c r="V94" s="23">
        <v>0</v>
      </c>
      <c r="W94" s="25">
        <v>33825.986562666658</v>
      </c>
      <c r="X94" s="258">
        <f t="shared" si="125"/>
        <v>83825.986562666658</v>
      </c>
      <c r="Y94" s="23">
        <v>148959.31243733334</v>
      </c>
      <c r="Z94" s="207">
        <f t="shared" si="126"/>
        <v>171044.27688233333</v>
      </c>
      <c r="AA94" s="180"/>
    </row>
    <row r="95" spans="1:27" ht="20.100000000000001" customHeight="1">
      <c r="A95" s="28"/>
      <c r="B95" s="159" t="s">
        <v>15</v>
      </c>
      <c r="C95" s="29">
        <v>11</v>
      </c>
      <c r="D95" s="29"/>
      <c r="E95" s="68">
        <f t="shared" ref="E95:X95" si="136">SUM(E85:E94)</f>
        <v>250863.06999999998</v>
      </c>
      <c r="F95" s="68">
        <f t="shared" si="136"/>
        <v>0</v>
      </c>
      <c r="G95" s="68">
        <f t="shared" si="136"/>
        <v>752589.21000000008</v>
      </c>
      <c r="H95" s="68">
        <f t="shared" si="136"/>
        <v>18814.730250000001</v>
      </c>
      <c r="I95" s="68">
        <f t="shared" si="136"/>
        <v>120366.57</v>
      </c>
      <c r="J95" s="68">
        <f t="shared" si="136"/>
        <v>125431.53499999999</v>
      </c>
      <c r="K95" s="68">
        <f t="shared" si="136"/>
        <v>878020.74499999988</v>
      </c>
      <c r="L95" s="68">
        <f t="shared" si="136"/>
        <v>250863.06999999998</v>
      </c>
      <c r="M95" s="68">
        <f t="shared" si="136"/>
        <v>1290000</v>
      </c>
      <c r="N95" s="68">
        <f t="shared" si="136"/>
        <v>0</v>
      </c>
      <c r="O95" s="68">
        <f t="shared" si="136"/>
        <v>25086.307000000004</v>
      </c>
      <c r="P95" s="68">
        <f t="shared" si="136"/>
        <v>160000</v>
      </c>
      <c r="Q95" s="68">
        <f t="shared" si="136"/>
        <v>124566.195445</v>
      </c>
      <c r="R95" s="68">
        <f t="shared" si="136"/>
        <v>3996601.4326949995</v>
      </c>
      <c r="S95" s="68">
        <f t="shared" si="136"/>
        <v>0</v>
      </c>
      <c r="T95" s="68">
        <f t="shared" si="136"/>
        <v>250000</v>
      </c>
      <c r="U95" s="68">
        <f t="shared" si="136"/>
        <v>242361.11</v>
      </c>
      <c r="V95" s="68">
        <f t="shared" si="136"/>
        <v>1414.5622499999999</v>
      </c>
      <c r="W95" s="68">
        <f t="shared" si="136"/>
        <v>628085.94498266676</v>
      </c>
      <c r="X95" s="358">
        <f t="shared" si="136"/>
        <v>1121861.6172326666</v>
      </c>
      <c r="Y95" s="68">
        <v>3181874.4517246666</v>
      </c>
      <c r="Z95" s="337">
        <f>SUM(Z85:Z94)</f>
        <v>2865467.945462333</v>
      </c>
      <c r="AA95" s="180"/>
    </row>
    <row r="96" spans="1:27" ht="20.100000000000001" customHeight="1">
      <c r="A96" s="28"/>
      <c r="B96" s="123"/>
      <c r="C96" s="29"/>
      <c r="D96" s="29"/>
      <c r="E96" s="30"/>
      <c r="F96" s="30"/>
      <c r="G96" s="30"/>
      <c r="H96" s="30"/>
      <c r="I96" s="30"/>
      <c r="J96" s="30"/>
      <c r="K96" s="30"/>
      <c r="L96" s="30"/>
      <c r="M96" s="179"/>
      <c r="N96" s="179"/>
      <c r="O96" s="30"/>
      <c r="P96" s="30"/>
      <c r="Q96" s="30"/>
      <c r="R96" s="30"/>
      <c r="S96" s="30"/>
      <c r="T96" s="30"/>
      <c r="U96" s="30"/>
      <c r="V96" s="30"/>
      <c r="W96" s="30"/>
      <c r="X96" s="260"/>
      <c r="Y96" s="30"/>
      <c r="Z96" s="218"/>
      <c r="AA96" s="180"/>
    </row>
    <row r="97" spans="1:27" ht="20.100000000000001" customHeight="1">
      <c r="A97" s="28"/>
      <c r="B97" s="159" t="s">
        <v>464</v>
      </c>
      <c r="C97" s="29"/>
      <c r="D97" s="29"/>
      <c r="E97" s="30"/>
      <c r="F97" s="30"/>
      <c r="G97" s="30"/>
      <c r="H97" s="30"/>
      <c r="I97" s="30"/>
      <c r="J97" s="30"/>
      <c r="K97" s="30"/>
      <c r="L97" s="30"/>
      <c r="M97" s="179"/>
      <c r="N97" s="179"/>
      <c r="O97" s="30"/>
      <c r="P97" s="30"/>
      <c r="Q97" s="30"/>
      <c r="R97" s="30"/>
      <c r="S97" s="30"/>
      <c r="T97" s="30"/>
      <c r="U97" s="30"/>
      <c r="V97" s="30"/>
      <c r="W97" s="30"/>
      <c r="X97" s="260"/>
      <c r="Y97" s="30"/>
      <c r="Z97" s="218"/>
      <c r="AA97" s="180"/>
    </row>
    <row r="98" spans="1:27" ht="20.100000000000001" customHeight="1">
      <c r="A98" s="28">
        <v>1</v>
      </c>
      <c r="B98" s="158" t="s">
        <v>112</v>
      </c>
      <c r="C98" s="20" t="s">
        <v>741</v>
      </c>
      <c r="D98" s="24" t="s">
        <v>160</v>
      </c>
      <c r="E98" s="23">
        <f>42653.17</f>
        <v>42653.17</v>
      </c>
      <c r="F98" s="25"/>
      <c r="G98" s="25">
        <f>E98*300%</f>
        <v>127959.51</v>
      </c>
      <c r="H98" s="25">
        <f>E98*7.5%</f>
        <v>3198.9877499999998</v>
      </c>
      <c r="I98" s="25">
        <v>40122.19</v>
      </c>
      <c r="J98" s="25">
        <f>E98*50%</f>
        <v>21326.584999999999</v>
      </c>
      <c r="K98" s="25">
        <f>E98*350%</f>
        <v>149286.095</v>
      </c>
      <c r="L98" s="25">
        <f>E98*100%</f>
        <v>42653.17</v>
      </c>
      <c r="M98" s="179"/>
      <c r="N98" s="179">
        <f>80000+10000</f>
        <v>90000</v>
      </c>
      <c r="O98" s="25">
        <f>E98*10%</f>
        <v>4265.317</v>
      </c>
      <c r="P98" s="25">
        <v>20000</v>
      </c>
      <c r="Q98" s="25"/>
      <c r="R98" s="204">
        <f>Q98+P98+O98+N98+M98+L98+K98+J98+I98+H98+G98+F98+E98</f>
        <v>541465.02474999998</v>
      </c>
      <c r="S98" s="23"/>
      <c r="T98" s="23">
        <f>0</f>
        <v>0</v>
      </c>
      <c r="U98" s="23">
        <v>0</v>
      </c>
      <c r="V98" s="23">
        <f>0.025*E98</f>
        <v>1066.32925</v>
      </c>
      <c r="W98" s="23">
        <v>82423.216202666677</v>
      </c>
      <c r="X98" s="258">
        <f>W98+V98+U98+T98+S98</f>
        <v>83489.545452666673</v>
      </c>
      <c r="Y98" s="23">
        <v>822510.71349999995</v>
      </c>
      <c r="Z98" s="207">
        <f>R98-X98</f>
        <v>457975.47929733328</v>
      </c>
      <c r="AA98" s="180"/>
    </row>
    <row r="99" spans="1:27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5">
        <v>26732.65</v>
      </c>
      <c r="F99" s="25"/>
      <c r="G99" s="25">
        <f>E99*300%</f>
        <v>80197.950000000012</v>
      </c>
      <c r="H99" s="25">
        <f>E99*7.5%</f>
        <v>2004.94875</v>
      </c>
      <c r="I99" s="23">
        <v>0</v>
      </c>
      <c r="J99" s="25">
        <f>E99*50%</f>
        <v>13366.325000000001</v>
      </c>
      <c r="K99" s="23">
        <f>E99*350%</f>
        <v>93564.275000000009</v>
      </c>
      <c r="L99" s="25">
        <f>E99*100%</f>
        <v>26732.65</v>
      </c>
      <c r="M99" s="179"/>
      <c r="N99" s="179">
        <v>70000</v>
      </c>
      <c r="O99" s="25">
        <f>E99*10%</f>
        <v>2673.2650000000003</v>
      </c>
      <c r="P99" s="25">
        <v>20000</v>
      </c>
      <c r="Q99" s="25">
        <v>0</v>
      </c>
      <c r="R99" s="204">
        <f>SUM(E99:Q99)</f>
        <v>335272.06374999997</v>
      </c>
      <c r="S99" s="23"/>
      <c r="T99" s="23">
        <f>10000</f>
        <v>10000</v>
      </c>
      <c r="U99" s="23">
        <v>175000</v>
      </c>
      <c r="V99" s="23"/>
      <c r="W99" s="25">
        <v>82627.951418666678</v>
      </c>
      <c r="X99" s="258">
        <f>W99+V99+U99+T99+S99</f>
        <v>267627.95141866669</v>
      </c>
      <c r="Y99" s="23">
        <v>161513.24264333333</v>
      </c>
      <c r="Z99" s="207">
        <f>R99-X99</f>
        <v>67644.112331333279</v>
      </c>
      <c r="AA99" s="180"/>
    </row>
    <row r="100" spans="1:27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5">
        <f>22837.82</f>
        <v>22837.82</v>
      </c>
      <c r="F100" s="25"/>
      <c r="G100" s="25">
        <f>E100*300%</f>
        <v>68513.459999999992</v>
      </c>
      <c r="H100" s="25">
        <f>E100*7.5%</f>
        <v>1712.8364999999999</v>
      </c>
      <c r="I100" s="25"/>
      <c r="J100" s="25">
        <f>E100*50%</f>
        <v>11418.91</v>
      </c>
      <c r="K100" s="23">
        <f>E100*350%</f>
        <v>79932.37</v>
      </c>
      <c r="L100" s="25">
        <f>E100*100%</f>
        <v>22837.82</v>
      </c>
      <c r="M100" s="179"/>
      <c r="N100" s="179">
        <f>60000</f>
        <v>60000</v>
      </c>
      <c r="O100" s="25">
        <f>E100*10%</f>
        <v>2283.7820000000002</v>
      </c>
      <c r="P100" s="25">
        <v>15000</v>
      </c>
      <c r="Q100" s="25"/>
      <c r="R100" s="204">
        <f>SUM(E100:Q100)</f>
        <v>284536.99849999999</v>
      </c>
      <c r="S100" s="23"/>
      <c r="T100" s="23">
        <f>5000</f>
        <v>5000</v>
      </c>
      <c r="U100" s="23">
        <f>64806.29</f>
        <v>64806.29</v>
      </c>
      <c r="V100" s="23"/>
      <c r="W100" s="25">
        <v>43492.373376666663</v>
      </c>
      <c r="X100" s="258">
        <f>W100+V100+U100+T100+S100</f>
        <v>113298.66337666666</v>
      </c>
      <c r="Y100" s="23">
        <v>169708.83400000003</v>
      </c>
      <c r="Z100" s="207">
        <f>R100-X100</f>
        <v>171238.33512333332</v>
      </c>
      <c r="AA100" s="180"/>
    </row>
    <row r="101" spans="1:27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179">
        <v>18281.64</v>
      </c>
      <c r="F101" s="25"/>
      <c r="G101" s="25">
        <f t="shared" ref="G101" si="137">E101*300%</f>
        <v>54844.92</v>
      </c>
      <c r="H101" s="25">
        <f t="shared" ref="H101" si="138">E101*7.5%</f>
        <v>1371.1229999999998</v>
      </c>
      <c r="I101" s="25"/>
      <c r="J101" s="25">
        <f t="shared" ref="J101" si="139">E101*50%</f>
        <v>9140.82</v>
      </c>
      <c r="K101" s="23">
        <f t="shared" ref="K101" si="140">E101*350%</f>
        <v>63985.74</v>
      </c>
      <c r="L101" s="25">
        <f t="shared" ref="L101" si="141">E101*100%</f>
        <v>18281.64</v>
      </c>
      <c r="M101" s="179"/>
      <c r="N101" s="179">
        <f>60000</f>
        <v>60000</v>
      </c>
      <c r="O101" s="25">
        <f t="shared" ref="O101" si="142">E101*10%</f>
        <v>1828.164</v>
      </c>
      <c r="P101" s="25">
        <v>10000</v>
      </c>
      <c r="Q101" s="25"/>
      <c r="R101" s="204">
        <f>SUM(E101:Q101)</f>
        <v>237734.04699999996</v>
      </c>
      <c r="S101" s="23"/>
      <c r="T101" s="23">
        <f>10000</f>
        <v>10000</v>
      </c>
      <c r="U101" s="23">
        <f>19583.33</f>
        <v>19583.330000000002</v>
      </c>
      <c r="V101" s="23"/>
      <c r="W101" s="25">
        <v>34968.882414666667</v>
      </c>
      <c r="X101" s="258">
        <f>W101+V101+U101+T101+S101</f>
        <v>64552.212414666668</v>
      </c>
      <c r="Y101" s="23">
        <v>173447.01508333336</v>
      </c>
      <c r="Z101" s="207">
        <f>R101-X101</f>
        <v>173181.8345853333</v>
      </c>
      <c r="AA101" s="180"/>
    </row>
    <row r="102" spans="1:27" ht="20.100000000000001" customHeight="1">
      <c r="A102" s="20"/>
      <c r="B102" s="159" t="s">
        <v>15</v>
      </c>
      <c r="C102" s="29">
        <v>4</v>
      </c>
      <c r="D102" s="187"/>
      <c r="E102" s="68">
        <f>SUM(E98:E101)</f>
        <v>110505.28000000001</v>
      </c>
      <c r="F102" s="68">
        <f t="shared" ref="F102:Z102" si="143">SUM(F98:F101)</f>
        <v>0</v>
      </c>
      <c r="G102" s="68">
        <f t="shared" si="143"/>
        <v>331515.84000000003</v>
      </c>
      <c r="H102" s="68">
        <f t="shared" si="143"/>
        <v>8287.8959999999988</v>
      </c>
      <c r="I102" s="68">
        <f t="shared" si="143"/>
        <v>40122.19</v>
      </c>
      <c r="J102" s="68">
        <f t="shared" si="143"/>
        <v>55252.640000000007</v>
      </c>
      <c r="K102" s="68">
        <f t="shared" si="143"/>
        <v>386768.48</v>
      </c>
      <c r="L102" s="68">
        <f t="shared" si="143"/>
        <v>110505.28000000001</v>
      </c>
      <c r="M102" s="68">
        <f t="shared" si="143"/>
        <v>0</v>
      </c>
      <c r="N102" s="68">
        <f t="shared" si="143"/>
        <v>280000</v>
      </c>
      <c r="O102" s="68">
        <f t="shared" si="143"/>
        <v>11050.528000000002</v>
      </c>
      <c r="P102" s="68">
        <f t="shared" si="143"/>
        <v>65000</v>
      </c>
      <c r="Q102" s="68">
        <f t="shared" si="143"/>
        <v>0</v>
      </c>
      <c r="R102" s="68">
        <f t="shared" si="143"/>
        <v>1399008.1339999998</v>
      </c>
      <c r="S102" s="68">
        <f t="shared" si="143"/>
        <v>0</v>
      </c>
      <c r="T102" s="68">
        <f t="shared" si="143"/>
        <v>25000</v>
      </c>
      <c r="U102" s="68">
        <f t="shared" si="143"/>
        <v>259389.62</v>
      </c>
      <c r="V102" s="68">
        <f t="shared" si="143"/>
        <v>1066.32925</v>
      </c>
      <c r="W102" s="68">
        <f t="shared" si="143"/>
        <v>243512.42341266669</v>
      </c>
      <c r="X102" s="68">
        <f t="shared" si="143"/>
        <v>528968.37266266672</v>
      </c>
      <c r="Y102" s="68">
        <v>1327179.8052266669</v>
      </c>
      <c r="Z102" s="68">
        <f t="shared" si="143"/>
        <v>870039.76133733313</v>
      </c>
      <c r="AA102" s="180"/>
    </row>
    <row r="103" spans="1:27" ht="20.100000000000001" customHeight="1">
      <c r="A103" s="20"/>
      <c r="B103" s="123"/>
      <c r="C103" s="29"/>
      <c r="D103" s="187"/>
      <c r="E103" s="30"/>
      <c r="F103" s="30"/>
      <c r="G103" s="30"/>
      <c r="H103" s="30"/>
      <c r="I103" s="30"/>
      <c r="J103" s="30"/>
      <c r="K103" s="30"/>
      <c r="L103" s="30"/>
      <c r="M103" s="179"/>
      <c r="N103" s="179"/>
      <c r="O103" s="30"/>
      <c r="P103" s="30"/>
      <c r="Q103" s="30"/>
      <c r="R103" s="30"/>
      <c r="S103" s="30"/>
      <c r="T103" s="30"/>
      <c r="U103" s="30"/>
      <c r="V103" s="30"/>
      <c r="W103" s="30"/>
      <c r="X103" s="260"/>
      <c r="Y103" s="30"/>
      <c r="Z103" s="218"/>
      <c r="AA103" s="180"/>
    </row>
    <row r="104" spans="1:27" ht="20.100000000000001" customHeight="1">
      <c r="A104" s="20"/>
      <c r="B104" s="159" t="s">
        <v>465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79"/>
      <c r="N104" s="179"/>
      <c r="O104" s="20"/>
      <c r="P104" s="20"/>
      <c r="Q104" s="20"/>
      <c r="R104" s="20"/>
      <c r="S104" s="20"/>
      <c r="T104" s="20"/>
      <c r="U104" s="20"/>
      <c r="V104" s="20"/>
      <c r="W104" s="20"/>
      <c r="X104" s="262"/>
      <c r="Y104" s="20"/>
      <c r="Z104" s="219"/>
      <c r="AA104" s="180"/>
    </row>
    <row r="105" spans="1:27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5">
        <v>81740.02</v>
      </c>
      <c r="F105" s="25"/>
      <c r="G105" s="25">
        <f>E105*300%</f>
        <v>245220.06</v>
      </c>
      <c r="H105" s="25">
        <f>E105*7.5%</f>
        <v>6130.5015000000003</v>
      </c>
      <c r="I105" s="25">
        <v>80244.38</v>
      </c>
      <c r="J105" s="25">
        <f>E105*50%</f>
        <v>40870.01</v>
      </c>
      <c r="K105" s="25">
        <f>E105*350%</f>
        <v>286090.07</v>
      </c>
      <c r="L105" s="25">
        <f>E105*100%</f>
        <v>81740.02</v>
      </c>
      <c r="M105" s="179">
        <f>200000</f>
        <v>200000</v>
      </c>
      <c r="N105" s="179"/>
      <c r="O105" s="25">
        <f>E105*10%</f>
        <v>8174.0020000000004</v>
      </c>
      <c r="P105" s="25">
        <v>20000</v>
      </c>
      <c r="Q105" s="25">
        <v>0</v>
      </c>
      <c r="R105" s="204">
        <f>SUM(E105:Q105)</f>
        <v>1050209.0635000002</v>
      </c>
      <c r="S105" s="23"/>
      <c r="T105" s="23">
        <f>100000</f>
        <v>100000</v>
      </c>
      <c r="U105" s="23">
        <v>0</v>
      </c>
      <c r="V105" s="23">
        <v>0</v>
      </c>
      <c r="W105" s="25">
        <v>180306.80685866671</v>
      </c>
      <c r="X105" s="258">
        <f>W105+V105+U105+T105+S105</f>
        <v>280306.80685866671</v>
      </c>
      <c r="Y105" s="23">
        <v>770063.09264133347</v>
      </c>
      <c r="Z105" s="207">
        <f t="shared" ref="Z105:Z111" si="144">R105-X105</f>
        <v>769902.25664133346</v>
      </c>
      <c r="AA105" s="180"/>
    </row>
    <row r="106" spans="1:27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3">
        <f>42653.17</f>
        <v>42653.17</v>
      </c>
      <c r="F106" s="25"/>
      <c r="G106" s="25">
        <f>E106*300%</f>
        <v>127959.51</v>
      </c>
      <c r="H106" s="25">
        <f>E106*7.5%</f>
        <v>3198.9877499999998</v>
      </c>
      <c r="I106" s="25">
        <v>40122.19</v>
      </c>
      <c r="J106" s="25">
        <f>E106*50%</f>
        <v>21326.584999999999</v>
      </c>
      <c r="K106" s="25">
        <f>E106*350%</f>
        <v>149286.095</v>
      </c>
      <c r="L106" s="25">
        <f>E106*100%</f>
        <v>42653.17</v>
      </c>
      <c r="M106" s="179">
        <f>160000+20000</f>
        <v>180000</v>
      </c>
      <c r="N106" s="179"/>
      <c r="O106" s="25">
        <f>E106*10%</f>
        <v>4265.317</v>
      </c>
      <c r="P106" s="25">
        <v>20000</v>
      </c>
      <c r="Q106" s="25">
        <v>0</v>
      </c>
      <c r="R106" s="204">
        <f>SUM(E106:Q106)</f>
        <v>631465.0247500001</v>
      </c>
      <c r="S106" s="23"/>
      <c r="T106" s="23">
        <v>40000</v>
      </c>
      <c r="U106" s="23">
        <f>238888.89</f>
        <v>238888.89</v>
      </c>
      <c r="V106" s="23">
        <f>0.025*E106</f>
        <v>1066.32925</v>
      </c>
      <c r="W106" s="25">
        <v>99703.216202666677</v>
      </c>
      <c r="X106" s="258">
        <f>SUM(S106:W106)</f>
        <v>379658.43545266672</v>
      </c>
      <c r="Y106" s="23">
        <v>240679.07828933332</v>
      </c>
      <c r="Z106" s="207">
        <f t="shared" si="144"/>
        <v>251806.58929733338</v>
      </c>
      <c r="AA106" s="180"/>
    </row>
    <row r="107" spans="1:27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5">
        <v>26339.3</v>
      </c>
      <c r="F107" s="25"/>
      <c r="G107" s="25">
        <f>E107*300%</f>
        <v>79017.899999999994</v>
      </c>
      <c r="H107" s="25">
        <f>E107*7.5%</f>
        <v>1975.4474999999998</v>
      </c>
      <c r="I107" s="25">
        <v>0</v>
      </c>
      <c r="J107" s="25">
        <f>E107*50%</f>
        <v>13169.65</v>
      </c>
      <c r="K107" s="25">
        <f>E107*350%</f>
        <v>92187.55</v>
      </c>
      <c r="L107" s="25">
        <f>E107*100%</f>
        <v>26339.3</v>
      </c>
      <c r="M107" s="179">
        <f>120000</f>
        <v>120000</v>
      </c>
      <c r="N107" s="179"/>
      <c r="O107" s="25">
        <f>E107*10%</f>
        <v>2633.9300000000003</v>
      </c>
      <c r="P107" s="25">
        <v>15000</v>
      </c>
      <c r="Q107" s="25">
        <v>41432.938524999998</v>
      </c>
      <c r="R107" s="204">
        <f>SUM(E107:Q107)</f>
        <v>418096.01602499996</v>
      </c>
      <c r="S107" s="23"/>
      <c r="T107" s="23">
        <v>30000</v>
      </c>
      <c r="U107" s="23">
        <f>61111.11</f>
        <v>61111.11</v>
      </c>
      <c r="V107" s="23">
        <f>0.025*E107</f>
        <v>658.48250000000007</v>
      </c>
      <c r="W107" s="23">
        <v>180180.37821866674</v>
      </c>
      <c r="X107" s="258">
        <f>W107+V107+U107+T107+S107</f>
        <v>271949.97071866674</v>
      </c>
      <c r="Y107" s="23">
        <v>267385.3217815333</v>
      </c>
      <c r="Z107" s="207">
        <f t="shared" si="144"/>
        <v>146146.04530633322</v>
      </c>
      <c r="AA107" s="180"/>
    </row>
    <row r="108" spans="1:27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5">
        <v>26339.3</v>
      </c>
      <c r="F108" s="25"/>
      <c r="G108" s="25">
        <f>E108*300%</f>
        <v>79017.899999999994</v>
      </c>
      <c r="H108" s="25">
        <f>E108*7.5%</f>
        <v>1975.4474999999998</v>
      </c>
      <c r="I108" s="25">
        <v>0</v>
      </c>
      <c r="J108" s="25">
        <f>E108*50%</f>
        <v>13169.65</v>
      </c>
      <c r="K108" s="25">
        <f>E108*350%</f>
        <v>92187.55</v>
      </c>
      <c r="L108" s="25">
        <f>E108*100%</f>
        <v>26339.3</v>
      </c>
      <c r="M108" s="179">
        <f>120000</f>
        <v>120000</v>
      </c>
      <c r="N108" s="179"/>
      <c r="O108" s="25">
        <f>E108*10%</f>
        <v>2633.9300000000003</v>
      </c>
      <c r="P108" s="25">
        <v>15000</v>
      </c>
      <c r="Q108" s="25">
        <v>39820.116654999998</v>
      </c>
      <c r="R108" s="204">
        <f>SUM(E108:Q108)</f>
        <v>416483.19415499998</v>
      </c>
      <c r="S108" s="23"/>
      <c r="T108" s="23">
        <f>50000</f>
        <v>50000</v>
      </c>
      <c r="U108" s="23">
        <f>0</f>
        <v>0</v>
      </c>
      <c r="V108" s="23"/>
      <c r="W108" s="23">
        <v>99907.951418666678</v>
      </c>
      <c r="X108" s="258">
        <f>W108+V108+U108+T108+S108</f>
        <v>149907.95141866669</v>
      </c>
      <c r="Y108" s="23">
        <v>307542.09241153335</v>
      </c>
      <c r="Z108" s="207">
        <f t="shared" si="144"/>
        <v>266575.24273633328</v>
      </c>
      <c r="AA108" s="180"/>
    </row>
    <row r="109" spans="1:27" ht="20.100000000000001" customHeight="1">
      <c r="A109" s="20">
        <v>5</v>
      </c>
      <c r="B109" s="156" t="s">
        <v>240</v>
      </c>
      <c r="C109" s="20" t="s">
        <v>338</v>
      </c>
      <c r="D109" s="181" t="s">
        <v>749</v>
      </c>
      <c r="E109" s="179">
        <v>14252.4</v>
      </c>
      <c r="F109" s="25"/>
      <c r="G109" s="25">
        <f>E109*300%</f>
        <v>42757.2</v>
      </c>
      <c r="H109" s="25">
        <f>E109*7.5%</f>
        <v>1068.9299999999998</v>
      </c>
      <c r="I109" s="25"/>
      <c r="J109" s="25">
        <f>E109*50%</f>
        <v>7126.2</v>
      </c>
      <c r="K109" s="23">
        <f>E109*350%</f>
        <v>49883.4</v>
      </c>
      <c r="L109" s="25">
        <f>E109*100%</f>
        <v>14252.4</v>
      </c>
      <c r="M109" s="179">
        <f>100000</f>
        <v>100000</v>
      </c>
      <c r="N109" s="179"/>
      <c r="O109" s="25">
        <f>E109*10%</f>
        <v>1425.24</v>
      </c>
      <c r="P109" s="25">
        <v>10000</v>
      </c>
      <c r="Q109" s="25">
        <v>25333.447479999999</v>
      </c>
      <c r="R109" s="204">
        <f>SUM(E109:Q109)</f>
        <v>266099.21747999999</v>
      </c>
      <c r="S109" s="23"/>
      <c r="T109" s="23">
        <v>20000</v>
      </c>
      <c r="U109" s="23">
        <f>50000</f>
        <v>50000</v>
      </c>
      <c r="V109" s="23"/>
      <c r="W109" s="25">
        <v>58941.101743466657</v>
      </c>
      <c r="X109" s="258">
        <f>W109+V109+U109+T109+S109</f>
        <v>128941.10174346666</v>
      </c>
      <c r="Y109" s="23">
        <v>161327.11427669332</v>
      </c>
      <c r="Z109" s="207">
        <f t="shared" si="144"/>
        <v>137158.11573653333</v>
      </c>
      <c r="AA109" s="180"/>
    </row>
    <row r="110" spans="1:27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179">
        <f>13872.4</f>
        <v>13872.4</v>
      </c>
      <c r="F110" s="25"/>
      <c r="G110" s="25">
        <f t="shared" ref="G110" si="145">E110*300%</f>
        <v>41617.199999999997</v>
      </c>
      <c r="H110" s="25">
        <f t="shared" ref="H110" si="146">E110*7.5%</f>
        <v>1040.4299999999998</v>
      </c>
      <c r="I110" s="25"/>
      <c r="J110" s="25">
        <f t="shared" ref="J110" si="147">E110*50%</f>
        <v>6936.2</v>
      </c>
      <c r="K110" s="25">
        <f t="shared" ref="K110" si="148">E110*350%</f>
        <v>48553.4</v>
      </c>
      <c r="L110" s="25">
        <f t="shared" ref="L110" si="149">E110*100%</f>
        <v>13872.4</v>
      </c>
      <c r="M110" s="179">
        <f>100000</f>
        <v>100000</v>
      </c>
      <c r="N110" s="179"/>
      <c r="O110" s="25">
        <f t="shared" ref="O110" si="150">E110*10%</f>
        <v>1387.24</v>
      </c>
      <c r="P110" s="25">
        <v>10000</v>
      </c>
      <c r="Q110" s="25">
        <v>24949.771000000001</v>
      </c>
      <c r="R110" s="204">
        <f t="shared" ref="R110" si="151">SUM(E110:Q110)</f>
        <v>262229.04099999997</v>
      </c>
      <c r="S110" s="23"/>
      <c r="T110" s="23">
        <f>25000</f>
        <v>25000</v>
      </c>
      <c r="U110" s="23">
        <v>0</v>
      </c>
      <c r="V110" s="23"/>
      <c r="W110" s="25">
        <v>58631.439944426667</v>
      </c>
      <c r="X110" s="258">
        <f>W110+V110+U110+T110+S110</f>
        <v>83631.439944426675</v>
      </c>
      <c r="Y110" s="23">
        <v>203105.67706133332</v>
      </c>
      <c r="Z110" s="207">
        <f t="shared" si="144"/>
        <v>178597.60105557329</v>
      </c>
      <c r="AA110" s="180"/>
    </row>
    <row r="111" spans="1:27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179">
        <f>13112.16</f>
        <v>13112.16</v>
      </c>
      <c r="F111" s="25"/>
      <c r="G111" s="25">
        <f t="shared" ref="G111" si="152">E111*300%</f>
        <v>39336.479999999996</v>
      </c>
      <c r="H111" s="25">
        <f t="shared" ref="H111" si="153">E111*7.5%</f>
        <v>983.41199999999992</v>
      </c>
      <c r="I111" s="25"/>
      <c r="J111" s="25">
        <f t="shared" ref="J111" si="154">E111*50%</f>
        <v>6556.08</v>
      </c>
      <c r="K111" s="23">
        <f t="shared" ref="K111" si="155">E111*350%</f>
        <v>45892.56</v>
      </c>
      <c r="L111" s="25">
        <f t="shared" ref="L111" si="156">E111*100%</f>
        <v>13112.16</v>
      </c>
      <c r="M111" s="179">
        <f t="shared" ref="M111" si="157">100000</f>
        <v>100000</v>
      </c>
      <c r="N111" s="179"/>
      <c r="O111" s="25">
        <f t="shared" ref="O111" si="158">E111*10%</f>
        <v>1311.2160000000001</v>
      </c>
      <c r="P111" s="25">
        <v>10000</v>
      </c>
      <c r="Q111" s="25">
        <v>24566.195445000001</v>
      </c>
      <c r="R111" s="204">
        <f t="shared" ref="R111" si="159">SUM(E111:Q111)</f>
        <v>254870.26344499999</v>
      </c>
      <c r="S111" s="23"/>
      <c r="T111" s="23">
        <f>30000</f>
        <v>30000</v>
      </c>
      <c r="U111" s="23"/>
      <c r="V111" s="23"/>
      <c r="W111" s="25">
        <v>31871.335203306662</v>
      </c>
      <c r="X111" s="258">
        <f>W111+V111+U111+T111+S111</f>
        <v>61871.335203306662</v>
      </c>
      <c r="Y111" s="23">
        <v>192326.71128357336</v>
      </c>
      <c r="Z111" s="207">
        <f t="shared" si="144"/>
        <v>192998.92824169333</v>
      </c>
      <c r="AA111" s="180"/>
    </row>
    <row r="112" spans="1:27" ht="25.5" customHeight="1">
      <c r="A112" s="20"/>
      <c r="B112" s="159" t="s">
        <v>15</v>
      </c>
      <c r="C112" s="29">
        <v>7</v>
      </c>
      <c r="D112" s="20"/>
      <c r="E112" s="188">
        <f>SUM(E105:E111)</f>
        <v>218308.74999999997</v>
      </c>
      <c r="F112" s="188"/>
      <c r="G112" s="188">
        <f t="shared" ref="G112:M112" si="160">SUM(G105:G111)</f>
        <v>654926.24999999988</v>
      </c>
      <c r="H112" s="188">
        <f t="shared" si="160"/>
        <v>16373.156250000002</v>
      </c>
      <c r="I112" s="188">
        <f t="shared" si="160"/>
        <v>120366.57</v>
      </c>
      <c r="J112" s="188">
        <f t="shared" si="160"/>
        <v>109154.37499999999</v>
      </c>
      <c r="K112" s="188">
        <f t="shared" si="160"/>
        <v>764080.62500000023</v>
      </c>
      <c r="L112" s="188">
        <f t="shared" si="160"/>
        <v>218308.74999999997</v>
      </c>
      <c r="M112" s="184">
        <f t="shared" si="160"/>
        <v>920000</v>
      </c>
      <c r="N112" s="184"/>
      <c r="O112" s="188">
        <f>SUM(O105:O111)</f>
        <v>21830.875000000004</v>
      </c>
      <c r="P112" s="188">
        <f>SUM(P105:P111)</f>
        <v>100000</v>
      </c>
      <c r="Q112" s="188">
        <f>SUM(Q105:Q111)</f>
        <v>156102.469105</v>
      </c>
      <c r="R112" s="215">
        <f>SUM(R105:R111)</f>
        <v>3299451.8203550009</v>
      </c>
      <c r="S112" s="188"/>
      <c r="T112" s="188">
        <f>SUM(T105:T111)</f>
        <v>295000</v>
      </c>
      <c r="U112" s="188">
        <f t="shared" ref="U112:Z112" si="161">SUM(U105:U111)</f>
        <v>350000</v>
      </c>
      <c r="V112" s="188">
        <f t="shared" si="161"/>
        <v>1724.8117500000001</v>
      </c>
      <c r="W112" s="188">
        <f t="shared" si="161"/>
        <v>709542.22958986671</v>
      </c>
      <c r="X112" s="359">
        <f t="shared" si="161"/>
        <v>1356267.041339867</v>
      </c>
      <c r="Y112" s="188">
        <v>2142429.0877453336</v>
      </c>
      <c r="Z112" s="360">
        <f t="shared" si="161"/>
        <v>1943184.7790151334</v>
      </c>
      <c r="AA112" s="180"/>
    </row>
    <row r="113" spans="1:27" ht="20.100000000000001" customHeight="1">
      <c r="A113" s="20"/>
      <c r="B113" s="159"/>
      <c r="C113" s="29"/>
      <c r="D113" s="20"/>
      <c r="E113" s="188"/>
      <c r="F113" s="188"/>
      <c r="G113" s="188"/>
      <c r="H113" s="188"/>
      <c r="I113" s="188"/>
      <c r="J113" s="188"/>
      <c r="K113" s="188"/>
      <c r="L113" s="188"/>
      <c r="M113" s="184"/>
      <c r="N113" s="184"/>
      <c r="O113" s="188"/>
      <c r="P113" s="188"/>
      <c r="Q113" s="188"/>
      <c r="R113" s="215"/>
      <c r="S113" s="188"/>
      <c r="T113" s="188"/>
      <c r="U113" s="188"/>
      <c r="V113" s="188"/>
      <c r="W113" s="188"/>
      <c r="X113" s="359"/>
      <c r="Y113" s="188"/>
      <c r="Z113" s="360"/>
      <c r="AA113" s="180"/>
    </row>
    <row r="114" spans="1:27" ht="20.100000000000001" customHeight="1">
      <c r="A114" s="28"/>
      <c r="B114" s="159" t="s">
        <v>542</v>
      </c>
      <c r="C114" s="29"/>
      <c r="D114" s="29"/>
      <c r="E114" s="30"/>
      <c r="F114" s="30"/>
      <c r="G114" s="30"/>
      <c r="H114" s="30"/>
      <c r="I114" s="30"/>
      <c r="J114" s="30"/>
      <c r="K114" s="30"/>
      <c r="L114" s="30"/>
      <c r="M114" s="179"/>
      <c r="N114" s="179"/>
      <c r="O114" s="30"/>
      <c r="P114" s="30"/>
      <c r="Q114" s="30"/>
      <c r="R114" s="212"/>
      <c r="S114" s="30"/>
      <c r="T114" s="30"/>
      <c r="U114" s="30"/>
      <c r="V114" s="30"/>
      <c r="W114" s="30"/>
      <c r="X114" s="260"/>
      <c r="Y114" s="30"/>
      <c r="Z114" s="218"/>
      <c r="AA114" s="180"/>
    </row>
    <row r="115" spans="1:27" ht="20.100000000000001" customHeight="1">
      <c r="A115" s="28">
        <v>1</v>
      </c>
      <c r="B115" s="158" t="s">
        <v>138</v>
      </c>
      <c r="C115" s="20" t="s">
        <v>258</v>
      </c>
      <c r="D115" s="28" t="s">
        <v>148</v>
      </c>
      <c r="E115" s="23">
        <v>32263.200000000001</v>
      </c>
      <c r="F115" s="25"/>
      <c r="G115" s="25">
        <f>E115*300%</f>
        <v>96789.6</v>
      </c>
      <c r="H115" s="25">
        <f>E115*7.5%</f>
        <v>2419.7399999999998</v>
      </c>
      <c r="I115" s="25">
        <f>40122.19</f>
        <v>40122.19</v>
      </c>
      <c r="J115" s="25">
        <f>E115*50%</f>
        <v>16131.6</v>
      </c>
      <c r="K115" s="23">
        <f>E115*350%</f>
        <v>112921.2</v>
      </c>
      <c r="L115" s="25">
        <f>E115*100%</f>
        <v>32263.200000000001</v>
      </c>
      <c r="M115" s="179">
        <v>160000</v>
      </c>
      <c r="N115" s="179"/>
      <c r="O115" s="25">
        <f>E115*10%</f>
        <v>3226.32</v>
      </c>
      <c r="P115" s="25">
        <v>20000</v>
      </c>
      <c r="Q115" s="25">
        <v>0</v>
      </c>
      <c r="R115" s="23">
        <f t="shared" ref="R115" si="162">SUM(E115:Q115)</f>
        <v>516137.05000000005</v>
      </c>
      <c r="S115" s="25"/>
      <c r="T115" s="23">
        <f>20000</f>
        <v>20000</v>
      </c>
      <c r="U115" s="23">
        <f>163103.59</f>
        <v>163103.59</v>
      </c>
      <c r="V115" s="23">
        <f>0.025*E115</f>
        <v>806.58</v>
      </c>
      <c r="W115" s="23">
        <v>77610.116906666663</v>
      </c>
      <c r="X115" s="258">
        <f t="shared" ref="X115" si="163">W115+V115+U115+T115+S115</f>
        <v>261520.28690666665</v>
      </c>
      <c r="Y115" s="25">
        <v>245338.36225333335</v>
      </c>
      <c r="Z115" s="207">
        <f t="shared" ref="Z115" si="164">R115-X115</f>
        <v>254616.7630933334</v>
      </c>
      <c r="AA115" s="180"/>
    </row>
    <row r="116" spans="1:27" ht="18.75" customHeight="1">
      <c r="A116" s="28">
        <v>2</v>
      </c>
      <c r="B116" s="156" t="s">
        <v>247</v>
      </c>
      <c r="C116" s="20" t="s">
        <v>477</v>
      </c>
      <c r="D116" s="181" t="s">
        <v>497</v>
      </c>
      <c r="E116" s="25">
        <f>22837.82</f>
        <v>22837.82</v>
      </c>
      <c r="F116" s="25"/>
      <c r="G116" s="25">
        <f t="shared" ref="G116" si="165">E116*300%</f>
        <v>68513.459999999992</v>
      </c>
      <c r="H116" s="25">
        <f t="shared" ref="H116" si="166">E116*7.5%</f>
        <v>1712.8364999999999</v>
      </c>
      <c r="I116" s="25"/>
      <c r="J116" s="25">
        <f>E116*50%</f>
        <v>11418.91</v>
      </c>
      <c r="K116" s="23">
        <f t="shared" ref="K116" si="167">E116*350%</f>
        <v>79932.37</v>
      </c>
      <c r="L116" s="25">
        <f t="shared" ref="L116" si="168">E116*100%</f>
        <v>22837.82</v>
      </c>
      <c r="M116" s="179">
        <v>110000</v>
      </c>
      <c r="N116" s="179">
        <v>0</v>
      </c>
      <c r="O116" s="25">
        <f t="shared" ref="O116" si="169">E116*10%</f>
        <v>2283.7820000000002</v>
      </c>
      <c r="P116" s="25">
        <v>15000</v>
      </c>
      <c r="Q116" s="25"/>
      <c r="R116" s="204">
        <f t="shared" ref="R116" si="170">Q116+P116+O116+N116+M116+L116+K116+J116+I116+H116+G116+F116+E116</f>
        <v>334536.99850000005</v>
      </c>
      <c r="S116" s="23"/>
      <c r="T116" s="23">
        <f>20000</f>
        <v>20000</v>
      </c>
      <c r="U116" s="23">
        <f>'[5]OCT 2022 '!$D$184</f>
        <v>43750</v>
      </c>
      <c r="V116" s="23"/>
      <c r="W116" s="25">
        <v>43368.882414666674</v>
      </c>
      <c r="X116" s="258">
        <f t="shared" ref="X116" si="171">W116+V116+U116+T116+S116</f>
        <v>107118.88241466667</v>
      </c>
      <c r="Y116" s="23">
        <v>217365.12400000001</v>
      </c>
      <c r="Z116" s="207">
        <f>R116-X116</f>
        <v>227418.11608533337</v>
      </c>
      <c r="AA116" s="180"/>
    </row>
    <row r="117" spans="1:27" ht="20.100000000000001" customHeight="1">
      <c r="A117" s="28">
        <v>3</v>
      </c>
      <c r="B117" s="156" t="s">
        <v>141</v>
      </c>
      <c r="C117" s="161" t="s">
        <v>391</v>
      </c>
      <c r="D117" s="181" t="s">
        <v>750</v>
      </c>
      <c r="E117" s="25">
        <v>23064.85</v>
      </c>
      <c r="F117" s="25"/>
      <c r="G117" s="25">
        <f>E117*300%</f>
        <v>69194.549999999988</v>
      </c>
      <c r="H117" s="25">
        <f>E117*7.5%</f>
        <v>1729.8637499999998</v>
      </c>
      <c r="I117" s="23"/>
      <c r="J117" s="25">
        <f>E117*50%</f>
        <v>11532.424999999999</v>
      </c>
      <c r="K117" s="23">
        <f>E117*350%</f>
        <v>80726.974999999991</v>
      </c>
      <c r="L117" s="25">
        <f>E117*100%</f>
        <v>23064.85</v>
      </c>
      <c r="M117" s="179"/>
      <c r="N117" s="179">
        <f>60000</f>
        <v>60000</v>
      </c>
      <c r="O117" s="25">
        <f>E117*10%</f>
        <v>2306.4850000000001</v>
      </c>
      <c r="P117" s="25">
        <v>15000</v>
      </c>
      <c r="Q117" s="25"/>
      <c r="R117" s="204">
        <f>Q117+P117+O117+N117+M117+L117+K117+J117+I117+H117+G117+F117+E117</f>
        <v>286619.99874999991</v>
      </c>
      <c r="S117" s="23"/>
      <c r="T117" s="23"/>
      <c r="U117" s="23"/>
      <c r="V117" s="23">
        <f>0.025*E117</f>
        <v>576.62125000000003</v>
      </c>
      <c r="W117" s="25">
        <v>35221.954086666658</v>
      </c>
      <c r="X117" s="258">
        <f>W117+V117+U117+T117+S117</f>
        <v>35798.575336666654</v>
      </c>
      <c r="Y117" s="23">
        <v>249094.08558533332</v>
      </c>
      <c r="Z117" s="207">
        <f>R117-X117</f>
        <v>250821.42341333325</v>
      </c>
      <c r="AA117" s="180"/>
    </row>
    <row r="118" spans="1:27" ht="24.75" customHeight="1">
      <c r="A118" s="20"/>
      <c r="B118" s="159" t="s">
        <v>15</v>
      </c>
      <c r="C118" s="29">
        <v>2</v>
      </c>
      <c r="D118" s="187"/>
      <c r="E118" s="68">
        <f>SUM(E115:E117)</f>
        <v>78165.87</v>
      </c>
      <c r="F118" s="68">
        <f t="shared" ref="F118:Z118" si="172">SUM(F115:F117)</f>
        <v>0</v>
      </c>
      <c r="G118" s="68">
        <f t="shared" si="172"/>
        <v>234497.61</v>
      </c>
      <c r="H118" s="68">
        <f t="shared" si="172"/>
        <v>5862.4402499999987</v>
      </c>
      <c r="I118" s="68">
        <f t="shared" si="172"/>
        <v>40122.19</v>
      </c>
      <c r="J118" s="68">
        <f t="shared" si="172"/>
        <v>39082.934999999998</v>
      </c>
      <c r="K118" s="68">
        <f t="shared" si="172"/>
        <v>273580.54499999998</v>
      </c>
      <c r="L118" s="68">
        <f t="shared" si="172"/>
        <v>78165.87</v>
      </c>
      <c r="M118" s="68">
        <f t="shared" si="172"/>
        <v>270000</v>
      </c>
      <c r="N118" s="68">
        <f t="shared" si="172"/>
        <v>60000</v>
      </c>
      <c r="O118" s="68">
        <f t="shared" si="172"/>
        <v>7816.5870000000014</v>
      </c>
      <c r="P118" s="68">
        <f t="shared" si="172"/>
        <v>50000</v>
      </c>
      <c r="Q118" s="68">
        <f t="shared" si="172"/>
        <v>0</v>
      </c>
      <c r="R118" s="68">
        <f t="shared" si="172"/>
        <v>1137294.0472499998</v>
      </c>
      <c r="S118" s="68">
        <f t="shared" si="172"/>
        <v>0</v>
      </c>
      <c r="T118" s="68">
        <f t="shared" si="172"/>
        <v>40000</v>
      </c>
      <c r="U118" s="68">
        <f t="shared" si="172"/>
        <v>206853.59</v>
      </c>
      <c r="V118" s="68">
        <f t="shared" si="172"/>
        <v>1383.2012500000001</v>
      </c>
      <c r="W118" s="68">
        <f t="shared" si="172"/>
        <v>156200.953408</v>
      </c>
      <c r="X118" s="68">
        <f t="shared" si="172"/>
        <v>404437.74465799995</v>
      </c>
      <c r="Y118" s="68">
        <f t="shared" si="172"/>
        <v>711797.57183866668</v>
      </c>
      <c r="Z118" s="68">
        <f t="shared" si="172"/>
        <v>732856.30259199999</v>
      </c>
      <c r="AA118" s="180"/>
    </row>
    <row r="119" spans="1:27" ht="20.100000000000001" customHeight="1">
      <c r="A119" s="20"/>
      <c r="B119" s="123"/>
      <c r="C119" s="28"/>
      <c r="D119" s="20"/>
      <c r="E119" s="189"/>
      <c r="F119" s="176"/>
      <c r="G119" s="189"/>
      <c r="H119" s="189"/>
      <c r="I119" s="189"/>
      <c r="J119" s="189"/>
      <c r="K119" s="189"/>
      <c r="L119" s="189"/>
      <c r="M119" s="179"/>
      <c r="N119" s="179"/>
      <c r="O119" s="189"/>
      <c r="P119" s="189"/>
      <c r="Q119" s="189"/>
      <c r="R119" s="206"/>
      <c r="S119" s="189"/>
      <c r="T119" s="189"/>
      <c r="U119" s="189"/>
      <c r="V119" s="189"/>
      <c r="W119" s="189"/>
      <c r="X119" s="263"/>
      <c r="Y119" s="189"/>
      <c r="Z119" s="209"/>
      <c r="AA119" s="180"/>
    </row>
    <row r="120" spans="1:27" ht="20.100000000000001" customHeight="1">
      <c r="A120" s="20"/>
      <c r="B120" s="159" t="s">
        <v>466</v>
      </c>
      <c r="C120" s="29"/>
      <c r="D120" s="29"/>
      <c r="E120" s="30"/>
      <c r="F120" s="30"/>
      <c r="G120" s="30"/>
      <c r="H120" s="30"/>
      <c r="I120" s="30"/>
      <c r="J120" s="30"/>
      <c r="K120" s="30"/>
      <c r="L120" s="30"/>
      <c r="M120" s="179"/>
      <c r="N120" s="179"/>
      <c r="O120" s="30"/>
      <c r="P120" s="30"/>
      <c r="Q120" s="30"/>
      <c r="R120" s="213"/>
      <c r="S120" s="182"/>
      <c r="T120" s="182"/>
      <c r="U120" s="182"/>
      <c r="V120" s="182"/>
      <c r="W120" s="30"/>
      <c r="X120" s="258"/>
      <c r="Y120" s="23"/>
      <c r="Z120" s="207"/>
      <c r="AA120" s="180"/>
    </row>
    <row r="121" spans="1:27" ht="20.100000000000001" customHeight="1">
      <c r="A121" s="20">
        <v>1</v>
      </c>
      <c r="B121" s="156" t="s">
        <v>20</v>
      </c>
      <c r="C121" s="161" t="s">
        <v>250</v>
      </c>
      <c r="D121" s="181" t="s">
        <v>161</v>
      </c>
      <c r="E121" s="25">
        <v>81740.02</v>
      </c>
      <c r="F121" s="25"/>
      <c r="G121" s="25">
        <f t="shared" ref="G121:G127" si="173">E121*300%</f>
        <v>245220.06</v>
      </c>
      <c r="H121" s="25">
        <f t="shared" ref="H121:H127" si="174">E121*7.5%</f>
        <v>6130.5015000000003</v>
      </c>
      <c r="I121" s="25">
        <f>80244.38</f>
        <v>80244.38</v>
      </c>
      <c r="J121" s="25">
        <f t="shared" ref="J121:J127" si="175">E121*50%</f>
        <v>40870.01</v>
      </c>
      <c r="K121" s="25">
        <f t="shared" ref="K121:K127" si="176">E121*350%</f>
        <v>286090.07</v>
      </c>
      <c r="L121" s="25">
        <f t="shared" ref="L121:L127" si="177">E121*100%</f>
        <v>81740.02</v>
      </c>
      <c r="M121" s="179"/>
      <c r="N121" s="179">
        <f>100000</f>
        <v>100000</v>
      </c>
      <c r="O121" s="25">
        <f t="shared" ref="O121:O127" si="178">E121*10%</f>
        <v>8174.0020000000004</v>
      </c>
      <c r="P121" s="25">
        <v>20000</v>
      </c>
      <c r="Q121" s="25">
        <v>100000</v>
      </c>
      <c r="R121" s="204">
        <f t="shared" ref="R121:R127" si="179">SUM(E121:Q121)</f>
        <v>1050209.0635000002</v>
      </c>
      <c r="S121" s="23"/>
      <c r="T121" s="23">
        <f>200000</f>
        <v>200000</v>
      </c>
      <c r="U121" s="23">
        <f>327777.78</f>
        <v>327777.78000000003</v>
      </c>
      <c r="V121" s="23">
        <f>0.025*E121</f>
        <v>2043.5005000000001</v>
      </c>
      <c r="W121" s="25">
        <v>179914.45476266672</v>
      </c>
      <c r="X121" s="258">
        <f t="shared" ref="X121:X127" si="180">W121+V121+U121+T121+S121</f>
        <v>709735.73526266671</v>
      </c>
      <c r="Y121" s="23">
        <v>340473.32830133347</v>
      </c>
      <c r="Z121" s="207">
        <f t="shared" ref="Z121:Z130" si="181">R121-X121</f>
        <v>340473.32823733345</v>
      </c>
      <c r="AA121" s="180"/>
    </row>
    <row r="122" spans="1:27" ht="20.100000000000001" customHeight="1">
      <c r="A122" s="20">
        <v>2</v>
      </c>
      <c r="B122" s="156" t="s">
        <v>153</v>
      </c>
      <c r="C122" s="161" t="s">
        <v>740</v>
      </c>
      <c r="D122" s="181" t="s">
        <v>221</v>
      </c>
      <c r="E122" s="25">
        <v>41157.69</v>
      </c>
      <c r="F122" s="25"/>
      <c r="G122" s="25">
        <f t="shared" si="173"/>
        <v>123473.07</v>
      </c>
      <c r="H122" s="25">
        <f t="shared" si="174"/>
        <v>3086.8267500000002</v>
      </c>
      <c r="I122" s="25">
        <v>40122.19</v>
      </c>
      <c r="J122" s="25">
        <f t="shared" si="175"/>
        <v>20578.845000000001</v>
      </c>
      <c r="K122" s="23">
        <f t="shared" si="176"/>
        <v>144051.91500000001</v>
      </c>
      <c r="L122" s="25">
        <f t="shared" si="177"/>
        <v>41157.69</v>
      </c>
      <c r="M122" s="179"/>
      <c r="N122" s="179">
        <f>90000</f>
        <v>90000</v>
      </c>
      <c r="O122" s="25">
        <f t="shared" si="178"/>
        <v>4115.7690000000002</v>
      </c>
      <c r="P122" s="25">
        <v>20000</v>
      </c>
      <c r="Q122" s="25">
        <v>100000</v>
      </c>
      <c r="R122" s="204">
        <f t="shared" si="179"/>
        <v>627743.99575</v>
      </c>
      <c r="S122" s="23"/>
      <c r="T122" s="23">
        <f>100000</f>
        <v>100000</v>
      </c>
      <c r="U122" s="23">
        <f>0</f>
        <v>0</v>
      </c>
      <c r="V122" s="23">
        <f t="shared" ref="V122:V123" si="182">0.025*E122</f>
        <v>1028.9422500000001</v>
      </c>
      <c r="W122" s="25">
        <v>98995.956938666684</v>
      </c>
      <c r="X122" s="258">
        <f t="shared" si="180"/>
        <v>200024.89918866669</v>
      </c>
      <c r="Y122" s="23">
        <v>1007269.9129166666</v>
      </c>
      <c r="Z122" s="207">
        <f t="shared" si="181"/>
        <v>427719.09656133328</v>
      </c>
      <c r="AA122" s="180"/>
    </row>
    <row r="123" spans="1:27" ht="20.100000000000001" customHeight="1">
      <c r="A123" s="20">
        <v>3</v>
      </c>
      <c r="B123" s="158" t="s">
        <v>142</v>
      </c>
      <c r="C123" s="161" t="s">
        <v>376</v>
      </c>
      <c r="D123" s="181" t="s">
        <v>75</v>
      </c>
      <c r="E123" s="25">
        <v>33507.5</v>
      </c>
      <c r="F123" s="25"/>
      <c r="G123" s="25">
        <f>E123*300%</f>
        <v>100522.5</v>
      </c>
      <c r="H123" s="25">
        <f>E123*7.5%</f>
        <v>2513.0625</v>
      </c>
      <c r="I123" s="25">
        <f>40122.19</f>
        <v>40122.19</v>
      </c>
      <c r="J123" s="25">
        <f>E123*50%</f>
        <v>16753.75</v>
      </c>
      <c r="K123" s="23">
        <f>E123*350%</f>
        <v>117276.25</v>
      </c>
      <c r="L123" s="25">
        <f>E123*100%</f>
        <v>33507.5</v>
      </c>
      <c r="M123" s="179"/>
      <c r="N123" s="179">
        <f t="shared" si="16"/>
        <v>80000</v>
      </c>
      <c r="O123" s="25">
        <f>E123*10%</f>
        <v>3350.75</v>
      </c>
      <c r="P123" s="25">
        <v>20000</v>
      </c>
      <c r="Q123" s="25">
        <f>100000+30000</f>
        <v>130000</v>
      </c>
      <c r="R123" s="204">
        <f>SUM(E123:Q123)</f>
        <v>577553.50249999994</v>
      </c>
      <c r="S123" s="23"/>
      <c r="T123" s="23">
        <f>80000+40000-20000</f>
        <v>100000</v>
      </c>
      <c r="U123" s="23"/>
      <c r="V123" s="23">
        <f t="shared" si="182"/>
        <v>837.6875</v>
      </c>
      <c r="W123" s="25">
        <v>89396.103146666646</v>
      </c>
      <c r="X123" s="258">
        <f t="shared" si="180"/>
        <v>190233.79064666666</v>
      </c>
      <c r="Y123" s="23">
        <v>387319.71499999997</v>
      </c>
      <c r="Z123" s="207">
        <f t="shared" si="181"/>
        <v>387319.71185333328</v>
      </c>
      <c r="AA123" s="180"/>
    </row>
    <row r="124" spans="1:27" ht="20.100000000000001" customHeight="1">
      <c r="A124" s="20">
        <v>4</v>
      </c>
      <c r="B124" s="158" t="s">
        <v>363</v>
      </c>
      <c r="C124" s="161" t="s">
        <v>376</v>
      </c>
      <c r="D124" s="181" t="s">
        <v>30</v>
      </c>
      <c r="E124" s="25">
        <v>31019.84</v>
      </c>
      <c r="F124" s="25"/>
      <c r="G124" s="25">
        <f t="shared" ref="G124" si="183">E124*300%</f>
        <v>93059.520000000004</v>
      </c>
      <c r="H124" s="25">
        <f t="shared" ref="H124" si="184">E124*7.5%</f>
        <v>2326.4879999999998</v>
      </c>
      <c r="I124" s="25">
        <v>40122.19</v>
      </c>
      <c r="J124" s="25">
        <f t="shared" ref="J124" si="185">E124*50%</f>
        <v>15509.92</v>
      </c>
      <c r="K124" s="23">
        <f t="shared" ref="K124" si="186">E124*350%</f>
        <v>108569.44</v>
      </c>
      <c r="L124" s="25">
        <f t="shared" ref="L124" si="187">E124*100%</f>
        <v>31019.84</v>
      </c>
      <c r="M124" s="179"/>
      <c r="N124" s="179">
        <f>80000</f>
        <v>80000</v>
      </c>
      <c r="O124" s="25">
        <f t="shared" ref="O124" si="188">E124*10%</f>
        <v>3101.9840000000004</v>
      </c>
      <c r="P124" s="25">
        <v>20000</v>
      </c>
      <c r="Q124" s="25">
        <v>0</v>
      </c>
      <c r="R124" s="204">
        <f>SUM(E124:Q124)</f>
        <v>424729.22200000007</v>
      </c>
      <c r="S124" s="23"/>
      <c r="T124" s="23">
        <f>100000</f>
        <v>100000</v>
      </c>
      <c r="U124" s="23">
        <f>51500</f>
        <v>51500</v>
      </c>
      <c r="V124" s="23"/>
      <c r="W124" s="25">
        <v>60214.677290666674</v>
      </c>
      <c r="X124" s="258">
        <f t="shared" si="180"/>
        <v>211714.67729066667</v>
      </c>
      <c r="Y124" s="23">
        <v>213007.13130933334</v>
      </c>
      <c r="Z124" s="207">
        <f t="shared" si="181"/>
        <v>213014.54470933339</v>
      </c>
      <c r="AA124" s="180"/>
    </row>
    <row r="125" spans="1:27" ht="20.100000000000001" customHeight="1">
      <c r="A125" s="20">
        <v>5</v>
      </c>
      <c r="B125" s="156" t="s">
        <v>108</v>
      </c>
      <c r="C125" s="161" t="s">
        <v>476</v>
      </c>
      <c r="D125" s="181" t="s">
        <v>181</v>
      </c>
      <c r="E125" s="25">
        <v>27611.23</v>
      </c>
      <c r="F125" s="25"/>
      <c r="G125" s="25">
        <f t="shared" si="173"/>
        <v>82833.69</v>
      </c>
      <c r="H125" s="25">
        <f t="shared" si="174"/>
        <v>2070.8422499999997</v>
      </c>
      <c r="I125" s="25">
        <v>0</v>
      </c>
      <c r="J125" s="25">
        <f t="shared" si="175"/>
        <v>13805.615</v>
      </c>
      <c r="K125" s="23">
        <f t="shared" si="176"/>
        <v>96639.304999999993</v>
      </c>
      <c r="L125" s="25">
        <f t="shared" si="177"/>
        <v>27611.23</v>
      </c>
      <c r="M125" s="179"/>
      <c r="N125" s="179">
        <f>70000</f>
        <v>70000</v>
      </c>
      <c r="O125" s="25">
        <f t="shared" si="178"/>
        <v>2761.123</v>
      </c>
      <c r="P125" s="25">
        <f>15000+5000</f>
        <v>20000</v>
      </c>
      <c r="Q125" s="25">
        <v>0</v>
      </c>
      <c r="R125" s="204">
        <f t="shared" si="179"/>
        <v>343333.03525000007</v>
      </c>
      <c r="S125" s="23"/>
      <c r="T125" s="23">
        <f>70000</f>
        <v>70000</v>
      </c>
      <c r="U125" s="23">
        <f>50000</f>
        <v>50000</v>
      </c>
      <c r="V125" s="23"/>
      <c r="W125" s="25">
        <v>44846.616588666679</v>
      </c>
      <c r="X125" s="258">
        <f t="shared" si="180"/>
        <v>164846.61658866669</v>
      </c>
      <c r="Y125" s="23">
        <v>170099.69374999998</v>
      </c>
      <c r="Z125" s="207">
        <f t="shared" si="181"/>
        <v>178486.41866133339</v>
      </c>
      <c r="AA125" s="180"/>
    </row>
    <row r="126" spans="1:27" ht="20.100000000000001" customHeight="1">
      <c r="A126" s="20">
        <v>6</v>
      </c>
      <c r="B126" s="156" t="s">
        <v>178</v>
      </c>
      <c r="C126" s="161" t="s">
        <v>382</v>
      </c>
      <c r="D126" s="181" t="s">
        <v>222</v>
      </c>
      <c r="E126" s="25">
        <v>25854.1</v>
      </c>
      <c r="F126" s="25"/>
      <c r="G126" s="25">
        <f t="shared" si="173"/>
        <v>77562.299999999988</v>
      </c>
      <c r="H126" s="25">
        <f t="shared" si="174"/>
        <v>1939.0574999999999</v>
      </c>
      <c r="I126" s="25"/>
      <c r="J126" s="25">
        <f t="shared" si="175"/>
        <v>12927.05</v>
      </c>
      <c r="K126" s="23">
        <f t="shared" si="176"/>
        <v>90489.349999999991</v>
      </c>
      <c r="L126" s="25">
        <f t="shared" si="177"/>
        <v>25854.1</v>
      </c>
      <c r="M126" s="179"/>
      <c r="N126" s="179">
        <f t="shared" ref="N126:N127" si="189">70000</f>
        <v>70000</v>
      </c>
      <c r="O126" s="25">
        <f t="shared" si="178"/>
        <v>2585.41</v>
      </c>
      <c r="P126" s="25">
        <v>20000</v>
      </c>
      <c r="Q126" s="25">
        <v>0</v>
      </c>
      <c r="R126" s="204">
        <f t="shared" si="179"/>
        <v>327211.36749999999</v>
      </c>
      <c r="S126" s="23"/>
      <c r="T126" s="23">
        <f>20000</f>
        <v>20000</v>
      </c>
      <c r="U126" s="23">
        <v>75694.44</v>
      </c>
      <c r="V126" s="23">
        <f>0.025*E126</f>
        <v>646.35249999999996</v>
      </c>
      <c r="W126" s="25">
        <v>42029.589186666672</v>
      </c>
      <c r="X126" s="258">
        <f t="shared" si="180"/>
        <v>138370.38168666669</v>
      </c>
      <c r="Y126" s="23">
        <v>188792.40415333334</v>
      </c>
      <c r="Z126" s="207">
        <f t="shared" si="181"/>
        <v>188840.9858133333</v>
      </c>
      <c r="AA126" s="180"/>
    </row>
    <row r="127" spans="1:27" ht="20.100000000000001" customHeight="1">
      <c r="A127" s="20">
        <v>7</v>
      </c>
      <c r="B127" s="156" t="s">
        <v>134</v>
      </c>
      <c r="C127" s="161" t="s">
        <v>476</v>
      </c>
      <c r="D127" s="181" t="s">
        <v>162</v>
      </c>
      <c r="E127" s="25">
        <v>26732.65</v>
      </c>
      <c r="F127" s="25"/>
      <c r="G127" s="25">
        <f t="shared" si="173"/>
        <v>80197.950000000012</v>
      </c>
      <c r="H127" s="25">
        <f t="shared" si="174"/>
        <v>2004.94875</v>
      </c>
      <c r="I127" s="25"/>
      <c r="J127" s="25">
        <f t="shared" si="175"/>
        <v>13366.325000000001</v>
      </c>
      <c r="K127" s="23">
        <f t="shared" si="176"/>
        <v>93564.275000000009</v>
      </c>
      <c r="L127" s="25">
        <f t="shared" si="177"/>
        <v>26732.65</v>
      </c>
      <c r="M127" s="179"/>
      <c r="N127" s="179">
        <f t="shared" si="189"/>
        <v>70000</v>
      </c>
      <c r="O127" s="25">
        <f t="shared" si="178"/>
        <v>2673.2650000000003</v>
      </c>
      <c r="P127" s="25">
        <v>20000</v>
      </c>
      <c r="Q127" s="25"/>
      <c r="R127" s="23">
        <f t="shared" si="179"/>
        <v>335272.06374999997</v>
      </c>
      <c r="S127" s="23"/>
      <c r="T127" s="23">
        <f>35000+25000</f>
        <v>60000</v>
      </c>
      <c r="U127" s="23">
        <f>55000</f>
        <v>55000</v>
      </c>
      <c r="V127" s="23">
        <f>0.025*E127</f>
        <v>668.31625000000008</v>
      </c>
      <c r="W127" s="25">
        <v>43380.096246666661</v>
      </c>
      <c r="X127" s="258">
        <f t="shared" si="180"/>
        <v>159048.41249666666</v>
      </c>
      <c r="Y127" s="23">
        <v>169486.84415333334</v>
      </c>
      <c r="Z127" s="207">
        <f t="shared" si="181"/>
        <v>176223.65125333332</v>
      </c>
      <c r="AA127" s="180"/>
    </row>
    <row r="128" spans="1:27" ht="20.100000000000001" customHeight="1">
      <c r="A128" s="20">
        <v>8</v>
      </c>
      <c r="B128" s="156" t="s">
        <v>443</v>
      </c>
      <c r="C128" s="161" t="s">
        <v>447</v>
      </c>
      <c r="D128" s="28" t="s">
        <v>747</v>
      </c>
      <c r="E128" s="25">
        <v>15641.2</v>
      </c>
      <c r="F128" s="25"/>
      <c r="G128" s="25">
        <f t="shared" ref="G128:G130" si="190">E128*300%</f>
        <v>46923.600000000006</v>
      </c>
      <c r="H128" s="25">
        <f t="shared" ref="H128:H130" si="191">E128*7.5%</f>
        <v>1173.0899999999999</v>
      </c>
      <c r="I128" s="25"/>
      <c r="J128" s="25">
        <f t="shared" ref="J128:J130" si="192">E128*50%</f>
        <v>7820.6</v>
      </c>
      <c r="K128" s="25">
        <f t="shared" ref="K128:K130" si="193">E128*350%</f>
        <v>54744.200000000004</v>
      </c>
      <c r="L128" s="25">
        <f t="shared" ref="L128:L130" si="194">E128*100%</f>
        <v>15641.2</v>
      </c>
      <c r="M128" s="179"/>
      <c r="N128" s="179">
        <f>60000</f>
        <v>60000</v>
      </c>
      <c r="O128" s="25">
        <f t="shared" ref="O128:O130" si="195">E128*10%</f>
        <v>1564.1200000000001</v>
      </c>
      <c r="P128" s="25">
        <v>10000</v>
      </c>
      <c r="Q128" s="25"/>
      <c r="R128" s="204">
        <f>SUM(E128:Q128)</f>
        <v>213508.01</v>
      </c>
      <c r="S128" s="23"/>
      <c r="T128" s="23">
        <v>15000</v>
      </c>
      <c r="U128" s="23">
        <v>30000</v>
      </c>
      <c r="V128" s="23"/>
      <c r="W128" s="25">
        <v>23036.01234666667</v>
      </c>
      <c r="X128" s="258">
        <f>W128+V128+U128+T128</f>
        <v>68036.01234666667</v>
      </c>
      <c r="Y128" s="23">
        <v>142017.56464533333</v>
      </c>
      <c r="Z128" s="207">
        <f t="shared" si="181"/>
        <v>145471.99765333335</v>
      </c>
      <c r="AA128" s="180"/>
    </row>
    <row r="129" spans="1:27" ht="20.100000000000001" customHeight="1">
      <c r="A129" s="20">
        <v>9</v>
      </c>
      <c r="B129" s="157" t="s">
        <v>439</v>
      </c>
      <c r="C129" s="161" t="s">
        <v>440</v>
      </c>
      <c r="D129" s="181" t="s">
        <v>176</v>
      </c>
      <c r="E129" s="25">
        <f>12732</f>
        <v>12732</v>
      </c>
      <c r="F129" s="25"/>
      <c r="G129" s="25">
        <f t="shared" si="190"/>
        <v>38196</v>
      </c>
      <c r="H129" s="25">
        <f t="shared" si="191"/>
        <v>954.9</v>
      </c>
      <c r="I129" s="25"/>
      <c r="J129" s="25">
        <f t="shared" si="192"/>
        <v>6366</v>
      </c>
      <c r="K129" s="25">
        <f t="shared" si="193"/>
        <v>44562</v>
      </c>
      <c r="L129" s="25">
        <f t="shared" si="194"/>
        <v>12732</v>
      </c>
      <c r="M129" s="179"/>
      <c r="N129" s="179">
        <f>50000</f>
        <v>50000</v>
      </c>
      <c r="O129" s="25">
        <f t="shared" si="195"/>
        <v>1273.2</v>
      </c>
      <c r="P129" s="25">
        <v>10000</v>
      </c>
      <c r="Q129" s="25"/>
      <c r="R129" s="204">
        <f t="shared" ref="R129:R130" si="196">Q129+P129+O129+N129+M129+L129+K129+J129+I129+H129+G129+F129+E129</f>
        <v>176816.09999999998</v>
      </c>
      <c r="S129" s="23"/>
      <c r="T129" s="23">
        <f>10000</f>
        <v>10000</v>
      </c>
      <c r="U129" s="23">
        <v>70000</v>
      </c>
      <c r="V129" s="23">
        <v>0</v>
      </c>
      <c r="W129" s="25">
        <v>17042.713866666661</v>
      </c>
      <c r="X129" s="258">
        <f>W129+V129+U129+T129+S129</f>
        <v>97042.713866666658</v>
      </c>
      <c r="Y129" s="23">
        <v>76823.995709333336</v>
      </c>
      <c r="Z129" s="207">
        <f t="shared" si="181"/>
        <v>79773.386133333319</v>
      </c>
      <c r="AA129" s="180"/>
    </row>
    <row r="130" spans="1:27" ht="20.100000000000001" customHeight="1">
      <c r="A130" s="20">
        <v>10</v>
      </c>
      <c r="B130" s="157" t="s">
        <v>535</v>
      </c>
      <c r="C130" s="161" t="s">
        <v>536</v>
      </c>
      <c r="D130" s="181" t="s">
        <v>176</v>
      </c>
      <c r="E130" s="25">
        <f>12732</f>
        <v>12732</v>
      </c>
      <c r="F130" s="25"/>
      <c r="G130" s="25">
        <f t="shared" si="190"/>
        <v>38196</v>
      </c>
      <c r="H130" s="25">
        <f t="shared" si="191"/>
        <v>954.9</v>
      </c>
      <c r="I130" s="25"/>
      <c r="J130" s="25">
        <f t="shared" si="192"/>
        <v>6366</v>
      </c>
      <c r="K130" s="25">
        <f t="shared" si="193"/>
        <v>44562</v>
      </c>
      <c r="L130" s="25">
        <f t="shared" si="194"/>
        <v>12732</v>
      </c>
      <c r="M130" s="179"/>
      <c r="N130" s="179">
        <v>50000</v>
      </c>
      <c r="O130" s="25">
        <f t="shared" si="195"/>
        <v>1273.2</v>
      </c>
      <c r="P130" s="25">
        <v>10000</v>
      </c>
      <c r="Q130" s="25"/>
      <c r="R130" s="204">
        <f t="shared" si="196"/>
        <v>176816.09999999998</v>
      </c>
      <c r="S130" s="23"/>
      <c r="T130" s="23">
        <v>10000</v>
      </c>
      <c r="U130" s="23">
        <v>63888.89</v>
      </c>
      <c r="V130" s="23">
        <v>0</v>
      </c>
      <c r="W130" s="25">
        <v>17042.713866666661</v>
      </c>
      <c r="X130" s="258">
        <f>W130+V130+U130+T130+S130</f>
        <v>90931.603866666657</v>
      </c>
      <c r="Y130" s="23">
        <v>82927.477309333321</v>
      </c>
      <c r="Z130" s="207">
        <f t="shared" si="181"/>
        <v>85884.496133333319</v>
      </c>
      <c r="AA130" s="180"/>
    </row>
    <row r="131" spans="1:27" ht="28.5" customHeight="1">
      <c r="A131" s="20"/>
      <c r="B131" s="159" t="s">
        <v>15</v>
      </c>
      <c r="C131" s="187" t="s">
        <v>543</v>
      </c>
      <c r="D131" s="181"/>
      <c r="E131" s="30">
        <f>SUM(E121:E130)</f>
        <v>308728.23000000004</v>
      </c>
      <c r="F131" s="30">
        <f t="shared" ref="F131:Z131" si="197">SUM(F121:F130)</f>
        <v>0</v>
      </c>
      <c r="G131" s="30">
        <f t="shared" si="197"/>
        <v>926184.69000000006</v>
      </c>
      <c r="H131" s="30">
        <f t="shared" si="197"/>
        <v>23154.617250000003</v>
      </c>
      <c r="I131" s="30">
        <f t="shared" si="197"/>
        <v>200610.95</v>
      </c>
      <c r="J131" s="30">
        <f t="shared" si="197"/>
        <v>154364.11500000002</v>
      </c>
      <c r="K131" s="30">
        <f t="shared" si="197"/>
        <v>1080548.8049999999</v>
      </c>
      <c r="L131" s="30">
        <f t="shared" si="197"/>
        <v>308728.23000000004</v>
      </c>
      <c r="M131" s="30">
        <f t="shared" si="197"/>
        <v>0</v>
      </c>
      <c r="N131" s="30">
        <f t="shared" si="197"/>
        <v>720000</v>
      </c>
      <c r="O131" s="30">
        <f t="shared" si="197"/>
        <v>30872.823</v>
      </c>
      <c r="P131" s="30">
        <f t="shared" si="197"/>
        <v>170000</v>
      </c>
      <c r="Q131" s="30">
        <f t="shared" si="197"/>
        <v>330000</v>
      </c>
      <c r="R131" s="30">
        <f t="shared" si="197"/>
        <v>4253192.4602500005</v>
      </c>
      <c r="S131" s="30">
        <f t="shared" si="197"/>
        <v>0</v>
      </c>
      <c r="T131" s="30">
        <f t="shared" si="197"/>
        <v>685000</v>
      </c>
      <c r="U131" s="30">
        <f t="shared" si="197"/>
        <v>723861.11</v>
      </c>
      <c r="V131" s="30">
        <f t="shared" si="197"/>
        <v>5224.799</v>
      </c>
      <c r="W131" s="30">
        <f t="shared" si="197"/>
        <v>615898.93424066668</v>
      </c>
      <c r="X131" s="260">
        <f t="shared" si="197"/>
        <v>2029984.8432406669</v>
      </c>
      <c r="Y131" s="30">
        <v>2778218.0672479998</v>
      </c>
      <c r="Z131" s="218">
        <f t="shared" si="197"/>
        <v>2223207.6170093338</v>
      </c>
      <c r="AA131" s="180"/>
    </row>
    <row r="132" spans="1:27" ht="20.100000000000001" customHeight="1">
      <c r="A132" s="20"/>
      <c r="B132" s="123"/>
      <c r="C132" s="187"/>
      <c r="D132" s="181"/>
      <c r="E132" s="30"/>
      <c r="F132" s="30"/>
      <c r="G132" s="30"/>
      <c r="H132" s="30"/>
      <c r="I132" s="30"/>
      <c r="J132" s="30"/>
      <c r="K132" s="182"/>
      <c r="L132" s="30"/>
      <c r="M132" s="179">
        <f>226713.38+70000</f>
        <v>296713.38</v>
      </c>
      <c r="N132" s="179"/>
      <c r="O132" s="30"/>
      <c r="P132" s="30"/>
      <c r="Q132" s="30"/>
      <c r="R132" s="213"/>
      <c r="S132" s="182"/>
      <c r="T132" s="182"/>
      <c r="U132" s="182"/>
      <c r="V132" s="182"/>
      <c r="W132" s="30"/>
      <c r="X132" s="264"/>
      <c r="Y132" s="182"/>
      <c r="Z132" s="220"/>
      <c r="AA132" s="180"/>
    </row>
    <row r="133" spans="1:27" ht="20.100000000000001" customHeight="1">
      <c r="A133" s="20"/>
      <c r="B133" s="159" t="s">
        <v>467</v>
      </c>
      <c r="C133" s="161"/>
      <c r="D133" s="181"/>
      <c r="E133" s="25"/>
      <c r="F133" s="25"/>
      <c r="G133" s="25"/>
      <c r="H133" s="25"/>
      <c r="I133" s="25"/>
      <c r="J133" s="25"/>
      <c r="K133" s="23"/>
      <c r="L133" s="25"/>
      <c r="M133" s="179"/>
      <c r="N133" s="179"/>
      <c r="O133" s="25"/>
      <c r="P133" s="25"/>
      <c r="Q133" s="25"/>
      <c r="R133" s="204"/>
      <c r="S133" s="23"/>
      <c r="T133" s="23"/>
      <c r="U133" s="23"/>
      <c r="V133" s="23"/>
      <c r="W133" s="25"/>
      <c r="X133" s="258"/>
      <c r="Y133" s="23"/>
      <c r="Z133" s="207"/>
      <c r="AA133" s="180"/>
    </row>
    <row r="134" spans="1:27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5">
        <v>81740.02</v>
      </c>
      <c r="F134" s="25"/>
      <c r="G134" s="25">
        <f>E134*300%</f>
        <v>245220.06</v>
      </c>
      <c r="H134" s="25">
        <f>E134*7.5%</f>
        <v>6130.5015000000003</v>
      </c>
      <c r="I134" s="25">
        <f>80244.38</f>
        <v>80244.38</v>
      </c>
      <c r="J134" s="25">
        <f>E134*50%</f>
        <v>40870.01</v>
      </c>
      <c r="K134" s="25">
        <f>E134*350%</f>
        <v>286090.07</v>
      </c>
      <c r="L134" s="25">
        <f>E134*100%</f>
        <v>81740.02</v>
      </c>
      <c r="M134" s="179"/>
      <c r="N134" s="179">
        <f>100000</f>
        <v>100000</v>
      </c>
      <c r="O134" s="25">
        <f>E134*10%</f>
        <v>8174.0020000000004</v>
      </c>
      <c r="P134" s="25">
        <v>20000</v>
      </c>
      <c r="Q134" s="25">
        <v>0</v>
      </c>
      <c r="R134" s="204">
        <f>SUM(E134:Q134)</f>
        <v>950209.06350000005</v>
      </c>
      <c r="S134" s="23"/>
      <c r="T134" s="23">
        <f>100000</f>
        <v>100000</v>
      </c>
      <c r="U134" s="23">
        <f>208526.24</f>
        <v>208526.24</v>
      </c>
      <c r="V134" s="23"/>
      <c r="W134" s="25">
        <v>161106.80685866668</v>
      </c>
      <c r="X134" s="258">
        <f t="shared" ref="X134:X150" si="198">W134+V134+U134+T134+S134</f>
        <v>469633.0468586667</v>
      </c>
      <c r="Y134" s="23">
        <v>480576.01664133335</v>
      </c>
      <c r="Z134" s="207">
        <f t="shared" ref="Z134:Z165" si="199">R134-X134</f>
        <v>480576.01664133335</v>
      </c>
      <c r="AA134" s="180"/>
    </row>
    <row r="135" spans="1:27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5">
        <v>42653.17</v>
      </c>
      <c r="F135" s="25"/>
      <c r="G135" s="25">
        <v>127959.51</v>
      </c>
      <c r="H135" s="25">
        <v>3198.9877499999998</v>
      </c>
      <c r="I135" s="25">
        <v>40122.19</v>
      </c>
      <c r="J135" s="25">
        <v>21326.584999999999</v>
      </c>
      <c r="K135" s="25">
        <v>149286.095</v>
      </c>
      <c r="L135" s="25">
        <v>42653.17</v>
      </c>
      <c r="M135" s="179"/>
      <c r="N135" s="179">
        <v>90000</v>
      </c>
      <c r="O135" s="25">
        <v>4265.317</v>
      </c>
      <c r="P135" s="25">
        <v>20000</v>
      </c>
      <c r="Q135" s="25"/>
      <c r="R135" s="204">
        <f>SUM(E135:Q135)</f>
        <v>541465.02474999998</v>
      </c>
      <c r="S135" s="23"/>
      <c r="T135" s="35">
        <v>50000</v>
      </c>
      <c r="U135" s="35">
        <v>200000</v>
      </c>
      <c r="W135" s="23">
        <v>82627.951418666678</v>
      </c>
      <c r="X135" s="258">
        <f t="shared" si="198"/>
        <v>332627.95141866669</v>
      </c>
      <c r="Y135" s="23">
        <v>208997.9093313333</v>
      </c>
      <c r="Z135" s="207">
        <f t="shared" si="199"/>
        <v>208837.07333133329</v>
      </c>
      <c r="AA135" s="180"/>
    </row>
    <row r="136" spans="1:27" ht="20.100000000000001" customHeight="1">
      <c r="A136" s="191">
        <v>3</v>
      </c>
      <c r="B136" s="158" t="s">
        <v>183</v>
      </c>
      <c r="C136" s="20" t="s">
        <v>486</v>
      </c>
      <c r="D136" s="24" t="s">
        <v>160</v>
      </c>
      <c r="E136" s="25">
        <v>42653.17</v>
      </c>
      <c r="F136" s="25"/>
      <c r="G136" s="25">
        <f t="shared" ref="G136:G185" si="200">E136*300%</f>
        <v>127959.51</v>
      </c>
      <c r="H136" s="25">
        <f t="shared" ref="H136:H185" si="201">E136*7.5%</f>
        <v>3198.9877499999998</v>
      </c>
      <c r="I136" s="25">
        <v>40122.19</v>
      </c>
      <c r="J136" s="25">
        <f t="shared" ref="J136:J185" si="202">E136*50%</f>
        <v>21326.584999999999</v>
      </c>
      <c r="K136" s="25">
        <f t="shared" ref="K136:K185" si="203">E136*350%</f>
        <v>149286.095</v>
      </c>
      <c r="L136" s="25">
        <f t="shared" ref="L136:L154" si="204">E136*100%</f>
        <v>42653.17</v>
      </c>
      <c r="M136" s="179"/>
      <c r="N136" s="179">
        <f>80000+10000</f>
        <v>90000</v>
      </c>
      <c r="O136" s="25">
        <f t="shared" ref="O136:O154" si="205">E136*10%</f>
        <v>4265.317</v>
      </c>
      <c r="P136" s="25">
        <v>20000</v>
      </c>
      <c r="Q136" s="25">
        <v>50000</v>
      </c>
      <c r="R136" s="204">
        <f t="shared" ref="R136:R156" si="206">SUM(E136:Q136)</f>
        <v>591465.02474999998</v>
      </c>
      <c r="S136" s="23"/>
      <c r="T136" s="23">
        <f>37500</f>
        <v>37500</v>
      </c>
      <c r="U136" s="23"/>
      <c r="V136" s="23">
        <f>0.025*E136</f>
        <v>1066.32925</v>
      </c>
      <c r="W136" s="23">
        <v>92023.216202666677</v>
      </c>
      <c r="X136" s="258">
        <f t="shared" si="198"/>
        <v>130589.54545266667</v>
      </c>
      <c r="Y136" s="23">
        <v>449749.85644933337</v>
      </c>
      <c r="Z136" s="207">
        <f t="shared" si="199"/>
        <v>460875.47929733328</v>
      </c>
      <c r="AA136" s="180"/>
    </row>
    <row r="137" spans="1:27" ht="20.100000000000001" customHeight="1">
      <c r="A137" s="191">
        <v>4</v>
      </c>
      <c r="B137" s="156" t="s">
        <v>106</v>
      </c>
      <c r="C137" s="161" t="s">
        <v>381</v>
      </c>
      <c r="D137" s="181" t="s">
        <v>174</v>
      </c>
      <c r="E137" s="25">
        <v>28489.81</v>
      </c>
      <c r="F137" s="25"/>
      <c r="G137" s="25">
        <f t="shared" si="200"/>
        <v>85469.430000000008</v>
      </c>
      <c r="H137" s="25">
        <f t="shared" si="201"/>
        <v>2136.7357499999998</v>
      </c>
      <c r="I137" s="25">
        <v>0</v>
      </c>
      <c r="J137" s="25">
        <f t="shared" si="202"/>
        <v>14244.905000000001</v>
      </c>
      <c r="K137" s="23">
        <f t="shared" si="203"/>
        <v>99714.335000000006</v>
      </c>
      <c r="L137" s="25">
        <f t="shared" si="204"/>
        <v>28489.81</v>
      </c>
      <c r="M137" s="179"/>
      <c r="N137" s="179">
        <v>70000</v>
      </c>
      <c r="O137" s="25">
        <f t="shared" si="205"/>
        <v>2848.9810000000002</v>
      </c>
      <c r="P137" s="25">
        <v>20000</v>
      </c>
      <c r="Q137" s="25"/>
      <c r="R137" s="204">
        <f t="shared" si="206"/>
        <v>351394.00675000006</v>
      </c>
      <c r="S137" s="23"/>
      <c r="T137" s="23">
        <v>30000</v>
      </c>
      <c r="U137" s="23">
        <f>91666.67</f>
        <v>91666.67</v>
      </c>
      <c r="V137" s="23">
        <f t="shared" ref="V137:V140" si="207">0.025*E137</f>
        <v>712.24525000000006</v>
      </c>
      <c r="W137" s="25">
        <v>46081.202598666678</v>
      </c>
      <c r="X137" s="258">
        <f t="shared" si="198"/>
        <v>168460.11784866668</v>
      </c>
      <c r="Y137" s="23">
        <v>176241.74511133341</v>
      </c>
      <c r="Z137" s="207">
        <f t="shared" si="199"/>
        <v>182933.88890133338</v>
      </c>
      <c r="AA137" s="180"/>
    </row>
    <row r="138" spans="1:27" ht="20.100000000000001" customHeight="1">
      <c r="A138" s="191">
        <v>5</v>
      </c>
      <c r="B138" s="156" t="s">
        <v>7</v>
      </c>
      <c r="C138" s="20" t="s">
        <v>385</v>
      </c>
      <c r="D138" s="181" t="s">
        <v>174</v>
      </c>
      <c r="E138" s="25">
        <v>28489.81</v>
      </c>
      <c r="F138" s="25"/>
      <c r="G138" s="25">
        <f t="shared" si="200"/>
        <v>85469.430000000008</v>
      </c>
      <c r="H138" s="25">
        <f t="shared" si="201"/>
        <v>2136.7357499999998</v>
      </c>
      <c r="I138" s="25">
        <v>0</v>
      </c>
      <c r="J138" s="25">
        <f t="shared" si="202"/>
        <v>14244.905000000001</v>
      </c>
      <c r="K138" s="23">
        <f t="shared" si="203"/>
        <v>99714.335000000006</v>
      </c>
      <c r="L138" s="25">
        <f t="shared" si="204"/>
        <v>28489.81</v>
      </c>
      <c r="M138" s="179"/>
      <c r="N138" s="179">
        <v>70000</v>
      </c>
      <c r="O138" s="25">
        <f t="shared" si="205"/>
        <v>2848.9810000000002</v>
      </c>
      <c r="P138" s="25">
        <v>20000</v>
      </c>
      <c r="Q138" s="25">
        <v>0</v>
      </c>
      <c r="R138" s="204">
        <f t="shared" si="206"/>
        <v>351394.00675000006</v>
      </c>
      <c r="S138" s="23"/>
      <c r="T138" s="23">
        <f>0</f>
        <v>0</v>
      </c>
      <c r="U138" s="23">
        <f>163333.33</f>
        <v>163333.32999999999</v>
      </c>
      <c r="V138" s="23">
        <f t="shared" si="207"/>
        <v>712.24525000000006</v>
      </c>
      <c r="W138" s="25">
        <v>46081.202598666678</v>
      </c>
      <c r="X138" s="258">
        <f t="shared" si="198"/>
        <v>210126.77784866665</v>
      </c>
      <c r="Y138" s="23">
        <v>134462.8079113334</v>
      </c>
      <c r="Z138" s="207">
        <f t="shared" si="199"/>
        <v>141267.22890133341</v>
      </c>
      <c r="AA138" s="180"/>
    </row>
    <row r="139" spans="1:27" ht="20.100000000000001" customHeight="1">
      <c r="A139" s="191">
        <v>6</v>
      </c>
      <c r="B139" s="156" t="s">
        <v>6</v>
      </c>
      <c r="C139" s="20" t="s">
        <v>385</v>
      </c>
      <c r="D139" s="181" t="s">
        <v>174</v>
      </c>
      <c r="E139" s="25">
        <v>28489.81</v>
      </c>
      <c r="F139" s="25"/>
      <c r="G139" s="25">
        <f t="shared" ref="G139" si="208">E139*300%</f>
        <v>85469.430000000008</v>
      </c>
      <c r="H139" s="25">
        <f t="shared" ref="H139" si="209">E139*7.5%</f>
        <v>2136.7357499999998</v>
      </c>
      <c r="I139" s="25">
        <v>0</v>
      </c>
      <c r="J139" s="25">
        <f t="shared" ref="J139" si="210">E139*50%</f>
        <v>14244.905000000001</v>
      </c>
      <c r="K139" s="23">
        <f t="shared" ref="K139" si="211">E139*350%</f>
        <v>99714.335000000006</v>
      </c>
      <c r="L139" s="25">
        <f t="shared" ref="L139" si="212">E139*100%</f>
        <v>28489.81</v>
      </c>
      <c r="M139" s="179"/>
      <c r="N139" s="179">
        <v>70000</v>
      </c>
      <c r="O139" s="25">
        <f t="shared" ref="O139" si="213">E139*10%</f>
        <v>2848.9810000000002</v>
      </c>
      <c r="P139" s="25">
        <v>20000</v>
      </c>
      <c r="Q139" s="25">
        <v>0</v>
      </c>
      <c r="R139" s="204">
        <f t="shared" ref="R139" si="214">SUM(E139:Q139)</f>
        <v>351394.00675000006</v>
      </c>
      <c r="S139" s="23"/>
      <c r="T139" s="23">
        <f>0</f>
        <v>0</v>
      </c>
      <c r="U139" s="23">
        <v>50000</v>
      </c>
      <c r="V139" s="23">
        <f t="shared" si="207"/>
        <v>712.24525000000006</v>
      </c>
      <c r="W139" s="25">
        <v>46081.202598666678</v>
      </c>
      <c r="X139" s="258">
        <f t="shared" ref="X139" si="215">W139+V139+U139+T139+S139</f>
        <v>96793.447848666678</v>
      </c>
      <c r="Y139" s="23">
        <v>247796.13791133341</v>
      </c>
      <c r="Z139" s="207">
        <f t="shared" si="199"/>
        <v>254600.55890133337</v>
      </c>
      <c r="AA139" s="180"/>
    </row>
    <row r="140" spans="1:27" ht="20.100000000000001" customHeight="1">
      <c r="A140" s="191">
        <v>7</v>
      </c>
      <c r="B140" s="156" t="s">
        <v>102</v>
      </c>
      <c r="C140" s="161" t="s">
        <v>395</v>
      </c>
      <c r="D140" s="181" t="s">
        <v>750</v>
      </c>
      <c r="E140" s="25">
        <v>23064.85</v>
      </c>
      <c r="F140" s="25"/>
      <c r="G140" s="25">
        <f>E140*300%</f>
        <v>69194.549999999988</v>
      </c>
      <c r="H140" s="25">
        <f>E140*7.5%</f>
        <v>1729.8637499999998</v>
      </c>
      <c r="I140" s="25">
        <v>0</v>
      </c>
      <c r="J140" s="25">
        <f>E140*50%</f>
        <v>11532.424999999999</v>
      </c>
      <c r="K140" s="23">
        <f>E140*350%</f>
        <v>80726.974999999991</v>
      </c>
      <c r="L140" s="25">
        <f>E140*100%</f>
        <v>23064.85</v>
      </c>
      <c r="M140" s="179"/>
      <c r="N140" s="179">
        <f>60000</f>
        <v>60000</v>
      </c>
      <c r="O140" s="25">
        <f>E140*10%</f>
        <v>2306.4850000000001</v>
      </c>
      <c r="P140" s="25">
        <v>15000</v>
      </c>
      <c r="Q140" s="25">
        <v>0</v>
      </c>
      <c r="R140" s="204">
        <f>SUM(E140:Q140)</f>
        <v>286619.99875000003</v>
      </c>
      <c r="S140" s="23"/>
      <c r="T140" s="23">
        <v>20000</v>
      </c>
      <c r="U140" s="23">
        <v>0</v>
      </c>
      <c r="V140" s="23">
        <f t="shared" si="207"/>
        <v>576.62125000000003</v>
      </c>
      <c r="W140" s="25">
        <v>35221.954086666665</v>
      </c>
      <c r="X140" s="258">
        <f t="shared" si="198"/>
        <v>55798.575336666661</v>
      </c>
      <c r="Y140" s="23">
        <v>238997.17058533331</v>
      </c>
      <c r="Z140" s="207">
        <f t="shared" si="199"/>
        <v>230821.42341333337</v>
      </c>
      <c r="AA140" s="180"/>
    </row>
    <row r="141" spans="1:27" ht="20.100000000000001" customHeight="1">
      <c r="A141" s="191">
        <v>8</v>
      </c>
      <c r="B141" s="156" t="s">
        <v>103</v>
      </c>
      <c r="C141" s="161" t="s">
        <v>395</v>
      </c>
      <c r="D141" s="181" t="s">
        <v>750</v>
      </c>
      <c r="E141" s="25">
        <v>23064.85</v>
      </c>
      <c r="F141" s="25"/>
      <c r="G141" s="25">
        <f>E141*300%</f>
        <v>69194.549999999988</v>
      </c>
      <c r="H141" s="25">
        <f>E141*7.5%</f>
        <v>1729.8637499999998</v>
      </c>
      <c r="I141" s="25">
        <v>0</v>
      </c>
      <c r="J141" s="25">
        <f>E141*50%</f>
        <v>11532.424999999999</v>
      </c>
      <c r="K141" s="23">
        <f>E141*350%</f>
        <v>80726.974999999991</v>
      </c>
      <c r="L141" s="25">
        <f t="shared" si="204"/>
        <v>23064.85</v>
      </c>
      <c r="M141" s="179"/>
      <c r="N141" s="179">
        <f>60000</f>
        <v>60000</v>
      </c>
      <c r="O141" s="25">
        <f t="shared" si="205"/>
        <v>2306.4850000000001</v>
      </c>
      <c r="P141" s="25">
        <v>15000</v>
      </c>
      <c r="Q141" s="25">
        <v>0</v>
      </c>
      <c r="R141" s="204">
        <f t="shared" si="206"/>
        <v>286619.99875000003</v>
      </c>
      <c r="S141" s="23"/>
      <c r="T141" s="23"/>
      <c r="U141" s="23">
        <f>100000</f>
        <v>100000</v>
      </c>
      <c r="V141" s="23"/>
      <c r="W141" s="25">
        <v>35318.826456666669</v>
      </c>
      <c r="X141" s="258">
        <f t="shared" si="198"/>
        <v>135318.82645666666</v>
      </c>
      <c r="Y141" s="23">
        <v>149568.11608533331</v>
      </c>
      <c r="Z141" s="207">
        <f t="shared" si="199"/>
        <v>151301.17229333337</v>
      </c>
      <c r="AA141" s="180"/>
    </row>
    <row r="142" spans="1:27" ht="20.100000000000001" customHeight="1">
      <c r="A142" s="191">
        <v>9</v>
      </c>
      <c r="B142" s="156" t="s">
        <v>151</v>
      </c>
      <c r="C142" s="20" t="s">
        <v>235</v>
      </c>
      <c r="D142" s="181" t="s">
        <v>750</v>
      </c>
      <c r="E142" s="25">
        <v>23064.85</v>
      </c>
      <c r="F142" s="25"/>
      <c r="G142" s="25">
        <f>E142*300%</f>
        <v>69194.549999999988</v>
      </c>
      <c r="H142" s="25">
        <f>E142*7.5%</f>
        <v>1729.8637499999998</v>
      </c>
      <c r="I142" s="23"/>
      <c r="J142" s="25">
        <f>E142*50%</f>
        <v>11532.424999999999</v>
      </c>
      <c r="K142" s="23">
        <f>E142*350%</f>
        <v>80726.974999999991</v>
      </c>
      <c r="L142" s="25">
        <f>E142*100%</f>
        <v>23064.85</v>
      </c>
      <c r="M142" s="179"/>
      <c r="N142" s="179">
        <f>60000</f>
        <v>60000</v>
      </c>
      <c r="O142" s="25">
        <f>E142*10%</f>
        <v>2306.4850000000001</v>
      </c>
      <c r="P142" s="25">
        <v>15000</v>
      </c>
      <c r="Q142" s="25"/>
      <c r="R142" s="204">
        <f>SUM(E142:Q142)</f>
        <v>286619.99875000003</v>
      </c>
      <c r="S142" s="23"/>
      <c r="T142" s="23">
        <f>30000</f>
        <v>30000</v>
      </c>
      <c r="U142" s="23">
        <f>45833.33</f>
        <v>45833.33</v>
      </c>
      <c r="V142" s="23"/>
      <c r="W142" s="25">
        <v>35318.826456666669</v>
      </c>
      <c r="X142" s="258">
        <f t="shared" si="198"/>
        <v>111152.15645666668</v>
      </c>
      <c r="Y142" s="23">
        <v>173734.78608533333</v>
      </c>
      <c r="Z142" s="207">
        <f t="shared" si="199"/>
        <v>175467.84229333335</v>
      </c>
      <c r="AA142" s="180"/>
    </row>
    <row r="143" spans="1:27" ht="20.100000000000001" customHeight="1">
      <c r="A143" s="191">
        <v>10</v>
      </c>
      <c r="B143" s="156" t="s">
        <v>238</v>
      </c>
      <c r="C143" s="161" t="s">
        <v>546</v>
      </c>
      <c r="D143" s="181" t="s">
        <v>497</v>
      </c>
      <c r="E143" s="25">
        <f t="shared" ref="E143" si="216">22837.82</f>
        <v>22837.82</v>
      </c>
      <c r="F143" s="25"/>
      <c r="G143" s="25">
        <f>E143*300%</f>
        <v>68513.459999999992</v>
      </c>
      <c r="H143" s="25">
        <f>E143*7.5%</f>
        <v>1712.8364999999999</v>
      </c>
      <c r="I143" s="25"/>
      <c r="J143" s="25">
        <f>E143*50%</f>
        <v>11418.91</v>
      </c>
      <c r="K143" s="23">
        <f>E143*350%</f>
        <v>79932.37</v>
      </c>
      <c r="L143" s="25">
        <f t="shared" si="204"/>
        <v>22837.82</v>
      </c>
      <c r="M143" s="179"/>
      <c r="N143" s="179">
        <f>60000</f>
        <v>60000</v>
      </c>
      <c r="O143" s="25">
        <f t="shared" si="205"/>
        <v>2283.7820000000002</v>
      </c>
      <c r="P143" s="25">
        <v>15000</v>
      </c>
      <c r="Q143" s="25"/>
      <c r="R143" s="204">
        <f t="shared" si="206"/>
        <v>284536.99849999999</v>
      </c>
      <c r="S143" s="23"/>
      <c r="T143" s="23">
        <v>35000</v>
      </c>
      <c r="U143" s="23">
        <v>159722.22</v>
      </c>
      <c r="V143" s="23"/>
      <c r="W143" s="25">
        <v>34968.882414666667</v>
      </c>
      <c r="X143" s="258">
        <f t="shared" si="198"/>
        <v>229691.10241466668</v>
      </c>
      <c r="Y143" s="23">
        <v>44792.904000000039</v>
      </c>
      <c r="Z143" s="207">
        <f t="shared" si="199"/>
        <v>54845.896085333312</v>
      </c>
      <c r="AA143" s="180"/>
    </row>
    <row r="144" spans="1:27" ht="20.100000000000001" customHeight="1">
      <c r="A144" s="191">
        <v>11</v>
      </c>
      <c r="B144" s="156" t="s">
        <v>53</v>
      </c>
      <c r="C144" s="161" t="s">
        <v>711</v>
      </c>
      <c r="D144" s="181" t="s">
        <v>415</v>
      </c>
      <c r="E144" s="25">
        <v>21520.880000000001</v>
      </c>
      <c r="F144" s="25"/>
      <c r="G144" s="25">
        <f t="shared" si="200"/>
        <v>64562.64</v>
      </c>
      <c r="H144" s="25">
        <f t="shared" si="201"/>
        <v>1614.066</v>
      </c>
      <c r="I144" s="25"/>
      <c r="J144" s="25">
        <f t="shared" si="202"/>
        <v>10760.44</v>
      </c>
      <c r="K144" s="23">
        <f t="shared" si="203"/>
        <v>75323.08</v>
      </c>
      <c r="L144" s="25">
        <f t="shared" si="204"/>
        <v>21520.880000000001</v>
      </c>
      <c r="M144" s="179"/>
      <c r="N144" s="179">
        <f>60000</f>
        <v>60000</v>
      </c>
      <c r="O144" s="25">
        <f t="shared" si="205"/>
        <v>2152.0880000000002</v>
      </c>
      <c r="P144" s="25">
        <v>15000</v>
      </c>
      <c r="Q144" s="25"/>
      <c r="R144" s="23">
        <f t="shared" si="206"/>
        <v>272454.07400000002</v>
      </c>
      <c r="S144" s="23"/>
      <c r="T144" s="23">
        <f>10000</f>
        <v>10000</v>
      </c>
      <c r="U144" s="23">
        <v>100000</v>
      </c>
      <c r="V144" s="23">
        <f>0.025*E144</f>
        <v>538.02200000000005</v>
      </c>
      <c r="W144" s="25">
        <v>32848.563402666667</v>
      </c>
      <c r="X144" s="258">
        <f t="shared" si="198"/>
        <v>143386.58540266665</v>
      </c>
      <c r="Y144" s="23">
        <v>123147.92393333328</v>
      </c>
      <c r="Z144" s="207">
        <f t="shared" si="199"/>
        <v>129067.48859733337</v>
      </c>
      <c r="AA144" s="180"/>
    </row>
    <row r="145" spans="1:27" ht="20.100000000000001" customHeight="1">
      <c r="A145" s="191">
        <v>12</v>
      </c>
      <c r="B145" s="156" t="s">
        <v>179</v>
      </c>
      <c r="C145" s="161" t="s">
        <v>479</v>
      </c>
      <c r="D145" s="181" t="s">
        <v>750</v>
      </c>
      <c r="E145" s="25">
        <v>23064.85</v>
      </c>
      <c r="F145" s="25"/>
      <c r="G145" s="25">
        <f>E145*300%</f>
        <v>69194.549999999988</v>
      </c>
      <c r="H145" s="25">
        <f>E145*7.5%</f>
        <v>1729.8637499999998</v>
      </c>
      <c r="I145" s="23"/>
      <c r="J145" s="25">
        <f>E145*50%</f>
        <v>11532.424999999999</v>
      </c>
      <c r="K145" s="23">
        <f>E145*350%</f>
        <v>80726.974999999991</v>
      </c>
      <c r="L145" s="25">
        <f>E145*100%</f>
        <v>23064.85</v>
      </c>
      <c r="M145" s="179"/>
      <c r="N145" s="179">
        <f>60000</f>
        <v>60000</v>
      </c>
      <c r="O145" s="25">
        <f>E145*10%</f>
        <v>2306.4850000000001</v>
      </c>
      <c r="P145" s="25">
        <v>15000</v>
      </c>
      <c r="Q145" s="25"/>
      <c r="R145" s="204">
        <f>SUM(E145:Q145)</f>
        <v>286619.99875000003</v>
      </c>
      <c r="S145" s="23"/>
      <c r="T145" s="23">
        <v>20000</v>
      </c>
      <c r="U145" s="23">
        <f>68750</f>
        <v>68750</v>
      </c>
      <c r="V145" s="23">
        <f>0.025*E145</f>
        <v>576.62125000000003</v>
      </c>
      <c r="W145" s="25">
        <v>35221.954086666665</v>
      </c>
      <c r="X145" s="258">
        <f t="shared" si="198"/>
        <v>124548.57533666666</v>
      </c>
      <c r="Y145" s="23">
        <v>161087.17058533331</v>
      </c>
      <c r="Z145" s="207">
        <f t="shared" si="199"/>
        <v>162071.42341333337</v>
      </c>
      <c r="AA145" s="180"/>
    </row>
    <row r="146" spans="1:27" ht="20.100000000000001" customHeight="1">
      <c r="A146" s="191">
        <v>13</v>
      </c>
      <c r="B146" s="157" t="s">
        <v>293</v>
      </c>
      <c r="C146" s="20" t="s">
        <v>712</v>
      </c>
      <c r="D146" s="181" t="s">
        <v>369</v>
      </c>
      <c r="E146" s="179">
        <v>20749</v>
      </c>
      <c r="F146" s="25"/>
      <c r="G146" s="25">
        <f>E146*300%</f>
        <v>62247</v>
      </c>
      <c r="H146" s="25">
        <f>E146*7.5%</f>
        <v>1556.175</v>
      </c>
      <c r="I146" s="25"/>
      <c r="J146" s="25">
        <f>E146*50%</f>
        <v>10374.5</v>
      </c>
      <c r="K146" s="25">
        <f>E146*350%</f>
        <v>72621.5</v>
      </c>
      <c r="L146" s="25">
        <f>E146*100%</f>
        <v>20749</v>
      </c>
      <c r="M146" s="179"/>
      <c r="N146" s="179">
        <v>60000</v>
      </c>
      <c r="O146" s="25">
        <f>E146*10%</f>
        <v>2074.9</v>
      </c>
      <c r="P146" s="25">
        <v>15000</v>
      </c>
      <c r="Q146" s="25"/>
      <c r="R146" s="23">
        <f>Q146+P146+O146+N146+M146+L146+K146+J146+I146+H146+G146+F146+E146</f>
        <v>265372.07499999995</v>
      </c>
      <c r="S146" s="23"/>
      <c r="T146" s="23">
        <f>30000</f>
        <v>30000</v>
      </c>
      <c r="U146" s="23">
        <v>17500</v>
      </c>
      <c r="V146" s="23">
        <v>0</v>
      </c>
      <c r="W146" s="25">
        <v>31749.175266666658</v>
      </c>
      <c r="X146" s="258">
        <f>W146+V146+U146+T146+S146</f>
        <v>79249.175266666658</v>
      </c>
      <c r="Y146" s="23">
        <v>186122.9543333333</v>
      </c>
      <c r="Z146" s="207">
        <f t="shared" si="199"/>
        <v>186122.8997333333</v>
      </c>
      <c r="AA146" s="180"/>
    </row>
    <row r="147" spans="1:27" ht="20.100000000000001" customHeight="1">
      <c r="A147" s="191">
        <v>14</v>
      </c>
      <c r="B147" s="156" t="s">
        <v>488</v>
      </c>
      <c r="C147" s="20" t="s">
        <v>239</v>
      </c>
      <c r="D147" s="181" t="s">
        <v>164</v>
      </c>
      <c r="E147" s="179">
        <v>18281.64</v>
      </c>
      <c r="F147" s="25"/>
      <c r="G147" s="25">
        <f t="shared" si="200"/>
        <v>54844.92</v>
      </c>
      <c r="H147" s="25">
        <f t="shared" si="201"/>
        <v>1371.1229999999998</v>
      </c>
      <c r="I147" s="25"/>
      <c r="J147" s="25">
        <f t="shared" si="202"/>
        <v>9140.82</v>
      </c>
      <c r="K147" s="23">
        <f t="shared" si="203"/>
        <v>63985.74</v>
      </c>
      <c r="L147" s="25">
        <f t="shared" si="204"/>
        <v>18281.64</v>
      </c>
      <c r="M147" s="179"/>
      <c r="N147" s="179">
        <f>60000</f>
        <v>60000</v>
      </c>
      <c r="O147" s="25">
        <f t="shared" si="205"/>
        <v>1828.164</v>
      </c>
      <c r="P147" s="25">
        <v>10000</v>
      </c>
      <c r="Q147" s="25"/>
      <c r="R147" s="204">
        <f t="shared" si="206"/>
        <v>237734.04699999996</v>
      </c>
      <c r="S147" s="23"/>
      <c r="T147" s="23">
        <f>10000</f>
        <v>10000</v>
      </c>
      <c r="U147" s="23">
        <v>50000</v>
      </c>
      <c r="V147" s="23"/>
      <c r="W147" s="25">
        <v>27105.986562666658</v>
      </c>
      <c r="X147" s="258">
        <f t="shared" si="198"/>
        <v>87105.986562666658</v>
      </c>
      <c r="Y147" s="23">
        <v>150702.75365733332</v>
      </c>
      <c r="Z147" s="207">
        <f t="shared" si="199"/>
        <v>150628.0604373333</v>
      </c>
      <c r="AA147" s="180"/>
    </row>
    <row r="148" spans="1:27" ht="20.100000000000001" customHeight="1">
      <c r="A148" s="191">
        <v>15</v>
      </c>
      <c r="B148" s="156" t="s">
        <v>489</v>
      </c>
      <c r="C148" s="20" t="s">
        <v>239</v>
      </c>
      <c r="D148" s="181" t="s">
        <v>27</v>
      </c>
      <c r="E148" s="179">
        <v>18779.3</v>
      </c>
      <c r="F148" s="25"/>
      <c r="G148" s="25">
        <f t="shared" si="200"/>
        <v>56337.899999999994</v>
      </c>
      <c r="H148" s="25">
        <f t="shared" si="201"/>
        <v>1408.4475</v>
      </c>
      <c r="I148" s="25"/>
      <c r="J148" s="25">
        <f t="shared" si="202"/>
        <v>9389.65</v>
      </c>
      <c r="K148" s="23">
        <f t="shared" si="203"/>
        <v>65727.55</v>
      </c>
      <c r="L148" s="25">
        <f t="shared" si="204"/>
        <v>18779.3</v>
      </c>
      <c r="M148" s="179"/>
      <c r="N148" s="179">
        <f>60000</f>
        <v>60000</v>
      </c>
      <c r="O148" s="25">
        <f t="shared" si="205"/>
        <v>1877.93</v>
      </c>
      <c r="P148" s="25">
        <v>10000</v>
      </c>
      <c r="Q148" s="25"/>
      <c r="R148" s="204">
        <f t="shared" si="206"/>
        <v>242300.07749999996</v>
      </c>
      <c r="S148" s="23"/>
      <c r="T148" s="23">
        <f>10000</f>
        <v>10000</v>
      </c>
      <c r="U148" s="23">
        <v>0</v>
      </c>
      <c r="V148" s="23">
        <f>0.025*E148</f>
        <v>469.48250000000002</v>
      </c>
      <c r="W148" s="25">
        <v>27794.206626666662</v>
      </c>
      <c r="X148" s="258">
        <f t="shared" si="198"/>
        <v>38263.689126666664</v>
      </c>
      <c r="Y148" s="23">
        <v>200171.01943733331</v>
      </c>
      <c r="Z148" s="207">
        <f t="shared" si="199"/>
        <v>204036.38837333329</v>
      </c>
      <c r="AA148" s="180"/>
    </row>
    <row r="149" spans="1:27" ht="20.100000000000001" customHeight="1">
      <c r="A149" s="191">
        <v>16</v>
      </c>
      <c r="B149" s="156" t="s">
        <v>212</v>
      </c>
      <c r="C149" s="20" t="s">
        <v>239</v>
      </c>
      <c r="D149" s="181" t="s">
        <v>27</v>
      </c>
      <c r="E149" s="179">
        <v>18779.3</v>
      </c>
      <c r="F149" s="25"/>
      <c r="G149" s="25">
        <f t="shared" si="200"/>
        <v>56337.899999999994</v>
      </c>
      <c r="H149" s="25">
        <f t="shared" si="201"/>
        <v>1408.4475</v>
      </c>
      <c r="I149" s="25"/>
      <c r="J149" s="25">
        <f t="shared" si="202"/>
        <v>9389.65</v>
      </c>
      <c r="K149" s="23">
        <f t="shared" si="203"/>
        <v>65727.55</v>
      </c>
      <c r="L149" s="25">
        <f t="shared" si="204"/>
        <v>18779.3</v>
      </c>
      <c r="M149" s="179"/>
      <c r="N149" s="179">
        <f>60000</f>
        <v>60000</v>
      </c>
      <c r="O149" s="25">
        <f t="shared" si="205"/>
        <v>1877.93</v>
      </c>
      <c r="P149" s="25">
        <v>10000</v>
      </c>
      <c r="Q149" s="25"/>
      <c r="R149" s="204">
        <f t="shared" si="206"/>
        <v>242300.07749999996</v>
      </c>
      <c r="S149" s="23"/>
      <c r="T149" s="23">
        <f>10000</f>
        <v>10000</v>
      </c>
      <c r="U149" s="23"/>
      <c r="V149" s="23"/>
      <c r="W149" s="25">
        <v>27873.079686666664</v>
      </c>
      <c r="X149" s="258">
        <f t="shared" si="198"/>
        <v>37873.079686666664</v>
      </c>
      <c r="Y149" s="23">
        <v>200628.0604373333</v>
      </c>
      <c r="Z149" s="207">
        <f t="shared" si="199"/>
        <v>204426.99781333329</v>
      </c>
      <c r="AA149" s="180"/>
    </row>
    <row r="150" spans="1:27" ht="20.100000000000001" customHeight="1">
      <c r="A150" s="191">
        <v>17</v>
      </c>
      <c r="B150" s="156" t="s">
        <v>425</v>
      </c>
      <c r="C150" s="161" t="s">
        <v>430</v>
      </c>
      <c r="D150" s="181" t="s">
        <v>207</v>
      </c>
      <c r="E150" s="179">
        <v>18281.64</v>
      </c>
      <c r="F150" s="25"/>
      <c r="G150" s="25">
        <f t="shared" ref="G150:G151" si="217">E150*300%</f>
        <v>54844.92</v>
      </c>
      <c r="H150" s="25">
        <f t="shared" ref="H150:H151" si="218">E150*7.5%</f>
        <v>1371.1229999999998</v>
      </c>
      <c r="I150" s="25"/>
      <c r="J150" s="25">
        <f t="shared" ref="J150:J151" si="219">E150*50%</f>
        <v>9140.82</v>
      </c>
      <c r="K150" s="23">
        <f t="shared" ref="K150:K151" si="220">E150*350%</f>
        <v>63985.74</v>
      </c>
      <c r="L150" s="25">
        <f t="shared" ref="L150:L151" si="221">E150*100%</f>
        <v>18281.64</v>
      </c>
      <c r="M150" s="179"/>
      <c r="N150" s="179">
        <f>60000</f>
        <v>60000</v>
      </c>
      <c r="O150" s="25">
        <f t="shared" ref="O150:O151" si="222">E150*10%</f>
        <v>1828.164</v>
      </c>
      <c r="P150" s="25">
        <v>10000</v>
      </c>
      <c r="Q150" s="25"/>
      <c r="R150" s="204">
        <f>SUM(E150:Q150)</f>
        <v>237734.04699999996</v>
      </c>
      <c r="S150" s="23"/>
      <c r="T150" s="23">
        <f>30000</f>
        <v>30000</v>
      </c>
      <c r="U150" s="23"/>
      <c r="V150" s="23"/>
      <c r="W150" s="25">
        <v>27105.986562666658</v>
      </c>
      <c r="X150" s="258">
        <f t="shared" si="198"/>
        <v>57105.986562666658</v>
      </c>
      <c r="Y150" s="23">
        <v>173030.26202133336</v>
      </c>
      <c r="Z150" s="207">
        <f t="shared" si="199"/>
        <v>180628.0604373333</v>
      </c>
      <c r="AA150" s="180"/>
    </row>
    <row r="151" spans="1:27" ht="20.100000000000001" customHeight="1">
      <c r="A151" s="191">
        <v>18</v>
      </c>
      <c r="B151" s="156" t="s">
        <v>751</v>
      </c>
      <c r="C151" s="161" t="s">
        <v>438</v>
      </c>
      <c r="D151" s="28" t="s">
        <v>498</v>
      </c>
      <c r="E151" s="25">
        <v>15188.67</v>
      </c>
      <c r="F151" s="25"/>
      <c r="G151" s="25">
        <f t="shared" si="217"/>
        <v>45566.01</v>
      </c>
      <c r="H151" s="25">
        <f t="shared" si="218"/>
        <v>1139.1502499999999</v>
      </c>
      <c r="I151" s="25"/>
      <c r="J151" s="25">
        <f t="shared" si="219"/>
        <v>7594.335</v>
      </c>
      <c r="K151" s="25">
        <f t="shared" si="220"/>
        <v>53160.345000000001</v>
      </c>
      <c r="L151" s="25">
        <f t="shared" si="221"/>
        <v>15188.67</v>
      </c>
      <c r="M151" s="179"/>
      <c r="N151" s="179">
        <f>60000</f>
        <v>60000</v>
      </c>
      <c r="O151" s="25">
        <f t="shared" si="222"/>
        <v>1518.8670000000002</v>
      </c>
      <c r="P151" s="25">
        <v>10000</v>
      </c>
      <c r="Q151" s="25"/>
      <c r="R151" s="204">
        <f>SUM(E151:Q151)</f>
        <v>209356.04725</v>
      </c>
      <c r="S151" s="23"/>
      <c r="T151" s="23">
        <f>30000</f>
        <v>30000</v>
      </c>
      <c r="U151" s="23"/>
      <c r="V151" s="23"/>
      <c r="W151" s="25">
        <v>22338.48260466666</v>
      </c>
      <c r="X151" s="258">
        <f>W151+V151+U151+T151</f>
        <v>52338.482604666657</v>
      </c>
      <c r="Y151" s="23">
        <v>153563.13163733331</v>
      </c>
      <c r="Z151" s="207">
        <f t="shared" si="199"/>
        <v>157017.56464533333</v>
      </c>
      <c r="AA151" s="180"/>
    </row>
    <row r="152" spans="1:27" ht="20.100000000000001" customHeight="1">
      <c r="A152" s="191">
        <v>19</v>
      </c>
      <c r="B152" s="156" t="s">
        <v>230</v>
      </c>
      <c r="C152" s="161" t="s">
        <v>485</v>
      </c>
      <c r="D152" s="181" t="s">
        <v>164</v>
      </c>
      <c r="E152" s="179">
        <v>18281.64</v>
      </c>
      <c r="F152" s="25"/>
      <c r="G152" s="25">
        <f t="shared" si="200"/>
        <v>54844.92</v>
      </c>
      <c r="H152" s="25">
        <f t="shared" si="201"/>
        <v>1371.1229999999998</v>
      </c>
      <c r="I152" s="25"/>
      <c r="J152" s="25">
        <f t="shared" si="202"/>
        <v>9140.82</v>
      </c>
      <c r="K152" s="23">
        <f t="shared" si="203"/>
        <v>63985.74</v>
      </c>
      <c r="L152" s="25">
        <f t="shared" si="204"/>
        <v>18281.64</v>
      </c>
      <c r="M152" s="179"/>
      <c r="N152" s="179">
        <f>50000+10000</f>
        <v>60000</v>
      </c>
      <c r="O152" s="25">
        <f t="shared" si="205"/>
        <v>1828.164</v>
      </c>
      <c r="P152" s="25">
        <v>10000</v>
      </c>
      <c r="Q152" s="25"/>
      <c r="R152" s="204">
        <f t="shared" si="206"/>
        <v>237734.04699999996</v>
      </c>
      <c r="S152" s="23"/>
      <c r="T152" s="23">
        <v>10000</v>
      </c>
      <c r="U152" s="23"/>
      <c r="V152" s="23"/>
      <c r="W152" s="25">
        <v>27105.986562666658</v>
      </c>
      <c r="X152" s="258">
        <f t="shared" ref="X152:X188" si="223">W152+V152+U152+T152+S152</f>
        <v>37105.986562666658</v>
      </c>
      <c r="Y152" s="23">
        <v>200628.0604373333</v>
      </c>
      <c r="Z152" s="207">
        <f t="shared" si="199"/>
        <v>200628.0604373333</v>
      </c>
      <c r="AA152" s="180"/>
    </row>
    <row r="153" spans="1:27" ht="20.100000000000001" customHeight="1">
      <c r="A153" s="191">
        <v>20</v>
      </c>
      <c r="B153" s="156" t="s">
        <v>57</v>
      </c>
      <c r="C153" s="161" t="s">
        <v>481</v>
      </c>
      <c r="D153" s="181" t="s">
        <v>747</v>
      </c>
      <c r="E153" s="179">
        <v>15641.2</v>
      </c>
      <c r="F153" s="25"/>
      <c r="G153" s="25">
        <f t="shared" si="200"/>
        <v>46923.600000000006</v>
      </c>
      <c r="H153" s="25">
        <f t="shared" si="201"/>
        <v>1173.0899999999999</v>
      </c>
      <c r="I153" s="25"/>
      <c r="J153" s="25">
        <f t="shared" si="202"/>
        <v>7820.6</v>
      </c>
      <c r="K153" s="23">
        <f t="shared" si="203"/>
        <v>54744.200000000004</v>
      </c>
      <c r="L153" s="25">
        <f t="shared" si="204"/>
        <v>15641.2</v>
      </c>
      <c r="M153" s="179"/>
      <c r="N153" s="179">
        <f>50000+10000</f>
        <v>60000</v>
      </c>
      <c r="O153" s="25">
        <f t="shared" si="205"/>
        <v>1564.1200000000001</v>
      </c>
      <c r="P153" s="25">
        <v>10000</v>
      </c>
      <c r="Q153" s="25"/>
      <c r="R153" s="204">
        <f t="shared" si="206"/>
        <v>213508.01</v>
      </c>
      <c r="S153" s="23"/>
      <c r="T153" s="23">
        <f>30000+10000</f>
        <v>40000</v>
      </c>
      <c r="U153" s="23">
        <f>70000</f>
        <v>70000</v>
      </c>
      <c r="V153" s="23"/>
      <c r="W153" s="25">
        <v>23036.01234666667</v>
      </c>
      <c r="X153" s="258">
        <f t="shared" si="223"/>
        <v>133036.01234666666</v>
      </c>
      <c r="Y153" s="23">
        <v>77074.231885333342</v>
      </c>
      <c r="Z153" s="207">
        <f t="shared" si="199"/>
        <v>80471.997653333354</v>
      </c>
      <c r="AA153" s="180"/>
    </row>
    <row r="154" spans="1:27" ht="20.100000000000001" customHeight="1">
      <c r="A154" s="191">
        <v>21</v>
      </c>
      <c r="B154" s="156" t="s">
        <v>251</v>
      </c>
      <c r="C154" s="161" t="s">
        <v>482</v>
      </c>
      <c r="D154" s="181" t="s">
        <v>164</v>
      </c>
      <c r="E154" s="179">
        <v>18281.64</v>
      </c>
      <c r="F154" s="25"/>
      <c r="G154" s="25">
        <f t="shared" si="200"/>
        <v>54844.92</v>
      </c>
      <c r="H154" s="25">
        <f t="shared" si="201"/>
        <v>1371.1229999999998</v>
      </c>
      <c r="I154" s="25"/>
      <c r="J154" s="25">
        <f t="shared" si="202"/>
        <v>9140.82</v>
      </c>
      <c r="K154" s="23">
        <f t="shared" si="203"/>
        <v>63985.74</v>
      </c>
      <c r="L154" s="25">
        <f t="shared" si="204"/>
        <v>18281.64</v>
      </c>
      <c r="M154" s="179"/>
      <c r="N154" s="179">
        <f>50000+10000</f>
        <v>60000</v>
      </c>
      <c r="O154" s="25">
        <f t="shared" si="205"/>
        <v>1828.164</v>
      </c>
      <c r="P154" s="25">
        <v>10000</v>
      </c>
      <c r="Q154" s="25"/>
      <c r="R154" s="204">
        <f t="shared" si="206"/>
        <v>237734.04699999996</v>
      </c>
      <c r="S154" s="23"/>
      <c r="T154" s="23">
        <f>10000</f>
        <v>10000</v>
      </c>
      <c r="U154" s="23">
        <f>90000</f>
        <v>90000</v>
      </c>
      <c r="V154" s="23">
        <f>0.025*E154</f>
        <v>457.041</v>
      </c>
      <c r="W154" s="25">
        <v>27029.203674666656</v>
      </c>
      <c r="X154" s="258">
        <f t="shared" si="223"/>
        <v>127486.24467466665</v>
      </c>
      <c r="Y154" s="23">
        <v>110171.01943733331</v>
      </c>
      <c r="Z154" s="207">
        <f t="shared" si="199"/>
        <v>110247.80232533331</v>
      </c>
      <c r="AA154" s="180"/>
    </row>
    <row r="155" spans="1:27" ht="20.100000000000001" customHeight="1">
      <c r="A155" s="191">
        <v>22</v>
      </c>
      <c r="B155" s="156" t="s">
        <v>241</v>
      </c>
      <c r="C155" s="161" t="s">
        <v>348</v>
      </c>
      <c r="D155" s="181" t="s">
        <v>747</v>
      </c>
      <c r="E155" s="179">
        <v>15188.67</v>
      </c>
      <c r="F155" s="25"/>
      <c r="G155" s="25">
        <f>E155*300%</f>
        <v>45566.01</v>
      </c>
      <c r="H155" s="25">
        <f>E155*7.5%</f>
        <v>1139.1502499999999</v>
      </c>
      <c r="I155" s="25"/>
      <c r="J155" s="25">
        <f>E155*50%</f>
        <v>7594.335</v>
      </c>
      <c r="K155" s="23">
        <f>E155*350%</f>
        <v>53160.345000000001</v>
      </c>
      <c r="L155" s="25">
        <f>E155*100%</f>
        <v>15188.67</v>
      </c>
      <c r="M155" s="179"/>
      <c r="N155" s="179">
        <f>50000+10000</f>
        <v>60000</v>
      </c>
      <c r="O155" s="25">
        <f>E155*10%</f>
        <v>1518.8670000000002</v>
      </c>
      <c r="P155" s="25">
        <v>10000</v>
      </c>
      <c r="Q155" s="25"/>
      <c r="R155" s="204">
        <f>SUM(E155:Q155)</f>
        <v>209356.04725</v>
      </c>
      <c r="S155" s="23"/>
      <c r="T155" s="23"/>
      <c r="U155" s="23">
        <v>0</v>
      </c>
      <c r="V155" s="23"/>
      <c r="W155" s="25">
        <v>22338.48260466666</v>
      </c>
      <c r="X155" s="258">
        <f t="shared" si="223"/>
        <v>22338.48260466666</v>
      </c>
      <c r="Y155" s="23">
        <v>187017.56464533333</v>
      </c>
      <c r="Z155" s="207">
        <f t="shared" si="199"/>
        <v>187017.56464533333</v>
      </c>
      <c r="AA155" s="180"/>
    </row>
    <row r="156" spans="1:27" ht="20.100000000000001" customHeight="1">
      <c r="A156" s="191">
        <v>23</v>
      </c>
      <c r="B156" s="157" t="s">
        <v>289</v>
      </c>
      <c r="C156" s="161" t="s">
        <v>713</v>
      </c>
      <c r="D156" s="181" t="s">
        <v>428</v>
      </c>
      <c r="E156" s="179">
        <v>14736.14</v>
      </c>
      <c r="F156" s="25"/>
      <c r="G156" s="25">
        <f t="shared" si="200"/>
        <v>44208.42</v>
      </c>
      <c r="H156" s="25">
        <f t="shared" si="201"/>
        <v>1105.2104999999999</v>
      </c>
      <c r="I156" s="25"/>
      <c r="J156" s="25">
        <f t="shared" si="202"/>
        <v>7368.07</v>
      </c>
      <c r="K156" s="23">
        <f t="shared" si="203"/>
        <v>51576.49</v>
      </c>
      <c r="L156" s="25">
        <f>E156*100%</f>
        <v>14736.14</v>
      </c>
      <c r="M156" s="179"/>
      <c r="N156" s="179">
        <f>60000</f>
        <v>60000</v>
      </c>
      <c r="O156" s="25">
        <f>E156*10%</f>
        <v>1473.614</v>
      </c>
      <c r="P156" s="25">
        <v>10000</v>
      </c>
      <c r="Q156" s="20"/>
      <c r="R156" s="25">
        <f t="shared" si="206"/>
        <v>205204.0845</v>
      </c>
      <c r="S156" s="25"/>
      <c r="T156" s="23">
        <v>30000</v>
      </c>
      <c r="U156" s="23">
        <f>60000</f>
        <v>60000</v>
      </c>
      <c r="V156" s="23"/>
      <c r="W156" s="25">
        <v>21640.952862666669</v>
      </c>
      <c r="X156" s="258">
        <f t="shared" si="223"/>
        <v>111640.95286266667</v>
      </c>
      <c r="Y156" s="23">
        <v>93563.201833333325</v>
      </c>
      <c r="Z156" s="207">
        <f t="shared" si="199"/>
        <v>93563.131637333325</v>
      </c>
      <c r="AA156" s="180"/>
    </row>
    <row r="157" spans="1:27" ht="20.100000000000001" customHeight="1">
      <c r="A157" s="191">
        <v>24</v>
      </c>
      <c r="B157" s="157" t="s">
        <v>407</v>
      </c>
      <c r="C157" s="161" t="s">
        <v>131</v>
      </c>
      <c r="D157" s="181" t="s">
        <v>176</v>
      </c>
      <c r="E157" s="25">
        <f>12732</f>
        <v>12732</v>
      </c>
      <c r="F157" s="25"/>
      <c r="G157" s="25">
        <f t="shared" ref="G157" si="224">E157*300%</f>
        <v>38196</v>
      </c>
      <c r="H157" s="25">
        <f t="shared" ref="H157" si="225">E157*7.5%</f>
        <v>954.9</v>
      </c>
      <c r="I157" s="25"/>
      <c r="J157" s="25">
        <f t="shared" ref="J157" si="226">E157*50%</f>
        <v>6366</v>
      </c>
      <c r="K157" s="25">
        <f t="shared" ref="K157" si="227">E157*350%</f>
        <v>44562</v>
      </c>
      <c r="L157" s="25">
        <f t="shared" ref="L157" si="228">E157*100%</f>
        <v>12732</v>
      </c>
      <c r="M157" s="179"/>
      <c r="N157" s="179">
        <f>50000</f>
        <v>50000</v>
      </c>
      <c r="O157" s="25">
        <f t="shared" ref="O157" si="229">E157*10%</f>
        <v>1273.2</v>
      </c>
      <c r="P157" s="25">
        <v>10000</v>
      </c>
      <c r="Q157" s="25"/>
      <c r="R157" s="204">
        <f t="shared" ref="R157" si="230">Q157+P157+O157+N157+M157+L157+K157+J157+I157+H157+G157+F157+E157</f>
        <v>176816.09999999998</v>
      </c>
      <c r="S157" s="23"/>
      <c r="T157" s="23">
        <f>20000</f>
        <v>20000</v>
      </c>
      <c r="U157" s="23"/>
      <c r="V157" s="23">
        <v>0</v>
      </c>
      <c r="W157" s="25">
        <v>17042.713866666661</v>
      </c>
      <c r="X157" s="258">
        <f t="shared" si="223"/>
        <v>37042.713866666658</v>
      </c>
      <c r="Y157" s="23">
        <v>136816.36730933332</v>
      </c>
      <c r="Z157" s="207">
        <f t="shared" si="199"/>
        <v>139773.38613333332</v>
      </c>
      <c r="AA157" s="180"/>
    </row>
    <row r="158" spans="1:27" ht="20.100000000000001" customHeight="1">
      <c r="A158" s="191">
        <v>25</v>
      </c>
      <c r="B158" s="157" t="s">
        <v>426</v>
      </c>
      <c r="C158" s="161" t="s">
        <v>290</v>
      </c>
      <c r="D158" s="181" t="s">
        <v>176</v>
      </c>
      <c r="E158" s="25">
        <f>12732</f>
        <v>12732</v>
      </c>
      <c r="F158" s="25"/>
      <c r="G158" s="25">
        <f t="shared" ref="G158" si="231">E158*300%</f>
        <v>38196</v>
      </c>
      <c r="H158" s="25">
        <f t="shared" ref="H158" si="232">E158*7.5%</f>
        <v>954.9</v>
      </c>
      <c r="I158" s="25"/>
      <c r="J158" s="25">
        <f t="shared" ref="J158" si="233">E158*50%</f>
        <v>6366</v>
      </c>
      <c r="K158" s="25">
        <f t="shared" ref="K158" si="234">E158*350%</f>
        <v>44562</v>
      </c>
      <c r="L158" s="25">
        <f t="shared" ref="L158" si="235">E158*100%</f>
        <v>12732</v>
      </c>
      <c r="M158" s="179"/>
      <c r="N158" s="179">
        <f>50000</f>
        <v>50000</v>
      </c>
      <c r="O158" s="25">
        <f t="shared" ref="O158" si="236">E158*10%</f>
        <v>1273.2</v>
      </c>
      <c r="P158" s="25">
        <v>10000</v>
      </c>
      <c r="Q158" s="25"/>
      <c r="R158" s="204">
        <f t="shared" ref="R158" si="237">Q158+P158+O158+N158+M158+L158+K158+J158+I158+H158+G158+F158+E158</f>
        <v>176816.09999999998</v>
      </c>
      <c r="S158" s="23"/>
      <c r="T158" s="23">
        <f>12000-2000</f>
        <v>10000</v>
      </c>
      <c r="U158" s="23"/>
      <c r="V158" s="23">
        <v>0</v>
      </c>
      <c r="W158" s="25">
        <v>17042.713866666661</v>
      </c>
      <c r="X158" s="258">
        <f t="shared" ref="X158" si="238">W158+V158+U158+T158+S158</f>
        <v>27042.713866666661</v>
      </c>
      <c r="Y158" s="23">
        <v>146823.99570933334</v>
      </c>
      <c r="Z158" s="207">
        <f t="shared" si="199"/>
        <v>149773.38613333332</v>
      </c>
      <c r="AA158" s="180"/>
    </row>
    <row r="159" spans="1:27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5">
        <f>12732</f>
        <v>12732</v>
      </c>
      <c r="F159" s="25"/>
      <c r="G159" s="25">
        <f t="shared" ref="G159" si="239">E159*300%</f>
        <v>38196</v>
      </c>
      <c r="H159" s="25">
        <f t="shared" ref="H159" si="240">E159*7.5%</f>
        <v>954.9</v>
      </c>
      <c r="I159" s="25"/>
      <c r="J159" s="25">
        <f t="shared" ref="J159" si="241">E159*50%</f>
        <v>6366</v>
      </c>
      <c r="K159" s="25">
        <f t="shared" ref="K159" si="242">E159*350%</f>
        <v>44562</v>
      </c>
      <c r="L159" s="25">
        <f t="shared" ref="L159" si="243">E159*100%</f>
        <v>12732</v>
      </c>
      <c r="M159" s="179"/>
      <c r="N159" s="179">
        <f>50000</f>
        <v>50000</v>
      </c>
      <c r="O159" s="25">
        <f t="shared" ref="O159" si="244">E159*10%</f>
        <v>1273.2</v>
      </c>
      <c r="P159" s="25">
        <v>10000</v>
      </c>
      <c r="Q159" s="25"/>
      <c r="R159" s="204">
        <f t="shared" ref="R159" si="245">Q159+P159+O159+N159+M159+L159+K159+J159+I159+H159+G159+F159+E159</f>
        <v>176816.09999999998</v>
      </c>
      <c r="S159" s="23"/>
      <c r="T159" s="23">
        <v>0</v>
      </c>
      <c r="U159" s="23"/>
      <c r="V159" s="23">
        <v>0</v>
      </c>
      <c r="W159" s="25">
        <v>17042.713866666661</v>
      </c>
      <c r="X159" s="258">
        <f t="shared" ref="X159" si="246">W159+V159+U159+T159+S159</f>
        <v>17042.713866666661</v>
      </c>
      <c r="Y159" s="23">
        <v>156823.99570933334</v>
      </c>
      <c r="Z159" s="207">
        <f t="shared" si="199"/>
        <v>159773.38613333332</v>
      </c>
      <c r="AA159" s="180"/>
    </row>
    <row r="160" spans="1:27" ht="20.100000000000001" customHeight="1">
      <c r="A160" s="191">
        <v>27</v>
      </c>
      <c r="B160" s="157" t="s">
        <v>445</v>
      </c>
      <c r="C160" s="161" t="s">
        <v>446</v>
      </c>
      <c r="D160" s="181" t="s">
        <v>51</v>
      </c>
      <c r="E160" s="25">
        <v>13112.16</v>
      </c>
      <c r="F160" s="25"/>
      <c r="G160" s="25">
        <f t="shared" ref="G160:G161" si="247">E160*300%</f>
        <v>39336.479999999996</v>
      </c>
      <c r="H160" s="25">
        <f t="shared" ref="H160:H161" si="248">E160*7.5%</f>
        <v>983.41199999999992</v>
      </c>
      <c r="I160" s="25"/>
      <c r="J160" s="25">
        <f t="shared" ref="J160:J161" si="249">E160*50%</f>
        <v>6556.08</v>
      </c>
      <c r="K160" s="25">
        <f t="shared" ref="K160:K161" si="250">E160*350%</f>
        <v>45892.56</v>
      </c>
      <c r="L160" s="25">
        <f t="shared" ref="L160:L161" si="251">E160*100%</f>
        <v>13112.16</v>
      </c>
      <c r="M160" s="179"/>
      <c r="N160" s="179">
        <f>50000</f>
        <v>50000</v>
      </c>
      <c r="O160" s="25">
        <f t="shared" ref="O160:O161" si="252">E160*10%</f>
        <v>1311.2160000000001</v>
      </c>
      <c r="P160" s="25">
        <v>10000</v>
      </c>
      <c r="Q160" s="25"/>
      <c r="R160" s="204">
        <f>(Q160+P160+O160+N160+M160+L160+K160+J160+I160+H160+G160+F160+E160)</f>
        <v>180304.068</v>
      </c>
      <c r="S160" s="23"/>
      <c r="T160" s="23">
        <f>10000+5000+5000</f>
        <v>20000</v>
      </c>
      <c r="U160" s="23">
        <f>32000</f>
        <v>32000</v>
      </c>
      <c r="V160" s="23">
        <v>0</v>
      </c>
      <c r="W160" s="25">
        <v>17572.88500266667</v>
      </c>
      <c r="X160" s="258">
        <f t="shared" si="223"/>
        <v>69572.885002666677</v>
      </c>
      <c r="Y160" s="23">
        <v>107807.77663999998</v>
      </c>
      <c r="Z160" s="207">
        <f t="shared" si="199"/>
        <v>110731.18299733332</v>
      </c>
      <c r="AA160" s="180"/>
    </row>
    <row r="161" spans="1:27" ht="20.100000000000001" customHeight="1">
      <c r="A161" s="191">
        <v>28</v>
      </c>
      <c r="B161" s="157" t="s">
        <v>550</v>
      </c>
      <c r="C161" s="161" t="s">
        <v>290</v>
      </c>
      <c r="D161" s="181" t="s">
        <v>176</v>
      </c>
      <c r="E161" s="25">
        <f>12732</f>
        <v>12732</v>
      </c>
      <c r="F161" s="25"/>
      <c r="G161" s="25">
        <f t="shared" si="247"/>
        <v>38196</v>
      </c>
      <c r="H161" s="25">
        <f t="shared" si="248"/>
        <v>954.9</v>
      </c>
      <c r="I161" s="25"/>
      <c r="J161" s="25">
        <f t="shared" si="249"/>
        <v>6366</v>
      </c>
      <c r="K161" s="25">
        <f t="shared" si="250"/>
        <v>44562</v>
      </c>
      <c r="L161" s="25">
        <f t="shared" si="251"/>
        <v>12732</v>
      </c>
      <c r="M161" s="179"/>
      <c r="N161" s="179">
        <f>50000</f>
        <v>50000</v>
      </c>
      <c r="O161" s="25">
        <f t="shared" si="252"/>
        <v>1273.2</v>
      </c>
      <c r="P161" s="25">
        <v>10000</v>
      </c>
      <c r="Q161" s="25"/>
      <c r="R161" s="204">
        <f t="shared" ref="R161" si="253">Q161+P161+O161+N161+M161+L161+K161+J161+I161+H161+G161+F161+E161</f>
        <v>176816.09999999998</v>
      </c>
      <c r="S161" s="23"/>
      <c r="T161" s="23">
        <v>30000</v>
      </c>
      <c r="U161" s="23">
        <v>0</v>
      </c>
      <c r="V161" s="23">
        <v>0</v>
      </c>
      <c r="W161" s="25">
        <v>17042.713866666661</v>
      </c>
      <c r="X161" s="258">
        <f t="shared" si="223"/>
        <v>47042.713866666658</v>
      </c>
      <c r="Y161" s="23">
        <v>126824.99570933334</v>
      </c>
      <c r="Z161" s="207">
        <f t="shared" si="199"/>
        <v>129773.38613333332</v>
      </c>
      <c r="AA161" s="180"/>
    </row>
    <row r="162" spans="1:27" ht="20.100000000000001" customHeight="1">
      <c r="A162" s="191">
        <v>29</v>
      </c>
      <c r="B162" s="156" t="s">
        <v>22</v>
      </c>
      <c r="C162" s="161" t="s">
        <v>302</v>
      </c>
      <c r="D162" s="181" t="s">
        <v>752</v>
      </c>
      <c r="E162" s="192">
        <f t="shared" ref="E162:E172" si="254">10527.6</f>
        <v>10527.6</v>
      </c>
      <c r="F162" s="179"/>
      <c r="G162" s="25">
        <f t="shared" si="200"/>
        <v>31582.800000000003</v>
      </c>
      <c r="H162" s="25">
        <f t="shared" si="201"/>
        <v>789.57</v>
      </c>
      <c r="I162" s="179">
        <v>0</v>
      </c>
      <c r="J162" s="25">
        <f t="shared" si="202"/>
        <v>5263.8</v>
      </c>
      <c r="K162" s="23">
        <f t="shared" si="203"/>
        <v>36846.6</v>
      </c>
      <c r="L162" s="25">
        <f t="shared" ref="L162:L169" si="255">E162*100%</f>
        <v>10527.6</v>
      </c>
      <c r="M162" s="179"/>
      <c r="N162" s="179">
        <f>30000</f>
        <v>30000</v>
      </c>
      <c r="O162" s="25">
        <f t="shared" ref="O162:O185" si="256">E162*10%</f>
        <v>1052.76</v>
      </c>
      <c r="P162" s="179">
        <v>5000</v>
      </c>
      <c r="Q162" s="25">
        <f>4000</f>
        <v>4000</v>
      </c>
      <c r="R162" s="204">
        <f t="shared" ref="R162:R185" si="257">SUM(E162:Q162)</f>
        <v>135590.72999999998</v>
      </c>
      <c r="S162" s="23"/>
      <c r="T162" s="23">
        <f>20000+5000+5000</f>
        <v>30000</v>
      </c>
      <c r="U162" s="23">
        <f>47916.66</f>
        <v>47916.66</v>
      </c>
      <c r="V162" s="23">
        <f>0.025*E162</f>
        <v>263.19</v>
      </c>
      <c r="W162" s="23">
        <v>10739.304799999998</v>
      </c>
      <c r="X162" s="258">
        <f t="shared" si="223"/>
        <v>88919.154800000004</v>
      </c>
      <c r="Y162" s="23">
        <v>46634.422373333306</v>
      </c>
      <c r="Z162" s="207">
        <f t="shared" si="199"/>
        <v>46671.575199999977</v>
      </c>
      <c r="AA162" s="180"/>
    </row>
    <row r="163" spans="1:27" ht="20.100000000000001" customHeight="1">
      <c r="A163" s="191">
        <v>30</v>
      </c>
      <c r="B163" s="156" t="s">
        <v>14</v>
      </c>
      <c r="C163" s="161" t="s">
        <v>302</v>
      </c>
      <c r="D163" s="181" t="s">
        <v>752</v>
      </c>
      <c r="E163" s="192">
        <f t="shared" si="254"/>
        <v>10527.6</v>
      </c>
      <c r="F163" s="179"/>
      <c r="G163" s="25">
        <f t="shared" si="200"/>
        <v>31582.800000000003</v>
      </c>
      <c r="H163" s="25">
        <f t="shared" si="201"/>
        <v>789.57</v>
      </c>
      <c r="I163" s="179">
        <v>0</v>
      </c>
      <c r="J163" s="25">
        <f t="shared" si="202"/>
        <v>5263.8</v>
      </c>
      <c r="K163" s="23">
        <f t="shared" si="203"/>
        <v>36846.6</v>
      </c>
      <c r="L163" s="25">
        <f t="shared" si="255"/>
        <v>10527.6</v>
      </c>
      <c r="M163" s="179"/>
      <c r="N163" s="179">
        <f>30000</f>
        <v>30000</v>
      </c>
      <c r="O163" s="25">
        <f t="shared" si="256"/>
        <v>1052.76</v>
      </c>
      <c r="P163" s="179">
        <v>5000</v>
      </c>
      <c r="Q163" s="25">
        <f>7000</f>
        <v>7000</v>
      </c>
      <c r="R163" s="204">
        <f t="shared" si="257"/>
        <v>138590.72999999998</v>
      </c>
      <c r="S163" s="23"/>
      <c r="T163" s="23">
        <f>5000+5000+5000</f>
        <v>15000</v>
      </c>
      <c r="U163" s="23">
        <f>14524.11</f>
        <v>14524.11</v>
      </c>
      <c r="V163" s="23"/>
      <c r="W163" s="23">
        <v>11232.457626666665</v>
      </c>
      <c r="X163" s="258">
        <f t="shared" si="223"/>
        <v>40756.567626666663</v>
      </c>
      <c r="Y163" s="23">
        <v>97834.162373333325</v>
      </c>
      <c r="Z163" s="207">
        <f t="shared" si="199"/>
        <v>97834.162373333325</v>
      </c>
      <c r="AA163" s="180"/>
    </row>
    <row r="164" spans="1:27" ht="20.100000000000001" customHeight="1">
      <c r="A164" s="191">
        <v>31</v>
      </c>
      <c r="B164" s="156" t="s">
        <v>23</v>
      </c>
      <c r="C164" s="161" t="s">
        <v>302</v>
      </c>
      <c r="D164" s="181" t="s">
        <v>752</v>
      </c>
      <c r="E164" s="192">
        <f t="shared" si="254"/>
        <v>10527.6</v>
      </c>
      <c r="F164" s="179"/>
      <c r="G164" s="25">
        <f t="shared" si="200"/>
        <v>31582.800000000003</v>
      </c>
      <c r="H164" s="25">
        <f t="shared" si="201"/>
        <v>789.57</v>
      </c>
      <c r="I164" s="25">
        <v>0</v>
      </c>
      <c r="J164" s="25">
        <f t="shared" si="202"/>
        <v>5263.8</v>
      </c>
      <c r="K164" s="23">
        <f t="shared" si="203"/>
        <v>36846.6</v>
      </c>
      <c r="L164" s="25">
        <f t="shared" si="255"/>
        <v>10527.6</v>
      </c>
      <c r="M164" s="179"/>
      <c r="N164" s="179">
        <f>30000</f>
        <v>30000</v>
      </c>
      <c r="O164" s="25">
        <f t="shared" si="256"/>
        <v>1052.76</v>
      </c>
      <c r="P164" s="25">
        <v>5000</v>
      </c>
      <c r="Q164" s="25">
        <f>4000</f>
        <v>4000</v>
      </c>
      <c r="R164" s="204">
        <f t="shared" si="257"/>
        <v>135590.72999999998</v>
      </c>
      <c r="S164" s="23"/>
      <c r="T164" s="23">
        <f>10000+5000+5000</f>
        <v>20000</v>
      </c>
      <c r="U164" s="23"/>
      <c r="V164" s="23"/>
      <c r="W164" s="23">
        <v>10776.457626666665</v>
      </c>
      <c r="X164" s="258">
        <f t="shared" si="223"/>
        <v>30776.457626666663</v>
      </c>
      <c r="Y164" s="23">
        <v>104814.27237333331</v>
      </c>
      <c r="Z164" s="207">
        <f t="shared" si="199"/>
        <v>104814.27237333331</v>
      </c>
      <c r="AA164" s="180"/>
    </row>
    <row r="165" spans="1:27" ht="20.100000000000001" customHeight="1">
      <c r="A165" s="191">
        <v>32</v>
      </c>
      <c r="B165" s="156" t="s">
        <v>39</v>
      </c>
      <c r="C165" s="161" t="s">
        <v>302</v>
      </c>
      <c r="D165" s="181" t="s">
        <v>752</v>
      </c>
      <c r="E165" s="192">
        <f t="shared" si="254"/>
        <v>10527.6</v>
      </c>
      <c r="F165" s="179"/>
      <c r="G165" s="25">
        <f t="shared" si="200"/>
        <v>31582.800000000003</v>
      </c>
      <c r="H165" s="25">
        <f t="shared" si="201"/>
        <v>789.57</v>
      </c>
      <c r="I165" s="25">
        <v>0</v>
      </c>
      <c r="J165" s="25">
        <f t="shared" si="202"/>
        <v>5263.8</v>
      </c>
      <c r="K165" s="23">
        <f t="shared" si="203"/>
        <v>36846.6</v>
      </c>
      <c r="L165" s="25">
        <f t="shared" si="255"/>
        <v>10527.6</v>
      </c>
      <c r="M165" s="179"/>
      <c r="N165" s="179">
        <f>30000</f>
        <v>30000</v>
      </c>
      <c r="O165" s="25">
        <f t="shared" si="256"/>
        <v>1052.76</v>
      </c>
      <c r="P165" s="25">
        <v>5000</v>
      </c>
      <c r="Q165" s="25">
        <f>4000</f>
        <v>4000</v>
      </c>
      <c r="R165" s="204">
        <f t="shared" si="257"/>
        <v>135590.72999999998</v>
      </c>
      <c r="S165" s="23"/>
      <c r="T165" s="23">
        <f>5000+5000+5000</f>
        <v>15000</v>
      </c>
      <c r="U165" s="23">
        <f>85704.84-50000</f>
        <v>35704.839999999997</v>
      </c>
      <c r="V165" s="23">
        <v>263.19</v>
      </c>
      <c r="W165" s="23">
        <v>10739.304799999998</v>
      </c>
      <c r="X165" s="258">
        <f t="shared" si="223"/>
        <v>61707.334799999997</v>
      </c>
      <c r="Y165" s="23">
        <v>73878.962799999979</v>
      </c>
      <c r="Z165" s="207">
        <f t="shared" si="199"/>
        <v>73883.395199999984</v>
      </c>
      <c r="AA165" s="180"/>
    </row>
    <row r="166" spans="1:27" ht="20.100000000000001" customHeight="1">
      <c r="A166" s="191">
        <v>33</v>
      </c>
      <c r="B166" s="156" t="s">
        <v>40</v>
      </c>
      <c r="C166" s="161" t="s">
        <v>302</v>
      </c>
      <c r="D166" s="181" t="s">
        <v>752</v>
      </c>
      <c r="E166" s="192">
        <f t="shared" si="254"/>
        <v>10527.6</v>
      </c>
      <c r="F166" s="179"/>
      <c r="G166" s="25">
        <f t="shared" si="200"/>
        <v>31582.800000000003</v>
      </c>
      <c r="H166" s="25">
        <f t="shared" si="201"/>
        <v>789.57</v>
      </c>
      <c r="I166" s="25">
        <v>0</v>
      </c>
      <c r="J166" s="25">
        <f t="shared" si="202"/>
        <v>5263.8</v>
      </c>
      <c r="K166" s="23">
        <f t="shared" si="203"/>
        <v>36846.6</v>
      </c>
      <c r="L166" s="25">
        <f t="shared" si="255"/>
        <v>10527.6</v>
      </c>
      <c r="M166" s="179"/>
      <c r="N166" s="179">
        <f>30000</f>
        <v>30000</v>
      </c>
      <c r="O166" s="25">
        <f t="shared" si="256"/>
        <v>1052.76</v>
      </c>
      <c r="P166" s="25">
        <v>5000</v>
      </c>
      <c r="Q166" s="25">
        <f>4000</f>
        <v>4000</v>
      </c>
      <c r="R166" s="204">
        <f t="shared" si="257"/>
        <v>135590.72999999998</v>
      </c>
      <c r="S166" s="23"/>
      <c r="T166" s="23">
        <f>10000+5000+5000</f>
        <v>20000</v>
      </c>
      <c r="U166" s="23">
        <f>15112.49</f>
        <v>15112.49</v>
      </c>
      <c r="V166" s="23"/>
      <c r="W166" s="23">
        <v>10776.457626666665</v>
      </c>
      <c r="X166" s="258">
        <f t="shared" si="223"/>
        <v>45888.947626666661</v>
      </c>
      <c r="Y166" s="23">
        <v>89701.782373333321</v>
      </c>
      <c r="Z166" s="207">
        <f t="shared" ref="Z166:Z192" si="258">R166-X166</f>
        <v>89701.782373333321</v>
      </c>
      <c r="AA166" s="180"/>
    </row>
    <row r="167" spans="1:27" ht="20.100000000000001" customHeight="1">
      <c r="A167" s="191">
        <v>34</v>
      </c>
      <c r="B167" s="156" t="s">
        <v>127</v>
      </c>
      <c r="C167" s="161" t="s">
        <v>302</v>
      </c>
      <c r="D167" s="181" t="s">
        <v>501</v>
      </c>
      <c r="E167" s="192">
        <f t="shared" si="254"/>
        <v>10527.6</v>
      </c>
      <c r="F167" s="179"/>
      <c r="G167" s="25">
        <f t="shared" si="200"/>
        <v>31582.800000000003</v>
      </c>
      <c r="H167" s="25">
        <f t="shared" si="201"/>
        <v>789.57</v>
      </c>
      <c r="I167" s="25">
        <v>0</v>
      </c>
      <c r="J167" s="25">
        <f t="shared" si="202"/>
        <v>5263.8</v>
      </c>
      <c r="K167" s="23">
        <f t="shared" si="203"/>
        <v>36846.6</v>
      </c>
      <c r="L167" s="25">
        <f t="shared" si="255"/>
        <v>10527.6</v>
      </c>
      <c r="M167" s="179"/>
      <c r="N167" s="179">
        <f>20000+10000</f>
        <v>30000</v>
      </c>
      <c r="O167" s="25">
        <f t="shared" si="256"/>
        <v>1052.76</v>
      </c>
      <c r="P167" s="25">
        <v>5000</v>
      </c>
      <c r="Q167" s="25">
        <f>7000</f>
        <v>7000</v>
      </c>
      <c r="R167" s="204">
        <f t="shared" si="257"/>
        <v>138590.72999999998</v>
      </c>
      <c r="S167" s="23"/>
      <c r="T167" s="23">
        <f>5000+5000+15000+5000</f>
        <v>30000</v>
      </c>
      <c r="U167" s="23">
        <f>26430.62</f>
        <v>26430.62</v>
      </c>
      <c r="V167" s="23"/>
      <c r="W167" s="23">
        <v>11232.457626666665</v>
      </c>
      <c r="X167" s="258">
        <f t="shared" si="223"/>
        <v>67663.077626666665</v>
      </c>
      <c r="Y167" s="23">
        <v>59100.210359999997</v>
      </c>
      <c r="Z167" s="207">
        <f t="shared" si="258"/>
        <v>70927.652373333316</v>
      </c>
      <c r="AA167" s="180"/>
    </row>
    <row r="168" spans="1:27" ht="20.100000000000001" customHeight="1">
      <c r="A168" s="191">
        <v>35</v>
      </c>
      <c r="B168" s="156" t="s">
        <v>128</v>
      </c>
      <c r="C168" s="161" t="s">
        <v>302</v>
      </c>
      <c r="D168" s="181" t="s">
        <v>501</v>
      </c>
      <c r="E168" s="192">
        <f t="shared" si="254"/>
        <v>10527.6</v>
      </c>
      <c r="F168" s="179"/>
      <c r="G168" s="25">
        <f t="shared" si="200"/>
        <v>31582.800000000003</v>
      </c>
      <c r="H168" s="25">
        <f t="shared" si="201"/>
        <v>789.57</v>
      </c>
      <c r="I168" s="25">
        <v>0</v>
      </c>
      <c r="J168" s="25">
        <f t="shared" si="202"/>
        <v>5263.8</v>
      </c>
      <c r="K168" s="23">
        <f t="shared" si="203"/>
        <v>36846.6</v>
      </c>
      <c r="L168" s="25">
        <f t="shared" si="255"/>
        <v>10527.6</v>
      </c>
      <c r="M168" s="179"/>
      <c r="N168" s="179">
        <f t="shared" ref="N168:N172" si="259">20000+10000</f>
        <v>30000</v>
      </c>
      <c r="O168" s="25">
        <f t="shared" si="256"/>
        <v>1052.76</v>
      </c>
      <c r="P168" s="25">
        <v>5000</v>
      </c>
      <c r="Q168" s="25">
        <f>4000</f>
        <v>4000</v>
      </c>
      <c r="R168" s="204">
        <f t="shared" si="257"/>
        <v>135590.72999999998</v>
      </c>
      <c r="S168" s="23"/>
      <c r="T168" s="23">
        <f>3000+5000+17000+5000</f>
        <v>30000</v>
      </c>
      <c r="U168" s="23">
        <f>25555.56</f>
        <v>25555.56</v>
      </c>
      <c r="V168" s="23"/>
      <c r="W168" s="23">
        <v>10776.457626666665</v>
      </c>
      <c r="X168" s="258">
        <f t="shared" si="223"/>
        <v>66332.017626666668</v>
      </c>
      <c r="Y168" s="23">
        <v>57335.270359999995</v>
      </c>
      <c r="Z168" s="207">
        <f t="shared" si="258"/>
        <v>69258.712373333314</v>
      </c>
      <c r="AA168" s="180"/>
    </row>
    <row r="169" spans="1:27" ht="20.100000000000001" customHeight="1">
      <c r="A169" s="191">
        <v>36</v>
      </c>
      <c r="B169" s="158" t="s">
        <v>136</v>
      </c>
      <c r="C169" s="161" t="s">
        <v>302</v>
      </c>
      <c r="D169" s="181" t="s">
        <v>501</v>
      </c>
      <c r="E169" s="192">
        <f t="shared" si="254"/>
        <v>10527.6</v>
      </c>
      <c r="F169" s="179"/>
      <c r="G169" s="25">
        <f t="shared" si="200"/>
        <v>31582.800000000003</v>
      </c>
      <c r="H169" s="25">
        <f t="shared" si="201"/>
        <v>789.57</v>
      </c>
      <c r="I169" s="25">
        <v>0</v>
      </c>
      <c r="J169" s="25">
        <f t="shared" si="202"/>
        <v>5263.8</v>
      </c>
      <c r="K169" s="23">
        <f t="shared" si="203"/>
        <v>36846.6</v>
      </c>
      <c r="L169" s="25">
        <f t="shared" si="255"/>
        <v>10527.6</v>
      </c>
      <c r="M169" s="179"/>
      <c r="N169" s="179">
        <f t="shared" si="259"/>
        <v>30000</v>
      </c>
      <c r="O169" s="25">
        <f t="shared" si="256"/>
        <v>1052.76</v>
      </c>
      <c r="P169" s="25">
        <v>5000</v>
      </c>
      <c r="Q169" s="25">
        <f>7000</f>
        <v>7000</v>
      </c>
      <c r="R169" s="204">
        <f t="shared" si="257"/>
        <v>138590.72999999998</v>
      </c>
      <c r="S169" s="23"/>
      <c r="T169" s="23">
        <f>5000+5000+5000+5000</f>
        <v>20000</v>
      </c>
      <c r="U169" s="23">
        <f>20000</f>
        <v>20000</v>
      </c>
      <c r="V169" s="23"/>
      <c r="W169" s="23">
        <v>11232.457626666665</v>
      </c>
      <c r="X169" s="258">
        <f t="shared" si="223"/>
        <v>51232.457626666663</v>
      </c>
      <c r="Y169" s="23">
        <v>75530.830359999993</v>
      </c>
      <c r="Z169" s="207">
        <f t="shared" si="258"/>
        <v>87358.272373333311</v>
      </c>
      <c r="AA169" s="180"/>
    </row>
    <row r="170" spans="1:27" ht="20.100000000000001" customHeight="1">
      <c r="A170" s="191">
        <v>37</v>
      </c>
      <c r="B170" s="156" t="s">
        <v>140</v>
      </c>
      <c r="C170" s="161" t="s">
        <v>302</v>
      </c>
      <c r="D170" s="181" t="s">
        <v>501</v>
      </c>
      <c r="E170" s="192">
        <f t="shared" si="254"/>
        <v>10527.6</v>
      </c>
      <c r="F170" s="179"/>
      <c r="G170" s="25">
        <f t="shared" si="200"/>
        <v>31582.800000000003</v>
      </c>
      <c r="H170" s="25">
        <f t="shared" si="201"/>
        <v>789.57</v>
      </c>
      <c r="I170" s="25"/>
      <c r="J170" s="25">
        <f t="shared" si="202"/>
        <v>5263.8</v>
      </c>
      <c r="K170" s="23">
        <f t="shared" si="203"/>
        <v>36846.6</v>
      </c>
      <c r="L170" s="25">
        <f t="shared" ref="L170:L185" si="260">E170*100%</f>
        <v>10527.6</v>
      </c>
      <c r="M170" s="179"/>
      <c r="N170" s="179">
        <f t="shared" si="259"/>
        <v>30000</v>
      </c>
      <c r="O170" s="25">
        <f t="shared" si="256"/>
        <v>1052.76</v>
      </c>
      <c r="P170" s="25">
        <v>5000</v>
      </c>
      <c r="Q170" s="25">
        <f>4000</f>
        <v>4000</v>
      </c>
      <c r="R170" s="204">
        <f t="shared" si="257"/>
        <v>135590.72999999998</v>
      </c>
      <c r="S170" s="23"/>
      <c r="T170" s="23">
        <f>10000+5000+5000</f>
        <v>20000</v>
      </c>
      <c r="U170" s="23">
        <f>13750</f>
        <v>13750</v>
      </c>
      <c r="V170" s="23"/>
      <c r="W170" s="23">
        <v>10776.457626666665</v>
      </c>
      <c r="X170" s="258">
        <f t="shared" si="223"/>
        <v>44526.457626666663</v>
      </c>
      <c r="Y170" s="23">
        <v>79140.830359999993</v>
      </c>
      <c r="Z170" s="207">
        <f t="shared" si="258"/>
        <v>91064.272373333311</v>
      </c>
      <c r="AA170" s="180"/>
    </row>
    <row r="171" spans="1:27" ht="20.100000000000001" customHeight="1">
      <c r="A171" s="191">
        <v>38</v>
      </c>
      <c r="B171" s="157" t="s">
        <v>152</v>
      </c>
      <c r="C171" s="161" t="s">
        <v>302</v>
      </c>
      <c r="D171" s="181" t="s">
        <v>501</v>
      </c>
      <c r="E171" s="192">
        <f t="shared" si="254"/>
        <v>10527.6</v>
      </c>
      <c r="F171" s="179"/>
      <c r="G171" s="25">
        <f t="shared" si="200"/>
        <v>31582.800000000003</v>
      </c>
      <c r="H171" s="25">
        <f t="shared" si="201"/>
        <v>789.57</v>
      </c>
      <c r="I171" s="25"/>
      <c r="J171" s="25">
        <f t="shared" si="202"/>
        <v>5263.8</v>
      </c>
      <c r="K171" s="23">
        <f t="shared" si="203"/>
        <v>36846.6</v>
      </c>
      <c r="L171" s="25">
        <f t="shared" si="260"/>
        <v>10527.6</v>
      </c>
      <c r="M171" s="179"/>
      <c r="N171" s="179">
        <f t="shared" si="259"/>
        <v>30000</v>
      </c>
      <c r="O171" s="25">
        <f t="shared" si="256"/>
        <v>1052.76</v>
      </c>
      <c r="P171" s="25">
        <v>5000</v>
      </c>
      <c r="Q171" s="25">
        <f>4000</f>
        <v>4000</v>
      </c>
      <c r="R171" s="204">
        <f t="shared" si="257"/>
        <v>135590.72999999998</v>
      </c>
      <c r="S171" s="23"/>
      <c r="T171" s="23">
        <f>3000+5000+7000+5000</f>
        <v>20000</v>
      </c>
      <c r="U171" s="23">
        <f>16958.34</f>
        <v>16958.34</v>
      </c>
      <c r="V171" s="23"/>
      <c r="W171" s="23">
        <v>10776.457626666665</v>
      </c>
      <c r="X171" s="258">
        <f t="shared" si="223"/>
        <v>47734.797626666666</v>
      </c>
      <c r="Y171" s="23">
        <v>75932.490359999996</v>
      </c>
      <c r="Z171" s="207">
        <f t="shared" si="258"/>
        <v>87855.932373333315</v>
      </c>
      <c r="AA171" s="180"/>
    </row>
    <row r="172" spans="1:27" ht="20.100000000000001" customHeight="1">
      <c r="A172" s="191">
        <v>39</v>
      </c>
      <c r="B172" s="157" t="s">
        <v>132</v>
      </c>
      <c r="C172" s="161" t="s">
        <v>302</v>
      </c>
      <c r="D172" s="181" t="s">
        <v>501</v>
      </c>
      <c r="E172" s="192">
        <f t="shared" si="254"/>
        <v>10527.6</v>
      </c>
      <c r="F172" s="179"/>
      <c r="G172" s="25">
        <f t="shared" si="200"/>
        <v>31582.800000000003</v>
      </c>
      <c r="H172" s="25">
        <f t="shared" si="201"/>
        <v>789.57</v>
      </c>
      <c r="I172" s="25"/>
      <c r="J172" s="25">
        <f t="shared" si="202"/>
        <v>5263.8</v>
      </c>
      <c r="K172" s="23">
        <f t="shared" si="203"/>
        <v>36846.6</v>
      </c>
      <c r="L172" s="25">
        <f t="shared" si="260"/>
        <v>10527.6</v>
      </c>
      <c r="M172" s="179"/>
      <c r="N172" s="179">
        <f t="shared" si="259"/>
        <v>30000</v>
      </c>
      <c r="O172" s="25">
        <f t="shared" si="256"/>
        <v>1052.76</v>
      </c>
      <c r="P172" s="25">
        <v>5000</v>
      </c>
      <c r="Q172" s="25">
        <f>7000</f>
        <v>7000</v>
      </c>
      <c r="R172" s="204">
        <f t="shared" si="257"/>
        <v>138590.72999999998</v>
      </c>
      <c r="S172" s="23"/>
      <c r="T172" s="23">
        <f>10000+5000+5000</f>
        <v>20000</v>
      </c>
      <c r="U172" s="23">
        <f>22361.11</f>
        <v>22361.11</v>
      </c>
      <c r="V172" s="23"/>
      <c r="W172" s="23">
        <v>11232.457626666665</v>
      </c>
      <c r="X172" s="258">
        <f t="shared" si="223"/>
        <v>53593.567626666663</v>
      </c>
      <c r="Y172" s="23">
        <v>73169.720359999992</v>
      </c>
      <c r="Z172" s="207">
        <f t="shared" si="258"/>
        <v>84997.162373333325</v>
      </c>
      <c r="AA172" s="180"/>
    </row>
    <row r="173" spans="1:27" ht="20.100000000000001" customHeight="1">
      <c r="A173" s="191">
        <v>40</v>
      </c>
      <c r="B173" s="156" t="s">
        <v>231</v>
      </c>
      <c r="C173" s="161" t="s">
        <v>714</v>
      </c>
      <c r="D173" s="181" t="s">
        <v>306</v>
      </c>
      <c r="E173" s="25">
        <f>8730.79</f>
        <v>8730.7900000000009</v>
      </c>
      <c r="F173" s="179"/>
      <c r="G173" s="25">
        <f t="shared" si="200"/>
        <v>26192.370000000003</v>
      </c>
      <c r="H173" s="25">
        <f t="shared" si="201"/>
        <v>654.80925000000002</v>
      </c>
      <c r="I173" s="25"/>
      <c r="J173" s="25">
        <f t="shared" si="202"/>
        <v>4365.3950000000004</v>
      </c>
      <c r="K173" s="23">
        <f t="shared" si="203"/>
        <v>30557.765000000003</v>
      </c>
      <c r="L173" s="25">
        <f t="shared" si="260"/>
        <v>8730.7900000000009</v>
      </c>
      <c r="M173" s="179"/>
      <c r="N173" s="179">
        <f>30000</f>
        <v>30000</v>
      </c>
      <c r="O173" s="25">
        <f t="shared" si="256"/>
        <v>873.07900000000018</v>
      </c>
      <c r="P173" s="25">
        <v>5000</v>
      </c>
      <c r="Q173" s="25">
        <f>7000</f>
        <v>7000</v>
      </c>
      <c r="R173" s="23">
        <f t="shared" si="257"/>
        <v>122104.99825</v>
      </c>
      <c r="S173" s="23"/>
      <c r="T173" s="23">
        <f>10000+5000+5000</f>
        <v>20000</v>
      </c>
      <c r="U173" s="23">
        <f>15625</f>
        <v>15625</v>
      </c>
      <c r="V173" s="23"/>
      <c r="W173" s="23">
        <v>9152.5997900000002</v>
      </c>
      <c r="X173" s="23">
        <f t="shared" si="223"/>
        <v>44777.59979</v>
      </c>
      <c r="Y173" s="23">
        <v>77327.398249999998</v>
      </c>
      <c r="Z173" s="23">
        <f t="shared" si="258"/>
        <v>77327.398459999997</v>
      </c>
      <c r="AA173" s="180"/>
    </row>
    <row r="174" spans="1:27" ht="20.100000000000001" customHeight="1">
      <c r="A174" s="191">
        <v>41</v>
      </c>
      <c r="B174" s="156" t="s">
        <v>246</v>
      </c>
      <c r="C174" s="161" t="s">
        <v>714</v>
      </c>
      <c r="D174" s="181" t="s">
        <v>306</v>
      </c>
      <c r="E174" s="25">
        <f t="shared" ref="E174" si="261">8730.79</f>
        <v>8730.7900000000009</v>
      </c>
      <c r="F174" s="179"/>
      <c r="G174" s="25">
        <f t="shared" si="200"/>
        <v>26192.370000000003</v>
      </c>
      <c r="H174" s="25">
        <f t="shared" si="201"/>
        <v>654.80925000000002</v>
      </c>
      <c r="I174" s="25"/>
      <c r="J174" s="25">
        <f t="shared" si="202"/>
        <v>4365.3950000000004</v>
      </c>
      <c r="K174" s="23">
        <f t="shared" si="203"/>
        <v>30557.765000000003</v>
      </c>
      <c r="L174" s="25">
        <f t="shared" si="260"/>
        <v>8730.7900000000009</v>
      </c>
      <c r="M174" s="179"/>
      <c r="N174" s="179">
        <f>30000</f>
        <v>30000</v>
      </c>
      <c r="O174" s="25">
        <f t="shared" si="256"/>
        <v>873.07900000000018</v>
      </c>
      <c r="P174" s="25">
        <v>5000</v>
      </c>
      <c r="Q174" s="25">
        <f>7000</f>
        <v>7000</v>
      </c>
      <c r="R174" s="23">
        <f>SUM(E174:Q174)</f>
        <v>122104.99825</v>
      </c>
      <c r="S174" s="23"/>
      <c r="T174" s="23">
        <v>20000</v>
      </c>
      <c r="U174" s="23">
        <v>18333.330000000002</v>
      </c>
      <c r="V174" s="23"/>
      <c r="W174" s="23">
        <v>9152.5997900000002</v>
      </c>
      <c r="X174" s="23">
        <f t="shared" si="223"/>
        <v>47485.929790000002</v>
      </c>
      <c r="Y174" s="23">
        <v>74619.068250000011</v>
      </c>
      <c r="Z174" s="23">
        <f t="shared" si="258"/>
        <v>74619.06846000001</v>
      </c>
      <c r="AA174" s="180"/>
    </row>
    <row r="175" spans="1:27" ht="20.100000000000001" customHeight="1">
      <c r="A175" s="191">
        <v>42</v>
      </c>
      <c r="B175" s="157" t="s">
        <v>166</v>
      </c>
      <c r="C175" s="161" t="s">
        <v>714</v>
      </c>
      <c r="D175" s="181" t="s">
        <v>416</v>
      </c>
      <c r="E175" s="25">
        <v>9050.14</v>
      </c>
      <c r="F175" s="179"/>
      <c r="G175" s="25">
        <f t="shared" si="200"/>
        <v>27150.42</v>
      </c>
      <c r="H175" s="25">
        <f t="shared" si="201"/>
        <v>678.76049999999998</v>
      </c>
      <c r="I175" s="25"/>
      <c r="J175" s="25">
        <f t="shared" si="202"/>
        <v>4525.07</v>
      </c>
      <c r="K175" s="23">
        <f t="shared" si="203"/>
        <v>31675.489999999998</v>
      </c>
      <c r="L175" s="25">
        <f t="shared" si="260"/>
        <v>9050.14</v>
      </c>
      <c r="M175" s="179"/>
      <c r="N175" s="179">
        <f>30000</f>
        <v>30000</v>
      </c>
      <c r="O175" s="25">
        <f t="shared" si="256"/>
        <v>905.01400000000001</v>
      </c>
      <c r="P175" s="25">
        <v>5000</v>
      </c>
      <c r="Q175" s="25">
        <f>7000</f>
        <v>7000</v>
      </c>
      <c r="R175" s="23">
        <f t="shared" si="257"/>
        <v>125035.03449999999</v>
      </c>
      <c r="S175" s="23"/>
      <c r="T175" s="23">
        <f>3000+5000+5000</f>
        <v>13000</v>
      </c>
      <c r="U175" s="23">
        <f>44000</f>
        <v>44000</v>
      </c>
      <c r="V175" s="23"/>
      <c r="W175" s="23">
        <v>9504.2041399999998</v>
      </c>
      <c r="X175" s="23">
        <f t="shared" si="223"/>
        <v>66504.204140000002</v>
      </c>
      <c r="Y175" s="23">
        <v>55952.398249999998</v>
      </c>
      <c r="Z175" s="23">
        <f t="shared" si="258"/>
        <v>58530.830359999993</v>
      </c>
      <c r="AA175" s="180"/>
    </row>
    <row r="176" spans="1:27" ht="20.100000000000001" customHeight="1">
      <c r="A176" s="191">
        <v>43</v>
      </c>
      <c r="B176" s="156" t="s">
        <v>204</v>
      </c>
      <c r="C176" s="161" t="s">
        <v>167</v>
      </c>
      <c r="D176" s="181" t="s">
        <v>263</v>
      </c>
      <c r="E176" s="25">
        <v>5428.12</v>
      </c>
      <c r="F176" s="179"/>
      <c r="G176" s="25">
        <f t="shared" si="200"/>
        <v>16284.36</v>
      </c>
      <c r="H176" s="25">
        <f t="shared" si="201"/>
        <v>407.10899999999998</v>
      </c>
      <c r="I176" s="25"/>
      <c r="J176" s="25">
        <f t="shared" si="202"/>
        <v>2714.06</v>
      </c>
      <c r="K176" s="23">
        <f t="shared" si="203"/>
        <v>18998.419999999998</v>
      </c>
      <c r="L176" s="25">
        <f t="shared" si="260"/>
        <v>5428.12</v>
      </c>
      <c r="M176" s="179"/>
      <c r="N176" s="179">
        <f>20000</f>
        <v>20000</v>
      </c>
      <c r="O176" s="25">
        <f t="shared" si="256"/>
        <v>542.81200000000001</v>
      </c>
      <c r="P176" s="25">
        <v>5000</v>
      </c>
      <c r="Q176" s="25">
        <f>7000</f>
        <v>7000</v>
      </c>
      <c r="R176" s="204">
        <f t="shared" si="257"/>
        <v>81803.001000000018</v>
      </c>
      <c r="S176" s="23"/>
      <c r="T176" s="23">
        <f>15000</f>
        <v>15000</v>
      </c>
      <c r="U176" s="23">
        <f>20000</f>
        <v>20000</v>
      </c>
      <c r="V176" s="23"/>
      <c r="W176" s="23">
        <v>4365.3307546666683</v>
      </c>
      <c r="X176" s="258">
        <f t="shared" si="223"/>
        <v>39365.330754666669</v>
      </c>
      <c r="Y176" s="23">
        <v>41009.488277333337</v>
      </c>
      <c r="Z176" s="207">
        <f t="shared" si="258"/>
        <v>42437.670245333349</v>
      </c>
      <c r="AA176" s="180"/>
    </row>
    <row r="177" spans="1:27" ht="20.100000000000001" customHeight="1">
      <c r="A177" s="191">
        <v>44</v>
      </c>
      <c r="B177" s="156" t="s">
        <v>209</v>
      </c>
      <c r="C177" s="161" t="s">
        <v>13</v>
      </c>
      <c r="D177" s="181" t="s">
        <v>753</v>
      </c>
      <c r="E177" s="25">
        <v>5257.44</v>
      </c>
      <c r="F177" s="179"/>
      <c r="G177" s="25">
        <f t="shared" si="200"/>
        <v>15772.32</v>
      </c>
      <c r="H177" s="25">
        <f t="shared" si="201"/>
        <v>394.30799999999994</v>
      </c>
      <c r="I177" s="25"/>
      <c r="J177" s="25">
        <f t="shared" si="202"/>
        <v>2628.72</v>
      </c>
      <c r="K177" s="23">
        <f t="shared" si="203"/>
        <v>18401.039999999997</v>
      </c>
      <c r="L177" s="25">
        <f t="shared" si="260"/>
        <v>5257.44</v>
      </c>
      <c r="M177" s="179"/>
      <c r="N177" s="179">
        <f>20000</f>
        <v>20000</v>
      </c>
      <c r="O177" s="25">
        <f t="shared" si="256"/>
        <v>525.74400000000003</v>
      </c>
      <c r="P177" s="25">
        <v>5000</v>
      </c>
      <c r="Q177" s="25">
        <f>7000</f>
        <v>7000</v>
      </c>
      <c r="R177" s="204">
        <f t="shared" si="257"/>
        <v>80237.012000000002</v>
      </c>
      <c r="S177" s="23"/>
      <c r="T177" s="23">
        <f>5000+5000+5000</f>
        <v>15000</v>
      </c>
      <c r="U177" s="23">
        <f>15000</f>
        <v>15000</v>
      </c>
      <c r="V177" s="23"/>
      <c r="W177" s="23">
        <v>4227.5237226666677</v>
      </c>
      <c r="X177" s="258">
        <f t="shared" si="223"/>
        <v>34227.523722666665</v>
      </c>
      <c r="Y177" s="23">
        <v>44581.306309333348</v>
      </c>
      <c r="Z177" s="207">
        <f t="shared" si="258"/>
        <v>46009.488277333337</v>
      </c>
      <c r="AA177" s="180"/>
    </row>
    <row r="178" spans="1:27" ht="20.100000000000001" customHeight="1">
      <c r="A178" s="191">
        <v>45</v>
      </c>
      <c r="B178" s="156" t="s">
        <v>218</v>
      </c>
      <c r="C178" s="161" t="s">
        <v>13</v>
      </c>
      <c r="D178" s="181" t="s">
        <v>753</v>
      </c>
      <c r="E178" s="25">
        <v>5257.44</v>
      </c>
      <c r="F178" s="179"/>
      <c r="G178" s="25">
        <f t="shared" si="200"/>
        <v>15772.32</v>
      </c>
      <c r="H178" s="25">
        <f t="shared" si="201"/>
        <v>394.30799999999994</v>
      </c>
      <c r="I178" s="25"/>
      <c r="J178" s="25">
        <f t="shared" si="202"/>
        <v>2628.72</v>
      </c>
      <c r="K178" s="23">
        <f t="shared" si="203"/>
        <v>18401.039999999997</v>
      </c>
      <c r="L178" s="25">
        <f t="shared" si="260"/>
        <v>5257.44</v>
      </c>
      <c r="M178" s="179"/>
      <c r="N178" s="179">
        <f>20000</f>
        <v>20000</v>
      </c>
      <c r="O178" s="25">
        <f t="shared" si="256"/>
        <v>525.74400000000003</v>
      </c>
      <c r="P178" s="25">
        <v>5000</v>
      </c>
      <c r="Q178" s="25">
        <f>4000</f>
        <v>4000</v>
      </c>
      <c r="R178" s="204">
        <f t="shared" si="257"/>
        <v>77237.012000000002</v>
      </c>
      <c r="S178" s="23"/>
      <c r="T178" s="23">
        <f>15000+5000+5000+5000</f>
        <v>30000</v>
      </c>
      <c r="U178" s="23">
        <f>25555.56</f>
        <v>25555.56</v>
      </c>
      <c r="V178" s="23"/>
      <c r="W178" s="23">
        <v>3963.5237226666673</v>
      </c>
      <c r="X178" s="258">
        <f t="shared" si="223"/>
        <v>59519.08372266667</v>
      </c>
      <c r="Y178" s="23">
        <v>16289.74630933335</v>
      </c>
      <c r="Z178" s="207">
        <f t="shared" si="258"/>
        <v>17717.928277333333</v>
      </c>
      <c r="AA178" s="180"/>
    </row>
    <row r="179" spans="1:27" ht="20.100000000000001" customHeight="1">
      <c r="A179" s="191">
        <v>46</v>
      </c>
      <c r="B179" s="156" t="s">
        <v>219</v>
      </c>
      <c r="C179" s="161" t="s">
        <v>13</v>
      </c>
      <c r="D179" s="181" t="s">
        <v>753</v>
      </c>
      <c r="E179" s="25">
        <v>5257.44</v>
      </c>
      <c r="F179" s="179"/>
      <c r="G179" s="25">
        <f t="shared" si="200"/>
        <v>15772.32</v>
      </c>
      <c r="H179" s="25">
        <f t="shared" si="201"/>
        <v>394.30799999999994</v>
      </c>
      <c r="I179" s="25"/>
      <c r="J179" s="25">
        <f t="shared" si="202"/>
        <v>2628.72</v>
      </c>
      <c r="K179" s="23">
        <f t="shared" si="203"/>
        <v>18401.039999999997</v>
      </c>
      <c r="L179" s="25">
        <f t="shared" si="260"/>
        <v>5257.44</v>
      </c>
      <c r="M179" s="179"/>
      <c r="N179" s="179">
        <f>20000</f>
        <v>20000</v>
      </c>
      <c r="O179" s="25">
        <f t="shared" si="256"/>
        <v>525.74400000000003</v>
      </c>
      <c r="P179" s="25">
        <v>5000</v>
      </c>
      <c r="Q179" s="25">
        <f>7000</f>
        <v>7000</v>
      </c>
      <c r="R179" s="204">
        <f t="shared" si="257"/>
        <v>80237.012000000002</v>
      </c>
      <c r="S179" s="23"/>
      <c r="T179" s="23">
        <f>5000+5000+5000</f>
        <v>15000</v>
      </c>
      <c r="U179" s="23">
        <v>15972.22</v>
      </c>
      <c r="V179" s="23"/>
      <c r="W179" s="23">
        <v>4227.5237226666677</v>
      </c>
      <c r="X179" s="258">
        <f t="shared" si="223"/>
        <v>35199.743722666666</v>
      </c>
      <c r="Y179" s="23">
        <v>43609.086309333346</v>
      </c>
      <c r="Z179" s="207">
        <f t="shared" si="258"/>
        <v>45037.268277333336</v>
      </c>
      <c r="AA179" s="180"/>
    </row>
    <row r="180" spans="1:27" ht="20.100000000000001" customHeight="1">
      <c r="A180" s="191">
        <v>47</v>
      </c>
      <c r="B180" s="156" t="s">
        <v>211</v>
      </c>
      <c r="C180" s="161" t="s">
        <v>13</v>
      </c>
      <c r="D180" s="181" t="s">
        <v>753</v>
      </c>
      <c r="E180" s="25">
        <v>5257.44</v>
      </c>
      <c r="F180" s="179"/>
      <c r="G180" s="25">
        <f t="shared" si="200"/>
        <v>15772.32</v>
      </c>
      <c r="H180" s="25">
        <f t="shared" si="201"/>
        <v>394.30799999999994</v>
      </c>
      <c r="I180" s="25"/>
      <c r="J180" s="25">
        <f t="shared" si="202"/>
        <v>2628.72</v>
      </c>
      <c r="K180" s="23">
        <f t="shared" si="203"/>
        <v>18401.039999999997</v>
      </c>
      <c r="L180" s="25">
        <f t="shared" si="260"/>
        <v>5257.44</v>
      </c>
      <c r="M180" s="179"/>
      <c r="N180" s="179">
        <f>20000</f>
        <v>20000</v>
      </c>
      <c r="O180" s="25">
        <f t="shared" si="256"/>
        <v>525.74400000000003</v>
      </c>
      <c r="P180" s="25">
        <v>5000</v>
      </c>
      <c r="Q180" s="25">
        <f>4000</f>
        <v>4000</v>
      </c>
      <c r="R180" s="204">
        <f t="shared" si="257"/>
        <v>77237.012000000002</v>
      </c>
      <c r="S180" s="23"/>
      <c r="T180" s="23">
        <f>10000+5000+5000</f>
        <v>20000</v>
      </c>
      <c r="U180" s="23">
        <v>8416.67</v>
      </c>
      <c r="V180" s="23"/>
      <c r="W180" s="23">
        <v>3963.5237226666673</v>
      </c>
      <c r="X180" s="258">
        <f t="shared" si="223"/>
        <v>32380.193722666667</v>
      </c>
      <c r="Y180" s="23">
        <v>43428.636309333349</v>
      </c>
      <c r="Z180" s="207">
        <f t="shared" si="258"/>
        <v>44856.818277333339</v>
      </c>
      <c r="AA180" s="180"/>
    </row>
    <row r="181" spans="1:27" ht="20.100000000000001" customHeight="1">
      <c r="A181" s="191">
        <v>48</v>
      </c>
      <c r="B181" s="156" t="s">
        <v>213</v>
      </c>
      <c r="C181" s="161" t="s">
        <v>13</v>
      </c>
      <c r="D181" s="181" t="s">
        <v>753</v>
      </c>
      <c r="E181" s="25">
        <v>5257.44</v>
      </c>
      <c r="F181" s="179"/>
      <c r="G181" s="25">
        <f t="shared" si="200"/>
        <v>15772.32</v>
      </c>
      <c r="H181" s="25">
        <f t="shared" si="201"/>
        <v>394.30799999999994</v>
      </c>
      <c r="I181" s="25"/>
      <c r="J181" s="25">
        <f t="shared" si="202"/>
        <v>2628.72</v>
      </c>
      <c r="K181" s="23">
        <f t="shared" si="203"/>
        <v>18401.039999999997</v>
      </c>
      <c r="L181" s="25">
        <f t="shared" si="260"/>
        <v>5257.44</v>
      </c>
      <c r="M181" s="179"/>
      <c r="N181" s="179">
        <f>20000</f>
        <v>20000</v>
      </c>
      <c r="O181" s="25">
        <f t="shared" si="256"/>
        <v>525.74400000000003</v>
      </c>
      <c r="P181" s="25">
        <v>5000</v>
      </c>
      <c r="Q181" s="25">
        <f>7000</f>
        <v>7000</v>
      </c>
      <c r="R181" s="204">
        <f t="shared" si="257"/>
        <v>80237.012000000002</v>
      </c>
      <c r="S181" s="23"/>
      <c r="T181" s="23">
        <v>20000</v>
      </c>
      <c r="U181" s="23">
        <f>30000</f>
        <v>30000</v>
      </c>
      <c r="V181" s="23"/>
      <c r="W181" s="23">
        <v>4227.5237226666677</v>
      </c>
      <c r="X181" s="258">
        <f t="shared" si="223"/>
        <v>54227.523722666665</v>
      </c>
      <c r="Y181" s="23">
        <v>39581.306309333348</v>
      </c>
      <c r="Z181" s="207">
        <f t="shared" si="258"/>
        <v>26009.488277333337</v>
      </c>
      <c r="AA181" s="180"/>
    </row>
    <row r="182" spans="1:27" ht="20.100000000000001" customHeight="1">
      <c r="A182" s="191">
        <v>49</v>
      </c>
      <c r="B182" s="157" t="s">
        <v>342</v>
      </c>
      <c r="C182" s="161" t="s">
        <v>13</v>
      </c>
      <c r="D182" s="181" t="s">
        <v>753</v>
      </c>
      <c r="E182" s="25">
        <v>5257.44</v>
      </c>
      <c r="F182" s="179"/>
      <c r="G182" s="25">
        <f t="shared" ref="G182" si="262">E182*300%</f>
        <v>15772.32</v>
      </c>
      <c r="H182" s="25">
        <f t="shared" ref="H182" si="263">E182*7.5%</f>
        <v>394.30799999999994</v>
      </c>
      <c r="I182" s="25"/>
      <c r="J182" s="25">
        <f t="shared" ref="J182" si="264">E182*50%</f>
        <v>2628.72</v>
      </c>
      <c r="K182" s="23">
        <f t="shared" ref="K182" si="265">E182*350%</f>
        <v>18401.039999999997</v>
      </c>
      <c r="L182" s="25">
        <f t="shared" ref="L182" si="266">E182*100%</f>
        <v>5257.44</v>
      </c>
      <c r="M182" s="179"/>
      <c r="N182" s="179">
        <f>20000</f>
        <v>20000</v>
      </c>
      <c r="O182" s="25">
        <f t="shared" ref="O182" si="267">E182*10%</f>
        <v>525.74400000000003</v>
      </c>
      <c r="P182" s="25">
        <v>5000</v>
      </c>
      <c r="Q182" s="25">
        <f>4000</f>
        <v>4000</v>
      </c>
      <c r="R182" s="204">
        <f t="shared" ref="R182" si="268">SUM(E182:Q182)</f>
        <v>77237.012000000002</v>
      </c>
      <c r="S182" s="23"/>
      <c r="T182" s="23">
        <v>15000</v>
      </c>
      <c r="U182" s="23">
        <v>20000</v>
      </c>
      <c r="V182" s="23"/>
      <c r="W182" s="23">
        <v>3963.5237226666673</v>
      </c>
      <c r="X182" s="258">
        <f t="shared" si="223"/>
        <v>38963.523722666665</v>
      </c>
      <c r="Y182" s="23">
        <v>66845.306309333348</v>
      </c>
      <c r="Z182" s="207">
        <f t="shared" si="258"/>
        <v>38273.488277333337</v>
      </c>
      <c r="AA182" s="180"/>
    </row>
    <row r="183" spans="1:27" ht="20.100000000000001" customHeight="1">
      <c r="A183" s="191">
        <v>50</v>
      </c>
      <c r="B183" s="157" t="s">
        <v>405</v>
      </c>
      <c r="C183" s="161" t="s">
        <v>13</v>
      </c>
      <c r="D183" s="181" t="s">
        <v>753</v>
      </c>
      <c r="E183" s="25">
        <v>5257.44</v>
      </c>
      <c r="F183" s="179"/>
      <c r="G183" s="25">
        <f>E183*300%</f>
        <v>15772.32</v>
      </c>
      <c r="H183" s="25">
        <f>E183*7.5%</f>
        <v>394.30799999999994</v>
      </c>
      <c r="I183" s="25"/>
      <c r="J183" s="25">
        <f>E183*50%</f>
        <v>2628.72</v>
      </c>
      <c r="K183" s="23">
        <f>E183*350%</f>
        <v>18401.039999999997</v>
      </c>
      <c r="L183" s="25">
        <f>E183*100%</f>
        <v>5257.44</v>
      </c>
      <c r="M183" s="179"/>
      <c r="N183" s="179">
        <f>20000</f>
        <v>20000</v>
      </c>
      <c r="O183" s="25">
        <f>E183*10%</f>
        <v>525.74400000000003</v>
      </c>
      <c r="P183" s="25">
        <v>5000</v>
      </c>
      <c r="Q183" s="25">
        <f>7000</f>
        <v>7000</v>
      </c>
      <c r="R183" s="204">
        <f t="shared" ref="R183" si="269">SUM(E183:Q183)</f>
        <v>80237.012000000002</v>
      </c>
      <c r="S183" s="23"/>
      <c r="T183" s="23">
        <f>10000+5000+5000</f>
        <v>20000</v>
      </c>
      <c r="U183" s="23">
        <f>0</f>
        <v>0</v>
      </c>
      <c r="V183" s="23"/>
      <c r="W183" s="23">
        <v>4227.5237226666677</v>
      </c>
      <c r="X183" s="258">
        <f t="shared" si="223"/>
        <v>24227.523722666669</v>
      </c>
      <c r="Y183" s="23">
        <v>54581.306309333348</v>
      </c>
      <c r="Z183" s="207">
        <f t="shared" si="258"/>
        <v>56009.488277333337</v>
      </c>
      <c r="AA183" s="180"/>
    </row>
    <row r="184" spans="1:27" ht="20.100000000000001" customHeight="1">
      <c r="A184" s="191">
        <v>51</v>
      </c>
      <c r="B184" s="156" t="s">
        <v>232</v>
      </c>
      <c r="C184" s="161" t="s">
        <v>167</v>
      </c>
      <c r="D184" s="181" t="s">
        <v>753</v>
      </c>
      <c r="E184" s="25">
        <v>5257.44</v>
      </c>
      <c r="F184" s="179"/>
      <c r="G184" s="25">
        <v>15260.28</v>
      </c>
      <c r="H184" s="25">
        <v>381.50700000000001</v>
      </c>
      <c r="I184" s="25"/>
      <c r="J184" s="25">
        <v>2543.38</v>
      </c>
      <c r="K184" s="23">
        <v>17803.66</v>
      </c>
      <c r="L184" s="25">
        <v>5086.76</v>
      </c>
      <c r="M184" s="179"/>
      <c r="N184" s="179">
        <v>20000</v>
      </c>
      <c r="O184" s="25">
        <v>508.67600000000004</v>
      </c>
      <c r="P184" s="25">
        <v>5000</v>
      </c>
      <c r="Q184" s="25">
        <v>7000</v>
      </c>
      <c r="R184" s="204">
        <f>78671.023</f>
        <v>78671.023000000001</v>
      </c>
      <c r="S184" s="23"/>
      <c r="T184" s="23">
        <v>20000</v>
      </c>
      <c r="U184" s="23">
        <v>10000</v>
      </c>
      <c r="V184" s="23"/>
      <c r="W184" s="23">
        <v>4089.716690666668</v>
      </c>
      <c r="X184" s="258">
        <f t="shared" si="223"/>
        <v>34089.716690666668</v>
      </c>
      <c r="Y184" s="23">
        <v>44581.306309333333</v>
      </c>
      <c r="Z184" s="207">
        <f t="shared" si="258"/>
        <v>44581.306309333333</v>
      </c>
      <c r="AA184" s="180"/>
    </row>
    <row r="185" spans="1:27" ht="20.100000000000001" customHeight="1">
      <c r="A185" s="191">
        <v>52</v>
      </c>
      <c r="B185" s="156" t="s">
        <v>233</v>
      </c>
      <c r="C185" s="161" t="s">
        <v>167</v>
      </c>
      <c r="D185" s="181" t="s">
        <v>753</v>
      </c>
      <c r="E185" s="25">
        <v>5257.44</v>
      </c>
      <c r="F185" s="179"/>
      <c r="G185" s="25">
        <f t="shared" si="200"/>
        <v>15772.32</v>
      </c>
      <c r="H185" s="25">
        <f t="shared" si="201"/>
        <v>394.30799999999994</v>
      </c>
      <c r="I185" s="25"/>
      <c r="J185" s="25">
        <f t="shared" si="202"/>
        <v>2628.72</v>
      </c>
      <c r="K185" s="23">
        <f t="shared" si="203"/>
        <v>18401.039999999997</v>
      </c>
      <c r="L185" s="25">
        <f t="shared" si="260"/>
        <v>5257.44</v>
      </c>
      <c r="M185" s="179"/>
      <c r="N185" s="179">
        <v>20000</v>
      </c>
      <c r="O185" s="25">
        <f t="shared" si="256"/>
        <v>525.74400000000003</v>
      </c>
      <c r="P185" s="25">
        <v>5000</v>
      </c>
      <c r="Q185" s="25">
        <f>7000</f>
        <v>7000</v>
      </c>
      <c r="R185" s="204">
        <f t="shared" si="257"/>
        <v>80237.012000000002</v>
      </c>
      <c r="S185" s="23"/>
      <c r="T185" s="23">
        <f>10000+5000+5000</f>
        <v>20000</v>
      </c>
      <c r="U185" s="23">
        <f>26222.06</f>
        <v>26222.06</v>
      </c>
      <c r="V185" s="23"/>
      <c r="W185" s="23">
        <v>4227.5237226666677</v>
      </c>
      <c r="X185" s="258">
        <f t="shared" si="223"/>
        <v>50449.58372266667</v>
      </c>
      <c r="Y185" s="23">
        <v>28359.24630933335</v>
      </c>
      <c r="Z185" s="207">
        <f t="shared" si="258"/>
        <v>29787.428277333333</v>
      </c>
      <c r="AA185" s="180"/>
    </row>
    <row r="186" spans="1:27" ht="20.100000000000001" customHeight="1">
      <c r="A186" s="191">
        <v>53</v>
      </c>
      <c r="B186" s="157" t="s">
        <v>279</v>
      </c>
      <c r="C186" s="161" t="s">
        <v>715</v>
      </c>
      <c r="D186" s="181" t="s">
        <v>301</v>
      </c>
      <c r="E186" s="25">
        <v>5086.76</v>
      </c>
      <c r="F186" s="179"/>
      <c r="G186" s="25">
        <f t="shared" ref="G186" si="270">E186*300%</f>
        <v>15260.28</v>
      </c>
      <c r="H186" s="25">
        <f t="shared" ref="H186" si="271">E186*7.5%</f>
        <v>381.50700000000001</v>
      </c>
      <c r="I186" s="25"/>
      <c r="J186" s="25">
        <f t="shared" ref="J186" si="272">E186*50%</f>
        <v>2543.38</v>
      </c>
      <c r="K186" s="23">
        <f t="shared" ref="K186" si="273">E186*350%</f>
        <v>17803.66</v>
      </c>
      <c r="L186" s="25">
        <f t="shared" ref="L186" si="274">E186*100%</f>
        <v>5086.76</v>
      </c>
      <c r="M186" s="179"/>
      <c r="N186" s="179">
        <f>20000</f>
        <v>20000</v>
      </c>
      <c r="O186" s="25">
        <f t="shared" ref="O186" si="275">E186*10%</f>
        <v>508.67600000000004</v>
      </c>
      <c r="P186" s="25">
        <v>5000</v>
      </c>
      <c r="Q186" s="25">
        <f>4000+3000</f>
        <v>7000</v>
      </c>
      <c r="R186" s="23">
        <f t="shared" ref="R186" si="276">SUM(E186:Q186)</f>
        <v>78671.023000000016</v>
      </c>
      <c r="S186" s="23"/>
      <c r="T186" s="23">
        <f>10000+5000+5000</f>
        <v>20000</v>
      </c>
      <c r="U186" s="23">
        <f>32916.67</f>
        <v>32916.67</v>
      </c>
      <c r="V186" s="23"/>
      <c r="W186" s="23">
        <v>4089.716690666668</v>
      </c>
      <c r="X186" s="258">
        <f t="shared" si="223"/>
        <v>57006.386690666666</v>
      </c>
      <c r="Y186" s="23">
        <v>20235.224166666674</v>
      </c>
      <c r="Z186" s="207">
        <f t="shared" si="258"/>
        <v>21664.636309333349</v>
      </c>
      <c r="AA186" s="180"/>
    </row>
    <row r="187" spans="1:27" ht="20.100000000000001" customHeight="1">
      <c r="A187" s="191">
        <v>54</v>
      </c>
      <c r="B187" s="157" t="s">
        <v>403</v>
      </c>
      <c r="C187" s="161" t="s">
        <v>13</v>
      </c>
      <c r="D187" s="181" t="s">
        <v>28</v>
      </c>
      <c r="E187" s="179">
        <v>4542.3429999999998</v>
      </c>
      <c r="F187" s="179"/>
      <c r="G187" s="25">
        <f t="shared" ref="G187:G188" si="277">E187*300%</f>
        <v>13627.028999999999</v>
      </c>
      <c r="H187" s="25">
        <f t="shared" ref="H187:H188" si="278">E187*7.5%</f>
        <v>340.675725</v>
      </c>
      <c r="I187" s="25"/>
      <c r="J187" s="25">
        <f t="shared" ref="J187:J188" si="279">E187*50%</f>
        <v>2271.1714999999999</v>
      </c>
      <c r="K187" s="23">
        <f t="shared" ref="K187:K188" si="280">E187*350%</f>
        <v>15898.200499999999</v>
      </c>
      <c r="L187" s="25">
        <f t="shared" ref="L187" si="281">E187*100%</f>
        <v>4542.3429999999998</v>
      </c>
      <c r="M187" s="179"/>
      <c r="N187" s="179">
        <f>15000</f>
        <v>15000</v>
      </c>
      <c r="O187" s="25">
        <f t="shared" ref="O187:O188" si="282">E187*10%</f>
        <v>454.23430000000002</v>
      </c>
      <c r="P187" s="25">
        <v>5000</v>
      </c>
      <c r="Q187" s="25">
        <f>7000</f>
        <v>7000</v>
      </c>
      <c r="R187" s="204">
        <f>SUM(E187:Q187)</f>
        <v>68675.99702499999</v>
      </c>
      <c r="S187" s="23"/>
      <c r="T187" s="23">
        <v>20000</v>
      </c>
      <c r="U187" s="23">
        <f>11518</f>
        <v>11518</v>
      </c>
      <c r="V187" s="23"/>
      <c r="W187" s="23">
        <v>3210.1544048666656</v>
      </c>
      <c r="X187" s="258">
        <f t="shared" si="223"/>
        <v>34728.154404866669</v>
      </c>
      <c r="Y187" s="23">
        <v>37718.533401333334</v>
      </c>
      <c r="Z187" s="207">
        <f t="shared" si="258"/>
        <v>33947.84262013332</v>
      </c>
      <c r="AA187" s="180"/>
    </row>
    <row r="188" spans="1:27" ht="20.100000000000001" customHeight="1">
      <c r="A188" s="191">
        <v>55</v>
      </c>
      <c r="B188" s="157" t="s">
        <v>557</v>
      </c>
      <c r="C188" s="161" t="s">
        <v>558</v>
      </c>
      <c r="D188" s="181" t="s">
        <v>150</v>
      </c>
      <c r="E188" s="25">
        <v>4248.51</v>
      </c>
      <c r="F188" s="35"/>
      <c r="G188" s="51">
        <f t="shared" si="277"/>
        <v>12745.53</v>
      </c>
      <c r="H188" s="51">
        <f t="shared" si="278"/>
        <v>318.63825000000003</v>
      </c>
      <c r="I188" s="51"/>
      <c r="J188" s="51">
        <f t="shared" si="279"/>
        <v>2124.2550000000001</v>
      </c>
      <c r="K188" s="35">
        <f t="shared" si="280"/>
        <v>14869.785</v>
      </c>
      <c r="L188" s="51">
        <f>E188*100%</f>
        <v>4248.51</v>
      </c>
      <c r="M188" s="20"/>
      <c r="N188" s="51">
        <v>15000</v>
      </c>
      <c r="O188" s="51">
        <f t="shared" si="282"/>
        <v>424.85100000000006</v>
      </c>
      <c r="P188" s="51">
        <v>5000</v>
      </c>
      <c r="Q188" s="51">
        <v>4000</v>
      </c>
      <c r="R188" s="290">
        <f t="shared" ref="R188" si="283">SUM(E188:Q188)</f>
        <v>62980.07925000001</v>
      </c>
      <c r="S188" s="23"/>
      <c r="T188" s="23">
        <v>12000</v>
      </c>
      <c r="U188" s="23"/>
      <c r="V188" s="23"/>
      <c r="W188" s="23">
        <v>2708.9136406666671</v>
      </c>
      <c r="X188" s="258">
        <f t="shared" si="223"/>
        <v>14708.913640666668</v>
      </c>
      <c r="Y188" s="23">
        <v>59041.716500000002</v>
      </c>
      <c r="Z188" s="207">
        <f t="shared" si="258"/>
        <v>48271.165609333344</v>
      </c>
      <c r="AA188" s="180"/>
    </row>
    <row r="189" spans="1:27" ht="20.100000000000001" customHeight="1">
      <c r="A189" s="191">
        <v>56</v>
      </c>
      <c r="B189" s="157" t="s">
        <v>560</v>
      </c>
      <c r="C189" s="161" t="s">
        <v>558</v>
      </c>
      <c r="D189" s="181" t="s">
        <v>150</v>
      </c>
      <c r="E189" s="25">
        <v>4248.51</v>
      </c>
      <c r="F189" s="35"/>
      <c r="G189" s="51">
        <f t="shared" ref="G189:G191" si="284">E189*300%</f>
        <v>12745.53</v>
      </c>
      <c r="H189" s="51">
        <f t="shared" ref="H189:H191" si="285">E189*7.5%</f>
        <v>318.63825000000003</v>
      </c>
      <c r="I189" s="51"/>
      <c r="J189" s="51">
        <f t="shared" ref="J189:J191" si="286">E189*50%</f>
        <v>2124.2550000000001</v>
      </c>
      <c r="K189" s="35">
        <f t="shared" ref="K189:K191" si="287">E189*350%</f>
        <v>14869.785</v>
      </c>
      <c r="L189" s="51">
        <f t="shared" ref="L189:L191" si="288">E189*100%</f>
        <v>4248.51</v>
      </c>
      <c r="M189" s="20"/>
      <c r="N189" s="51">
        <v>15000</v>
      </c>
      <c r="O189" s="51">
        <f t="shared" ref="O189:O191" si="289">E189*10%</f>
        <v>424.85100000000006</v>
      </c>
      <c r="P189" s="51">
        <v>5000</v>
      </c>
      <c r="Q189" s="51">
        <v>4000</v>
      </c>
      <c r="R189" s="290">
        <f t="shared" ref="R189:R190" si="290">SUM(E189:Q189)</f>
        <v>62980.07925000001</v>
      </c>
      <c r="S189" s="23"/>
      <c r="T189" s="23">
        <v>12000</v>
      </c>
      <c r="U189" s="23"/>
      <c r="V189" s="23"/>
      <c r="W189" s="23">
        <v>2708.9136406666671</v>
      </c>
      <c r="X189" s="258">
        <f t="shared" ref="X189:X191" si="291">W189+V189+U189+T189+S189</f>
        <v>14708.913640666668</v>
      </c>
      <c r="Y189" s="23">
        <v>59041.716500000002</v>
      </c>
      <c r="Z189" s="207">
        <f t="shared" si="258"/>
        <v>48271.165609333344</v>
      </c>
      <c r="AA189" s="180"/>
    </row>
    <row r="190" spans="1:27" ht="20.100000000000001" customHeight="1">
      <c r="A190" s="191">
        <v>57</v>
      </c>
      <c r="B190" s="157" t="s">
        <v>561</v>
      </c>
      <c r="C190" s="161" t="s">
        <v>558</v>
      </c>
      <c r="D190" s="181" t="s">
        <v>150</v>
      </c>
      <c r="E190" s="25">
        <v>4248.51</v>
      </c>
      <c r="F190" s="35"/>
      <c r="G190" s="51">
        <f t="shared" si="284"/>
        <v>12745.53</v>
      </c>
      <c r="H190" s="51">
        <f t="shared" si="285"/>
        <v>318.63825000000003</v>
      </c>
      <c r="I190" s="51"/>
      <c r="J190" s="51">
        <f t="shared" si="286"/>
        <v>2124.2550000000001</v>
      </c>
      <c r="K190" s="35">
        <f t="shared" si="287"/>
        <v>14869.785</v>
      </c>
      <c r="L190" s="51">
        <f t="shared" si="288"/>
        <v>4248.51</v>
      </c>
      <c r="M190" s="20"/>
      <c r="N190" s="51">
        <v>15000</v>
      </c>
      <c r="O190" s="51">
        <f t="shared" si="289"/>
        <v>424.85100000000006</v>
      </c>
      <c r="P190" s="51">
        <v>5000</v>
      </c>
      <c r="Q190" s="51">
        <v>4000</v>
      </c>
      <c r="R190" s="290">
        <f t="shared" si="290"/>
        <v>62980.07925000001</v>
      </c>
      <c r="S190" s="23"/>
      <c r="T190" s="23">
        <v>12000</v>
      </c>
      <c r="U190" s="23"/>
      <c r="V190" s="23"/>
      <c r="W190" s="23">
        <v>2708.9136406666671</v>
      </c>
      <c r="X190" s="258">
        <f t="shared" si="291"/>
        <v>14708.913640666668</v>
      </c>
      <c r="Y190" s="23">
        <v>59041.716500000002</v>
      </c>
      <c r="Z190" s="207">
        <f t="shared" si="258"/>
        <v>48271.165609333344</v>
      </c>
      <c r="AA190" s="180"/>
    </row>
    <row r="191" spans="1:27" ht="20.100000000000001" customHeight="1">
      <c r="A191" s="191">
        <v>58</v>
      </c>
      <c r="B191" s="157" t="s">
        <v>562</v>
      </c>
      <c r="C191" s="161" t="s">
        <v>563</v>
      </c>
      <c r="D191" s="181" t="s">
        <v>262</v>
      </c>
      <c r="E191" s="25">
        <f>[4]Sheet1!$D$40</f>
        <v>4915.9399999999996</v>
      </c>
      <c r="F191" s="35"/>
      <c r="G191" s="25">
        <f t="shared" si="284"/>
        <v>14747.82</v>
      </c>
      <c r="H191" s="25">
        <f t="shared" si="285"/>
        <v>368.69549999999998</v>
      </c>
      <c r="I191" s="25"/>
      <c r="J191" s="25">
        <f t="shared" si="286"/>
        <v>2457.9699999999998</v>
      </c>
      <c r="K191" s="23">
        <f t="shared" si="287"/>
        <v>17205.789999999997</v>
      </c>
      <c r="L191" s="25">
        <f t="shared" si="288"/>
        <v>4915.9399999999996</v>
      </c>
      <c r="M191" s="179"/>
      <c r="N191" s="179">
        <f>15000</f>
        <v>15000</v>
      </c>
      <c r="O191" s="25">
        <f t="shared" si="289"/>
        <v>491.59399999999999</v>
      </c>
      <c r="P191" s="25">
        <v>5000</v>
      </c>
      <c r="Q191" s="25">
        <v>7000</v>
      </c>
      <c r="R191" s="204">
        <f>SUM(E191:Q191)</f>
        <v>72103.749500000005</v>
      </c>
      <c r="S191" s="23"/>
      <c r="T191" s="23">
        <v>22000</v>
      </c>
      <c r="U191" s="23"/>
      <c r="V191" s="23"/>
      <c r="W191" s="23">
        <v>3511.7966226666667</v>
      </c>
      <c r="X191" s="258">
        <f t="shared" si="291"/>
        <v>25511.796622666669</v>
      </c>
      <c r="Y191" s="23">
        <v>67164.025750000015</v>
      </c>
      <c r="Z191" s="207">
        <f t="shared" si="258"/>
        <v>46591.952877333337</v>
      </c>
      <c r="AA191" s="180"/>
    </row>
    <row r="192" spans="1:27" ht="20.100000000000001" customHeight="1">
      <c r="A192" s="191">
        <v>59</v>
      </c>
      <c r="B192" s="157" t="s">
        <v>565</v>
      </c>
      <c r="C192" s="161" t="s">
        <v>563</v>
      </c>
      <c r="D192" s="181" t="s">
        <v>262</v>
      </c>
      <c r="E192" s="25">
        <f>[4]Sheet1!$D$40</f>
        <v>4915.9399999999996</v>
      </c>
      <c r="F192" s="35"/>
      <c r="G192" s="25">
        <f t="shared" ref="G192" si="292">E192*300%</f>
        <v>14747.82</v>
      </c>
      <c r="H192" s="25">
        <f t="shared" ref="H192" si="293">E192*7.5%</f>
        <v>368.69549999999998</v>
      </c>
      <c r="I192" s="25"/>
      <c r="J192" s="25">
        <f t="shared" ref="J192" si="294">E192*50%</f>
        <v>2457.9699999999998</v>
      </c>
      <c r="K192" s="23">
        <f t="shared" ref="K192" si="295">E192*350%</f>
        <v>17205.789999999997</v>
      </c>
      <c r="L192" s="25">
        <f t="shared" ref="L192" si="296">E192*100%</f>
        <v>4915.9399999999996</v>
      </c>
      <c r="M192" s="179"/>
      <c r="N192" s="179">
        <f>15000</f>
        <v>15000</v>
      </c>
      <c r="O192" s="25">
        <f t="shared" ref="O192" si="297">E192*10%</f>
        <v>491.59399999999999</v>
      </c>
      <c r="P192" s="25">
        <v>5000</v>
      </c>
      <c r="Q192" s="25">
        <v>7000</v>
      </c>
      <c r="R192" s="204">
        <f>SUM(E192:Q192)</f>
        <v>72103.749500000005</v>
      </c>
      <c r="S192" s="23"/>
      <c r="T192" s="23">
        <v>17000</v>
      </c>
      <c r="U192" s="23"/>
      <c r="V192" s="23"/>
      <c r="W192" s="23">
        <v>3511.7966226666667</v>
      </c>
      <c r="X192" s="258">
        <f t="shared" ref="X192" si="298">W192+V192+U192+T192+S192</f>
        <v>20511.796622666669</v>
      </c>
      <c r="Y192" s="23">
        <v>67164.025750000015</v>
      </c>
      <c r="Z192" s="207">
        <f t="shared" si="258"/>
        <v>51591.952877333337</v>
      </c>
      <c r="AA192" s="180"/>
    </row>
    <row r="193" spans="1:27" ht="20.100000000000001" customHeight="1">
      <c r="A193" s="191"/>
      <c r="B193" s="177" t="s">
        <v>15</v>
      </c>
      <c r="C193" s="193" t="s">
        <v>710</v>
      </c>
      <c r="D193" s="22"/>
      <c r="E193" s="68">
        <f>SUM(E134:E192)</f>
        <v>872629.80299999926</v>
      </c>
      <c r="F193" s="68">
        <f t="shared" ref="F193:Z193" si="299">SUM(F134:F192)</f>
        <v>0</v>
      </c>
      <c r="G193" s="68">
        <f t="shared" si="299"/>
        <v>2617377.3689999962</v>
      </c>
      <c r="H193" s="68">
        <f t="shared" si="299"/>
        <v>65434.434224999975</v>
      </c>
      <c r="I193" s="68">
        <f t="shared" si="299"/>
        <v>160488.76</v>
      </c>
      <c r="J193" s="68">
        <f t="shared" si="299"/>
        <v>436229.56149999966</v>
      </c>
      <c r="K193" s="68">
        <f t="shared" si="299"/>
        <v>3053606.9305000026</v>
      </c>
      <c r="L193" s="68">
        <f t="shared" si="299"/>
        <v>872459.12299999932</v>
      </c>
      <c r="M193" s="68">
        <f t="shared" si="299"/>
        <v>0</v>
      </c>
      <c r="N193" s="68">
        <f t="shared" si="299"/>
        <v>2490000</v>
      </c>
      <c r="O193" s="68">
        <f t="shared" si="299"/>
        <v>87245.912299999967</v>
      </c>
      <c r="P193" s="68">
        <f t="shared" si="299"/>
        <v>530000</v>
      </c>
      <c r="Q193" s="68">
        <f t="shared" si="299"/>
        <v>228000</v>
      </c>
      <c r="R193" s="68">
        <f t="shared" si="299"/>
        <v>11413301.213525007</v>
      </c>
      <c r="S193" s="68">
        <f t="shared" si="299"/>
        <v>0</v>
      </c>
      <c r="T193" s="68">
        <f t="shared" si="299"/>
        <v>1220500</v>
      </c>
      <c r="U193" s="68">
        <f t="shared" si="299"/>
        <v>2039205.0300000005</v>
      </c>
      <c r="V193" s="68">
        <f t="shared" si="299"/>
        <v>6347.2330000000002</v>
      </c>
      <c r="W193" s="68">
        <f t="shared" si="299"/>
        <v>1265795.4594602012</v>
      </c>
      <c r="X193" s="358">
        <f t="shared" si="299"/>
        <v>4531847.7224602001</v>
      </c>
      <c r="Y193" s="68">
        <v>6830167.4483033335</v>
      </c>
      <c r="Z193" s="337">
        <f t="shared" si="299"/>
        <v>6881453.4910648037</v>
      </c>
      <c r="AA193" s="180"/>
    </row>
    <row r="194" spans="1:27" ht="19.5" customHeight="1">
      <c r="A194" s="20"/>
      <c r="B194" s="194" t="s">
        <v>8</v>
      </c>
      <c r="C194" s="195">
        <f>C34+C40+C54+C59+C72+C82+C95+C102+C112+C131+C193</f>
        <v>153</v>
      </c>
      <c r="D194" s="196"/>
      <c r="E194" s="197">
        <f t="shared" ref="E194:X194" si="300">E193+E131+E118+E112+E102+E95+E82+E72+E59+E54+E40+E34</f>
        <v>3741807.8930000002</v>
      </c>
      <c r="F194" s="197">
        <f t="shared" si="300"/>
        <v>700000</v>
      </c>
      <c r="G194" s="197">
        <f t="shared" si="300"/>
        <v>11062145.528999995</v>
      </c>
      <c r="H194" s="197">
        <f t="shared" si="300"/>
        <v>316675.83072500001</v>
      </c>
      <c r="I194" s="197">
        <f t="shared" si="300"/>
        <v>1845620.7400000002</v>
      </c>
      <c r="J194" s="197">
        <f t="shared" si="300"/>
        <v>1862414.6114999999</v>
      </c>
      <c r="K194" s="197">
        <f t="shared" si="300"/>
        <v>12531362.700500002</v>
      </c>
      <c r="L194" s="197">
        <f t="shared" si="300"/>
        <v>3700755.9129999997</v>
      </c>
      <c r="M194" s="197">
        <f t="shared" si="300"/>
        <v>7760000</v>
      </c>
      <c r="N194" s="197">
        <f t="shared" si="300"/>
        <v>5080000</v>
      </c>
      <c r="O194" s="197">
        <f t="shared" si="300"/>
        <v>374087.81429999997</v>
      </c>
      <c r="P194" s="197">
        <f t="shared" si="300"/>
        <v>2020000</v>
      </c>
      <c r="Q194" s="197">
        <f t="shared" si="300"/>
        <v>2063903.6645499999</v>
      </c>
      <c r="R194" s="197">
        <f t="shared" si="300"/>
        <v>53058223.956575014</v>
      </c>
      <c r="S194" s="197">
        <f t="shared" si="300"/>
        <v>0</v>
      </c>
      <c r="T194" s="197">
        <f t="shared" si="300"/>
        <v>5135500</v>
      </c>
      <c r="U194" s="197">
        <f>U193+U131+U118+U112+U102+U95+U82+U72+U59+U54+U40+U34</f>
        <v>7215945.6799999997</v>
      </c>
      <c r="V194" s="197">
        <f>V193+V131+V118+V112+V102+V95+V82+V72+V59+V54+V40+V34</f>
        <v>23031.313750000001</v>
      </c>
      <c r="W194" s="197">
        <f t="shared" si="300"/>
        <v>7445494.5793200685</v>
      </c>
      <c r="X194" s="197">
        <f t="shared" si="300"/>
        <v>19816245.443674065</v>
      </c>
      <c r="Y194" s="197">
        <v>33766937.496396668</v>
      </c>
      <c r="Z194" s="197">
        <f>Z193+Z131+Z118+Z112+Z102+Z95+Z82+Z72+Z59+Z54+Z40+Z34</f>
        <v>33221290.190400943</v>
      </c>
      <c r="AA194" s="180"/>
    </row>
    <row r="195" spans="1:27" ht="20.100000000000001" customHeight="1">
      <c r="B195" s="198"/>
      <c r="D195" s="199"/>
      <c r="E195" s="199"/>
      <c r="F195" s="199"/>
      <c r="G195" s="199"/>
      <c r="H195" s="199"/>
      <c r="I195" s="199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1"/>
      <c r="X195" s="201"/>
      <c r="Y195" s="201"/>
      <c r="Z195" s="201"/>
      <c r="AA195" s="202"/>
    </row>
    <row r="196" spans="1:27" ht="36.75" customHeight="1">
      <c r="B196" s="198"/>
      <c r="C196" s="199"/>
      <c r="D196" s="199"/>
      <c r="E196" s="199"/>
      <c r="F196" s="199"/>
      <c r="G196" s="199"/>
      <c r="H196" s="199"/>
      <c r="I196" s="199"/>
      <c r="J196" s="200"/>
      <c r="K196" s="200"/>
      <c r="L196" s="200"/>
      <c r="M196" s="200"/>
      <c r="N196" s="200"/>
      <c r="O196" s="200"/>
      <c r="P196" s="200"/>
      <c r="R196" s="200" t="s">
        <v>755</v>
      </c>
      <c r="S196" s="200"/>
      <c r="T196" s="200"/>
      <c r="U196" s="200"/>
      <c r="V196" s="200"/>
      <c r="W196" s="201"/>
      <c r="X196" s="201"/>
      <c r="Y196" s="201"/>
      <c r="Z196" s="202"/>
    </row>
    <row r="199" spans="1:27" ht="20.100000000000001" customHeight="1">
      <c r="R199" s="202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9"/>
  <sheetViews>
    <sheetView workbookViewId="0">
      <selection activeCell="D8" sqref="D8"/>
    </sheetView>
  </sheetViews>
  <sheetFormatPr defaultColWidth="9.140625" defaultRowHeight="18.75"/>
  <cols>
    <col min="1" max="1" width="5.5703125" style="1" customWidth="1"/>
    <col min="2" max="2" width="44.28515625" style="1" customWidth="1"/>
    <col min="3" max="3" width="29.7109375" style="1" customWidth="1"/>
    <col min="4" max="4" width="9.28515625" style="1" customWidth="1"/>
    <col min="5" max="16384" width="9.140625" style="1"/>
  </cols>
  <sheetData>
    <row r="1" spans="1:4">
      <c r="A1" s="32" t="s">
        <v>143</v>
      </c>
      <c r="B1" s="32" t="s">
        <v>433</v>
      </c>
      <c r="C1" s="32"/>
      <c r="D1" s="32"/>
    </row>
    <row r="2" spans="1:4">
      <c r="A2" s="32">
        <v>1</v>
      </c>
      <c r="B2" s="32" t="s">
        <v>224</v>
      </c>
      <c r="C2" s="32" t="s">
        <v>119</v>
      </c>
      <c r="D2" s="32" t="s">
        <v>34</v>
      </c>
    </row>
    <row r="3" spans="1:4">
      <c r="A3" s="32">
        <v>2</v>
      </c>
      <c r="B3" s="32" t="s">
        <v>315</v>
      </c>
      <c r="C3" s="32" t="s">
        <v>316</v>
      </c>
      <c r="D3" s="32" t="s">
        <v>496</v>
      </c>
    </row>
    <row r="4" spans="1:4">
      <c r="A4" s="32">
        <v>3</v>
      </c>
      <c r="B4" s="32" t="s">
        <v>317</v>
      </c>
      <c r="C4" s="32" t="s">
        <v>418</v>
      </c>
      <c r="D4" s="32" t="s">
        <v>221</v>
      </c>
    </row>
    <row r="5" spans="1:4">
      <c r="A5" s="32">
        <v>4</v>
      </c>
      <c r="B5" s="32" t="s">
        <v>187</v>
      </c>
      <c r="C5" s="32" t="s">
        <v>474</v>
      </c>
      <c r="D5" s="32" t="s">
        <v>221</v>
      </c>
    </row>
    <row r="6" spans="1:4">
      <c r="A6" s="32">
        <v>5</v>
      </c>
      <c r="B6" s="32" t="s">
        <v>203</v>
      </c>
      <c r="C6" s="32" t="s">
        <v>475</v>
      </c>
      <c r="D6" s="32" t="s">
        <v>221</v>
      </c>
    </row>
    <row r="7" spans="1:4">
      <c r="A7" s="32">
        <v>6</v>
      </c>
      <c r="B7" s="32" t="s">
        <v>364</v>
      </c>
      <c r="C7" s="32" t="s">
        <v>343</v>
      </c>
      <c r="D7" s="32" t="s">
        <v>221</v>
      </c>
    </row>
    <row r="8" spans="1:4">
      <c r="A8" s="32">
        <v>7</v>
      </c>
      <c r="B8" s="32" t="s">
        <v>111</v>
      </c>
      <c r="C8" s="32" t="s">
        <v>468</v>
      </c>
      <c r="D8" s="32" t="s">
        <v>75</v>
      </c>
    </row>
    <row r="9" spans="1:4">
      <c r="A9" s="32">
        <v>8</v>
      </c>
      <c r="B9" s="32" t="s">
        <v>185</v>
      </c>
      <c r="C9" s="32" t="s">
        <v>708</v>
      </c>
      <c r="D9" s="32" t="s">
        <v>30</v>
      </c>
    </row>
    <row r="10" spans="1:4">
      <c r="A10" s="32">
        <v>9</v>
      </c>
      <c r="B10" s="32" t="s">
        <v>18</v>
      </c>
      <c r="C10" s="32" t="s">
        <v>389</v>
      </c>
      <c r="D10" s="32" t="s">
        <v>181</v>
      </c>
    </row>
    <row r="11" spans="1:4">
      <c r="A11" s="32">
        <v>10</v>
      </c>
      <c r="B11" s="32" t="s">
        <v>534</v>
      </c>
      <c r="C11" s="32" t="s">
        <v>297</v>
      </c>
      <c r="D11" s="32" t="s">
        <v>162</v>
      </c>
    </row>
    <row r="12" spans="1:4">
      <c r="A12" s="32">
        <v>11</v>
      </c>
      <c r="B12" s="32" t="s">
        <v>724</v>
      </c>
      <c r="C12" s="32" t="s">
        <v>725</v>
      </c>
      <c r="D12" s="32" t="s">
        <v>175</v>
      </c>
    </row>
    <row r="13" spans="1:4">
      <c r="A13" s="32">
        <v>12</v>
      </c>
      <c r="B13" s="32" t="s">
        <v>334</v>
      </c>
      <c r="C13" s="32" t="s">
        <v>351</v>
      </c>
      <c r="D13" s="32" t="s">
        <v>163</v>
      </c>
    </row>
    <row r="14" spans="1:4">
      <c r="A14" s="32">
        <v>13</v>
      </c>
      <c r="B14" s="32" t="s">
        <v>291</v>
      </c>
      <c r="C14" s="32" t="s">
        <v>346</v>
      </c>
      <c r="D14" s="32" t="s">
        <v>413</v>
      </c>
    </row>
    <row r="15" spans="1:4">
      <c r="A15" s="32">
        <v>14</v>
      </c>
      <c r="B15" s="32" t="s">
        <v>253</v>
      </c>
      <c r="C15" s="32" t="s">
        <v>478</v>
      </c>
      <c r="D15" s="32" t="s">
        <v>415</v>
      </c>
    </row>
    <row r="16" spans="1:4">
      <c r="A16" s="32">
        <v>15</v>
      </c>
      <c r="B16" s="32" t="s">
        <v>321</v>
      </c>
      <c r="C16" s="32" t="s">
        <v>115</v>
      </c>
      <c r="D16" s="32" t="s">
        <v>369</v>
      </c>
    </row>
    <row r="17" spans="1:4">
      <c r="A17" s="32">
        <v>16</v>
      </c>
      <c r="B17" s="32" t="s">
        <v>742</v>
      </c>
      <c r="C17" s="32" t="s">
        <v>743</v>
      </c>
      <c r="D17" s="32" t="s">
        <v>104</v>
      </c>
    </row>
    <row r="18" spans="1:4">
      <c r="A18" s="32">
        <v>17</v>
      </c>
      <c r="B18" s="32" t="s">
        <v>434</v>
      </c>
      <c r="C18" s="32" t="s">
        <v>17</v>
      </c>
      <c r="D18" s="32" t="s">
        <v>498</v>
      </c>
    </row>
    <row r="19" spans="1:4">
      <c r="A19" s="32">
        <v>18</v>
      </c>
      <c r="B19" s="32" t="s">
        <v>254</v>
      </c>
      <c r="C19" s="32" t="s">
        <v>17</v>
      </c>
      <c r="D19" s="32" t="s">
        <v>498</v>
      </c>
    </row>
    <row r="20" spans="1:4">
      <c r="A20" s="32">
        <v>19</v>
      </c>
      <c r="B20" s="32" t="s">
        <v>288</v>
      </c>
      <c r="C20" s="32" t="s">
        <v>706</v>
      </c>
      <c r="D20" s="32" t="s">
        <v>428</v>
      </c>
    </row>
    <row r="21" spans="1:4">
      <c r="A21" s="32">
        <v>20</v>
      </c>
      <c r="B21" s="32" t="s">
        <v>328</v>
      </c>
      <c r="C21" s="32" t="s">
        <v>738</v>
      </c>
      <c r="D21" s="32" t="s">
        <v>428</v>
      </c>
    </row>
    <row r="22" spans="1:4">
      <c r="A22" s="32">
        <v>21</v>
      </c>
      <c r="B22" s="32" t="s">
        <v>360</v>
      </c>
      <c r="C22" s="32" t="s">
        <v>372</v>
      </c>
      <c r="D22" s="32" t="s">
        <v>498</v>
      </c>
    </row>
    <row r="23" spans="1:4">
      <c r="A23" s="32">
        <v>22</v>
      </c>
      <c r="B23" s="32" t="s">
        <v>330</v>
      </c>
      <c r="C23" s="32" t="s">
        <v>533</v>
      </c>
      <c r="D23" s="32" t="s">
        <v>176</v>
      </c>
    </row>
    <row r="24" spans="1:4">
      <c r="A24" s="32">
        <v>23</v>
      </c>
      <c r="B24" s="32" t="s">
        <v>274</v>
      </c>
      <c r="C24" s="32" t="s">
        <v>314</v>
      </c>
      <c r="D24" s="32" t="s">
        <v>176</v>
      </c>
    </row>
    <row r="25" spans="1:4">
      <c r="A25" s="32">
        <v>24</v>
      </c>
      <c r="B25" s="32" t="s">
        <v>555</v>
      </c>
      <c r="C25" s="32" t="s">
        <v>314</v>
      </c>
      <c r="D25" s="32" t="s">
        <v>105</v>
      </c>
    </row>
    <row r="26" spans="1:4">
      <c r="A26" s="32"/>
      <c r="B26" s="32" t="s">
        <v>15</v>
      </c>
      <c r="C26" s="32">
        <v>24</v>
      </c>
      <c r="D26" s="32"/>
    </row>
    <row r="27" spans="1:4">
      <c r="A27" s="32"/>
      <c r="B27" s="32"/>
      <c r="C27" s="32"/>
      <c r="D27" s="32"/>
    </row>
    <row r="28" spans="1:4">
      <c r="A28" s="32"/>
      <c r="B28" s="32" t="s">
        <v>284</v>
      </c>
      <c r="C28" s="32"/>
      <c r="D28" s="32"/>
    </row>
    <row r="29" spans="1:4">
      <c r="A29" s="32">
        <v>1</v>
      </c>
      <c r="B29" s="32" t="s">
        <v>361</v>
      </c>
      <c r="C29" s="32" t="s">
        <v>362</v>
      </c>
      <c r="D29" s="32" t="s">
        <v>161</v>
      </c>
    </row>
    <row r="30" spans="1:4">
      <c r="A30" s="32">
        <v>2</v>
      </c>
      <c r="B30" s="32" t="s">
        <v>419</v>
      </c>
      <c r="C30" s="32" t="s">
        <v>427</v>
      </c>
      <c r="D30" s="32" t="s">
        <v>105</v>
      </c>
    </row>
    <row r="31" spans="1:4">
      <c r="A31" s="32">
        <v>3</v>
      </c>
      <c r="B31" s="32" t="s">
        <v>720</v>
      </c>
      <c r="C31" s="32" t="s">
        <v>721</v>
      </c>
      <c r="D31" s="32" t="s">
        <v>104</v>
      </c>
    </row>
    <row r="32" spans="1:4">
      <c r="A32" s="32"/>
      <c r="B32" s="32"/>
      <c r="C32" s="32">
        <v>3</v>
      </c>
      <c r="D32" s="32"/>
    </row>
    <row r="33" spans="1:4">
      <c r="A33" s="32"/>
      <c r="B33" s="32"/>
      <c r="C33" s="32"/>
      <c r="D33" s="32"/>
    </row>
    <row r="34" spans="1:4">
      <c r="A34" s="32"/>
      <c r="B34" s="32" t="s">
        <v>56</v>
      </c>
      <c r="C34" s="32"/>
      <c r="D34" s="32"/>
    </row>
    <row r="35" spans="1:4">
      <c r="A35" s="32">
        <v>1</v>
      </c>
      <c r="B35" s="32" t="s">
        <v>255</v>
      </c>
      <c r="C35" s="32" t="s">
        <v>256</v>
      </c>
      <c r="D35" s="32" t="s">
        <v>161</v>
      </c>
    </row>
    <row r="36" spans="1:4">
      <c r="A36" s="32">
        <v>2</v>
      </c>
      <c r="B36" s="32" t="s">
        <v>158</v>
      </c>
      <c r="C36" s="32" t="s">
        <v>199</v>
      </c>
      <c r="D36" s="32" t="s">
        <v>75</v>
      </c>
    </row>
    <row r="37" spans="1:4">
      <c r="A37" s="32">
        <v>3</v>
      </c>
      <c r="B37" s="32" t="s">
        <v>165</v>
      </c>
      <c r="C37" s="32" t="s">
        <v>739</v>
      </c>
      <c r="D37" s="32" t="s">
        <v>29</v>
      </c>
    </row>
    <row r="38" spans="1:4">
      <c r="A38" s="32">
        <v>4</v>
      </c>
      <c r="B38" s="32" t="s">
        <v>159</v>
      </c>
      <c r="C38" s="32" t="s">
        <v>258</v>
      </c>
      <c r="D38" s="32" t="s">
        <v>75</v>
      </c>
    </row>
    <row r="39" spans="1:4">
      <c r="A39" s="32">
        <v>5</v>
      </c>
      <c r="B39" s="32" t="s">
        <v>118</v>
      </c>
      <c r="C39" s="32" t="s">
        <v>258</v>
      </c>
      <c r="D39" s="32" t="s">
        <v>148</v>
      </c>
    </row>
    <row r="40" spans="1:4">
      <c r="A40" s="32">
        <v>6</v>
      </c>
      <c r="B40" s="32" t="s">
        <v>205</v>
      </c>
      <c r="C40" s="32" t="s">
        <v>258</v>
      </c>
      <c r="D40" s="32" t="s">
        <v>30</v>
      </c>
    </row>
    <row r="41" spans="1:4">
      <c r="A41" s="32">
        <v>7</v>
      </c>
      <c r="B41" s="32" t="s">
        <v>173</v>
      </c>
      <c r="C41" s="32" t="s">
        <v>297</v>
      </c>
      <c r="D41" s="32" t="s">
        <v>181</v>
      </c>
    </row>
    <row r="42" spans="1:4">
      <c r="A42" s="32">
        <v>8</v>
      </c>
      <c r="B42" s="32" t="s">
        <v>184</v>
      </c>
      <c r="C42" s="32" t="s">
        <v>78</v>
      </c>
      <c r="D42" s="32" t="s">
        <v>222</v>
      </c>
    </row>
    <row r="43" spans="1:4">
      <c r="A43" s="32">
        <v>9</v>
      </c>
      <c r="B43" s="32" t="s">
        <v>551</v>
      </c>
      <c r="C43" s="32" t="s">
        <v>84</v>
      </c>
      <c r="D43" s="32" t="s">
        <v>104</v>
      </c>
    </row>
    <row r="44" spans="1:4">
      <c r="A44" s="32">
        <v>10</v>
      </c>
      <c r="B44" s="32" t="s">
        <v>420</v>
      </c>
      <c r="C44" s="32" t="s">
        <v>84</v>
      </c>
      <c r="D44" s="32" t="s">
        <v>428</v>
      </c>
    </row>
    <row r="45" spans="1:4">
      <c r="A45" s="32">
        <v>11</v>
      </c>
      <c r="B45" s="32" t="s">
        <v>435</v>
      </c>
      <c r="C45" s="32" t="s">
        <v>84</v>
      </c>
      <c r="D45" s="32" t="s">
        <v>428</v>
      </c>
    </row>
    <row r="46" spans="1:4">
      <c r="A46" s="32">
        <v>12</v>
      </c>
      <c r="B46" s="32" t="s">
        <v>452</v>
      </c>
      <c r="C46" s="32" t="s">
        <v>84</v>
      </c>
      <c r="D46" s="32" t="s">
        <v>428</v>
      </c>
    </row>
    <row r="47" spans="1:4">
      <c r="A47" s="32"/>
      <c r="B47" s="32" t="s">
        <v>15</v>
      </c>
      <c r="C47" s="32">
        <v>12</v>
      </c>
      <c r="D47" s="32"/>
    </row>
    <row r="48" spans="1:4">
      <c r="A48" s="32"/>
      <c r="B48" s="32"/>
      <c r="C48" s="32"/>
      <c r="D48" s="32"/>
    </row>
    <row r="49" spans="1:4">
      <c r="A49" s="32"/>
      <c r="B49" s="32" t="s">
        <v>195</v>
      </c>
      <c r="C49" s="32"/>
      <c r="D49" s="32"/>
    </row>
    <row r="50" spans="1:4">
      <c r="A50" s="32">
        <v>1</v>
      </c>
      <c r="B50" s="32" t="s">
        <v>11</v>
      </c>
      <c r="C50" s="32" t="s">
        <v>200</v>
      </c>
      <c r="D50" s="32" t="s">
        <v>161</v>
      </c>
    </row>
    <row r="51" spans="1:4">
      <c r="A51" s="32">
        <v>2</v>
      </c>
      <c r="B51" s="32" t="s">
        <v>276</v>
      </c>
      <c r="C51" s="32" t="s">
        <v>340</v>
      </c>
      <c r="D51" s="32" t="s">
        <v>412</v>
      </c>
    </row>
    <row r="52" spans="1:4">
      <c r="A52" s="32"/>
      <c r="B52" s="32" t="s">
        <v>15</v>
      </c>
      <c r="C52" s="32">
        <v>2</v>
      </c>
      <c r="D52" s="32"/>
    </row>
    <row r="53" spans="1:4">
      <c r="A53" s="32"/>
      <c r="B53" s="32"/>
      <c r="C53" s="32"/>
      <c r="D53" s="32"/>
    </row>
    <row r="54" spans="1:4">
      <c r="A54" s="32"/>
      <c r="B54" s="32" t="s">
        <v>461</v>
      </c>
      <c r="C54" s="32"/>
      <c r="D54" s="32"/>
    </row>
    <row r="55" spans="1:4">
      <c r="A55" s="32">
        <v>1</v>
      </c>
      <c r="B55" s="32" t="s">
        <v>277</v>
      </c>
      <c r="C55" s="32" t="s">
        <v>278</v>
      </c>
      <c r="D55" s="32" t="s">
        <v>161</v>
      </c>
    </row>
    <row r="56" spans="1:4">
      <c r="A56" s="32">
        <v>2</v>
      </c>
      <c r="B56" s="32" t="s">
        <v>332</v>
      </c>
      <c r="C56" s="32" t="s">
        <v>188</v>
      </c>
      <c r="D56" s="32" t="s">
        <v>272</v>
      </c>
    </row>
    <row r="57" spans="1:4">
      <c r="A57" s="32">
        <v>3</v>
      </c>
      <c r="B57" s="32" t="s">
        <v>189</v>
      </c>
      <c r="C57" s="32" t="s">
        <v>297</v>
      </c>
      <c r="D57" s="32" t="s">
        <v>222</v>
      </c>
    </row>
    <row r="58" spans="1:4">
      <c r="A58" s="32">
        <v>4</v>
      </c>
      <c r="B58" s="32" t="s">
        <v>448</v>
      </c>
      <c r="C58" s="32" t="s">
        <v>257</v>
      </c>
      <c r="D58" s="32" t="s">
        <v>163</v>
      </c>
    </row>
    <row r="59" spans="1:4">
      <c r="A59" s="32">
        <v>5</v>
      </c>
      <c r="B59" s="32" t="s">
        <v>229</v>
      </c>
      <c r="C59" s="32" t="s">
        <v>297</v>
      </c>
      <c r="D59" s="32" t="s">
        <v>181</v>
      </c>
    </row>
    <row r="60" spans="1:4">
      <c r="A60" s="32">
        <v>7</v>
      </c>
      <c r="B60" s="32" t="s">
        <v>117</v>
      </c>
      <c r="C60" s="32" t="s">
        <v>84</v>
      </c>
      <c r="D60" s="32" t="s">
        <v>369</v>
      </c>
    </row>
    <row r="61" spans="1:4">
      <c r="A61" s="32">
        <v>8</v>
      </c>
      <c r="B61" s="32" t="s">
        <v>424</v>
      </c>
      <c r="C61" s="32" t="s">
        <v>422</v>
      </c>
      <c r="D61" s="32" t="s">
        <v>369</v>
      </c>
    </row>
    <row r="62" spans="1:4">
      <c r="A62" s="32">
        <v>9</v>
      </c>
      <c r="B62" s="32" t="s">
        <v>423</v>
      </c>
      <c r="C62" s="32" t="s">
        <v>422</v>
      </c>
      <c r="D62" s="32" t="s">
        <v>369</v>
      </c>
    </row>
    <row r="63" spans="1:4">
      <c r="A63" s="32">
        <v>10</v>
      </c>
      <c r="B63" s="32" t="s">
        <v>242</v>
      </c>
      <c r="C63" s="32" t="s">
        <v>484</v>
      </c>
      <c r="D63" s="32" t="s">
        <v>415</v>
      </c>
    </row>
    <row r="64" spans="1:4">
      <c r="A64" s="32">
        <v>11</v>
      </c>
      <c r="B64" s="32" t="s">
        <v>726</v>
      </c>
      <c r="C64" s="32" t="s">
        <v>84</v>
      </c>
      <c r="D64" s="32" t="s">
        <v>104</v>
      </c>
    </row>
    <row r="65" spans="1:4">
      <c r="A65" s="32">
        <v>12</v>
      </c>
      <c r="B65" s="32" t="s">
        <v>320</v>
      </c>
      <c r="C65" s="32" t="s">
        <v>115</v>
      </c>
      <c r="D65" s="32" t="s">
        <v>498</v>
      </c>
    </row>
    <row r="66" spans="1:4">
      <c r="A66" s="32"/>
      <c r="B66" s="32" t="s">
        <v>15</v>
      </c>
      <c r="C66" s="32">
        <v>12</v>
      </c>
      <c r="D66" s="32"/>
    </row>
    <row r="67" spans="1:4">
      <c r="A67" s="32"/>
      <c r="B67" s="32"/>
      <c r="C67" s="32"/>
      <c r="D67" s="32"/>
    </row>
    <row r="68" spans="1:4">
      <c r="A68" s="32"/>
      <c r="B68" s="32" t="s">
        <v>462</v>
      </c>
      <c r="C68" s="32"/>
      <c r="D68" s="32"/>
    </row>
    <row r="69" spans="1:4">
      <c r="A69" s="32">
        <v>1</v>
      </c>
      <c r="B69" s="32" t="s">
        <v>19</v>
      </c>
      <c r="C69" s="32" t="s">
        <v>201</v>
      </c>
      <c r="D69" s="32" t="s">
        <v>161</v>
      </c>
    </row>
    <row r="70" spans="1:4">
      <c r="A70" s="32">
        <v>2</v>
      </c>
      <c r="B70" s="32" t="s">
        <v>325</v>
      </c>
      <c r="C70" s="32" t="s">
        <v>245</v>
      </c>
      <c r="D70" s="32" t="s">
        <v>272</v>
      </c>
    </row>
    <row r="71" spans="1:4">
      <c r="A71" s="32">
        <v>3</v>
      </c>
      <c r="B71" s="32" t="s">
        <v>333</v>
      </c>
      <c r="C71" s="32" t="s">
        <v>387</v>
      </c>
      <c r="D71" s="32" t="s">
        <v>412</v>
      </c>
    </row>
    <row r="72" spans="1:4">
      <c r="A72" s="32">
        <v>4</v>
      </c>
      <c r="B72" s="32" t="s">
        <v>26</v>
      </c>
      <c r="C72" s="32" t="s">
        <v>707</v>
      </c>
      <c r="D72" s="32" t="s">
        <v>222</v>
      </c>
    </row>
    <row r="73" spans="1:4">
      <c r="A73" s="32">
        <v>5</v>
      </c>
      <c r="B73" s="32" t="s">
        <v>324</v>
      </c>
      <c r="C73" s="32" t="s">
        <v>243</v>
      </c>
      <c r="D73" s="32" t="s">
        <v>207</v>
      </c>
    </row>
    <row r="74" spans="1:4">
      <c r="A74" s="32">
        <v>6</v>
      </c>
      <c r="B74" s="32" t="s">
        <v>554</v>
      </c>
      <c r="C74" s="32" t="s">
        <v>243</v>
      </c>
      <c r="D74" s="32" t="s">
        <v>428</v>
      </c>
    </row>
    <row r="75" spans="1:4">
      <c r="A75" s="32">
        <v>7</v>
      </c>
      <c r="B75" s="32" t="s">
        <v>552</v>
      </c>
      <c r="C75" s="32" t="s">
        <v>553</v>
      </c>
      <c r="D75" s="32" t="s">
        <v>105</v>
      </c>
    </row>
    <row r="76" spans="1:4">
      <c r="A76" s="32"/>
      <c r="B76" s="32" t="s">
        <v>15</v>
      </c>
      <c r="C76" s="32">
        <v>7</v>
      </c>
      <c r="D76" s="32"/>
    </row>
    <row r="77" spans="1:4">
      <c r="A77" s="32"/>
      <c r="B77" s="32"/>
      <c r="C77" s="32"/>
      <c r="D77" s="32"/>
    </row>
    <row r="78" spans="1:4">
      <c r="A78" s="32"/>
      <c r="B78" s="32" t="s">
        <v>463</v>
      </c>
      <c r="C78" s="32"/>
      <c r="D78" s="32"/>
    </row>
    <row r="79" spans="1:4">
      <c r="A79" s="32">
        <v>1</v>
      </c>
      <c r="B79" s="32" t="s">
        <v>169</v>
      </c>
      <c r="C79" s="32" t="s">
        <v>258</v>
      </c>
      <c r="D79" s="32" t="s">
        <v>75</v>
      </c>
    </row>
    <row r="80" spans="1:4">
      <c r="A80" s="32">
        <v>2</v>
      </c>
      <c r="B80" s="32" t="s">
        <v>192</v>
      </c>
      <c r="C80" s="32" t="s">
        <v>258</v>
      </c>
      <c r="D80" s="32" t="s">
        <v>75</v>
      </c>
    </row>
    <row r="81" spans="1:4">
      <c r="A81" s="32">
        <v>3</v>
      </c>
      <c r="B81" s="32" t="s">
        <v>138</v>
      </c>
      <c r="C81" s="32" t="s">
        <v>258</v>
      </c>
      <c r="D81" s="32" t="s">
        <v>30</v>
      </c>
    </row>
    <row r="82" spans="1:4">
      <c r="A82" s="32">
        <v>4</v>
      </c>
      <c r="B82" s="32" t="s">
        <v>202</v>
      </c>
      <c r="C82" s="32" t="s">
        <v>258</v>
      </c>
      <c r="D82" s="32" t="s">
        <v>30</v>
      </c>
    </row>
    <row r="83" spans="1:4">
      <c r="A83" s="32">
        <v>5</v>
      </c>
      <c r="B83" s="32" t="s">
        <v>101</v>
      </c>
      <c r="C83" s="32" t="s">
        <v>80</v>
      </c>
      <c r="D83" s="32" t="s">
        <v>170</v>
      </c>
    </row>
    <row r="84" spans="1:4">
      <c r="A84" s="32">
        <v>6</v>
      </c>
      <c r="B84" s="32" t="s">
        <v>336</v>
      </c>
      <c r="C84" s="32" t="s">
        <v>257</v>
      </c>
      <c r="D84" s="32" t="s">
        <v>163</v>
      </c>
    </row>
    <row r="85" spans="1:4">
      <c r="A85" s="32">
        <v>7</v>
      </c>
      <c r="B85" s="32" t="s">
        <v>337</v>
      </c>
      <c r="C85" s="32" t="s">
        <v>297</v>
      </c>
      <c r="D85" s="32" t="s">
        <v>95</v>
      </c>
    </row>
    <row r="86" spans="1:4">
      <c r="A86" s="32">
        <v>8</v>
      </c>
      <c r="B86" s="32" t="s">
        <v>421</v>
      </c>
      <c r="C86" s="32" t="s">
        <v>422</v>
      </c>
      <c r="D86" s="32" t="s">
        <v>369</v>
      </c>
    </row>
    <row r="87" spans="1:4">
      <c r="A87" s="32">
        <v>9</v>
      </c>
      <c r="B87" s="32" t="s">
        <v>556</v>
      </c>
      <c r="C87" s="32" t="s">
        <v>422</v>
      </c>
      <c r="D87" s="32" t="s">
        <v>369</v>
      </c>
    </row>
    <row r="88" spans="1:4">
      <c r="A88" s="32">
        <v>10</v>
      </c>
      <c r="B88" s="32" t="s">
        <v>436</v>
      </c>
      <c r="C88" s="32" t="s">
        <v>470</v>
      </c>
      <c r="D88" s="32" t="s">
        <v>104</v>
      </c>
    </row>
    <row r="89" spans="1:4">
      <c r="A89" s="32">
        <v>11</v>
      </c>
      <c r="B89" s="32" t="s">
        <v>406</v>
      </c>
      <c r="C89" s="32" t="s">
        <v>432</v>
      </c>
      <c r="D89" s="32" t="s">
        <v>176</v>
      </c>
    </row>
    <row r="90" spans="1:4">
      <c r="A90" s="32"/>
      <c r="B90" s="32" t="s">
        <v>15</v>
      </c>
      <c r="C90" s="32">
        <v>11</v>
      </c>
      <c r="D90" s="32"/>
    </row>
    <row r="91" spans="1:4">
      <c r="A91" s="32"/>
      <c r="B91" s="32"/>
      <c r="C91" s="32"/>
      <c r="D91" s="32"/>
    </row>
    <row r="92" spans="1:4">
      <c r="A92" s="32"/>
      <c r="B92" s="32" t="s">
        <v>464</v>
      </c>
      <c r="C92" s="32"/>
      <c r="D92" s="32"/>
    </row>
    <row r="93" spans="1:4">
      <c r="A93" s="32">
        <v>1</v>
      </c>
      <c r="B93" s="32" t="s">
        <v>112</v>
      </c>
      <c r="C93" s="32" t="s">
        <v>741</v>
      </c>
      <c r="D93" s="32" t="s">
        <v>221</v>
      </c>
    </row>
    <row r="94" spans="1:4">
      <c r="A94" s="32">
        <v>2</v>
      </c>
      <c r="B94" s="32" t="s">
        <v>124</v>
      </c>
      <c r="C94" s="32" t="s">
        <v>373</v>
      </c>
      <c r="D94" s="32" t="s">
        <v>222</v>
      </c>
    </row>
    <row r="95" spans="1:4">
      <c r="A95" s="32">
        <v>3</v>
      </c>
      <c r="B95" s="32" t="s">
        <v>237</v>
      </c>
      <c r="C95" s="32" t="s">
        <v>483</v>
      </c>
      <c r="D95" s="32" t="s">
        <v>415</v>
      </c>
    </row>
    <row r="96" spans="1:4">
      <c r="A96" s="32">
        <v>4</v>
      </c>
      <c r="B96" s="32" t="s">
        <v>345</v>
      </c>
      <c r="C96" s="32" t="s">
        <v>709</v>
      </c>
      <c r="D96" s="32" t="s">
        <v>104</v>
      </c>
    </row>
    <row r="97" spans="1:4">
      <c r="A97" s="32"/>
      <c r="B97" s="32" t="s">
        <v>15</v>
      </c>
      <c r="C97" s="32">
        <v>4</v>
      </c>
      <c r="D97" s="32"/>
    </row>
    <row r="98" spans="1:4">
      <c r="A98" s="32"/>
      <c r="B98" s="32"/>
      <c r="C98" s="32"/>
      <c r="D98" s="32"/>
    </row>
    <row r="99" spans="1:4">
      <c r="A99" s="32"/>
      <c r="B99" s="32" t="s">
        <v>465</v>
      </c>
      <c r="C99" s="32"/>
      <c r="D99" s="32"/>
    </row>
    <row r="100" spans="1:4">
      <c r="A100" s="32">
        <v>1</v>
      </c>
      <c r="B100" s="32" t="s">
        <v>216</v>
      </c>
      <c r="C100" s="32" t="s">
        <v>217</v>
      </c>
      <c r="D100" s="32" t="s">
        <v>161</v>
      </c>
    </row>
    <row r="101" spans="1:4">
      <c r="A101" s="32">
        <v>2</v>
      </c>
      <c r="B101" s="32" t="s">
        <v>110</v>
      </c>
      <c r="C101" s="32" t="s">
        <v>259</v>
      </c>
      <c r="D101" s="32" t="s">
        <v>221</v>
      </c>
    </row>
    <row r="102" spans="1:4">
      <c r="A102" s="32">
        <v>3</v>
      </c>
      <c r="B102" s="32" t="s">
        <v>109</v>
      </c>
      <c r="C102" s="32" t="s">
        <v>311</v>
      </c>
      <c r="D102" s="32" t="s">
        <v>175</v>
      </c>
    </row>
    <row r="103" spans="1:4">
      <c r="A103" s="32">
        <v>4</v>
      </c>
      <c r="B103" s="32" t="s">
        <v>135</v>
      </c>
      <c r="C103" s="32" t="s">
        <v>311</v>
      </c>
      <c r="D103" s="32" t="s">
        <v>175</v>
      </c>
    </row>
    <row r="104" spans="1:4">
      <c r="A104" s="32">
        <v>5</v>
      </c>
      <c r="B104" s="32" t="s">
        <v>240</v>
      </c>
      <c r="C104" s="32" t="s">
        <v>338</v>
      </c>
      <c r="D104" s="32" t="s">
        <v>499</v>
      </c>
    </row>
    <row r="105" spans="1:4">
      <c r="A105" s="32">
        <v>6</v>
      </c>
      <c r="B105" s="32" t="s">
        <v>341</v>
      </c>
      <c r="C105" s="32" t="s">
        <v>338</v>
      </c>
      <c r="D105" s="32" t="s">
        <v>267</v>
      </c>
    </row>
    <row r="106" spans="1:4">
      <c r="A106" s="32">
        <v>7</v>
      </c>
      <c r="B106" s="32" t="s">
        <v>374</v>
      </c>
      <c r="C106" s="32" t="s">
        <v>338</v>
      </c>
      <c r="D106" s="32" t="s">
        <v>176</v>
      </c>
    </row>
    <row r="107" spans="1:4">
      <c r="A107" s="32"/>
      <c r="B107" s="32" t="s">
        <v>15</v>
      </c>
      <c r="C107" s="32">
        <v>7</v>
      </c>
      <c r="D107" s="32"/>
    </row>
    <row r="108" spans="1:4">
      <c r="A108" s="32"/>
      <c r="B108" s="32"/>
      <c r="C108" s="32"/>
      <c r="D108" s="32"/>
    </row>
    <row r="109" spans="1:4">
      <c r="A109" s="32"/>
      <c r="B109" s="32" t="s">
        <v>542</v>
      </c>
      <c r="C109" s="32"/>
      <c r="D109" s="32"/>
    </row>
    <row r="110" spans="1:4">
      <c r="A110" s="32">
        <v>1</v>
      </c>
      <c r="B110" s="32" t="s">
        <v>182</v>
      </c>
      <c r="C110" s="32" t="s">
        <v>422</v>
      </c>
      <c r="D110" s="32" t="s">
        <v>497</v>
      </c>
    </row>
    <row r="111" spans="1:4">
      <c r="A111" s="32">
        <v>2</v>
      </c>
      <c r="B111" s="32" t="s">
        <v>247</v>
      </c>
      <c r="C111" s="32" t="s">
        <v>477</v>
      </c>
      <c r="D111" s="32" t="s">
        <v>415</v>
      </c>
    </row>
    <row r="112" spans="1:4">
      <c r="A112" s="32">
        <v>3</v>
      </c>
      <c r="B112" s="32" t="s">
        <v>141</v>
      </c>
      <c r="C112" s="32" t="s">
        <v>391</v>
      </c>
      <c r="D112" s="32" t="s">
        <v>497</v>
      </c>
    </row>
    <row r="113" spans="1:4">
      <c r="A113" s="32"/>
      <c r="B113" s="32" t="s">
        <v>15</v>
      </c>
      <c r="C113" s="32">
        <v>3</v>
      </c>
      <c r="D113" s="32"/>
    </row>
    <row r="114" spans="1:4">
      <c r="A114" s="32"/>
      <c r="B114" s="32"/>
      <c r="C114" s="32"/>
      <c r="D114" s="32"/>
    </row>
    <row r="115" spans="1:4">
      <c r="A115" s="32"/>
      <c r="B115" s="32" t="s">
        <v>466</v>
      </c>
      <c r="C115" s="32"/>
      <c r="D115" s="32"/>
    </row>
    <row r="116" spans="1:4">
      <c r="A116" s="32">
        <v>1</v>
      </c>
      <c r="B116" s="32" t="s">
        <v>20</v>
      </c>
      <c r="C116" s="32" t="s">
        <v>250</v>
      </c>
      <c r="D116" s="32" t="s">
        <v>161</v>
      </c>
    </row>
    <row r="117" spans="1:4">
      <c r="A117" s="32">
        <v>2</v>
      </c>
      <c r="B117" s="32" t="s">
        <v>153</v>
      </c>
      <c r="C117" s="32" t="s">
        <v>740</v>
      </c>
      <c r="D117" s="32" t="s">
        <v>29</v>
      </c>
    </row>
    <row r="118" spans="1:4">
      <c r="A118" s="32">
        <v>3</v>
      </c>
      <c r="B118" s="32" t="s">
        <v>142</v>
      </c>
      <c r="C118" s="32" t="s">
        <v>376</v>
      </c>
      <c r="D118" s="32" t="s">
        <v>75</v>
      </c>
    </row>
    <row r="119" spans="1:4">
      <c r="A119" s="32">
        <v>4</v>
      </c>
      <c r="B119" s="32" t="s">
        <v>363</v>
      </c>
      <c r="C119" s="32" t="s">
        <v>376</v>
      </c>
      <c r="D119" s="32" t="s">
        <v>30</v>
      </c>
    </row>
    <row r="120" spans="1:4">
      <c r="A120" s="32">
        <v>5</v>
      </c>
      <c r="B120" s="32" t="s">
        <v>108</v>
      </c>
      <c r="C120" s="32" t="s">
        <v>476</v>
      </c>
      <c r="D120" s="32" t="s">
        <v>162</v>
      </c>
    </row>
    <row r="121" spans="1:4">
      <c r="A121" s="32">
        <v>6</v>
      </c>
      <c r="B121" s="32" t="s">
        <v>178</v>
      </c>
      <c r="C121" s="32" t="s">
        <v>382</v>
      </c>
      <c r="D121" s="32" t="s">
        <v>222</v>
      </c>
    </row>
    <row r="122" spans="1:4">
      <c r="A122" s="32">
        <v>7</v>
      </c>
      <c r="B122" s="32" t="s">
        <v>134</v>
      </c>
      <c r="C122" s="32" t="s">
        <v>476</v>
      </c>
      <c r="D122" s="32" t="s">
        <v>222</v>
      </c>
    </row>
    <row r="123" spans="1:4">
      <c r="A123" s="32">
        <v>8</v>
      </c>
      <c r="B123" s="32" t="s">
        <v>443</v>
      </c>
      <c r="C123" s="32" t="s">
        <v>447</v>
      </c>
      <c r="D123" s="32" t="s">
        <v>498</v>
      </c>
    </row>
    <row r="124" spans="1:4">
      <c r="A124" s="32">
        <v>9</v>
      </c>
      <c r="B124" s="32" t="s">
        <v>439</v>
      </c>
      <c r="C124" s="32" t="s">
        <v>440</v>
      </c>
      <c r="D124" s="32" t="s">
        <v>105</v>
      </c>
    </row>
    <row r="125" spans="1:4">
      <c r="A125" s="32">
        <v>10</v>
      </c>
      <c r="B125" s="32" t="s">
        <v>535</v>
      </c>
      <c r="C125" s="32" t="s">
        <v>536</v>
      </c>
      <c r="D125" s="32" t="s">
        <v>105</v>
      </c>
    </row>
    <row r="126" spans="1:4">
      <c r="A126" s="32"/>
      <c r="B126" s="32" t="s">
        <v>15</v>
      </c>
      <c r="C126" s="32" t="s">
        <v>543</v>
      </c>
      <c r="D126" s="32"/>
    </row>
    <row r="127" spans="1:4">
      <c r="A127" s="32"/>
      <c r="B127" s="32"/>
      <c r="C127" s="32"/>
      <c r="D127" s="32"/>
    </row>
    <row r="128" spans="1:4">
      <c r="A128" s="32"/>
      <c r="B128" s="32" t="s">
        <v>467</v>
      </c>
      <c r="C128" s="32"/>
      <c r="D128" s="32"/>
    </row>
    <row r="129" spans="1:4">
      <c r="A129" s="32">
        <v>1</v>
      </c>
      <c r="B129" s="32" t="s">
        <v>21</v>
      </c>
      <c r="C129" s="32" t="s">
        <v>393</v>
      </c>
      <c r="D129" s="32" t="s">
        <v>161</v>
      </c>
    </row>
    <row r="130" spans="1:4">
      <c r="A130" s="32">
        <v>2</v>
      </c>
      <c r="B130" s="32" t="s">
        <v>107</v>
      </c>
      <c r="C130" s="32" t="s">
        <v>394</v>
      </c>
      <c r="D130" s="32" t="s">
        <v>160</v>
      </c>
    </row>
    <row r="131" spans="1:4">
      <c r="A131" s="32">
        <v>3</v>
      </c>
      <c r="B131" s="32" t="s">
        <v>183</v>
      </c>
      <c r="C131" s="32" t="s">
        <v>486</v>
      </c>
      <c r="D131" s="32" t="s">
        <v>221</v>
      </c>
    </row>
    <row r="132" spans="1:4">
      <c r="A132" s="32">
        <v>4</v>
      </c>
      <c r="B132" s="32" t="s">
        <v>106</v>
      </c>
      <c r="C132" s="32" t="s">
        <v>381</v>
      </c>
      <c r="D132" s="32" t="s">
        <v>181</v>
      </c>
    </row>
    <row r="133" spans="1:4">
      <c r="A133" s="32">
        <v>5</v>
      </c>
      <c r="B133" s="32" t="s">
        <v>7</v>
      </c>
      <c r="C133" s="32" t="s">
        <v>385</v>
      </c>
      <c r="D133" s="32" t="s">
        <v>181</v>
      </c>
    </row>
    <row r="134" spans="1:4">
      <c r="A134" s="32">
        <v>6</v>
      </c>
      <c r="B134" s="32" t="s">
        <v>6</v>
      </c>
      <c r="C134" s="32" t="s">
        <v>385</v>
      </c>
      <c r="D134" s="32" t="s">
        <v>181</v>
      </c>
    </row>
    <row r="135" spans="1:4">
      <c r="A135" s="32">
        <v>7</v>
      </c>
      <c r="B135" s="32" t="s">
        <v>102</v>
      </c>
      <c r="C135" s="32" t="s">
        <v>395</v>
      </c>
      <c r="D135" s="32" t="s">
        <v>497</v>
      </c>
    </row>
    <row r="136" spans="1:4">
      <c r="A136" s="32">
        <v>8</v>
      </c>
      <c r="B136" s="32" t="s">
        <v>103</v>
      </c>
      <c r="C136" s="32" t="s">
        <v>395</v>
      </c>
      <c r="D136" s="32" t="s">
        <v>497</v>
      </c>
    </row>
    <row r="137" spans="1:4">
      <c r="A137" s="32">
        <v>9</v>
      </c>
      <c r="B137" s="32" t="s">
        <v>151</v>
      </c>
      <c r="C137" s="32" t="s">
        <v>235</v>
      </c>
      <c r="D137" s="32" t="s">
        <v>497</v>
      </c>
    </row>
    <row r="138" spans="1:4">
      <c r="A138" s="32">
        <v>10</v>
      </c>
      <c r="B138" s="32" t="s">
        <v>238</v>
      </c>
      <c r="C138" s="32" t="s">
        <v>546</v>
      </c>
      <c r="D138" s="32" t="s">
        <v>415</v>
      </c>
    </row>
    <row r="139" spans="1:4">
      <c r="A139" s="32">
        <v>11</v>
      </c>
      <c r="B139" s="32" t="s">
        <v>53</v>
      </c>
      <c r="C139" s="32" t="s">
        <v>711</v>
      </c>
      <c r="D139" s="32" t="s">
        <v>369</v>
      </c>
    </row>
    <row r="140" spans="1:4">
      <c r="A140" s="32">
        <v>12</v>
      </c>
      <c r="B140" s="32" t="s">
        <v>179</v>
      </c>
      <c r="C140" s="32" t="s">
        <v>479</v>
      </c>
      <c r="D140" s="32" t="s">
        <v>497</v>
      </c>
    </row>
    <row r="141" spans="1:4">
      <c r="A141" s="32">
        <v>13</v>
      </c>
      <c r="B141" s="32" t="s">
        <v>293</v>
      </c>
      <c r="C141" s="32" t="s">
        <v>712</v>
      </c>
      <c r="D141" s="32" t="s">
        <v>369</v>
      </c>
    </row>
    <row r="142" spans="1:4">
      <c r="A142" s="32">
        <v>14</v>
      </c>
      <c r="B142" s="32" t="s">
        <v>488</v>
      </c>
      <c r="C142" s="32" t="s">
        <v>239</v>
      </c>
      <c r="D142" s="32" t="s">
        <v>207</v>
      </c>
    </row>
    <row r="143" spans="1:4">
      <c r="A143" s="32">
        <v>15</v>
      </c>
      <c r="B143" s="32" t="s">
        <v>489</v>
      </c>
      <c r="C143" s="32" t="s">
        <v>239</v>
      </c>
      <c r="D143" s="32" t="s">
        <v>164</v>
      </c>
    </row>
    <row r="144" spans="1:4">
      <c r="A144" s="32">
        <v>16</v>
      </c>
      <c r="B144" s="32" t="s">
        <v>212</v>
      </c>
      <c r="C144" s="32" t="s">
        <v>239</v>
      </c>
      <c r="D144" s="32" t="s">
        <v>164</v>
      </c>
    </row>
    <row r="145" spans="1:4">
      <c r="A145" s="32">
        <v>17</v>
      </c>
      <c r="B145" s="32" t="s">
        <v>425</v>
      </c>
      <c r="C145" s="32" t="s">
        <v>430</v>
      </c>
      <c r="D145" s="32" t="s">
        <v>104</v>
      </c>
    </row>
    <row r="146" spans="1:4">
      <c r="A146" s="32">
        <v>18</v>
      </c>
      <c r="B146" s="32" t="s">
        <v>437</v>
      </c>
      <c r="C146" s="32" t="s">
        <v>438</v>
      </c>
      <c r="D146" s="32" t="s">
        <v>428</v>
      </c>
    </row>
    <row r="147" spans="1:4">
      <c r="A147" s="32">
        <v>19</v>
      </c>
      <c r="B147" s="32" t="s">
        <v>230</v>
      </c>
      <c r="C147" s="32" t="s">
        <v>485</v>
      </c>
      <c r="D147" s="32" t="s">
        <v>207</v>
      </c>
    </row>
    <row r="148" spans="1:4">
      <c r="A148" s="32">
        <v>20</v>
      </c>
      <c r="B148" s="32" t="s">
        <v>57</v>
      </c>
      <c r="C148" s="32" t="s">
        <v>481</v>
      </c>
      <c r="D148" s="32" t="s">
        <v>498</v>
      </c>
    </row>
    <row r="149" spans="1:4">
      <c r="A149" s="32">
        <v>21</v>
      </c>
      <c r="B149" s="32" t="s">
        <v>251</v>
      </c>
      <c r="C149" s="32" t="s">
        <v>482</v>
      </c>
      <c r="D149" s="32" t="s">
        <v>207</v>
      </c>
    </row>
    <row r="150" spans="1:4">
      <c r="A150" s="32">
        <v>22</v>
      </c>
      <c r="B150" s="32" t="s">
        <v>241</v>
      </c>
      <c r="C150" s="32" t="s">
        <v>348</v>
      </c>
      <c r="D150" s="32" t="s">
        <v>498</v>
      </c>
    </row>
    <row r="151" spans="1:4">
      <c r="A151" s="32">
        <v>23</v>
      </c>
      <c r="B151" s="32" t="s">
        <v>289</v>
      </c>
      <c r="C151" s="32" t="s">
        <v>713</v>
      </c>
      <c r="D151" s="32" t="s">
        <v>428</v>
      </c>
    </row>
    <row r="152" spans="1:4">
      <c r="A152" s="32">
        <v>24</v>
      </c>
      <c r="B152" s="32" t="s">
        <v>407</v>
      </c>
      <c r="C152" s="32" t="s">
        <v>131</v>
      </c>
      <c r="D152" s="32" t="s">
        <v>105</v>
      </c>
    </row>
    <row r="153" spans="1:4">
      <c r="A153" s="32">
        <v>25</v>
      </c>
      <c r="B153" s="32" t="s">
        <v>426</v>
      </c>
      <c r="C153" s="32" t="s">
        <v>290</v>
      </c>
      <c r="D153" s="32" t="s">
        <v>105</v>
      </c>
    </row>
    <row r="154" spans="1:4">
      <c r="A154" s="32">
        <v>26</v>
      </c>
      <c r="B154" s="32" t="s">
        <v>441</v>
      </c>
      <c r="C154" s="32" t="s">
        <v>442</v>
      </c>
      <c r="D154" s="32" t="s">
        <v>105</v>
      </c>
    </row>
    <row r="155" spans="1:4">
      <c r="A155" s="32">
        <v>27</v>
      </c>
      <c r="B155" s="32" t="s">
        <v>445</v>
      </c>
      <c r="C155" s="32" t="s">
        <v>446</v>
      </c>
      <c r="D155" s="32" t="s">
        <v>176</v>
      </c>
    </row>
    <row r="156" spans="1:4">
      <c r="A156" s="32">
        <v>28</v>
      </c>
      <c r="B156" s="32" t="s">
        <v>550</v>
      </c>
      <c r="C156" s="32" t="s">
        <v>290</v>
      </c>
      <c r="D156" s="32" t="s">
        <v>105</v>
      </c>
    </row>
    <row r="157" spans="1:4">
      <c r="A157" s="32">
        <v>29</v>
      </c>
      <c r="B157" s="32" t="s">
        <v>22</v>
      </c>
      <c r="C157" s="32" t="s">
        <v>302</v>
      </c>
      <c r="D157" s="32" t="s">
        <v>501</v>
      </c>
    </row>
    <row r="158" spans="1:4">
      <c r="A158" s="32">
        <v>30</v>
      </c>
      <c r="B158" s="32" t="s">
        <v>14</v>
      </c>
      <c r="C158" s="32" t="s">
        <v>302</v>
      </c>
      <c r="D158" s="32" t="s">
        <v>501</v>
      </c>
    </row>
    <row r="159" spans="1:4">
      <c r="A159" s="32">
        <v>31</v>
      </c>
      <c r="B159" s="32" t="s">
        <v>23</v>
      </c>
      <c r="C159" s="32" t="s">
        <v>302</v>
      </c>
      <c r="D159" s="32" t="s">
        <v>501</v>
      </c>
    </row>
    <row r="160" spans="1:4">
      <c r="A160" s="32">
        <v>32</v>
      </c>
      <c r="B160" s="32" t="s">
        <v>39</v>
      </c>
      <c r="C160" s="32" t="s">
        <v>302</v>
      </c>
      <c r="D160" s="32" t="s">
        <v>501</v>
      </c>
    </row>
    <row r="161" spans="1:4">
      <c r="A161" s="32">
        <v>33</v>
      </c>
      <c r="B161" s="32" t="s">
        <v>40</v>
      </c>
      <c r="C161" s="32" t="s">
        <v>302</v>
      </c>
      <c r="D161" s="32" t="s">
        <v>501</v>
      </c>
    </row>
    <row r="162" spans="1:4">
      <c r="A162" s="32">
        <v>34</v>
      </c>
      <c r="B162" s="32" t="s">
        <v>127</v>
      </c>
      <c r="C162" s="32" t="s">
        <v>302</v>
      </c>
      <c r="D162" s="32" t="s">
        <v>416</v>
      </c>
    </row>
    <row r="163" spans="1:4">
      <c r="A163" s="32">
        <v>35</v>
      </c>
      <c r="B163" s="32" t="s">
        <v>128</v>
      </c>
      <c r="C163" s="32" t="s">
        <v>302</v>
      </c>
      <c r="D163" s="32" t="s">
        <v>416</v>
      </c>
    </row>
    <row r="164" spans="1:4">
      <c r="A164" s="32">
        <v>36</v>
      </c>
      <c r="B164" s="32" t="s">
        <v>136</v>
      </c>
      <c r="C164" s="32" t="s">
        <v>302</v>
      </c>
      <c r="D164" s="32" t="s">
        <v>416</v>
      </c>
    </row>
    <row r="165" spans="1:4">
      <c r="A165" s="32">
        <v>37</v>
      </c>
      <c r="B165" s="32" t="s">
        <v>140</v>
      </c>
      <c r="C165" s="32" t="s">
        <v>302</v>
      </c>
      <c r="D165" s="32" t="s">
        <v>416</v>
      </c>
    </row>
    <row r="166" spans="1:4">
      <c r="A166" s="32">
        <v>38</v>
      </c>
      <c r="B166" s="32" t="s">
        <v>152</v>
      </c>
      <c r="C166" s="32" t="s">
        <v>302</v>
      </c>
      <c r="D166" s="32" t="s">
        <v>416</v>
      </c>
    </row>
    <row r="167" spans="1:4">
      <c r="A167" s="32">
        <v>39</v>
      </c>
      <c r="B167" s="32" t="s">
        <v>132</v>
      </c>
      <c r="C167" s="32" t="s">
        <v>302</v>
      </c>
      <c r="D167" s="32" t="s">
        <v>416</v>
      </c>
    </row>
    <row r="168" spans="1:4">
      <c r="A168" s="32">
        <v>40</v>
      </c>
      <c r="B168" s="32" t="s">
        <v>231</v>
      </c>
      <c r="C168" s="32" t="s">
        <v>714</v>
      </c>
      <c r="D168" s="32" t="s">
        <v>306</v>
      </c>
    </row>
    <row r="169" spans="1:4">
      <c r="A169" s="32">
        <v>41</v>
      </c>
      <c r="B169" s="32" t="s">
        <v>246</v>
      </c>
      <c r="C169" s="32" t="s">
        <v>714</v>
      </c>
      <c r="D169" s="32" t="s">
        <v>306</v>
      </c>
    </row>
    <row r="170" spans="1:4">
      <c r="A170" s="32">
        <v>42</v>
      </c>
      <c r="B170" s="32" t="s">
        <v>166</v>
      </c>
      <c r="C170" s="32" t="s">
        <v>714</v>
      </c>
      <c r="D170" s="32" t="s">
        <v>306</v>
      </c>
    </row>
    <row r="171" spans="1:4">
      <c r="A171" s="32">
        <v>43</v>
      </c>
      <c r="B171" s="32" t="s">
        <v>204</v>
      </c>
      <c r="C171" s="32" t="s">
        <v>167</v>
      </c>
      <c r="D171" s="32" t="s">
        <v>177</v>
      </c>
    </row>
    <row r="172" spans="1:4">
      <c r="A172" s="32">
        <v>44</v>
      </c>
      <c r="B172" s="32" t="s">
        <v>209</v>
      </c>
      <c r="C172" s="32" t="s">
        <v>13</v>
      </c>
      <c r="D172" s="32" t="s">
        <v>502</v>
      </c>
    </row>
    <row r="173" spans="1:4">
      <c r="A173" s="32">
        <v>45</v>
      </c>
      <c r="B173" s="32" t="s">
        <v>218</v>
      </c>
      <c r="C173" s="32" t="s">
        <v>13</v>
      </c>
      <c r="D173" s="32" t="s">
        <v>502</v>
      </c>
    </row>
    <row r="174" spans="1:4">
      <c r="A174" s="32">
        <v>46</v>
      </c>
      <c r="B174" s="32" t="s">
        <v>219</v>
      </c>
      <c r="C174" s="32" t="s">
        <v>13</v>
      </c>
      <c r="D174" s="32" t="s">
        <v>502</v>
      </c>
    </row>
    <row r="175" spans="1:4">
      <c r="A175" s="32">
        <v>47</v>
      </c>
      <c r="B175" s="32" t="s">
        <v>211</v>
      </c>
      <c r="C175" s="32" t="s">
        <v>13</v>
      </c>
      <c r="D175" s="32" t="s">
        <v>502</v>
      </c>
    </row>
    <row r="176" spans="1:4">
      <c r="A176" s="32">
        <v>48</v>
      </c>
      <c r="B176" s="32" t="s">
        <v>213</v>
      </c>
      <c r="C176" s="32" t="s">
        <v>13</v>
      </c>
      <c r="D176" s="32" t="s">
        <v>502</v>
      </c>
    </row>
    <row r="177" spans="1:4">
      <c r="A177" s="32">
        <v>49</v>
      </c>
      <c r="B177" s="32" t="s">
        <v>342</v>
      </c>
      <c r="C177" s="32" t="s">
        <v>13</v>
      </c>
      <c r="D177" s="32" t="s">
        <v>502</v>
      </c>
    </row>
    <row r="178" spans="1:4">
      <c r="A178" s="32">
        <v>50</v>
      </c>
      <c r="B178" s="32" t="s">
        <v>405</v>
      </c>
      <c r="C178" s="32" t="s">
        <v>13</v>
      </c>
      <c r="D178" s="32" t="s">
        <v>502</v>
      </c>
    </row>
    <row r="179" spans="1:4">
      <c r="A179" s="32">
        <v>51</v>
      </c>
      <c r="B179" s="32" t="s">
        <v>232</v>
      </c>
      <c r="C179" s="32" t="s">
        <v>167</v>
      </c>
      <c r="D179" s="32" t="s">
        <v>502</v>
      </c>
    </row>
    <row r="180" spans="1:4">
      <c r="A180" s="32">
        <v>52</v>
      </c>
      <c r="B180" s="32" t="s">
        <v>233</v>
      </c>
      <c r="C180" s="32" t="s">
        <v>167</v>
      </c>
      <c r="D180" s="32" t="s">
        <v>502</v>
      </c>
    </row>
    <row r="181" spans="1:4">
      <c r="A181" s="32">
        <v>53</v>
      </c>
      <c r="B181" s="32" t="s">
        <v>279</v>
      </c>
      <c r="C181" s="32" t="s">
        <v>715</v>
      </c>
      <c r="D181" s="32" t="s">
        <v>262</v>
      </c>
    </row>
    <row r="182" spans="1:4">
      <c r="A182" s="32">
        <v>54</v>
      </c>
      <c r="B182" s="32" t="s">
        <v>403</v>
      </c>
      <c r="C182" s="32" t="s">
        <v>13</v>
      </c>
      <c r="D182" s="32" t="s">
        <v>264</v>
      </c>
    </row>
    <row r="183" spans="1:4">
      <c r="A183" s="32">
        <v>55</v>
      </c>
      <c r="B183" s="32" t="s">
        <v>557</v>
      </c>
      <c r="C183" s="32" t="s">
        <v>558</v>
      </c>
      <c r="D183" s="32" t="s">
        <v>559</v>
      </c>
    </row>
    <row r="184" spans="1:4">
      <c r="A184" s="32">
        <v>56</v>
      </c>
      <c r="B184" s="32" t="s">
        <v>560</v>
      </c>
      <c r="C184" s="32" t="s">
        <v>558</v>
      </c>
      <c r="D184" s="32" t="s">
        <v>559</v>
      </c>
    </row>
    <row r="185" spans="1:4">
      <c r="A185" s="32">
        <v>57</v>
      </c>
      <c r="B185" s="32" t="s">
        <v>561</v>
      </c>
      <c r="C185" s="32" t="s">
        <v>558</v>
      </c>
      <c r="D185" s="32" t="s">
        <v>559</v>
      </c>
    </row>
    <row r="186" spans="1:4">
      <c r="A186" s="32">
        <v>58</v>
      </c>
      <c r="B186" s="32" t="s">
        <v>562</v>
      </c>
      <c r="C186" s="32" t="s">
        <v>563</v>
      </c>
      <c r="D186" s="32" t="s">
        <v>564</v>
      </c>
    </row>
    <row r="187" spans="1:4">
      <c r="A187" s="32">
        <v>59</v>
      </c>
      <c r="B187" s="32" t="s">
        <v>565</v>
      </c>
      <c r="C187" s="32" t="s">
        <v>563</v>
      </c>
      <c r="D187" s="32" t="s">
        <v>564</v>
      </c>
    </row>
    <row r="188" spans="1:4">
      <c r="A188" s="32"/>
      <c r="B188" s="32" t="s">
        <v>15</v>
      </c>
      <c r="C188" s="32" t="s">
        <v>710</v>
      </c>
      <c r="D188" s="32"/>
    </row>
    <row r="189" spans="1:4">
      <c r="A189" s="32"/>
      <c r="B189" s="32" t="s">
        <v>8</v>
      </c>
      <c r="C189" s="32">
        <v>151</v>
      </c>
      <c r="D189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4"/>
  <sheetViews>
    <sheetView topLeftCell="A27" zoomScale="91" zoomScaleNormal="91" workbookViewId="0">
      <selection activeCell="H15" sqref="H1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410" t="s">
        <v>234</v>
      </c>
      <c r="B2" s="410"/>
      <c r="C2" s="410"/>
      <c r="D2" s="410"/>
      <c r="E2" s="410"/>
      <c r="F2" s="410"/>
      <c r="G2" s="410"/>
      <c r="H2" s="410"/>
    </row>
    <row r="3" spans="1:8" ht="27" customHeight="1">
      <c r="A3" s="410" t="s">
        <v>10</v>
      </c>
      <c r="B3" s="410"/>
      <c r="C3" s="410"/>
      <c r="D3" s="410"/>
      <c r="E3" s="410"/>
      <c r="F3" s="410"/>
      <c r="G3" s="410"/>
      <c r="H3" s="410"/>
    </row>
    <row r="4" spans="1:8" ht="15.6" hidden="1" customHeight="1">
      <c r="A4" s="142" t="s">
        <v>261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411" t="s">
        <v>260</v>
      </c>
      <c r="B5" s="411"/>
      <c r="C5" s="411"/>
      <c r="D5" s="411"/>
      <c r="E5" s="411"/>
      <c r="F5" s="411"/>
      <c r="G5" s="73"/>
      <c r="H5" s="73"/>
    </row>
    <row r="6" spans="1:8" ht="29.25" hidden="1" customHeight="1">
      <c r="A6" s="411" t="s">
        <v>125</v>
      </c>
      <c r="B6" s="411"/>
      <c r="C6" s="411"/>
      <c r="D6" s="411"/>
      <c r="E6" s="411"/>
      <c r="F6" s="411"/>
      <c r="G6" s="73"/>
      <c r="H6" s="73"/>
    </row>
    <row r="7" spans="1:8" ht="25.15" hidden="1" customHeight="1">
      <c r="A7" s="411" t="s">
        <v>303</v>
      </c>
      <c r="B7" s="411"/>
      <c r="C7" s="411"/>
      <c r="D7" s="411"/>
      <c r="E7" s="411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412" t="s">
        <v>304</v>
      </c>
      <c r="B9" s="412"/>
      <c r="C9" s="412"/>
      <c r="D9" s="412"/>
      <c r="E9" s="412"/>
      <c r="F9" s="412"/>
      <c r="G9" s="73"/>
      <c r="H9" s="73"/>
    </row>
    <row r="10" spans="1:8" ht="13.15" hidden="1" customHeight="1">
      <c r="A10" s="411" t="s">
        <v>305</v>
      </c>
      <c r="B10" s="411"/>
      <c r="C10" s="411"/>
      <c r="D10" s="411"/>
      <c r="E10" s="411"/>
      <c r="F10" s="411"/>
      <c r="G10" s="411"/>
      <c r="H10" s="411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774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759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760</v>
      </c>
      <c r="B19" s="1"/>
      <c r="C19" s="85"/>
      <c r="D19" s="85"/>
      <c r="E19" s="85"/>
      <c r="F19" s="85"/>
      <c r="G19" s="162" t="s">
        <v>471</v>
      </c>
      <c r="H19" s="162" t="s">
        <v>471</v>
      </c>
    </row>
    <row r="20" spans="1:10" ht="21" customHeight="1">
      <c r="A20" s="406" t="s">
        <v>761</v>
      </c>
      <c r="B20" s="406"/>
      <c r="C20" s="406"/>
      <c r="D20" s="406"/>
      <c r="E20" s="406"/>
      <c r="F20" s="406"/>
      <c r="G20" s="406"/>
      <c r="H20" s="83">
        <f>'JANUARY 2024'!R194</f>
        <v>53058223.956575014</v>
      </c>
      <c r="J20" s="66"/>
    </row>
    <row r="21" spans="1:10" ht="9" customHeight="1">
      <c r="A21" s="236"/>
      <c r="B21" s="236"/>
      <c r="C21" s="236"/>
      <c r="D21" s="236"/>
      <c r="E21" s="236"/>
      <c r="F21" s="236"/>
      <c r="G21" s="236"/>
      <c r="H21" s="83"/>
      <c r="J21" s="66"/>
    </row>
    <row r="22" spans="1:10" ht="21.75" customHeight="1">
      <c r="A22" s="413" t="s">
        <v>121</v>
      </c>
      <c r="B22" s="413"/>
      <c r="C22" s="413"/>
      <c r="D22" s="413"/>
      <c r="E22" s="413"/>
      <c r="F22" s="413"/>
      <c r="G22" s="86"/>
      <c r="H22" s="1"/>
      <c r="I22" s="66"/>
    </row>
    <row r="23" spans="1:10" ht="18.75" customHeight="1">
      <c r="A23" s="404" t="s">
        <v>454</v>
      </c>
      <c r="B23" s="404"/>
      <c r="C23" s="404"/>
      <c r="D23" s="404"/>
      <c r="E23" s="404"/>
      <c r="F23" s="404"/>
      <c r="G23" s="33">
        <f>'JANUARY 2024'!T194</f>
        <v>5135500</v>
      </c>
      <c r="H23" s="1"/>
      <c r="J23" s="66"/>
    </row>
    <row r="24" spans="1:10" ht="19.5" customHeight="1">
      <c r="A24" s="404" t="s">
        <v>269</v>
      </c>
      <c r="B24" s="404"/>
      <c r="C24" s="404"/>
      <c r="D24" s="404"/>
      <c r="E24" s="404"/>
      <c r="F24" s="404"/>
      <c r="G24" s="33">
        <f>'JANUARY 2024'!U194</f>
        <v>7215945.6799999997</v>
      </c>
      <c r="H24" s="1"/>
    </row>
    <row r="25" spans="1:10" ht="20.25" customHeight="1">
      <c r="A25" s="404" t="s">
        <v>172</v>
      </c>
      <c r="B25" s="404"/>
      <c r="C25" s="404"/>
      <c r="D25" s="404"/>
      <c r="E25" s="404"/>
      <c r="F25" s="404"/>
      <c r="G25" s="33">
        <f>'JANUARY 2024'!W194</f>
        <v>7445494.5793200685</v>
      </c>
      <c r="H25" s="1"/>
    </row>
    <row r="26" spans="1:10" ht="21" customHeight="1">
      <c r="A26" s="405" t="s">
        <v>215</v>
      </c>
      <c r="B26" s="405"/>
      <c r="C26" s="405"/>
      <c r="D26" s="405"/>
      <c r="E26" s="405"/>
      <c r="F26" s="405"/>
      <c r="G26" s="87">
        <f>'JANUARY 2024'!V194</f>
        <v>23031.313750000001</v>
      </c>
      <c r="H26" s="1"/>
    </row>
    <row r="27" spans="1:10" ht="28.5" customHeight="1">
      <c r="A27" s="404" t="s">
        <v>762</v>
      </c>
      <c r="B27" s="404"/>
      <c r="C27" s="404"/>
      <c r="D27" s="404"/>
      <c r="E27" s="404"/>
      <c r="F27" s="404"/>
      <c r="G27" s="33"/>
      <c r="H27" s="88">
        <f>G23+G24+G25+G26</f>
        <v>19819971.573070068</v>
      </c>
      <c r="I27" s="31"/>
    </row>
    <row r="28" spans="1:10" ht="20.25" customHeight="1">
      <c r="A28" s="404" t="s">
        <v>763</v>
      </c>
      <c r="B28" s="404"/>
      <c r="C28" s="404"/>
      <c r="D28" s="404"/>
      <c r="E28" s="404"/>
      <c r="F28" s="404"/>
      <c r="G28" s="80"/>
      <c r="H28" s="43">
        <f>H20-H27</f>
        <v>33238252.383504946</v>
      </c>
      <c r="I28" s="34"/>
    </row>
    <row r="29" spans="1:10" ht="21" customHeight="1">
      <c r="A29" s="404" t="s">
        <v>734</v>
      </c>
      <c r="B29" s="404"/>
      <c r="C29" s="404"/>
      <c r="D29" s="404"/>
      <c r="E29" s="404"/>
      <c r="F29" s="404"/>
      <c r="G29" s="80"/>
      <c r="H29" s="92">
        <f>'JANUARY 2024'!Y194</f>
        <v>33766937.496396668</v>
      </c>
    </row>
    <row r="30" spans="1:10" ht="21" customHeight="1">
      <c r="A30" s="404" t="s">
        <v>764</v>
      </c>
      <c r="B30" s="404"/>
      <c r="C30" s="404"/>
      <c r="D30" s="404"/>
      <c r="E30" s="404"/>
      <c r="F30" s="404"/>
      <c r="G30" s="80"/>
      <c r="H30" s="118">
        <f>H28-H29</f>
        <v>-528685.11289172247</v>
      </c>
    </row>
    <row r="31" spans="1:10" ht="29.25" customHeight="1">
      <c r="A31" s="406" t="s">
        <v>270</v>
      </c>
      <c r="B31" s="406"/>
      <c r="C31" s="406"/>
      <c r="D31" s="406"/>
      <c r="E31" s="406"/>
      <c r="F31" s="406"/>
      <c r="G31" s="406"/>
      <c r="H31" s="1"/>
    </row>
    <row r="32" spans="1:10" ht="21.75" customHeight="1">
      <c r="A32" s="84" t="s">
        <v>771</v>
      </c>
      <c r="B32" s="84"/>
      <c r="C32" s="84"/>
      <c r="D32" s="84"/>
      <c r="E32" s="84"/>
      <c r="F32" s="84"/>
      <c r="G32" s="84"/>
      <c r="H32" s="89">
        <v>570000</v>
      </c>
      <c r="J32" s="31"/>
    </row>
    <row r="33" spans="1:17" ht="21.75" customHeight="1">
      <c r="A33" s="84" t="s">
        <v>758</v>
      </c>
      <c r="B33" s="84"/>
      <c r="C33" s="84"/>
      <c r="D33" s="84"/>
      <c r="E33" s="84"/>
      <c r="F33" s="84"/>
      <c r="G33" s="84"/>
      <c r="H33" s="89">
        <v>-620870.14</v>
      </c>
      <c r="J33" s="31"/>
    </row>
    <row r="34" spans="1:17" ht="21.75" customHeight="1">
      <c r="A34" s="84" t="s">
        <v>766</v>
      </c>
      <c r="B34" s="84"/>
      <c r="C34" s="84"/>
      <c r="D34" s="84"/>
      <c r="E34" s="84"/>
      <c r="F34" s="84"/>
      <c r="G34" s="84"/>
      <c r="H34" s="89">
        <f>-275222.9-586933.33</f>
        <v>-862156.23</v>
      </c>
      <c r="J34" s="31"/>
    </row>
    <row r="35" spans="1:17" ht="21.75" customHeight="1">
      <c r="A35" s="84" t="s">
        <v>770</v>
      </c>
      <c r="B35" s="84"/>
      <c r="C35" s="84"/>
      <c r="D35" s="84"/>
      <c r="E35" s="84"/>
      <c r="F35" s="84"/>
      <c r="G35" s="84"/>
      <c r="H35" s="89">
        <f>-20302-26129.81</f>
        <v>-46431.81</v>
      </c>
      <c r="J35" s="31"/>
    </row>
    <row r="36" spans="1:17" ht="21.75" customHeight="1">
      <c r="A36" s="84" t="s">
        <v>772</v>
      </c>
      <c r="B36" s="84"/>
      <c r="C36" s="84"/>
      <c r="D36" s="84"/>
      <c r="E36" s="84"/>
      <c r="F36" s="84"/>
      <c r="G36" s="84"/>
      <c r="H36" s="89">
        <v>-121199.98</v>
      </c>
      <c r="I36" s="66"/>
      <c r="J36" s="31"/>
    </row>
    <row r="37" spans="1:17" ht="21.75" customHeight="1">
      <c r="A37" s="84" t="s">
        <v>768</v>
      </c>
      <c r="B37" s="84"/>
      <c r="C37" s="84"/>
      <c r="D37" s="84"/>
      <c r="E37" s="84"/>
      <c r="F37" s="84"/>
      <c r="G37" s="84"/>
      <c r="H37" s="89">
        <f>1609343.27</f>
        <v>1609343.27</v>
      </c>
      <c r="J37" s="31"/>
    </row>
    <row r="38" spans="1:17" ht="21" customHeight="1">
      <c r="H38" s="90">
        <f>SUM(H32:H37)</f>
        <v>528685.1100000001</v>
      </c>
      <c r="I38" s="31"/>
      <c r="J38" s="223"/>
      <c r="K38" s="66"/>
      <c r="L38" s="65"/>
      <c r="M38" s="65"/>
      <c r="N38" s="66"/>
      <c r="P38" s="139"/>
      <c r="Q38" s="66"/>
    </row>
    <row r="39" spans="1:17" ht="6.75" customHeight="1">
      <c r="A39" s="84"/>
      <c r="B39" s="84"/>
      <c r="C39" s="84"/>
      <c r="D39" s="84"/>
      <c r="E39" s="84"/>
      <c r="F39" s="84"/>
      <c r="G39" s="84"/>
      <c r="H39" s="90"/>
      <c r="I39" s="31"/>
      <c r="J39" s="223"/>
      <c r="K39" s="66"/>
      <c r="L39" s="65"/>
      <c r="M39" s="65"/>
      <c r="N39" s="66"/>
      <c r="P39" s="139"/>
      <c r="Q39" s="66"/>
    </row>
    <row r="40" spans="1:17" ht="28.5" customHeight="1">
      <c r="A40" s="1"/>
      <c r="B40" s="1"/>
      <c r="C40" s="1"/>
      <c r="D40" s="1"/>
      <c r="E40" s="407" t="s">
        <v>657</v>
      </c>
      <c r="F40" s="408"/>
      <c r="G40" s="407" t="s">
        <v>756</v>
      </c>
      <c r="H40" s="408"/>
      <c r="I40" s="31"/>
      <c r="J40" s="31"/>
      <c r="K40" s="66"/>
    </row>
    <row r="41" spans="1:17" ht="18.600000000000001" customHeight="1">
      <c r="A41" s="1"/>
      <c r="B41" s="1"/>
      <c r="C41" s="1"/>
      <c r="D41" s="1"/>
      <c r="E41" s="7" t="s">
        <v>402</v>
      </c>
      <c r="F41" s="50" t="s">
        <v>5</v>
      </c>
      <c r="G41" s="7" t="s">
        <v>402</v>
      </c>
      <c r="H41" s="50" t="s">
        <v>5</v>
      </c>
      <c r="I41" s="31"/>
      <c r="J41" s="31"/>
    </row>
    <row r="42" spans="1:17" ht="28.5" customHeight="1">
      <c r="A42" s="11">
        <v>1</v>
      </c>
      <c r="B42" s="409" t="s">
        <v>50</v>
      </c>
      <c r="C42" s="404"/>
      <c r="D42" s="404"/>
      <c r="E42" s="3">
        <v>33</v>
      </c>
      <c r="F42" s="12">
        <f>'JANUARY 2024'!Y34</f>
        <v>7198101.0709386664</v>
      </c>
      <c r="G42" s="3">
        <f>'JANUARY 2024'!C34</f>
        <v>27</v>
      </c>
      <c r="H42" s="12">
        <f>'JANUARY 2024'!Z34</f>
        <v>8717267.3060726672</v>
      </c>
      <c r="I42" s="31"/>
      <c r="J42" s="31"/>
    </row>
    <row r="43" spans="1:17" ht="21.75" customHeight="1">
      <c r="A43" s="11">
        <v>2</v>
      </c>
      <c r="B43" s="67" t="s">
        <v>285</v>
      </c>
      <c r="C43" s="84"/>
      <c r="D43" s="84"/>
      <c r="E43" s="3">
        <v>2</v>
      </c>
      <c r="F43" s="12">
        <f>'JANUARY 2024'!Y40</f>
        <v>1018948.9717006667</v>
      </c>
      <c r="G43" s="3">
        <f>'JANUARY 2024'!C40</f>
        <v>3</v>
      </c>
      <c r="H43" s="12">
        <f>'JANUARY 2024'!Z40</f>
        <v>925705.68186799996</v>
      </c>
      <c r="I43" s="31"/>
      <c r="J43" s="31"/>
    </row>
    <row r="44" spans="1:17" ht="24.75" customHeight="1">
      <c r="A44" s="11">
        <v>3</v>
      </c>
      <c r="B44" s="404" t="s">
        <v>197</v>
      </c>
      <c r="C44" s="404"/>
      <c r="D44" s="404"/>
      <c r="E44" s="3">
        <v>11</v>
      </c>
      <c r="F44" s="12">
        <f>'JANUARY 2024'!Y54</f>
        <v>3378453.7623419999</v>
      </c>
      <c r="G44" s="3">
        <f>'JANUARY 2024'!C54</f>
        <v>11</v>
      </c>
      <c r="H44" s="12">
        <f>'JANUARY 2024'!Z54</f>
        <v>2615777.8869966664</v>
      </c>
      <c r="I44" s="31"/>
      <c r="J44" s="31"/>
    </row>
    <row r="45" spans="1:17" ht="23.25" customHeight="1">
      <c r="A45" s="11">
        <v>4</v>
      </c>
      <c r="B45" s="404" t="s">
        <v>196</v>
      </c>
      <c r="C45" s="404"/>
      <c r="D45" s="414"/>
      <c r="E45" s="3">
        <v>2</v>
      </c>
      <c r="F45" s="12">
        <f>'JANUARY 2024'!Y59</f>
        <v>808634.32664133352</v>
      </c>
      <c r="G45" s="3">
        <f>'JANUARY 2024'!C59</f>
        <v>2</v>
      </c>
      <c r="H45" s="12">
        <f>'JANUARY 2024'!Z59</f>
        <v>808634.32664133352</v>
      </c>
      <c r="I45" s="31"/>
      <c r="J45" s="31"/>
    </row>
    <row r="46" spans="1:17" ht="24" customHeight="1">
      <c r="A46" s="11">
        <v>5</v>
      </c>
      <c r="B46" s="404" t="s">
        <v>355</v>
      </c>
      <c r="C46" s="404"/>
      <c r="D46" s="414"/>
      <c r="E46" s="3">
        <v>13</v>
      </c>
      <c r="F46" s="12">
        <f>'JANUARY 2024'!Y72</f>
        <v>2562691.85458</v>
      </c>
      <c r="G46" s="3">
        <f>'JANUARY 2024'!C72</f>
        <v>12</v>
      </c>
      <c r="H46" s="12">
        <f>'JANUARY 2024'!Z72</f>
        <v>2519533.7740839999</v>
      </c>
      <c r="I46" s="31"/>
      <c r="J46" s="31"/>
    </row>
    <row r="47" spans="1:17" ht="21" customHeight="1">
      <c r="A47" s="11">
        <v>6</v>
      </c>
      <c r="B47" s="404" t="s">
        <v>357</v>
      </c>
      <c r="C47" s="404"/>
      <c r="D47" s="414"/>
      <c r="E47" s="3">
        <v>4</v>
      </c>
      <c r="F47" s="12">
        <f>'JANUARY 2024'!Y82</f>
        <v>2073779.4403606665</v>
      </c>
      <c r="G47" s="3">
        <f>'JANUARY 2024'!C82</f>
        <v>7</v>
      </c>
      <c r="H47" s="12">
        <f>'JANUARY 2024'!Z82</f>
        <v>2118161.3182573337</v>
      </c>
      <c r="I47" s="31"/>
      <c r="J47" s="31"/>
    </row>
    <row r="48" spans="1:17" ht="23.25" customHeight="1">
      <c r="A48" s="11">
        <v>7</v>
      </c>
      <c r="B48" s="84" t="s">
        <v>356</v>
      </c>
      <c r="C48" s="84"/>
      <c r="D48" s="84"/>
      <c r="E48" s="3">
        <v>12</v>
      </c>
      <c r="F48" s="12">
        <f>'JANUARY 2024'!Y95</f>
        <v>3181874.4517246666</v>
      </c>
      <c r="G48" s="3">
        <f>'JANUARY 2024'!C95</f>
        <v>11</v>
      </c>
      <c r="H48" s="12">
        <f>'JANUARY 2024'!Z95</f>
        <v>2865467.945462333</v>
      </c>
      <c r="I48" s="31"/>
      <c r="J48" s="31"/>
    </row>
    <row r="49" spans="1:14" ht="25.5" customHeight="1">
      <c r="A49" s="11">
        <v>8</v>
      </c>
      <c r="B49" s="84" t="s">
        <v>455</v>
      </c>
      <c r="C49" s="84"/>
      <c r="D49" s="84"/>
      <c r="E49" s="3">
        <v>4</v>
      </c>
      <c r="F49" s="12">
        <f>'JANUARY 2024'!Y102</f>
        <v>1327179.8052266669</v>
      </c>
      <c r="G49" s="3">
        <f>'JANUARY 2024'!C102</f>
        <v>4</v>
      </c>
      <c r="H49" s="12">
        <f>'JANUARY 2024'!Z102</f>
        <v>870039.76133733313</v>
      </c>
      <c r="I49" s="31"/>
      <c r="J49" s="31"/>
    </row>
    <row r="50" spans="1:14" ht="21.75" customHeight="1">
      <c r="A50" s="11">
        <v>9</v>
      </c>
      <c r="B50" s="84" t="s">
        <v>286</v>
      </c>
      <c r="C50" s="84"/>
      <c r="D50" s="84"/>
      <c r="E50" s="3">
        <v>8</v>
      </c>
      <c r="F50" s="12">
        <f>'JANUARY 2024'!Y112</f>
        <v>2142429.0877453336</v>
      </c>
      <c r="G50" s="3">
        <f>'JANUARY 2024'!C112</f>
        <v>7</v>
      </c>
      <c r="H50" s="12">
        <f>'JANUARY 2024'!Z112</f>
        <v>1943184.7790151334</v>
      </c>
      <c r="I50" s="31"/>
      <c r="J50" s="31"/>
    </row>
    <row r="51" spans="1:14" ht="21.75" customHeight="1">
      <c r="A51" s="11">
        <v>10</v>
      </c>
      <c r="B51" s="84" t="s">
        <v>548</v>
      </c>
      <c r="C51" s="84"/>
      <c r="D51" s="84"/>
      <c r="E51" s="3">
        <v>2</v>
      </c>
      <c r="F51" s="12">
        <f>'JANUARY 2024'!Y118</f>
        <v>711797.57183866668</v>
      </c>
      <c r="G51" s="3">
        <f>'JANUARY 2024'!C118</f>
        <v>2</v>
      </c>
      <c r="H51" s="12">
        <f>'JANUARY 2024'!Z118</f>
        <v>732856.30259199999</v>
      </c>
      <c r="I51" s="31"/>
      <c r="J51" s="31"/>
    </row>
    <row r="52" spans="1:14" ht="24.75" customHeight="1">
      <c r="A52" s="11">
        <v>11</v>
      </c>
      <c r="B52" s="84" t="s">
        <v>287</v>
      </c>
      <c r="C52" s="84"/>
      <c r="D52" s="84"/>
      <c r="E52" s="3">
        <v>9</v>
      </c>
      <c r="F52" s="12">
        <f>'JANUARY 2024'!Y131</f>
        <v>2778218.0672479998</v>
      </c>
      <c r="G52" s="222" t="str">
        <f>'JANUARY 2024'!C131</f>
        <v>10</v>
      </c>
      <c r="H52" s="12">
        <f>'JANUARY 2024'!Z131</f>
        <v>2223207.6170093338</v>
      </c>
      <c r="I52" s="31"/>
      <c r="J52" s="31"/>
    </row>
    <row r="53" spans="1:14" ht="24.75" customHeight="1">
      <c r="A53" s="11">
        <v>12</v>
      </c>
      <c r="B53" s="404" t="s">
        <v>456</v>
      </c>
      <c r="C53" s="404"/>
      <c r="D53" s="404"/>
      <c r="E53" s="3">
        <v>58</v>
      </c>
      <c r="F53" s="12">
        <f>'JANUARY 2024'!Y193</f>
        <v>6830167.4483033335</v>
      </c>
      <c r="G53" s="222" t="str">
        <f>'JANUARY 2024'!C193</f>
        <v>59</v>
      </c>
      <c r="H53" s="12">
        <f>'JANUARY 2024'!Z193</f>
        <v>6881453.4910648037</v>
      </c>
      <c r="I53" s="31"/>
      <c r="J53" s="31"/>
    </row>
    <row r="54" spans="1:14" ht="24" customHeight="1">
      <c r="A54" s="1"/>
      <c r="B54" s="1"/>
      <c r="C54" s="1"/>
      <c r="D54" s="1"/>
      <c r="E54" s="7">
        <f>SUM(E42:E53)</f>
        <v>158</v>
      </c>
      <c r="F54" s="13">
        <f>SUM(F42:F53)</f>
        <v>34012275.858650006</v>
      </c>
      <c r="G54" s="7">
        <v>154</v>
      </c>
      <c r="H54" s="13">
        <f>SUM(H42:H53)</f>
        <v>33221290.190400936</v>
      </c>
      <c r="I54" s="31"/>
      <c r="J54" s="31"/>
    </row>
    <row r="55" spans="1:14" ht="6" customHeight="1">
      <c r="A55" s="1"/>
      <c r="B55" s="1"/>
      <c r="C55" s="1"/>
      <c r="D55" s="1"/>
      <c r="E55" s="143"/>
      <c r="F55" s="83"/>
      <c r="G55" s="143"/>
      <c r="H55" s="83"/>
      <c r="I55" s="31"/>
      <c r="J55" s="31"/>
    </row>
    <row r="56" spans="1:14" ht="78.75" customHeight="1">
      <c r="A56" s="405" t="s">
        <v>773</v>
      </c>
      <c r="B56" s="405"/>
      <c r="C56" s="405"/>
      <c r="D56" s="405"/>
      <c r="E56" s="405"/>
      <c r="F56" s="405"/>
      <c r="G56" s="405"/>
      <c r="H56" s="405"/>
      <c r="I56" s="1"/>
      <c r="J56" s="33"/>
      <c r="K56" s="33"/>
      <c r="L56" s="1"/>
      <c r="M56" s="1"/>
      <c r="N56" s="1"/>
    </row>
    <row r="57" spans="1:14" ht="4.5" customHeight="1">
      <c r="A57" s="91"/>
      <c r="B57" s="91"/>
      <c r="C57" s="91"/>
      <c r="D57" s="91"/>
      <c r="E57" s="91"/>
      <c r="F57" s="91"/>
      <c r="G57" s="91"/>
      <c r="H57" s="91"/>
      <c r="I57" s="1"/>
      <c r="J57" s="1"/>
      <c r="K57" s="1"/>
      <c r="L57" s="1"/>
      <c r="M57" s="1"/>
      <c r="N57" s="1"/>
    </row>
    <row r="58" spans="1:14" ht="2.25" hidden="1" customHeight="1">
      <c r="A58" s="91"/>
      <c r="B58" s="91"/>
      <c r="C58" s="91"/>
      <c r="D58" s="91"/>
      <c r="E58" s="91"/>
      <c r="F58" s="91"/>
      <c r="G58" s="91"/>
      <c r="H58" s="91"/>
      <c r="I58" s="1"/>
      <c r="J58" s="1"/>
      <c r="K58" s="1"/>
      <c r="L58" s="1"/>
      <c r="M58" s="1"/>
      <c r="N58" s="1"/>
    </row>
    <row r="59" spans="1:14" ht="38.25" customHeight="1">
      <c r="F59" s="1"/>
      <c r="G59" s="1"/>
      <c r="H59" s="1"/>
    </row>
    <row r="60" spans="1:14" ht="17.25" customHeight="1">
      <c r="A60" s="406" t="s">
        <v>153</v>
      </c>
      <c r="B60" s="406"/>
      <c r="C60" s="406"/>
      <c r="D60" s="406"/>
      <c r="E60" s="406"/>
      <c r="F60" s="1"/>
      <c r="G60" s="1"/>
      <c r="H60" s="1"/>
      <c r="K60" s="65"/>
    </row>
    <row r="61" spans="1:14">
      <c r="A61" s="9"/>
      <c r="B61" s="9"/>
      <c r="C61" s="9"/>
      <c r="D61" s="9" t="s">
        <v>99</v>
      </c>
      <c r="E61" s="9"/>
      <c r="F61" s="9"/>
      <c r="G61" s="9"/>
      <c r="H61" s="9"/>
      <c r="K61" s="65"/>
    </row>
    <row r="62" spans="1:14">
      <c r="K62" s="65"/>
    </row>
    <row r="63" spans="1:14">
      <c r="K63" s="65"/>
    </row>
    <row r="66" spans="3:3">
      <c r="C66" t="s">
        <v>171</v>
      </c>
    </row>
    <row r="164" spans="3:3">
      <c r="C164">
        <f>10000</f>
        <v>10000</v>
      </c>
    </row>
  </sheetData>
  <mergeCells count="28">
    <mergeCell ref="A60:E60"/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5:D45"/>
    <mergeCell ref="B46:D46"/>
    <mergeCell ref="B47:D47"/>
    <mergeCell ref="B53:D53"/>
    <mergeCell ref="A56:H56"/>
    <mergeCell ref="B44:D44"/>
    <mergeCell ref="A26:F26"/>
    <mergeCell ref="A27:F27"/>
    <mergeCell ref="A28:F28"/>
    <mergeCell ref="A29:F29"/>
    <mergeCell ref="A30:F30"/>
    <mergeCell ref="A31:G31"/>
    <mergeCell ref="E40:F40"/>
    <mergeCell ref="G40:H40"/>
    <mergeCell ref="B42:D42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18.7109375" style="164" customWidth="1"/>
    <col min="6" max="6" width="16.140625" style="164" customWidth="1"/>
    <col min="7" max="7" width="18.140625" style="164" customWidth="1"/>
    <col min="8" max="16384" width="9.140625" style="164"/>
  </cols>
  <sheetData>
    <row r="1" spans="1:7" ht="27" customHeight="1">
      <c r="A1" s="415" t="s">
        <v>234</v>
      </c>
      <c r="B1" s="415"/>
      <c r="C1" s="415"/>
      <c r="D1" s="415"/>
      <c r="E1" s="415"/>
    </row>
    <row r="2" spans="1:7" ht="33.75" customHeight="1">
      <c r="A2" s="270" t="s">
        <v>754</v>
      </c>
      <c r="B2" s="166"/>
      <c r="C2" s="166"/>
      <c r="D2" s="165"/>
      <c r="E2" s="169"/>
    </row>
    <row r="3" spans="1:7" ht="9.75" customHeight="1"/>
    <row r="4" spans="1:7" ht="49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17.25" customHeight="1"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176" t="s">
        <v>143</v>
      </c>
      <c r="B6" s="177" t="s">
        <v>433</v>
      </c>
      <c r="C6" s="177"/>
      <c r="D6" s="177"/>
      <c r="E6" s="178"/>
      <c r="F6" s="29"/>
      <c r="G6" s="178"/>
    </row>
    <row r="7" spans="1: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7">
        <v>2000000</v>
      </c>
      <c r="F7" s="237"/>
      <c r="G7" s="237">
        <f>E7</f>
        <v>2000000</v>
      </c>
    </row>
    <row r="8" spans="1:7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7">
        <v>350000</v>
      </c>
      <c r="F8" s="241"/>
      <c r="G8" s="237">
        <f t="shared" ref="G8:G16" si="0">E8</f>
        <v>350000</v>
      </c>
    </row>
    <row r="9" spans="1:7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7">
        <v>700000</v>
      </c>
      <c r="F9" s="241"/>
      <c r="G9" s="237">
        <f t="shared" si="0"/>
        <v>700000</v>
      </c>
    </row>
    <row r="10" spans="1:7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7">
        <v>700000</v>
      </c>
      <c r="F10" s="241"/>
      <c r="G10" s="237">
        <f t="shared" si="0"/>
        <v>700000</v>
      </c>
    </row>
    <row r="11" spans="1:7" ht="20.100000000000001" customHeight="1">
      <c r="A11" s="28">
        <v>5</v>
      </c>
      <c r="B11" s="158" t="s">
        <v>203</v>
      </c>
      <c r="C11" s="20" t="s">
        <v>475</v>
      </c>
      <c r="D11" s="28" t="s">
        <v>496</v>
      </c>
      <c r="E11" s="237">
        <v>700000</v>
      </c>
      <c r="F11" s="241"/>
      <c r="G11" s="237">
        <f t="shared" si="0"/>
        <v>700000</v>
      </c>
    </row>
    <row r="12" spans="1:7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7">
        <v>700000</v>
      </c>
      <c r="F12" s="241"/>
      <c r="G12" s="237">
        <f t="shared" si="0"/>
        <v>700000</v>
      </c>
    </row>
    <row r="13" spans="1:7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37">
        <v>700000</v>
      </c>
      <c r="F13" s="241"/>
      <c r="G13" s="237">
        <f t="shared" si="0"/>
        <v>700000</v>
      </c>
    </row>
    <row r="14" spans="1:7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37">
        <v>700000</v>
      </c>
      <c r="F14" s="241"/>
      <c r="G14" s="237">
        <f t="shared" si="0"/>
        <v>700000</v>
      </c>
    </row>
    <row r="15" spans="1:7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37">
        <v>500000</v>
      </c>
      <c r="F15" s="241"/>
      <c r="G15" s="237">
        <f t="shared" si="0"/>
        <v>500000</v>
      </c>
    </row>
    <row r="16" spans="1:7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37">
        <v>500000</v>
      </c>
      <c r="F16" s="241"/>
      <c r="G16" s="237">
        <f t="shared" si="0"/>
        <v>500000</v>
      </c>
    </row>
    <row r="17" spans="1:7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237">
        <v>500000</v>
      </c>
      <c r="F17" s="241">
        <f>E17</f>
        <v>500000</v>
      </c>
      <c r="G17" s="241"/>
    </row>
    <row r="18" spans="1:7" ht="20.100000000000001" customHeight="1">
      <c r="A18" s="28">
        <v>12</v>
      </c>
      <c r="B18" s="156" t="s">
        <v>334</v>
      </c>
      <c r="C18" s="161" t="s">
        <v>351</v>
      </c>
      <c r="D18" s="181" t="s">
        <v>170</v>
      </c>
      <c r="E18" s="237">
        <v>500000</v>
      </c>
      <c r="F18" s="241">
        <f t="shared" ref="F18:F30" si="1">E18</f>
        <v>500000</v>
      </c>
      <c r="G18" s="241"/>
    </row>
    <row r="19" spans="1:7" ht="20.100000000000001" customHeight="1">
      <c r="A19" s="28">
        <v>13</v>
      </c>
      <c r="B19" s="157" t="s">
        <v>291</v>
      </c>
      <c r="C19" s="20" t="s">
        <v>346</v>
      </c>
      <c r="D19" s="181" t="s">
        <v>500</v>
      </c>
      <c r="E19" s="237">
        <v>500000</v>
      </c>
      <c r="F19" s="241">
        <f t="shared" si="1"/>
        <v>500000</v>
      </c>
      <c r="G19" s="241"/>
    </row>
    <row r="20" spans="1:7" ht="18.75" customHeight="1">
      <c r="A20" s="28">
        <v>14</v>
      </c>
      <c r="B20" s="156" t="s">
        <v>253</v>
      </c>
      <c r="C20" s="161" t="s">
        <v>478</v>
      </c>
      <c r="D20" s="181" t="s">
        <v>497</v>
      </c>
      <c r="E20" s="237">
        <v>400000</v>
      </c>
      <c r="F20" s="241">
        <f t="shared" si="1"/>
        <v>400000</v>
      </c>
      <c r="G20" s="241"/>
    </row>
    <row r="21" spans="1:7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237">
        <v>400000</v>
      </c>
      <c r="F21" s="241">
        <f t="shared" si="1"/>
        <v>400000</v>
      </c>
      <c r="G21" s="241"/>
    </row>
    <row r="22" spans="1:7" ht="20.100000000000001" customHeight="1">
      <c r="A22" s="28">
        <v>16</v>
      </c>
      <c r="B22" s="158" t="s">
        <v>742</v>
      </c>
      <c r="C22" s="112" t="s">
        <v>743</v>
      </c>
      <c r="D22" s="28" t="s">
        <v>104</v>
      </c>
      <c r="E22" s="237">
        <v>300000</v>
      </c>
      <c r="F22" s="241">
        <f t="shared" si="1"/>
        <v>300000</v>
      </c>
      <c r="G22" s="241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747</v>
      </c>
      <c r="E23" s="237">
        <v>300000</v>
      </c>
      <c r="F23" s="241">
        <f t="shared" si="1"/>
        <v>300000</v>
      </c>
      <c r="G23" s="241"/>
    </row>
    <row r="24" spans="1:7" ht="18.75" customHeight="1">
      <c r="A24" s="28">
        <v>18</v>
      </c>
      <c r="B24" s="157" t="s">
        <v>254</v>
      </c>
      <c r="C24" s="161" t="s">
        <v>17</v>
      </c>
      <c r="D24" s="181" t="s">
        <v>747</v>
      </c>
      <c r="E24" s="237">
        <v>300000</v>
      </c>
      <c r="F24" s="241">
        <f t="shared" si="1"/>
        <v>300000</v>
      </c>
      <c r="G24" s="241"/>
    </row>
    <row r="25" spans="1:7" ht="18.75" customHeight="1">
      <c r="A25" s="28">
        <v>19</v>
      </c>
      <c r="B25" s="157" t="s">
        <v>288</v>
      </c>
      <c r="C25" s="161" t="s">
        <v>706</v>
      </c>
      <c r="D25" s="181" t="s">
        <v>498</v>
      </c>
      <c r="E25" s="237">
        <v>300000</v>
      </c>
      <c r="F25" s="241">
        <f t="shared" si="1"/>
        <v>300000</v>
      </c>
      <c r="G25" s="241"/>
    </row>
    <row r="26" spans="1:7" ht="18.75" customHeight="1">
      <c r="A26" s="28">
        <v>20</v>
      </c>
      <c r="B26" s="157" t="s">
        <v>328</v>
      </c>
      <c r="C26" s="20" t="s">
        <v>738</v>
      </c>
      <c r="D26" s="28" t="s">
        <v>428</v>
      </c>
      <c r="E26" s="237">
        <v>300000</v>
      </c>
      <c r="F26" s="241">
        <f t="shared" si="1"/>
        <v>300000</v>
      </c>
      <c r="G26" s="241"/>
    </row>
    <row r="27" spans="1:7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237">
        <v>300000</v>
      </c>
      <c r="F27" s="241">
        <f t="shared" si="1"/>
        <v>300000</v>
      </c>
      <c r="G27" s="241"/>
    </row>
    <row r="28" spans="1:7" ht="18.75" customHeight="1">
      <c r="A28" s="28">
        <v>22</v>
      </c>
      <c r="B28" s="157" t="s">
        <v>330</v>
      </c>
      <c r="C28" s="20" t="s">
        <v>533</v>
      </c>
      <c r="D28" s="28" t="s">
        <v>51</v>
      </c>
      <c r="E28" s="237">
        <v>300000</v>
      </c>
      <c r="F28" s="241">
        <f t="shared" si="1"/>
        <v>300000</v>
      </c>
      <c r="G28" s="241"/>
    </row>
    <row r="29" spans="1:7" ht="18.75" customHeight="1">
      <c r="A29" s="28">
        <v>23</v>
      </c>
      <c r="B29" s="157" t="s">
        <v>274</v>
      </c>
      <c r="C29" s="161" t="s">
        <v>314</v>
      </c>
      <c r="D29" s="28" t="s">
        <v>51</v>
      </c>
      <c r="E29" s="237">
        <v>300000</v>
      </c>
      <c r="F29" s="241">
        <f t="shared" si="1"/>
        <v>300000</v>
      </c>
      <c r="G29" s="241"/>
    </row>
    <row r="30" spans="1:7" ht="18.75" customHeight="1">
      <c r="A30" s="28">
        <v>24</v>
      </c>
      <c r="B30" s="157" t="s">
        <v>555</v>
      </c>
      <c r="C30" s="161" t="s">
        <v>314</v>
      </c>
      <c r="D30" s="181" t="s">
        <v>176</v>
      </c>
      <c r="E30" s="237">
        <v>300000</v>
      </c>
      <c r="F30" s="241">
        <f t="shared" si="1"/>
        <v>300000</v>
      </c>
      <c r="G30" s="241"/>
    </row>
    <row r="31" spans="1:7" ht="26.25" customHeight="1">
      <c r="A31" s="28"/>
      <c r="B31" s="159" t="s">
        <v>15</v>
      </c>
      <c r="C31" s="29">
        <v>24</v>
      </c>
      <c r="D31" s="181"/>
      <c r="E31" s="238">
        <f>SUM(E7:E30)</f>
        <v>12550000</v>
      </c>
      <c r="F31" s="238">
        <f>SUM(F7:F30)</f>
        <v>5000000</v>
      </c>
      <c r="G31" s="238">
        <f>SUM(G7:G30)</f>
        <v>7550000</v>
      </c>
    </row>
    <row r="32" spans="1:7" ht="18.75" customHeight="1">
      <c r="A32" s="28"/>
      <c r="B32" s="123"/>
      <c r="C32" s="20"/>
      <c r="D32" s="181"/>
      <c r="E32" s="237"/>
      <c r="F32" s="238"/>
      <c r="G32" s="238"/>
    </row>
    <row r="33" spans="1:7" ht="18.75" customHeight="1">
      <c r="A33" s="28"/>
      <c r="B33" s="159" t="s">
        <v>284</v>
      </c>
      <c r="C33" s="20"/>
      <c r="D33" s="181"/>
      <c r="E33" s="237"/>
      <c r="F33" s="241"/>
      <c r="G33" s="241"/>
    </row>
    <row r="34" spans="1:7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237">
        <v>1000000</v>
      </c>
      <c r="F34" s="241"/>
      <c r="G34" s="241">
        <f>E34</f>
        <v>1000000</v>
      </c>
    </row>
    <row r="35" spans="1:7" ht="18.75" customHeight="1">
      <c r="A35" s="28">
        <v>2</v>
      </c>
      <c r="B35" s="157" t="s">
        <v>419</v>
      </c>
      <c r="C35" s="20" t="s">
        <v>427</v>
      </c>
      <c r="D35" s="28" t="s">
        <v>176</v>
      </c>
      <c r="E35" s="237">
        <v>300000</v>
      </c>
      <c r="F35" s="241">
        <f>E35</f>
        <v>300000</v>
      </c>
      <c r="G35" s="241"/>
    </row>
    <row r="36" spans="1:7" ht="18.75" customHeight="1">
      <c r="A36" s="28">
        <v>3</v>
      </c>
      <c r="B36" s="156" t="s">
        <v>720</v>
      </c>
      <c r="C36" s="161" t="s">
        <v>721</v>
      </c>
      <c r="D36" s="181" t="s">
        <v>207</v>
      </c>
      <c r="E36" s="237">
        <v>300000</v>
      </c>
      <c r="F36" s="241">
        <f>E36</f>
        <v>300000</v>
      </c>
      <c r="G36" s="241"/>
    </row>
    <row r="37" spans="1:7" ht="19.5" customHeight="1">
      <c r="A37" s="28"/>
      <c r="B37" s="158"/>
      <c r="C37" s="29">
        <v>3</v>
      </c>
      <c r="D37" s="28"/>
      <c r="E37" s="238">
        <f>SUM(E34:E36)</f>
        <v>1600000</v>
      </c>
      <c r="F37" s="238">
        <f t="shared" ref="F37:G37" si="2">SUM(F34:F36)</f>
        <v>600000</v>
      </c>
      <c r="G37" s="238">
        <f t="shared" si="2"/>
        <v>1000000</v>
      </c>
    </row>
    <row r="38" spans="1:7" ht="20.100000000000001" customHeight="1">
      <c r="A38" s="28"/>
      <c r="B38" s="158"/>
      <c r="C38" s="20"/>
      <c r="D38" s="28"/>
      <c r="E38" s="237"/>
      <c r="F38" s="238"/>
      <c r="G38" s="238"/>
    </row>
    <row r="39" spans="1:7" ht="20.100000000000001" customHeight="1">
      <c r="A39" s="28"/>
      <c r="B39" s="185" t="s">
        <v>56</v>
      </c>
      <c r="C39" s="170"/>
      <c r="D39" s="174"/>
      <c r="E39" s="237"/>
      <c r="F39" s="238"/>
      <c r="G39" s="238"/>
    </row>
    <row r="40" spans="1:7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237">
        <v>1000000</v>
      </c>
      <c r="F40" s="241"/>
      <c r="G40" s="241">
        <f>E40</f>
        <v>1000000</v>
      </c>
    </row>
    <row r="41" spans="1:7" ht="20.100000000000001" customHeight="1">
      <c r="A41" s="28">
        <v>2</v>
      </c>
      <c r="B41" s="156" t="s">
        <v>158</v>
      </c>
      <c r="C41" s="20" t="s">
        <v>199</v>
      </c>
      <c r="D41" s="28" t="s">
        <v>75</v>
      </c>
      <c r="E41" s="237">
        <v>700000</v>
      </c>
      <c r="F41" s="241"/>
      <c r="G41" s="241">
        <f t="shared" ref="G41:G47" si="3">E41</f>
        <v>700000</v>
      </c>
    </row>
    <row r="42" spans="1:7" ht="20.100000000000001" customHeight="1">
      <c r="A42" s="28">
        <v>3</v>
      </c>
      <c r="B42" s="156" t="s">
        <v>165</v>
      </c>
      <c r="C42" s="20" t="s">
        <v>739</v>
      </c>
      <c r="D42" s="28" t="s">
        <v>221</v>
      </c>
      <c r="E42" s="237">
        <v>700000</v>
      </c>
      <c r="F42" s="241"/>
      <c r="G42" s="241">
        <f t="shared" si="3"/>
        <v>700000</v>
      </c>
    </row>
    <row r="43" spans="1:7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237">
        <v>700000</v>
      </c>
      <c r="F43" s="241"/>
      <c r="G43" s="241">
        <f t="shared" si="3"/>
        <v>700000</v>
      </c>
    </row>
    <row r="44" spans="1:7" ht="20.100000000000001" customHeight="1">
      <c r="A44" s="28">
        <v>5</v>
      </c>
      <c r="B44" s="156" t="s">
        <v>118</v>
      </c>
      <c r="C44" s="20" t="s">
        <v>258</v>
      </c>
      <c r="D44" s="28" t="s">
        <v>75</v>
      </c>
      <c r="E44" s="237">
        <v>700000</v>
      </c>
      <c r="F44" s="241"/>
      <c r="G44" s="241">
        <f t="shared" si="3"/>
        <v>700000</v>
      </c>
    </row>
    <row r="45" spans="1:7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237">
        <v>700000</v>
      </c>
      <c r="F45" s="241"/>
      <c r="G45" s="241">
        <f t="shared" si="3"/>
        <v>700000</v>
      </c>
    </row>
    <row r="46" spans="1:7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237">
        <v>500000</v>
      </c>
      <c r="F46" s="241"/>
      <c r="G46" s="241">
        <f t="shared" si="3"/>
        <v>500000</v>
      </c>
    </row>
    <row r="47" spans="1:7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237">
        <v>500000</v>
      </c>
      <c r="F47" s="241"/>
      <c r="G47" s="241">
        <f t="shared" si="3"/>
        <v>500000</v>
      </c>
    </row>
    <row r="48" spans="1:7" ht="20.100000000000001" customHeight="1">
      <c r="A48" s="28">
        <v>9</v>
      </c>
      <c r="B48" s="156" t="s">
        <v>551</v>
      </c>
      <c r="C48" s="20" t="s">
        <v>84</v>
      </c>
      <c r="D48" s="28" t="s">
        <v>207</v>
      </c>
      <c r="E48" s="237">
        <v>300000</v>
      </c>
      <c r="F48" s="241">
        <f>E48</f>
        <v>300000</v>
      </c>
      <c r="G48" s="241"/>
    </row>
    <row r="49" spans="1:7" ht="20.100000000000001" customHeight="1">
      <c r="A49" s="28">
        <v>10</v>
      </c>
      <c r="B49" s="156" t="s">
        <v>420</v>
      </c>
      <c r="C49" s="20" t="s">
        <v>84</v>
      </c>
      <c r="D49" s="28" t="s">
        <v>498</v>
      </c>
      <c r="E49" s="237">
        <v>300000</v>
      </c>
      <c r="F49" s="241">
        <f t="shared" ref="F49:F51" si="4">E49</f>
        <v>300000</v>
      </c>
      <c r="G49" s="241"/>
    </row>
    <row r="50" spans="1:7" ht="20.100000000000001" customHeight="1">
      <c r="A50" s="28">
        <v>11</v>
      </c>
      <c r="B50" s="156" t="s">
        <v>435</v>
      </c>
      <c r="C50" s="20" t="s">
        <v>84</v>
      </c>
      <c r="D50" s="28" t="s">
        <v>498</v>
      </c>
      <c r="E50" s="237">
        <v>300000</v>
      </c>
      <c r="F50" s="241">
        <f t="shared" si="4"/>
        <v>300000</v>
      </c>
      <c r="G50" s="241"/>
    </row>
    <row r="51" spans="1:7" ht="20.100000000000001" customHeight="1">
      <c r="A51" s="28">
        <v>12</v>
      </c>
      <c r="B51" s="156" t="s">
        <v>452</v>
      </c>
      <c r="C51" s="20" t="s">
        <v>84</v>
      </c>
      <c r="D51" s="28" t="s">
        <v>498</v>
      </c>
      <c r="E51" s="237">
        <v>300000</v>
      </c>
      <c r="F51" s="241">
        <f t="shared" si="4"/>
        <v>300000</v>
      </c>
      <c r="G51" s="241"/>
    </row>
    <row r="52" spans="1:7" ht="25.5" customHeight="1">
      <c r="A52" s="28"/>
      <c r="B52" s="159" t="s">
        <v>15</v>
      </c>
      <c r="C52" s="29">
        <v>12</v>
      </c>
      <c r="D52" s="29"/>
      <c r="E52" s="238">
        <f>SUM(E40:E51)</f>
        <v>6700000</v>
      </c>
      <c r="F52" s="239">
        <f t="shared" ref="F52:G52" si="5">SUM(F40:F51)</f>
        <v>1200000</v>
      </c>
      <c r="G52" s="239">
        <f t="shared" si="5"/>
        <v>5500000</v>
      </c>
    </row>
    <row r="53" spans="1:7" ht="20.100000000000001" customHeight="1">
      <c r="A53" s="28"/>
      <c r="B53" s="123"/>
      <c r="C53" s="29"/>
      <c r="D53" s="29"/>
      <c r="E53" s="237"/>
      <c r="F53" s="240"/>
      <c r="G53" s="240"/>
    </row>
    <row r="54" spans="1:7" ht="20.100000000000001" customHeight="1">
      <c r="A54" s="28"/>
      <c r="B54" s="159" t="s">
        <v>195</v>
      </c>
      <c r="C54" s="29"/>
      <c r="D54" s="29"/>
      <c r="E54" s="237"/>
      <c r="F54" s="240"/>
      <c r="G54" s="240"/>
    </row>
    <row r="55" spans="1:7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237">
        <v>500000</v>
      </c>
      <c r="F55" s="241"/>
      <c r="G55" s="241">
        <f>E55</f>
        <v>500000</v>
      </c>
    </row>
    <row r="56" spans="1:7" ht="20.100000000000001" customHeight="1">
      <c r="A56" s="28">
        <v>2</v>
      </c>
      <c r="B56" s="156" t="s">
        <v>276</v>
      </c>
      <c r="C56" s="161" t="s">
        <v>340</v>
      </c>
      <c r="D56" s="181" t="s">
        <v>748</v>
      </c>
      <c r="E56" s="237">
        <v>700000</v>
      </c>
      <c r="F56" s="241"/>
      <c r="G56" s="241">
        <f>E56</f>
        <v>700000</v>
      </c>
    </row>
    <row r="57" spans="1:7" ht="20.100000000000001" customHeight="1">
      <c r="A57" s="28"/>
      <c r="B57" s="159" t="s">
        <v>15</v>
      </c>
      <c r="C57" s="29">
        <v>2</v>
      </c>
      <c r="D57" s="29"/>
      <c r="E57" s="237">
        <f>SUM(E55:E56)</f>
        <v>1200000</v>
      </c>
      <c r="F57" s="239"/>
      <c r="G57" s="239">
        <f>SUM(G55:G56)</f>
        <v>1200000</v>
      </c>
    </row>
    <row r="58" spans="1:7" ht="20.100000000000001" customHeight="1">
      <c r="A58" s="28"/>
      <c r="B58" s="159"/>
      <c r="C58" s="29"/>
      <c r="D58" s="29"/>
      <c r="E58" s="237"/>
      <c r="F58" s="240"/>
      <c r="G58" s="240"/>
    </row>
    <row r="59" spans="1:7" ht="20.100000000000001" customHeight="1">
      <c r="A59" s="28"/>
      <c r="B59" s="159" t="s">
        <v>461</v>
      </c>
      <c r="C59" s="29"/>
      <c r="D59" s="29"/>
      <c r="E59" s="237"/>
      <c r="F59" s="240"/>
      <c r="G59" s="240"/>
    </row>
    <row r="60" spans="1:7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237">
        <v>500000</v>
      </c>
      <c r="F60" s="241"/>
      <c r="G60" s="241">
        <f>E60</f>
        <v>500000</v>
      </c>
    </row>
    <row r="61" spans="1:7" ht="20.100000000000001" customHeight="1">
      <c r="A61" s="28">
        <v>2</v>
      </c>
      <c r="B61" s="289" t="s">
        <v>332</v>
      </c>
      <c r="C61" s="112" t="s">
        <v>188</v>
      </c>
      <c r="D61" s="181" t="s">
        <v>148</v>
      </c>
      <c r="E61" s="237">
        <v>350000</v>
      </c>
      <c r="F61" s="241"/>
      <c r="G61" s="241">
        <f t="shared" ref="G61:G62" si="6">E61</f>
        <v>350000</v>
      </c>
    </row>
    <row r="62" spans="1:7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237">
        <v>500000</v>
      </c>
      <c r="F62" s="241"/>
      <c r="G62" s="241">
        <f t="shared" si="6"/>
        <v>500000</v>
      </c>
    </row>
    <row r="63" spans="1:7" ht="20.100000000000001" customHeight="1">
      <c r="A63" s="28">
        <v>4</v>
      </c>
      <c r="B63" s="157" t="s">
        <v>448</v>
      </c>
      <c r="C63" s="112" t="s">
        <v>257</v>
      </c>
      <c r="D63" s="181" t="s">
        <v>170</v>
      </c>
      <c r="E63" s="237">
        <v>500000</v>
      </c>
      <c r="F63" s="241">
        <f>E63</f>
        <v>500000</v>
      </c>
      <c r="G63" s="241"/>
    </row>
    <row r="64" spans="1:7" ht="20.100000000000001" customHeight="1">
      <c r="A64" s="28">
        <v>5</v>
      </c>
      <c r="B64" s="158" t="s">
        <v>229</v>
      </c>
      <c r="C64" s="112" t="s">
        <v>297</v>
      </c>
      <c r="D64" s="181" t="s">
        <v>174</v>
      </c>
      <c r="E64" s="237">
        <v>500000</v>
      </c>
      <c r="F64" s="241"/>
      <c r="G64" s="241">
        <f>E64</f>
        <v>500000</v>
      </c>
    </row>
    <row r="65" spans="1:7" ht="20.100000000000001" customHeight="1">
      <c r="A65" s="28">
        <v>7</v>
      </c>
      <c r="B65" s="156" t="s">
        <v>117</v>
      </c>
      <c r="C65" s="20" t="s">
        <v>84</v>
      </c>
      <c r="D65" s="28" t="s">
        <v>415</v>
      </c>
      <c r="E65" s="237">
        <v>400000</v>
      </c>
      <c r="F65" s="241">
        <f>E65</f>
        <v>400000</v>
      </c>
      <c r="G65" s="241"/>
    </row>
    <row r="66" spans="1:7" ht="20.100000000000001" customHeight="1">
      <c r="A66" s="28">
        <v>8</v>
      </c>
      <c r="B66" s="156" t="s">
        <v>424</v>
      </c>
      <c r="C66" s="112" t="s">
        <v>422</v>
      </c>
      <c r="D66" s="28" t="s">
        <v>415</v>
      </c>
      <c r="E66" s="237">
        <v>400000</v>
      </c>
      <c r="F66" s="241">
        <f t="shared" ref="F66:F70" si="7">E66</f>
        <v>400000</v>
      </c>
      <c r="G66" s="241"/>
    </row>
    <row r="67" spans="1:7" ht="20.100000000000001" customHeight="1">
      <c r="A67" s="28">
        <v>9</v>
      </c>
      <c r="B67" s="156" t="s">
        <v>423</v>
      </c>
      <c r="C67" s="112" t="s">
        <v>422</v>
      </c>
      <c r="D67" s="28" t="s">
        <v>415</v>
      </c>
      <c r="E67" s="237">
        <v>400000</v>
      </c>
      <c r="F67" s="241">
        <f t="shared" si="7"/>
        <v>400000</v>
      </c>
      <c r="G67" s="241"/>
    </row>
    <row r="68" spans="1:7" ht="20.100000000000001" customHeight="1">
      <c r="A68" s="28">
        <v>10</v>
      </c>
      <c r="B68" s="156" t="s">
        <v>242</v>
      </c>
      <c r="C68" s="20" t="s">
        <v>484</v>
      </c>
      <c r="D68" s="28" t="s">
        <v>497</v>
      </c>
      <c r="E68" s="237">
        <v>400000</v>
      </c>
      <c r="F68" s="241">
        <f t="shared" si="7"/>
        <v>400000</v>
      </c>
      <c r="G68" s="241"/>
    </row>
    <row r="69" spans="1:7" ht="21.6" customHeight="1">
      <c r="A69" s="28">
        <v>11</v>
      </c>
      <c r="B69" s="156" t="s">
        <v>726</v>
      </c>
      <c r="C69" s="20" t="s">
        <v>84</v>
      </c>
      <c r="D69" s="28" t="s">
        <v>207</v>
      </c>
      <c r="E69" s="237">
        <v>300000</v>
      </c>
      <c r="F69" s="241">
        <f t="shared" si="7"/>
        <v>300000</v>
      </c>
      <c r="G69" s="241"/>
    </row>
    <row r="70" spans="1:7" ht="20.100000000000001" customHeight="1">
      <c r="A70" s="28">
        <v>12</v>
      </c>
      <c r="B70" s="156" t="s">
        <v>320</v>
      </c>
      <c r="C70" s="112" t="s">
        <v>115</v>
      </c>
      <c r="D70" s="28" t="s">
        <v>747</v>
      </c>
      <c r="E70" s="237">
        <v>300000</v>
      </c>
      <c r="F70" s="241">
        <f t="shared" si="7"/>
        <v>300000</v>
      </c>
      <c r="G70" s="241"/>
    </row>
    <row r="71" spans="1:7" ht="27" customHeight="1">
      <c r="A71" s="28"/>
      <c r="B71" s="159" t="s">
        <v>15</v>
      </c>
      <c r="C71" s="29">
        <v>12</v>
      </c>
      <c r="D71" s="29"/>
      <c r="E71" s="238">
        <f>SUM(E60:E70)</f>
        <v>4550000</v>
      </c>
      <c r="F71" s="239">
        <f t="shared" ref="F71:G71" si="8">SUM(F60:F70)</f>
        <v>2700000</v>
      </c>
      <c r="G71" s="239">
        <f t="shared" si="8"/>
        <v>1850000</v>
      </c>
    </row>
    <row r="72" spans="1:7" ht="20.100000000000001" customHeight="1">
      <c r="A72" s="28"/>
      <c r="B72" s="123"/>
      <c r="C72" s="29"/>
      <c r="D72" s="29"/>
      <c r="E72" s="237"/>
      <c r="F72" s="240"/>
      <c r="G72" s="240"/>
    </row>
    <row r="73" spans="1:7" ht="20.100000000000001" customHeight="1">
      <c r="A73" s="28"/>
      <c r="B73" s="159" t="s">
        <v>462</v>
      </c>
      <c r="C73" s="29"/>
      <c r="D73" s="29"/>
      <c r="E73" s="237"/>
      <c r="F73" s="240"/>
      <c r="G73" s="240"/>
    </row>
    <row r="74" spans="1:7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237">
        <v>1000000</v>
      </c>
      <c r="F74" s="241"/>
      <c r="G74" s="241">
        <f>E74</f>
        <v>1000000</v>
      </c>
    </row>
    <row r="75" spans="1:7" ht="20.100000000000001" customHeight="1">
      <c r="A75" s="28">
        <v>2</v>
      </c>
      <c r="B75" s="158" t="s">
        <v>325</v>
      </c>
      <c r="C75" s="20" t="s">
        <v>245</v>
      </c>
      <c r="D75" s="181" t="s">
        <v>412</v>
      </c>
      <c r="E75" s="237">
        <v>700000</v>
      </c>
      <c r="F75" s="241"/>
      <c r="G75" s="241">
        <f t="shared" ref="G75:G77" si="9">E75</f>
        <v>700000</v>
      </c>
    </row>
    <row r="76" spans="1:7" ht="20.100000000000001" customHeight="1">
      <c r="A76" s="28">
        <v>3</v>
      </c>
      <c r="B76" s="157" t="s">
        <v>333</v>
      </c>
      <c r="C76" s="161" t="s">
        <v>387</v>
      </c>
      <c r="D76" s="28" t="s">
        <v>748</v>
      </c>
      <c r="E76" s="237">
        <v>700000</v>
      </c>
      <c r="F76" s="241"/>
      <c r="G76" s="241">
        <f t="shared" si="9"/>
        <v>700000</v>
      </c>
    </row>
    <row r="77" spans="1:7" ht="20.100000000000001" customHeight="1">
      <c r="A77" s="28">
        <v>4</v>
      </c>
      <c r="B77" s="156" t="s">
        <v>26</v>
      </c>
      <c r="C77" s="20" t="s">
        <v>707</v>
      </c>
      <c r="D77" s="181" t="s">
        <v>162</v>
      </c>
      <c r="E77" s="237">
        <v>500000</v>
      </c>
      <c r="F77" s="241"/>
      <c r="G77" s="241">
        <f t="shared" si="9"/>
        <v>500000</v>
      </c>
    </row>
    <row r="78" spans="1:7" ht="20.100000000000001" customHeight="1">
      <c r="A78" s="28">
        <v>5</v>
      </c>
      <c r="B78" s="156" t="s">
        <v>324</v>
      </c>
      <c r="C78" s="20" t="s">
        <v>243</v>
      </c>
      <c r="D78" s="28" t="s">
        <v>164</v>
      </c>
      <c r="E78" s="237">
        <v>300000</v>
      </c>
      <c r="F78" s="241">
        <f>E78</f>
        <v>300000</v>
      </c>
      <c r="G78" s="241"/>
    </row>
    <row r="79" spans="1:7" ht="20.100000000000001" customHeight="1">
      <c r="A79" s="28">
        <v>6</v>
      </c>
      <c r="B79" s="156" t="s">
        <v>554</v>
      </c>
      <c r="C79" s="20" t="s">
        <v>243</v>
      </c>
      <c r="D79" s="28" t="s">
        <v>498</v>
      </c>
      <c r="E79" s="237">
        <v>300000</v>
      </c>
      <c r="F79" s="241">
        <f t="shared" ref="F79:F80" si="10">E79</f>
        <v>300000</v>
      </c>
      <c r="G79" s="241"/>
    </row>
    <row r="80" spans="1:7" ht="20.100000000000001" customHeight="1">
      <c r="A80" s="28">
        <v>7</v>
      </c>
      <c r="B80" s="156" t="s">
        <v>552</v>
      </c>
      <c r="C80" s="20" t="s">
        <v>553</v>
      </c>
      <c r="D80" s="28" t="s">
        <v>176</v>
      </c>
      <c r="E80" s="237">
        <v>300000</v>
      </c>
      <c r="F80" s="241">
        <f t="shared" si="10"/>
        <v>300000</v>
      </c>
      <c r="G80" s="241"/>
    </row>
    <row r="81" spans="1:7" ht="20.100000000000001" customHeight="1">
      <c r="A81" s="28"/>
      <c r="B81" s="159" t="s">
        <v>15</v>
      </c>
      <c r="C81" s="29">
        <v>7</v>
      </c>
      <c r="D81" s="29"/>
      <c r="E81" s="238">
        <f>SUM(E74:E80)</f>
        <v>3800000</v>
      </c>
      <c r="F81" s="239">
        <f t="shared" ref="F81:G81" si="11">SUM(F74:F80)</f>
        <v>900000</v>
      </c>
      <c r="G81" s="239">
        <f t="shared" si="11"/>
        <v>2900000</v>
      </c>
    </row>
    <row r="82" spans="1:7" ht="20.100000000000001" customHeight="1">
      <c r="A82" s="28"/>
      <c r="B82" s="159"/>
      <c r="C82" s="29"/>
      <c r="D82" s="29"/>
      <c r="E82" s="237"/>
      <c r="F82" s="240"/>
      <c r="G82" s="240"/>
    </row>
    <row r="83" spans="1:7" ht="20.100000000000001" customHeight="1">
      <c r="A83" s="28"/>
      <c r="B83" s="159" t="s">
        <v>463</v>
      </c>
      <c r="C83" s="186"/>
      <c r="D83" s="29"/>
      <c r="E83" s="237"/>
      <c r="F83" s="240"/>
      <c r="G83" s="240"/>
    </row>
    <row r="84" spans="1:7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237">
        <f>700000</f>
        <v>700000</v>
      </c>
      <c r="F84" s="241"/>
      <c r="G84" s="241">
        <f>E84</f>
        <v>700000</v>
      </c>
    </row>
    <row r="85" spans="1:7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237">
        <f t="shared" ref="E85:E87" si="12">700000</f>
        <v>700000</v>
      </c>
      <c r="F85" s="241"/>
      <c r="G85" s="241">
        <f t="shared" ref="G85:G87" si="13">E85</f>
        <v>700000</v>
      </c>
    </row>
    <row r="86" spans="1:7" ht="20.100000000000001" customHeight="1">
      <c r="A86" s="28">
        <v>3</v>
      </c>
      <c r="B86" s="158" t="s">
        <v>138</v>
      </c>
      <c r="C86" s="20" t="s">
        <v>258</v>
      </c>
      <c r="D86" s="28" t="s">
        <v>148</v>
      </c>
      <c r="E86" s="237">
        <f t="shared" si="12"/>
        <v>700000</v>
      </c>
      <c r="F86" s="241"/>
      <c r="G86" s="241">
        <f t="shared" si="13"/>
        <v>700000</v>
      </c>
    </row>
    <row r="87" spans="1:7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237">
        <f t="shared" si="12"/>
        <v>700000</v>
      </c>
      <c r="F87" s="241"/>
      <c r="G87" s="241">
        <f t="shared" si="13"/>
        <v>700000</v>
      </c>
    </row>
    <row r="88" spans="1:7" ht="21.6" customHeight="1">
      <c r="A88" s="28">
        <v>5</v>
      </c>
      <c r="B88" s="156" t="s">
        <v>101</v>
      </c>
      <c r="C88" s="20" t="s">
        <v>80</v>
      </c>
      <c r="D88" s="181" t="s">
        <v>175</v>
      </c>
      <c r="E88" s="237">
        <v>500000</v>
      </c>
      <c r="F88" s="241">
        <f>E88</f>
        <v>500000</v>
      </c>
      <c r="G88" s="241"/>
    </row>
    <row r="89" spans="1:7" ht="21.6" customHeight="1">
      <c r="A89" s="28">
        <v>6</v>
      </c>
      <c r="B89" s="156" t="s">
        <v>336</v>
      </c>
      <c r="C89" s="161" t="s">
        <v>257</v>
      </c>
      <c r="D89" s="181" t="s">
        <v>170</v>
      </c>
      <c r="E89" s="237">
        <v>500000</v>
      </c>
      <c r="F89" s="241">
        <f>E89</f>
        <v>500000</v>
      </c>
      <c r="G89" s="241"/>
    </row>
    <row r="90" spans="1:7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237">
        <v>250000</v>
      </c>
      <c r="F90" s="241"/>
      <c r="G90" s="241">
        <f>E90</f>
        <v>250000</v>
      </c>
    </row>
    <row r="91" spans="1:7" ht="21.6" customHeight="1">
      <c r="A91" s="28">
        <v>8</v>
      </c>
      <c r="B91" s="156" t="s">
        <v>421</v>
      </c>
      <c r="C91" s="112" t="s">
        <v>422</v>
      </c>
      <c r="D91" s="181" t="s">
        <v>415</v>
      </c>
      <c r="E91" s="237">
        <v>400000</v>
      </c>
      <c r="F91" s="241">
        <f>E91</f>
        <v>400000</v>
      </c>
      <c r="G91" s="241"/>
    </row>
    <row r="92" spans="1:7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237">
        <v>400000</v>
      </c>
      <c r="F92" s="241">
        <f t="shared" ref="F92:F94" si="14">E92</f>
        <v>400000</v>
      </c>
      <c r="G92" s="241"/>
    </row>
    <row r="93" spans="1:7" ht="21.6" customHeight="1">
      <c r="A93" s="28">
        <v>10</v>
      </c>
      <c r="B93" s="156" t="s">
        <v>436</v>
      </c>
      <c r="C93" s="20" t="s">
        <v>470</v>
      </c>
      <c r="D93" s="28" t="s">
        <v>207</v>
      </c>
      <c r="E93" s="237">
        <v>300000</v>
      </c>
      <c r="F93" s="241">
        <f t="shared" si="14"/>
        <v>300000</v>
      </c>
      <c r="G93" s="241"/>
    </row>
    <row r="94" spans="1:7" ht="21.6" customHeight="1">
      <c r="A94" s="28">
        <v>11</v>
      </c>
      <c r="B94" s="156" t="s">
        <v>406</v>
      </c>
      <c r="C94" s="112" t="s">
        <v>432</v>
      </c>
      <c r="D94" s="181" t="s">
        <v>51</v>
      </c>
      <c r="E94" s="237">
        <v>300000</v>
      </c>
      <c r="F94" s="241">
        <f t="shared" si="14"/>
        <v>300000</v>
      </c>
      <c r="G94" s="241"/>
    </row>
    <row r="95" spans="1:7" ht="20.100000000000001" customHeight="1">
      <c r="A95" s="28"/>
      <c r="B95" s="159" t="s">
        <v>15</v>
      </c>
      <c r="C95" s="29">
        <v>11</v>
      </c>
      <c r="D95" s="29"/>
      <c r="E95" s="238">
        <f>SUM(E84:E94)</f>
        <v>5450000</v>
      </c>
      <c r="F95" s="239">
        <f t="shared" ref="F95:G95" si="15">SUM(F84:F94)</f>
        <v>2400000</v>
      </c>
      <c r="G95" s="239">
        <f t="shared" si="15"/>
        <v>3050000</v>
      </c>
    </row>
    <row r="96" spans="1:7" ht="20.100000000000001" customHeight="1">
      <c r="A96" s="28"/>
      <c r="B96" s="123"/>
      <c r="C96" s="29"/>
      <c r="D96" s="29"/>
      <c r="E96" s="237"/>
      <c r="F96" s="240"/>
      <c r="G96" s="240"/>
    </row>
    <row r="97" spans="1:7" ht="20.100000000000001" customHeight="1">
      <c r="A97" s="28"/>
      <c r="B97" s="159" t="s">
        <v>464</v>
      </c>
      <c r="C97" s="29"/>
      <c r="D97" s="29"/>
      <c r="E97" s="237"/>
      <c r="F97" s="240"/>
      <c r="G97" s="240"/>
    </row>
    <row r="98" spans="1:7" ht="20.100000000000001" customHeight="1">
      <c r="A98" s="28">
        <v>1</v>
      </c>
      <c r="B98" s="158" t="s">
        <v>112</v>
      </c>
      <c r="C98" s="20" t="s">
        <v>741</v>
      </c>
      <c r="D98" s="24" t="s">
        <v>160</v>
      </c>
      <c r="E98" s="237">
        <v>700000</v>
      </c>
      <c r="F98" s="241"/>
      <c r="G98" s="241">
        <v>700000</v>
      </c>
    </row>
    <row r="99" spans="1:7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37">
        <v>500000</v>
      </c>
      <c r="F99" s="241"/>
      <c r="G99" s="241">
        <v>500000</v>
      </c>
    </row>
    <row r="100" spans="1:7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37">
        <v>400000</v>
      </c>
      <c r="F100" s="241">
        <v>400000</v>
      </c>
      <c r="G100" s="241"/>
    </row>
    <row r="101" spans="1:7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237">
        <v>300000</v>
      </c>
      <c r="F101" s="241">
        <v>300000</v>
      </c>
      <c r="G101" s="241"/>
    </row>
    <row r="102" spans="1:7" ht="20.100000000000001" customHeight="1">
      <c r="A102" s="20"/>
      <c r="B102" s="159" t="s">
        <v>15</v>
      </c>
      <c r="C102" s="29">
        <v>4</v>
      </c>
      <c r="D102" s="187"/>
      <c r="E102" s="239">
        <f>SUM(E98:E101)</f>
        <v>1900000</v>
      </c>
      <c r="F102" s="239">
        <f t="shared" ref="F102:G102" si="16">SUM(F98:F101)</f>
        <v>700000</v>
      </c>
      <c r="G102" s="239">
        <f t="shared" si="16"/>
        <v>1200000</v>
      </c>
    </row>
    <row r="103" spans="1:7" ht="20.100000000000001" customHeight="1">
      <c r="A103" s="20"/>
      <c r="B103" s="123"/>
      <c r="C103" s="29"/>
      <c r="D103" s="187"/>
      <c r="E103" s="240"/>
      <c r="F103" s="240"/>
      <c r="G103" s="240"/>
    </row>
    <row r="104" spans="1:7" ht="20.100000000000001" customHeight="1">
      <c r="A104" s="20"/>
      <c r="B104" s="159" t="s">
        <v>465</v>
      </c>
      <c r="C104" s="20"/>
      <c r="D104" s="20"/>
      <c r="E104" s="242"/>
      <c r="F104" s="242"/>
      <c r="G104" s="242"/>
    </row>
    <row r="105" spans="1:7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41">
        <v>1000000</v>
      </c>
      <c r="F105" s="241"/>
      <c r="G105" s="241">
        <f>E105</f>
        <v>1000000</v>
      </c>
    </row>
    <row r="106" spans="1:7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41">
        <v>700000</v>
      </c>
      <c r="F106" s="241"/>
      <c r="G106" s="241">
        <f>E106</f>
        <v>700000</v>
      </c>
    </row>
    <row r="107" spans="1:7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41">
        <v>500000</v>
      </c>
      <c r="F107" s="241">
        <f>E107</f>
        <v>500000</v>
      </c>
      <c r="G107" s="241"/>
    </row>
    <row r="108" spans="1:7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41">
        <v>500000</v>
      </c>
      <c r="F108" s="241">
        <f>E108</f>
        <v>500000</v>
      </c>
      <c r="G108" s="241"/>
    </row>
    <row r="109" spans="1:7" ht="20.100000000000001" customHeight="1">
      <c r="A109" s="20">
        <v>5</v>
      </c>
      <c r="B109" s="156" t="s">
        <v>240</v>
      </c>
      <c r="C109" s="20" t="s">
        <v>338</v>
      </c>
      <c r="D109" s="181" t="s">
        <v>749</v>
      </c>
      <c r="E109" s="388">
        <v>300000</v>
      </c>
      <c r="F109" s="241">
        <f t="shared" ref="F109:F111" si="17">E109</f>
        <v>300000</v>
      </c>
      <c r="G109" s="241"/>
    </row>
    <row r="110" spans="1:7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388">
        <v>300000</v>
      </c>
      <c r="F110" s="241">
        <f t="shared" si="17"/>
        <v>300000</v>
      </c>
      <c r="G110" s="241"/>
    </row>
    <row r="111" spans="1:7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388">
        <v>300000</v>
      </c>
      <c r="F111" s="241">
        <f t="shared" si="17"/>
        <v>300000</v>
      </c>
      <c r="G111" s="241"/>
    </row>
    <row r="112" spans="1:7" ht="25.5" customHeight="1">
      <c r="A112" s="20"/>
      <c r="B112" s="159" t="s">
        <v>15</v>
      </c>
      <c r="C112" s="29">
        <v>7</v>
      </c>
      <c r="D112" s="20"/>
      <c r="E112" s="243">
        <f>SUM(E105:E111)</f>
        <v>3600000</v>
      </c>
      <c r="F112" s="243">
        <f t="shared" ref="F112:G112" si="18">SUM(F105:F111)</f>
        <v>1900000</v>
      </c>
      <c r="G112" s="243">
        <f t="shared" si="18"/>
        <v>1700000</v>
      </c>
    </row>
    <row r="113" spans="1:7" ht="20.100000000000001" customHeight="1">
      <c r="A113" s="20"/>
      <c r="B113" s="159"/>
      <c r="C113" s="29"/>
      <c r="D113" s="20"/>
      <c r="E113" s="243"/>
      <c r="F113" s="243"/>
      <c r="G113" s="243"/>
    </row>
    <row r="114" spans="1:7" ht="20.100000000000001" customHeight="1">
      <c r="A114" s="28"/>
      <c r="B114" s="159" t="s">
        <v>542</v>
      </c>
      <c r="C114" s="29"/>
      <c r="D114" s="29"/>
      <c r="E114" s="240"/>
      <c r="F114" s="240"/>
      <c r="G114" s="240"/>
    </row>
    <row r="115" spans="1:7" ht="20.100000000000001" customHeight="1">
      <c r="A115" s="28">
        <v>1</v>
      </c>
      <c r="B115" s="156" t="s">
        <v>247</v>
      </c>
      <c r="C115" s="20" t="s">
        <v>477</v>
      </c>
      <c r="D115" s="181" t="s">
        <v>497</v>
      </c>
      <c r="E115" s="389">
        <v>400000</v>
      </c>
      <c r="F115" s="389">
        <f>E115</f>
        <v>400000</v>
      </c>
      <c r="G115" s="389"/>
    </row>
    <row r="116" spans="1:7" ht="18.75" customHeight="1">
      <c r="A116" s="28">
        <v>2</v>
      </c>
      <c r="B116" s="156" t="s">
        <v>141</v>
      </c>
      <c r="C116" s="161" t="s">
        <v>391</v>
      </c>
      <c r="D116" s="181" t="s">
        <v>750</v>
      </c>
      <c r="E116" s="389">
        <v>400000</v>
      </c>
      <c r="F116" s="389">
        <f>E116</f>
        <v>400000</v>
      </c>
      <c r="G116" s="389"/>
    </row>
    <row r="117" spans="1:7" ht="20.100000000000001" customHeight="1">
      <c r="A117" s="20"/>
      <c r="B117" s="159" t="s">
        <v>15</v>
      </c>
      <c r="C117" s="29">
        <v>2</v>
      </c>
      <c r="D117" s="187"/>
      <c r="E117" s="398">
        <f>SUM(E115:E116)</f>
        <v>800000</v>
      </c>
      <c r="F117" s="398">
        <f>SUM(F115:F116)</f>
        <v>800000</v>
      </c>
      <c r="G117" s="239"/>
    </row>
    <row r="118" spans="1:7" ht="24.75" customHeight="1">
      <c r="A118" s="20"/>
      <c r="B118" s="123"/>
      <c r="C118" s="28"/>
      <c r="D118" s="20"/>
    </row>
    <row r="119" spans="1:7" ht="20.100000000000001" customHeight="1">
      <c r="A119" s="20"/>
      <c r="B119" s="159" t="s">
        <v>466</v>
      </c>
      <c r="C119" s="29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41">
        <v>1000000</v>
      </c>
      <c r="F120" s="241"/>
      <c r="G120" s="241">
        <f>E120</f>
        <v>1000000</v>
      </c>
    </row>
    <row r="121" spans="1:7" ht="20.100000000000001" customHeight="1">
      <c r="A121" s="20">
        <v>2</v>
      </c>
      <c r="B121" s="156" t="s">
        <v>153</v>
      </c>
      <c r="C121" s="161" t="s">
        <v>740</v>
      </c>
      <c r="D121" s="181" t="s">
        <v>221</v>
      </c>
      <c r="E121" s="241">
        <v>700000</v>
      </c>
      <c r="F121" s="241"/>
      <c r="G121" s="241">
        <f t="shared" ref="G121:G126" si="19">E121</f>
        <v>700000</v>
      </c>
    </row>
    <row r="122" spans="1:7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41">
        <v>700000</v>
      </c>
      <c r="F122" s="241"/>
      <c r="G122" s="241">
        <f t="shared" si="19"/>
        <v>700000</v>
      </c>
    </row>
    <row r="123" spans="1:7" ht="20.100000000000001" customHeight="1">
      <c r="A123" s="20">
        <v>4</v>
      </c>
      <c r="B123" s="158" t="s">
        <v>363</v>
      </c>
      <c r="C123" s="161" t="s">
        <v>376</v>
      </c>
      <c r="D123" s="181" t="s">
        <v>148</v>
      </c>
      <c r="E123" s="241">
        <v>700000</v>
      </c>
      <c r="F123" s="241"/>
      <c r="G123" s="241">
        <f t="shared" si="19"/>
        <v>700000</v>
      </c>
    </row>
    <row r="124" spans="1:7" ht="20.100000000000001" customHeight="1">
      <c r="A124" s="20">
        <v>5</v>
      </c>
      <c r="B124" s="156" t="s">
        <v>108</v>
      </c>
      <c r="C124" s="161" t="s">
        <v>476</v>
      </c>
      <c r="D124" s="181" t="s">
        <v>181</v>
      </c>
      <c r="E124" s="241">
        <v>500000</v>
      </c>
      <c r="F124" s="241"/>
      <c r="G124" s="241">
        <f t="shared" si="19"/>
        <v>500000</v>
      </c>
    </row>
    <row r="125" spans="1:7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241">
        <v>500000</v>
      </c>
      <c r="F125" s="241"/>
      <c r="G125" s="241">
        <f t="shared" si="19"/>
        <v>500000</v>
      </c>
    </row>
    <row r="126" spans="1:7" ht="20.100000000000001" customHeight="1">
      <c r="A126" s="20">
        <v>7</v>
      </c>
      <c r="B126" s="156" t="s">
        <v>134</v>
      </c>
      <c r="C126" s="161" t="s">
        <v>476</v>
      </c>
      <c r="D126" s="181" t="s">
        <v>162</v>
      </c>
      <c r="E126" s="241">
        <v>500000</v>
      </c>
      <c r="F126" s="241"/>
      <c r="G126" s="241">
        <f t="shared" si="19"/>
        <v>500000</v>
      </c>
    </row>
    <row r="127" spans="1:7" ht="20.100000000000001" customHeight="1">
      <c r="A127" s="20">
        <v>8</v>
      </c>
      <c r="B127" s="156" t="s">
        <v>443</v>
      </c>
      <c r="C127" s="161" t="s">
        <v>447</v>
      </c>
      <c r="D127" s="28" t="s">
        <v>747</v>
      </c>
      <c r="E127" s="241">
        <v>300000</v>
      </c>
      <c r="F127" s="241">
        <f>E127</f>
        <v>300000</v>
      </c>
      <c r="G127" s="241"/>
    </row>
    <row r="128" spans="1:7" ht="20.100000000000001" customHeight="1">
      <c r="A128" s="20">
        <v>9</v>
      </c>
      <c r="B128" s="157" t="s">
        <v>439</v>
      </c>
      <c r="C128" s="161" t="s">
        <v>440</v>
      </c>
      <c r="D128" s="181" t="s">
        <v>176</v>
      </c>
      <c r="E128" s="241">
        <v>300000</v>
      </c>
      <c r="F128" s="241">
        <f t="shared" ref="F128:F129" si="20">E128</f>
        <v>300000</v>
      </c>
      <c r="G128" s="241"/>
    </row>
    <row r="129" spans="1:7" ht="20.100000000000001" customHeight="1">
      <c r="A129" s="20">
        <v>10</v>
      </c>
      <c r="B129" s="157" t="s">
        <v>535</v>
      </c>
      <c r="C129" s="161" t="s">
        <v>536</v>
      </c>
      <c r="D129" s="181" t="s">
        <v>176</v>
      </c>
      <c r="E129" s="241">
        <v>300000</v>
      </c>
      <c r="F129" s="241">
        <f t="shared" si="20"/>
        <v>300000</v>
      </c>
      <c r="G129" s="241"/>
    </row>
    <row r="130" spans="1:7" ht="20.100000000000001" customHeight="1">
      <c r="A130" s="20"/>
      <c r="B130" s="159" t="s">
        <v>15</v>
      </c>
      <c r="C130" s="187" t="s">
        <v>543</v>
      </c>
      <c r="D130" s="181"/>
      <c r="E130" s="240">
        <f>SUM(E120:E129)</f>
        <v>5500000</v>
      </c>
      <c r="F130" s="240">
        <f t="shared" ref="F130:G130" si="21">SUM(F120:F129)</f>
        <v>900000</v>
      </c>
      <c r="G130" s="240">
        <f t="shared" si="21"/>
        <v>4600000</v>
      </c>
    </row>
    <row r="131" spans="1:7" ht="28.5" customHeight="1">
      <c r="A131" s="20"/>
      <c r="B131" s="123"/>
      <c r="C131" s="187"/>
      <c r="D131" s="181"/>
      <c r="E131" s="20"/>
      <c r="F131" s="20"/>
      <c r="G131" s="20"/>
    </row>
    <row r="132" spans="1:7" ht="20.100000000000001" customHeight="1">
      <c r="A132" s="20"/>
      <c r="B132" s="159" t="s">
        <v>467</v>
      </c>
      <c r="C132" s="161"/>
      <c r="D132" s="181"/>
      <c r="E132" s="240"/>
      <c r="F132" s="240"/>
      <c r="G132" s="240"/>
    </row>
    <row r="133" spans="1:7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41">
        <v>500000</v>
      </c>
      <c r="F133" s="241"/>
      <c r="G133" s="241">
        <f>E133</f>
        <v>500000</v>
      </c>
    </row>
    <row r="134" spans="1:7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41">
        <v>700000</v>
      </c>
      <c r="F134" s="241"/>
      <c r="G134" s="241">
        <f t="shared" ref="G134:G138" si="22">E134</f>
        <v>700000</v>
      </c>
    </row>
    <row r="135" spans="1:7" ht="20.100000000000001" customHeight="1">
      <c r="A135" s="191">
        <v>3</v>
      </c>
      <c r="B135" s="158" t="s">
        <v>183</v>
      </c>
      <c r="C135" s="20" t="s">
        <v>486</v>
      </c>
      <c r="D135" s="24" t="s">
        <v>160</v>
      </c>
      <c r="E135" s="241">
        <v>700000</v>
      </c>
      <c r="F135" s="241"/>
      <c r="G135" s="241">
        <f t="shared" si="22"/>
        <v>700000</v>
      </c>
    </row>
    <row r="136" spans="1:7" ht="20.100000000000001" customHeight="1">
      <c r="A136" s="191">
        <v>4</v>
      </c>
      <c r="B136" s="156" t="s">
        <v>106</v>
      </c>
      <c r="C136" s="161" t="s">
        <v>381</v>
      </c>
      <c r="D136" s="181" t="s">
        <v>174</v>
      </c>
      <c r="E136" s="241">
        <v>500000</v>
      </c>
      <c r="F136" s="241"/>
      <c r="G136" s="241">
        <f t="shared" si="22"/>
        <v>500000</v>
      </c>
    </row>
    <row r="137" spans="1:7" ht="20.100000000000001" customHeight="1">
      <c r="A137" s="191">
        <v>5</v>
      </c>
      <c r="B137" s="156" t="s">
        <v>7</v>
      </c>
      <c r="C137" s="20" t="s">
        <v>385</v>
      </c>
      <c r="D137" s="181" t="s">
        <v>174</v>
      </c>
      <c r="E137" s="241">
        <v>500000</v>
      </c>
      <c r="F137" s="241"/>
      <c r="G137" s="241">
        <f t="shared" si="22"/>
        <v>500000</v>
      </c>
    </row>
    <row r="138" spans="1:7" ht="20.100000000000001" customHeight="1">
      <c r="A138" s="191">
        <v>6</v>
      </c>
      <c r="B138" s="156" t="s">
        <v>6</v>
      </c>
      <c r="C138" s="20" t="s">
        <v>385</v>
      </c>
      <c r="D138" s="181" t="s">
        <v>174</v>
      </c>
      <c r="E138" s="241">
        <v>500000</v>
      </c>
      <c r="F138" s="241"/>
      <c r="G138" s="241">
        <f t="shared" si="22"/>
        <v>500000</v>
      </c>
    </row>
    <row r="139" spans="1:7" ht="20.100000000000001" customHeight="1">
      <c r="A139" s="191">
        <v>7</v>
      </c>
      <c r="B139" s="156" t="s">
        <v>102</v>
      </c>
      <c r="C139" s="161" t="s">
        <v>395</v>
      </c>
      <c r="D139" s="181" t="s">
        <v>750</v>
      </c>
      <c r="E139" s="241">
        <v>400000</v>
      </c>
      <c r="F139" s="241">
        <f>E139</f>
        <v>400000</v>
      </c>
      <c r="G139" s="241"/>
    </row>
    <row r="140" spans="1:7" ht="20.100000000000001" customHeight="1">
      <c r="A140" s="191">
        <v>8</v>
      </c>
      <c r="B140" s="156" t="s">
        <v>103</v>
      </c>
      <c r="C140" s="161" t="s">
        <v>395</v>
      </c>
      <c r="D140" s="181" t="s">
        <v>750</v>
      </c>
      <c r="E140" s="241">
        <v>400000</v>
      </c>
      <c r="F140" s="241">
        <f t="shared" ref="F140:F191" si="23">E140</f>
        <v>400000</v>
      </c>
      <c r="G140" s="241"/>
    </row>
    <row r="141" spans="1:7" ht="20.100000000000001" customHeight="1">
      <c r="A141" s="191">
        <v>9</v>
      </c>
      <c r="B141" s="156" t="s">
        <v>151</v>
      </c>
      <c r="C141" s="20" t="s">
        <v>235</v>
      </c>
      <c r="D141" s="181" t="s">
        <v>750</v>
      </c>
      <c r="E141" s="241">
        <v>400000</v>
      </c>
      <c r="F141" s="241">
        <f t="shared" si="23"/>
        <v>400000</v>
      </c>
      <c r="G141" s="241"/>
    </row>
    <row r="142" spans="1:7" ht="20.100000000000001" customHeight="1">
      <c r="A142" s="191">
        <v>10</v>
      </c>
      <c r="B142" s="156" t="s">
        <v>238</v>
      </c>
      <c r="C142" s="161" t="s">
        <v>546</v>
      </c>
      <c r="D142" s="181" t="s">
        <v>497</v>
      </c>
      <c r="E142" s="241">
        <v>400000</v>
      </c>
      <c r="F142" s="241">
        <f t="shared" si="23"/>
        <v>400000</v>
      </c>
      <c r="G142" s="241"/>
    </row>
    <row r="143" spans="1:7" ht="20.100000000000001" customHeight="1">
      <c r="A143" s="191">
        <v>11</v>
      </c>
      <c r="B143" s="156" t="s">
        <v>53</v>
      </c>
      <c r="C143" s="161" t="s">
        <v>711</v>
      </c>
      <c r="D143" s="181" t="s">
        <v>415</v>
      </c>
      <c r="E143" s="241">
        <v>400000</v>
      </c>
      <c r="F143" s="241">
        <f t="shared" si="23"/>
        <v>400000</v>
      </c>
      <c r="G143" s="241"/>
    </row>
    <row r="144" spans="1:7" ht="20.100000000000001" customHeight="1">
      <c r="A144" s="191">
        <v>12</v>
      </c>
      <c r="B144" s="156" t="s">
        <v>179</v>
      </c>
      <c r="C144" s="161" t="s">
        <v>479</v>
      </c>
      <c r="D144" s="181" t="s">
        <v>750</v>
      </c>
      <c r="E144" s="241">
        <v>400000</v>
      </c>
      <c r="F144" s="241">
        <f t="shared" si="23"/>
        <v>400000</v>
      </c>
      <c r="G144" s="241"/>
    </row>
    <row r="145" spans="1:7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241">
        <v>400000</v>
      </c>
      <c r="F145" s="241">
        <f t="shared" si="23"/>
        <v>400000</v>
      </c>
      <c r="G145" s="241"/>
    </row>
    <row r="146" spans="1:7" ht="20.100000000000001" customHeight="1">
      <c r="A146" s="191">
        <v>14</v>
      </c>
      <c r="B146" s="156" t="s">
        <v>488</v>
      </c>
      <c r="C146" s="20" t="s">
        <v>239</v>
      </c>
      <c r="D146" s="181" t="s">
        <v>164</v>
      </c>
      <c r="E146" s="388">
        <v>300000</v>
      </c>
      <c r="F146" s="241">
        <f t="shared" si="23"/>
        <v>300000</v>
      </c>
      <c r="G146" s="241"/>
    </row>
    <row r="147" spans="1:7" ht="20.100000000000001" customHeight="1">
      <c r="A147" s="191">
        <v>15</v>
      </c>
      <c r="B147" s="156" t="s">
        <v>489</v>
      </c>
      <c r="C147" s="20" t="s">
        <v>239</v>
      </c>
      <c r="D147" s="181" t="s">
        <v>27</v>
      </c>
      <c r="E147" s="388">
        <v>300000</v>
      </c>
      <c r="F147" s="241">
        <f t="shared" si="23"/>
        <v>300000</v>
      </c>
      <c r="G147" s="241"/>
    </row>
    <row r="148" spans="1:7" ht="20.100000000000001" customHeight="1">
      <c r="A148" s="191">
        <v>16</v>
      </c>
      <c r="B148" s="156" t="s">
        <v>212</v>
      </c>
      <c r="C148" s="20" t="s">
        <v>239</v>
      </c>
      <c r="D148" s="181" t="s">
        <v>27</v>
      </c>
      <c r="E148" s="388">
        <v>300000</v>
      </c>
      <c r="F148" s="241">
        <f t="shared" si="23"/>
        <v>300000</v>
      </c>
      <c r="G148" s="241"/>
    </row>
    <row r="149" spans="1:7" ht="20.100000000000001" customHeight="1">
      <c r="A149" s="191">
        <v>17</v>
      </c>
      <c r="B149" s="156" t="s">
        <v>425</v>
      </c>
      <c r="C149" s="161" t="s">
        <v>430</v>
      </c>
      <c r="D149" s="181" t="s">
        <v>207</v>
      </c>
      <c r="E149" s="388">
        <v>300000</v>
      </c>
      <c r="F149" s="241">
        <f t="shared" si="23"/>
        <v>300000</v>
      </c>
      <c r="G149" s="241"/>
    </row>
    <row r="150" spans="1:7" ht="20.100000000000001" customHeight="1">
      <c r="A150" s="191">
        <v>18</v>
      </c>
      <c r="B150" s="156" t="s">
        <v>751</v>
      </c>
      <c r="C150" s="161" t="s">
        <v>438</v>
      </c>
      <c r="D150" s="28" t="s">
        <v>498</v>
      </c>
      <c r="E150" s="388">
        <v>300000</v>
      </c>
      <c r="F150" s="241">
        <f t="shared" si="23"/>
        <v>300000</v>
      </c>
      <c r="G150" s="241"/>
    </row>
    <row r="151" spans="1:7" ht="20.100000000000001" customHeight="1">
      <c r="A151" s="191">
        <v>19</v>
      </c>
      <c r="B151" s="156" t="s">
        <v>230</v>
      </c>
      <c r="C151" s="161" t="s">
        <v>485</v>
      </c>
      <c r="D151" s="181" t="s">
        <v>164</v>
      </c>
      <c r="E151" s="388">
        <v>300000</v>
      </c>
      <c r="F151" s="241">
        <f t="shared" si="23"/>
        <v>300000</v>
      </c>
      <c r="G151" s="241"/>
    </row>
    <row r="152" spans="1:7" ht="20.100000000000001" customHeight="1">
      <c r="A152" s="191">
        <v>20</v>
      </c>
      <c r="B152" s="156" t="s">
        <v>57</v>
      </c>
      <c r="C152" s="161" t="s">
        <v>481</v>
      </c>
      <c r="D152" s="181" t="s">
        <v>747</v>
      </c>
      <c r="E152" s="388">
        <v>300000</v>
      </c>
      <c r="F152" s="241">
        <f t="shared" si="23"/>
        <v>300000</v>
      </c>
      <c r="G152" s="241"/>
    </row>
    <row r="153" spans="1:7" ht="20.100000000000001" customHeight="1">
      <c r="A153" s="191">
        <v>21</v>
      </c>
      <c r="B153" s="156" t="s">
        <v>251</v>
      </c>
      <c r="C153" s="161" t="s">
        <v>482</v>
      </c>
      <c r="D153" s="181" t="s">
        <v>164</v>
      </c>
      <c r="E153" s="388">
        <v>300000</v>
      </c>
      <c r="F153" s="241">
        <f t="shared" si="23"/>
        <v>300000</v>
      </c>
      <c r="G153" s="241"/>
    </row>
    <row r="154" spans="1:7" ht="20.100000000000001" customHeight="1">
      <c r="A154" s="191">
        <v>22</v>
      </c>
      <c r="B154" s="156" t="s">
        <v>241</v>
      </c>
      <c r="C154" s="161" t="s">
        <v>348</v>
      </c>
      <c r="D154" s="181" t="s">
        <v>747</v>
      </c>
      <c r="E154" s="388">
        <v>300000</v>
      </c>
      <c r="F154" s="241">
        <f t="shared" si="23"/>
        <v>300000</v>
      </c>
      <c r="G154" s="241"/>
    </row>
    <row r="155" spans="1:7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388">
        <v>300000</v>
      </c>
      <c r="F155" s="241">
        <f t="shared" si="23"/>
        <v>300000</v>
      </c>
      <c r="G155" s="241"/>
    </row>
    <row r="156" spans="1:7" ht="20.100000000000001" customHeight="1">
      <c r="A156" s="191">
        <v>24</v>
      </c>
      <c r="B156" s="157" t="s">
        <v>407</v>
      </c>
      <c r="C156" s="161" t="s">
        <v>131</v>
      </c>
      <c r="D156" s="181" t="s">
        <v>176</v>
      </c>
      <c r="E156" s="388">
        <v>300000</v>
      </c>
      <c r="F156" s="241">
        <f t="shared" si="23"/>
        <v>300000</v>
      </c>
      <c r="G156" s="241"/>
    </row>
    <row r="157" spans="1:7" ht="20.100000000000001" customHeight="1">
      <c r="A157" s="191">
        <v>25</v>
      </c>
      <c r="B157" s="157" t="s">
        <v>426</v>
      </c>
      <c r="C157" s="161" t="s">
        <v>290</v>
      </c>
      <c r="D157" s="181" t="s">
        <v>176</v>
      </c>
      <c r="E157" s="388">
        <v>300000</v>
      </c>
      <c r="F157" s="241">
        <f t="shared" si="23"/>
        <v>300000</v>
      </c>
      <c r="G157" s="241"/>
    </row>
    <row r="158" spans="1:7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388">
        <v>300000</v>
      </c>
      <c r="F158" s="241">
        <f t="shared" si="23"/>
        <v>300000</v>
      </c>
      <c r="G158" s="241"/>
    </row>
    <row r="159" spans="1:7" ht="20.100000000000001" customHeight="1">
      <c r="A159" s="191">
        <v>27</v>
      </c>
      <c r="B159" s="157" t="s">
        <v>445</v>
      </c>
      <c r="C159" s="161" t="s">
        <v>446</v>
      </c>
      <c r="D159" s="181" t="s">
        <v>51</v>
      </c>
      <c r="E159" s="388">
        <v>300000</v>
      </c>
      <c r="F159" s="241">
        <f t="shared" si="23"/>
        <v>300000</v>
      </c>
      <c r="G159" s="241"/>
    </row>
    <row r="160" spans="1:7" ht="20.100000000000001" customHeight="1">
      <c r="A160" s="191">
        <v>28</v>
      </c>
      <c r="B160" s="157" t="s">
        <v>550</v>
      </c>
      <c r="C160" s="161" t="s">
        <v>290</v>
      </c>
      <c r="D160" s="181" t="s">
        <v>176</v>
      </c>
      <c r="E160" s="388">
        <v>300000</v>
      </c>
      <c r="F160" s="241">
        <f t="shared" si="23"/>
        <v>300000</v>
      </c>
      <c r="G160" s="241"/>
    </row>
    <row r="161" spans="1:7" ht="20.100000000000001" customHeight="1">
      <c r="A161" s="191">
        <v>29</v>
      </c>
      <c r="B161" s="156" t="s">
        <v>22</v>
      </c>
      <c r="C161" s="161" t="s">
        <v>302</v>
      </c>
      <c r="D161" s="181" t="s">
        <v>752</v>
      </c>
      <c r="E161" s="390">
        <v>100000</v>
      </c>
      <c r="F161" s="241">
        <f t="shared" si="23"/>
        <v>100000</v>
      </c>
      <c r="G161" s="241"/>
    </row>
    <row r="162" spans="1:7" ht="20.100000000000001" customHeight="1">
      <c r="A162" s="191">
        <v>30</v>
      </c>
      <c r="B162" s="156" t="s">
        <v>14</v>
      </c>
      <c r="C162" s="161" t="s">
        <v>302</v>
      </c>
      <c r="D162" s="181" t="s">
        <v>752</v>
      </c>
      <c r="E162" s="390">
        <v>100000</v>
      </c>
      <c r="F162" s="241">
        <f t="shared" si="23"/>
        <v>100000</v>
      </c>
      <c r="G162" s="241"/>
    </row>
    <row r="163" spans="1:7" ht="20.100000000000001" customHeight="1">
      <c r="A163" s="191">
        <v>31</v>
      </c>
      <c r="B163" s="156" t="s">
        <v>23</v>
      </c>
      <c r="C163" s="161" t="s">
        <v>302</v>
      </c>
      <c r="D163" s="181" t="s">
        <v>752</v>
      </c>
      <c r="E163" s="390">
        <v>100000</v>
      </c>
      <c r="F163" s="241">
        <f t="shared" si="23"/>
        <v>100000</v>
      </c>
      <c r="G163" s="241"/>
    </row>
    <row r="164" spans="1:7" ht="20.100000000000001" customHeight="1">
      <c r="A164" s="191">
        <v>32</v>
      </c>
      <c r="B164" s="156" t="s">
        <v>39</v>
      </c>
      <c r="C164" s="161" t="s">
        <v>302</v>
      </c>
      <c r="D164" s="181" t="s">
        <v>752</v>
      </c>
      <c r="E164" s="390">
        <v>100000</v>
      </c>
      <c r="F164" s="241">
        <f t="shared" si="23"/>
        <v>100000</v>
      </c>
      <c r="G164" s="241"/>
    </row>
    <row r="165" spans="1:7" ht="20.100000000000001" customHeight="1">
      <c r="A165" s="191">
        <v>33</v>
      </c>
      <c r="B165" s="156" t="s">
        <v>40</v>
      </c>
      <c r="C165" s="161" t="s">
        <v>302</v>
      </c>
      <c r="D165" s="181" t="s">
        <v>752</v>
      </c>
      <c r="E165" s="390">
        <v>100000</v>
      </c>
      <c r="F165" s="241">
        <f t="shared" si="23"/>
        <v>100000</v>
      </c>
      <c r="G165" s="241"/>
    </row>
    <row r="166" spans="1:7" ht="20.100000000000001" customHeight="1">
      <c r="A166" s="191">
        <v>34</v>
      </c>
      <c r="B166" s="156" t="s">
        <v>127</v>
      </c>
      <c r="C166" s="161" t="s">
        <v>302</v>
      </c>
      <c r="D166" s="181" t="s">
        <v>501</v>
      </c>
      <c r="E166" s="390">
        <v>100000</v>
      </c>
      <c r="F166" s="241">
        <f t="shared" si="23"/>
        <v>100000</v>
      </c>
      <c r="G166" s="241"/>
    </row>
    <row r="167" spans="1:7" ht="20.100000000000001" customHeight="1">
      <c r="A167" s="191">
        <v>35</v>
      </c>
      <c r="B167" s="156" t="s">
        <v>128</v>
      </c>
      <c r="C167" s="161" t="s">
        <v>302</v>
      </c>
      <c r="D167" s="181" t="s">
        <v>501</v>
      </c>
      <c r="E167" s="390">
        <v>100000</v>
      </c>
      <c r="F167" s="241">
        <f t="shared" si="23"/>
        <v>100000</v>
      </c>
      <c r="G167" s="241"/>
    </row>
    <row r="168" spans="1:7" ht="20.100000000000001" customHeight="1">
      <c r="A168" s="191">
        <v>36</v>
      </c>
      <c r="B168" s="158" t="s">
        <v>136</v>
      </c>
      <c r="C168" s="161" t="s">
        <v>302</v>
      </c>
      <c r="D168" s="181" t="s">
        <v>501</v>
      </c>
      <c r="E168" s="390">
        <v>100000</v>
      </c>
      <c r="F168" s="241">
        <f t="shared" si="23"/>
        <v>100000</v>
      </c>
      <c r="G168" s="241"/>
    </row>
    <row r="169" spans="1:7" ht="20.100000000000001" customHeight="1">
      <c r="A169" s="191">
        <v>37</v>
      </c>
      <c r="B169" s="156" t="s">
        <v>140</v>
      </c>
      <c r="C169" s="161" t="s">
        <v>302</v>
      </c>
      <c r="D169" s="181" t="s">
        <v>501</v>
      </c>
      <c r="E169" s="390">
        <v>100000</v>
      </c>
      <c r="F169" s="241">
        <f t="shared" si="23"/>
        <v>100000</v>
      </c>
      <c r="G169" s="241"/>
    </row>
    <row r="170" spans="1:7" ht="20.100000000000001" customHeight="1">
      <c r="A170" s="191">
        <v>38</v>
      </c>
      <c r="B170" s="157" t="s">
        <v>152</v>
      </c>
      <c r="C170" s="161" t="s">
        <v>302</v>
      </c>
      <c r="D170" s="181" t="s">
        <v>501</v>
      </c>
      <c r="E170" s="390">
        <v>100000</v>
      </c>
      <c r="F170" s="241">
        <f t="shared" si="23"/>
        <v>100000</v>
      </c>
      <c r="G170" s="241"/>
    </row>
    <row r="171" spans="1:7" ht="20.100000000000001" customHeight="1">
      <c r="A171" s="191">
        <v>39</v>
      </c>
      <c r="B171" s="157" t="s">
        <v>132</v>
      </c>
      <c r="C171" s="161" t="s">
        <v>302</v>
      </c>
      <c r="D171" s="181" t="s">
        <v>501</v>
      </c>
      <c r="E171" s="390">
        <v>100000</v>
      </c>
      <c r="F171" s="241">
        <f t="shared" si="23"/>
        <v>100000</v>
      </c>
      <c r="G171" s="241"/>
    </row>
    <row r="172" spans="1:7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390">
        <v>100000</v>
      </c>
      <c r="F172" s="241">
        <f t="shared" si="23"/>
        <v>100000</v>
      </c>
      <c r="G172" s="241"/>
    </row>
    <row r="173" spans="1:7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390">
        <v>100000</v>
      </c>
      <c r="F173" s="241">
        <f t="shared" si="23"/>
        <v>100000</v>
      </c>
      <c r="G173" s="241"/>
    </row>
    <row r="174" spans="1:7" ht="20.100000000000001" customHeight="1">
      <c r="A174" s="191">
        <v>42</v>
      </c>
      <c r="B174" s="157" t="s">
        <v>166</v>
      </c>
      <c r="C174" s="161" t="s">
        <v>714</v>
      </c>
      <c r="D174" s="181" t="s">
        <v>416</v>
      </c>
      <c r="E174" s="390">
        <v>100000</v>
      </c>
      <c r="F174" s="241">
        <f t="shared" si="23"/>
        <v>100000</v>
      </c>
      <c r="G174" s="241"/>
    </row>
    <row r="175" spans="1:7" ht="20.100000000000001" customHeight="1">
      <c r="A175" s="191">
        <v>43</v>
      </c>
      <c r="B175" s="156" t="s">
        <v>204</v>
      </c>
      <c r="C175" s="161" t="s">
        <v>167</v>
      </c>
      <c r="D175" s="181" t="s">
        <v>263</v>
      </c>
      <c r="E175" s="390">
        <v>100000</v>
      </c>
      <c r="F175" s="241">
        <f t="shared" si="23"/>
        <v>100000</v>
      </c>
      <c r="G175" s="241"/>
    </row>
    <row r="176" spans="1:7" ht="20.100000000000001" customHeight="1">
      <c r="A176" s="191">
        <v>44</v>
      </c>
      <c r="B176" s="156" t="s">
        <v>209</v>
      </c>
      <c r="C176" s="161" t="s">
        <v>13</v>
      </c>
      <c r="D176" s="181" t="s">
        <v>753</v>
      </c>
      <c r="E176" s="390">
        <v>100000</v>
      </c>
      <c r="F176" s="241">
        <f t="shared" si="23"/>
        <v>100000</v>
      </c>
      <c r="G176" s="241"/>
    </row>
    <row r="177" spans="1:7" ht="20.100000000000001" customHeight="1">
      <c r="A177" s="191">
        <v>45</v>
      </c>
      <c r="B177" s="156" t="s">
        <v>218</v>
      </c>
      <c r="C177" s="161" t="s">
        <v>13</v>
      </c>
      <c r="D177" s="181" t="s">
        <v>753</v>
      </c>
      <c r="E177" s="390">
        <v>100000</v>
      </c>
      <c r="F177" s="241">
        <f t="shared" si="23"/>
        <v>100000</v>
      </c>
      <c r="G177" s="241"/>
    </row>
    <row r="178" spans="1:7" ht="20.100000000000001" customHeight="1">
      <c r="A178" s="191">
        <v>46</v>
      </c>
      <c r="B178" s="156" t="s">
        <v>219</v>
      </c>
      <c r="C178" s="161" t="s">
        <v>13</v>
      </c>
      <c r="D178" s="181" t="s">
        <v>753</v>
      </c>
      <c r="E178" s="390">
        <v>100000</v>
      </c>
      <c r="F178" s="241">
        <f t="shared" si="23"/>
        <v>100000</v>
      </c>
      <c r="G178" s="241"/>
    </row>
    <row r="179" spans="1:7" ht="20.100000000000001" customHeight="1">
      <c r="A179" s="191">
        <v>47</v>
      </c>
      <c r="B179" s="156" t="s">
        <v>211</v>
      </c>
      <c r="C179" s="161" t="s">
        <v>13</v>
      </c>
      <c r="D179" s="181" t="s">
        <v>753</v>
      </c>
      <c r="E179" s="390">
        <v>100000</v>
      </c>
      <c r="F179" s="241">
        <f t="shared" si="23"/>
        <v>100000</v>
      </c>
      <c r="G179" s="241"/>
    </row>
    <row r="180" spans="1:7" ht="20.100000000000001" customHeight="1">
      <c r="A180" s="191">
        <v>48</v>
      </c>
      <c r="B180" s="156" t="s">
        <v>213</v>
      </c>
      <c r="C180" s="161" t="s">
        <v>13</v>
      </c>
      <c r="D180" s="181" t="s">
        <v>753</v>
      </c>
      <c r="E180" s="390">
        <v>100000</v>
      </c>
      <c r="F180" s="241">
        <f t="shared" si="23"/>
        <v>100000</v>
      </c>
      <c r="G180" s="241"/>
    </row>
    <row r="181" spans="1:7" ht="20.100000000000001" customHeight="1">
      <c r="A181" s="191">
        <v>49</v>
      </c>
      <c r="B181" s="157" t="s">
        <v>342</v>
      </c>
      <c r="C181" s="161" t="s">
        <v>13</v>
      </c>
      <c r="D181" s="181" t="s">
        <v>753</v>
      </c>
      <c r="E181" s="390">
        <v>100000</v>
      </c>
      <c r="F181" s="241">
        <f t="shared" si="23"/>
        <v>100000</v>
      </c>
      <c r="G181" s="241"/>
    </row>
    <row r="182" spans="1:7" ht="20.100000000000001" customHeight="1">
      <c r="A182" s="191">
        <v>50</v>
      </c>
      <c r="B182" s="157" t="s">
        <v>405</v>
      </c>
      <c r="C182" s="161" t="s">
        <v>13</v>
      </c>
      <c r="D182" s="181" t="s">
        <v>753</v>
      </c>
      <c r="E182" s="390">
        <v>100000</v>
      </c>
      <c r="F182" s="241">
        <f t="shared" si="23"/>
        <v>100000</v>
      </c>
      <c r="G182" s="241"/>
    </row>
    <row r="183" spans="1:7" ht="20.100000000000001" customHeight="1">
      <c r="A183" s="191">
        <v>51</v>
      </c>
      <c r="B183" s="156" t="s">
        <v>232</v>
      </c>
      <c r="C183" s="161" t="s">
        <v>167</v>
      </c>
      <c r="D183" s="181" t="s">
        <v>753</v>
      </c>
      <c r="E183" s="390">
        <v>100000</v>
      </c>
      <c r="F183" s="241">
        <f t="shared" si="23"/>
        <v>100000</v>
      </c>
      <c r="G183" s="241"/>
    </row>
    <row r="184" spans="1:7" ht="20.100000000000001" customHeight="1">
      <c r="A184" s="191">
        <v>52</v>
      </c>
      <c r="B184" s="156" t="s">
        <v>233</v>
      </c>
      <c r="C184" s="161" t="s">
        <v>167</v>
      </c>
      <c r="D184" s="181" t="s">
        <v>753</v>
      </c>
      <c r="E184" s="390">
        <v>100000</v>
      </c>
      <c r="F184" s="241">
        <f t="shared" si="23"/>
        <v>100000</v>
      </c>
      <c r="G184" s="241"/>
    </row>
    <row r="185" spans="1:7" ht="20.100000000000001" customHeight="1">
      <c r="A185" s="191">
        <v>53</v>
      </c>
      <c r="B185" s="157" t="s">
        <v>279</v>
      </c>
      <c r="C185" s="161" t="s">
        <v>715</v>
      </c>
      <c r="D185" s="181" t="s">
        <v>301</v>
      </c>
      <c r="E185" s="390">
        <v>100000</v>
      </c>
      <c r="F185" s="241">
        <f t="shared" si="23"/>
        <v>100000</v>
      </c>
      <c r="G185" s="241"/>
    </row>
    <row r="186" spans="1:7" ht="20.100000000000001" customHeight="1">
      <c r="A186" s="191">
        <v>54</v>
      </c>
      <c r="B186" s="157" t="s">
        <v>403</v>
      </c>
      <c r="C186" s="161" t="s">
        <v>13</v>
      </c>
      <c r="D186" s="181" t="s">
        <v>28</v>
      </c>
      <c r="E186" s="390">
        <v>100000</v>
      </c>
      <c r="F186" s="241">
        <f t="shared" si="23"/>
        <v>100000</v>
      </c>
      <c r="G186" s="241"/>
    </row>
    <row r="187" spans="1:7" ht="20.100000000000001" customHeight="1">
      <c r="A187" s="191">
        <v>55</v>
      </c>
      <c r="B187" s="157" t="s">
        <v>557</v>
      </c>
      <c r="C187" s="161" t="s">
        <v>558</v>
      </c>
      <c r="D187" s="181" t="s">
        <v>150</v>
      </c>
      <c r="E187" s="390">
        <v>100000</v>
      </c>
      <c r="F187" s="241">
        <f t="shared" si="23"/>
        <v>100000</v>
      </c>
      <c r="G187" s="391"/>
    </row>
    <row r="188" spans="1:7" ht="20.100000000000001" customHeight="1">
      <c r="A188" s="191">
        <v>56</v>
      </c>
      <c r="B188" s="157" t="s">
        <v>560</v>
      </c>
      <c r="C188" s="161" t="s">
        <v>558</v>
      </c>
      <c r="D188" s="181" t="s">
        <v>150</v>
      </c>
      <c r="E188" s="390">
        <v>100000</v>
      </c>
      <c r="F188" s="241">
        <f t="shared" si="23"/>
        <v>100000</v>
      </c>
      <c r="G188" s="391"/>
    </row>
    <row r="189" spans="1:7" ht="20.100000000000001" customHeight="1">
      <c r="A189" s="191">
        <v>57</v>
      </c>
      <c r="B189" s="157" t="s">
        <v>561</v>
      </c>
      <c r="C189" s="161" t="s">
        <v>558</v>
      </c>
      <c r="D189" s="181" t="s">
        <v>150</v>
      </c>
      <c r="E189" s="390">
        <v>100000</v>
      </c>
      <c r="F189" s="241">
        <f t="shared" si="23"/>
        <v>100000</v>
      </c>
      <c r="G189" s="391"/>
    </row>
    <row r="190" spans="1:7" ht="20.100000000000001" customHeight="1">
      <c r="A190" s="191">
        <v>58</v>
      </c>
      <c r="B190" s="157" t="s">
        <v>562</v>
      </c>
      <c r="C190" s="161" t="s">
        <v>563</v>
      </c>
      <c r="D190" s="181" t="s">
        <v>262</v>
      </c>
      <c r="E190" s="390">
        <v>100000</v>
      </c>
      <c r="F190" s="241">
        <f t="shared" si="23"/>
        <v>100000</v>
      </c>
      <c r="G190" s="241"/>
    </row>
    <row r="191" spans="1:7" ht="20.100000000000001" customHeight="1">
      <c r="A191" s="191">
        <v>59</v>
      </c>
      <c r="B191" s="157" t="s">
        <v>565</v>
      </c>
      <c r="C191" s="161" t="s">
        <v>563</v>
      </c>
      <c r="D191" s="181" t="s">
        <v>262</v>
      </c>
      <c r="E191" s="390">
        <v>100000</v>
      </c>
      <c r="F191" s="241">
        <f t="shared" si="23"/>
        <v>100000</v>
      </c>
      <c r="G191" s="241"/>
    </row>
    <row r="192" spans="1:7" ht="20.100000000000001" customHeight="1">
      <c r="A192" s="191"/>
      <c r="B192" s="177" t="s">
        <v>15</v>
      </c>
      <c r="C192" s="193" t="s">
        <v>710</v>
      </c>
      <c r="D192" s="22"/>
      <c r="E192" s="239">
        <f>SUM(E133:E191)</f>
        <v>13800000</v>
      </c>
      <c r="F192" s="239">
        <f t="shared" ref="F192:G192" si="24">SUM(F133:F191)</f>
        <v>10400000</v>
      </c>
      <c r="G192" s="239">
        <f t="shared" si="24"/>
        <v>3400000</v>
      </c>
    </row>
    <row r="193" spans="1:7" ht="20.100000000000001" customHeight="1">
      <c r="A193" s="20"/>
      <c r="B193" s="194"/>
      <c r="C193" s="195"/>
      <c r="D193" s="196"/>
    </row>
    <row r="194" spans="1:7" ht="33" customHeight="1">
      <c r="A194" s="20"/>
      <c r="B194" s="194" t="s">
        <v>8</v>
      </c>
      <c r="C194" s="195">
        <f>C192+C130+C117+C112+C102+C95+C81+C71+C57+C52+J1+C37+C31</f>
        <v>153</v>
      </c>
      <c r="D194" s="195"/>
      <c r="E194" s="399">
        <f>E192+E130+E117+E112+E102+E95+E71+E57+E52+E37+E31</f>
        <v>57650000</v>
      </c>
      <c r="F194" s="400">
        <f t="shared" ref="F194:G194" si="25">F192+F130+F117+F112+F102+F95+F71+F57+F52+F37+F31</f>
        <v>26600000</v>
      </c>
      <c r="G194" s="400">
        <f t="shared" si="25"/>
        <v>31050000</v>
      </c>
    </row>
    <row r="195" spans="1:7" ht="20.100000000000001" customHeight="1">
      <c r="B195" s="198"/>
      <c r="D195" s="199"/>
      <c r="E195" s="392"/>
      <c r="F195" s="392"/>
      <c r="G195" s="392"/>
    </row>
    <row r="196" spans="1:7" ht="36.75" customHeight="1">
      <c r="A196" s="393"/>
      <c r="B196" s="394"/>
      <c r="C196" s="395"/>
      <c r="D196" s="395"/>
      <c r="E196" s="396"/>
      <c r="F196" s="396"/>
      <c r="G196" s="397"/>
    </row>
    <row r="197" spans="1:7" ht="20.100000000000001" customHeight="1">
      <c r="E197" s="249"/>
      <c r="F197" s="249"/>
      <c r="G197" s="249"/>
    </row>
    <row r="198" spans="1:7" ht="20.100000000000001" customHeight="1">
      <c r="E198" s="249"/>
      <c r="F198" s="249"/>
      <c r="G198" s="249"/>
    </row>
    <row r="199" spans="1:7" ht="20.100000000000001" customHeight="1">
      <c r="E199" s="249"/>
      <c r="F199" s="249"/>
      <c r="G199" s="249"/>
    </row>
    <row r="200" spans="1:7" ht="20.100000000000001" customHeight="1">
      <c r="E200" s="249"/>
      <c r="F200" s="249"/>
      <c r="G200" s="249"/>
    </row>
    <row r="201" spans="1:7" ht="20.100000000000001" customHeight="1">
      <c r="E201" s="249"/>
      <c r="F201" s="249"/>
      <c r="G201" s="249"/>
    </row>
    <row r="202" spans="1:7" ht="20.100000000000001" customHeight="1">
      <c r="E202" s="249"/>
      <c r="F202" s="249"/>
      <c r="G202" s="249"/>
    </row>
    <row r="203" spans="1:7" ht="20.100000000000001" customHeight="1">
      <c r="E203" s="249"/>
      <c r="F203" s="249"/>
      <c r="G203" s="249"/>
    </row>
    <row r="204" spans="1:7" ht="20.100000000000001" customHeight="1">
      <c r="E204" s="249"/>
      <c r="F204" s="249"/>
      <c r="G204" s="249"/>
    </row>
    <row r="205" spans="1:7" ht="20.100000000000001" customHeight="1">
      <c r="E205" s="249"/>
      <c r="F205" s="249"/>
      <c r="G205" s="249"/>
    </row>
    <row r="206" spans="1:7" ht="20.100000000000001" customHeight="1">
      <c r="E206" s="249"/>
      <c r="F206" s="249"/>
      <c r="G206" s="249"/>
    </row>
    <row r="207" spans="1:7" ht="20.100000000000001" customHeight="1">
      <c r="E207" s="249"/>
      <c r="F207" s="249"/>
      <c r="G207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30" width="14.28515625" style="164" customWidth="1"/>
    <col min="31" max="16384" width="9.140625" style="164"/>
  </cols>
  <sheetData>
    <row r="1" spans="1:30" ht="27" customHeight="1">
      <c r="A1" s="403" t="s">
        <v>234</v>
      </c>
      <c r="B1" s="403"/>
      <c r="C1" s="403"/>
      <c r="D1" s="403"/>
      <c r="E1" s="403"/>
      <c r="F1" s="403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0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30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0" ht="60" customHeight="1">
      <c r="A4" s="20"/>
      <c r="B4" s="171" t="s">
        <v>0</v>
      </c>
      <c r="C4" s="171" t="s">
        <v>12</v>
      </c>
      <c r="D4" s="172" t="s">
        <v>661</v>
      </c>
      <c r="E4" s="175" t="s">
        <v>308</v>
      </c>
      <c r="F4" s="29" t="s">
        <v>2</v>
      </c>
      <c r="G4" s="29" t="s">
        <v>3</v>
      </c>
      <c r="H4" s="175" t="s">
        <v>32</v>
      </c>
      <c r="I4" s="29" t="s">
        <v>42</v>
      </c>
      <c r="J4" s="29" t="s">
        <v>43</v>
      </c>
      <c r="K4" s="29" t="s">
        <v>46</v>
      </c>
      <c r="L4" s="175" t="s">
        <v>93</v>
      </c>
      <c r="M4" s="175" t="s">
        <v>93</v>
      </c>
      <c r="N4" s="29" t="s">
        <v>33</v>
      </c>
      <c r="O4" s="29" t="s">
        <v>33</v>
      </c>
      <c r="P4" s="175" t="s">
        <v>49</v>
      </c>
      <c r="Q4" s="336" t="s">
        <v>660</v>
      </c>
      <c r="R4" s="172" t="s">
        <v>664</v>
      </c>
      <c r="S4" s="336" t="s">
        <v>662</v>
      </c>
      <c r="T4" s="175" t="s">
        <v>668</v>
      </c>
      <c r="U4" s="175" t="s">
        <v>666</v>
      </c>
      <c r="V4" s="175" t="s">
        <v>667</v>
      </c>
      <c r="W4" s="175" t="s">
        <v>665</v>
      </c>
      <c r="X4" s="175" t="s">
        <v>371</v>
      </c>
      <c r="Y4" s="340" t="s">
        <v>669</v>
      </c>
      <c r="Z4" s="341" t="s">
        <v>670</v>
      </c>
      <c r="AA4" s="175" t="s">
        <v>511</v>
      </c>
      <c r="AB4" s="221" t="s">
        <v>671</v>
      </c>
    </row>
    <row r="5" spans="1:30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210" t="s">
        <v>5</v>
      </c>
      <c r="T5" s="178"/>
      <c r="U5" s="178" t="s">
        <v>5</v>
      </c>
      <c r="V5" s="178"/>
      <c r="W5" s="317" t="s">
        <v>5</v>
      </c>
      <c r="X5" s="178"/>
      <c r="Y5" s="178"/>
      <c r="Z5" s="216"/>
      <c r="AA5" s="178"/>
      <c r="AB5" s="216"/>
    </row>
    <row r="6" spans="1:30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30" ht="18.75" customHeight="1">
      <c r="A7" s="28">
        <v>1</v>
      </c>
      <c r="B7" s="161" t="s">
        <v>736</v>
      </c>
      <c r="C7" s="164" t="s">
        <v>737</v>
      </c>
      <c r="D7" s="181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9"/>
      <c r="N7" s="179">
        <f>50000</f>
        <v>50000</v>
      </c>
      <c r="O7" s="25">
        <f>E7*10%</f>
        <v>1349.221</v>
      </c>
      <c r="P7" s="25">
        <v>10000</v>
      </c>
      <c r="Q7" s="204">
        <f ca="1">SUM(E7:Q7)</f>
        <v>183791.02674999999</v>
      </c>
      <c r="R7" s="362" t="s">
        <v>428</v>
      </c>
      <c r="S7" s="205">
        <f>205204.08</f>
        <v>205204.08</v>
      </c>
      <c r="T7" s="23">
        <f>205204.08-183791.03</f>
        <v>21413.049999999988</v>
      </c>
      <c r="U7" s="25"/>
      <c r="V7" s="23"/>
      <c r="W7" s="318">
        <v>18102.900000000001</v>
      </c>
      <c r="X7" s="25">
        <f>21640.88</f>
        <v>21640.880000000001</v>
      </c>
      <c r="Y7" s="25">
        <f>X7-W7</f>
        <v>3537.9799999999996</v>
      </c>
      <c r="Z7" s="208">
        <f>T7-Y7</f>
        <v>17875.069999999989</v>
      </c>
      <c r="AA7" s="25">
        <f>8/30</f>
        <v>0.26666666666666666</v>
      </c>
      <c r="AB7" s="208">
        <f>Z7*AA7</f>
        <v>4766.6853333333302</v>
      </c>
      <c r="AC7" s="180"/>
      <c r="AD7" s="202"/>
    </row>
    <row r="8" spans="1:30" ht="26.25" customHeight="1">
      <c r="A8" s="28"/>
      <c r="B8" s="159" t="s">
        <v>15</v>
      </c>
      <c r="C8" s="29"/>
      <c r="D8" s="181"/>
      <c r="E8" s="183">
        <f t="shared" ref="E8:P8" si="3">SUM(E7:E7)</f>
        <v>13492.21</v>
      </c>
      <c r="F8" s="183">
        <f t="shared" si="3"/>
        <v>0</v>
      </c>
      <c r="G8" s="183">
        <f t="shared" si="3"/>
        <v>40476.629999999997</v>
      </c>
      <c r="H8" s="183">
        <f t="shared" si="3"/>
        <v>1011.9157499999999</v>
      </c>
      <c r="I8" s="183">
        <f t="shared" si="3"/>
        <v>0</v>
      </c>
      <c r="J8" s="183">
        <f t="shared" si="3"/>
        <v>6746.1049999999996</v>
      </c>
      <c r="K8" s="183">
        <f t="shared" si="3"/>
        <v>47222.735000000001</v>
      </c>
      <c r="L8" s="183">
        <f t="shared" si="3"/>
        <v>13492.21</v>
      </c>
      <c r="M8" s="183">
        <f t="shared" si="3"/>
        <v>0</v>
      </c>
      <c r="N8" s="183">
        <f t="shared" si="3"/>
        <v>50000</v>
      </c>
      <c r="O8" s="183">
        <f t="shared" si="3"/>
        <v>1349.221</v>
      </c>
      <c r="P8" s="183">
        <f t="shared" si="3"/>
        <v>10000</v>
      </c>
      <c r="Q8" s="361">
        <f>E8+F8+G8+H8+I8+J8+K8+L8+M8+N8+O8+P8</f>
        <v>183791.02674999999</v>
      </c>
      <c r="R8" s="181"/>
      <c r="S8" s="183">
        <f t="shared" ref="S8:Z8" si="4">SUM(S7:S7)</f>
        <v>205204.08</v>
      </c>
      <c r="T8" s="183">
        <f t="shared" si="4"/>
        <v>21413.049999999988</v>
      </c>
      <c r="U8" s="183">
        <f t="shared" si="4"/>
        <v>0</v>
      </c>
      <c r="V8" s="183">
        <f t="shared" si="4"/>
        <v>0</v>
      </c>
      <c r="W8" s="183">
        <f t="shared" si="4"/>
        <v>18102.900000000001</v>
      </c>
      <c r="X8" s="183">
        <f t="shared" si="4"/>
        <v>21640.880000000001</v>
      </c>
      <c r="Y8" s="183">
        <f t="shared" si="4"/>
        <v>3537.9799999999996</v>
      </c>
      <c r="Z8" s="217">
        <f t="shared" si="4"/>
        <v>17875.069999999989</v>
      </c>
      <c r="AA8" s="183"/>
      <c r="AB8" s="217">
        <f>SUM(AB7:AB7)</f>
        <v>4766.6853333333302</v>
      </c>
      <c r="AC8" s="180"/>
    </row>
    <row r="9" spans="1:30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30" ht="20.100000000000001" customHeight="1">
      <c r="A10" s="28"/>
      <c r="B10" s="185" t="s">
        <v>56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30" ht="20.100000000000001" customHeight="1">
      <c r="A11" s="28">
        <v>2</v>
      </c>
      <c r="B11" s="156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9">
        <f>160000</f>
        <v>160000</v>
      </c>
      <c r="N11" s="179"/>
      <c r="O11" s="25">
        <f>E11*10%</f>
        <v>3350.75</v>
      </c>
      <c r="P11" s="25">
        <v>20000</v>
      </c>
      <c r="Q11" s="204">
        <f ca="1">SUM(E11:Q11)</f>
        <v>527553.50249999994</v>
      </c>
      <c r="R11" s="362" t="s">
        <v>29</v>
      </c>
      <c r="S11" s="204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8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8">
        <f t="shared" ref="Z11:Z18" si="6">T11-Y11</f>
        <v>61787.619999999966</v>
      </c>
      <c r="AA11" s="25">
        <v>9</v>
      </c>
      <c r="AB11" s="208">
        <f t="shared" ref="AB11:AB18" si="7">Z11*AA11</f>
        <v>556088.57999999973</v>
      </c>
      <c r="AC11" s="180"/>
    </row>
    <row r="12" spans="1:30" ht="20.100000000000001" customHeight="1">
      <c r="A12" s="28">
        <v>3</v>
      </c>
      <c r="B12" s="156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9">
        <f t="shared" ref="M12" si="13">140000</f>
        <v>140000</v>
      </c>
      <c r="N12" s="179"/>
      <c r="O12" s="25">
        <f t="shared" ref="O12" si="14">E12*10%</f>
        <v>2761.123</v>
      </c>
      <c r="P12" s="25">
        <v>20000</v>
      </c>
      <c r="Q12" s="204">
        <f ca="1">SUM(E12:Q12)</f>
        <v>413333.03525000007</v>
      </c>
      <c r="R12" s="362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8">
        <f>75436.17</f>
        <v>75436.17</v>
      </c>
      <c r="Y12" s="25">
        <f t="shared" si="5"/>
        <v>17546.30520533333</v>
      </c>
      <c r="Z12" s="208">
        <f>T12-Y12</f>
        <v>73840.704794666672</v>
      </c>
      <c r="AA12" s="180">
        <v>0</v>
      </c>
      <c r="AB12" s="363">
        <f>Z12*AA12</f>
        <v>0</v>
      </c>
    </row>
    <row r="13" spans="1:30" ht="25.5" customHeight="1">
      <c r="A13" s="28"/>
      <c r="B13" s="159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80"/>
    </row>
    <row r="14" spans="1:30" ht="20.100000000000001" customHeight="1">
      <c r="A14" s="28"/>
      <c r="B14" s="159"/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ref="T14" si="16">S14-Q14</f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30" ht="20.100000000000001" customHeight="1">
      <c r="A15" s="20"/>
      <c r="B15" s="123"/>
      <c r="C15" s="28"/>
      <c r="D15" s="20"/>
      <c r="E15" s="189"/>
      <c r="F15" s="189"/>
      <c r="G15" s="189"/>
      <c r="H15" s="189"/>
      <c r="I15" s="189"/>
      <c r="J15" s="189"/>
      <c r="K15" s="189"/>
      <c r="L15" s="179"/>
      <c r="M15" s="179"/>
      <c r="N15" s="189"/>
      <c r="O15" s="189"/>
      <c r="P15" s="189"/>
      <c r="Q15" s="206"/>
      <c r="R15" s="20"/>
      <c r="S15" s="206"/>
      <c r="T15" s="23"/>
      <c r="U15" s="189"/>
      <c r="V15" s="189"/>
      <c r="W15" s="323"/>
      <c r="X15" s="189"/>
      <c r="Y15" s="25">
        <f t="shared" si="5"/>
        <v>0</v>
      </c>
      <c r="Z15" s="208">
        <f t="shared" si="6"/>
        <v>0</v>
      </c>
      <c r="AA15" s="189"/>
      <c r="AB15" s="208">
        <f t="shared" si="7"/>
        <v>0</v>
      </c>
      <c r="AC15" s="180"/>
    </row>
    <row r="16" spans="1:30" ht="20.100000000000001" customHeight="1">
      <c r="A16" s="20"/>
      <c r="B16" s="159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9"/>
      <c r="M16" s="179"/>
      <c r="N16" s="30"/>
      <c r="O16" s="30"/>
      <c r="P16" s="30"/>
      <c r="Q16" s="213"/>
      <c r="R16" s="29"/>
      <c r="S16" s="213"/>
      <c r="T16" s="23"/>
      <c r="U16" s="182"/>
      <c r="V16" s="182"/>
      <c r="W16" s="322"/>
      <c r="X16" s="30"/>
      <c r="Y16" s="25">
        <f t="shared" si="5"/>
        <v>0</v>
      </c>
      <c r="Z16" s="208">
        <f t="shared" si="6"/>
        <v>0</v>
      </c>
      <c r="AA16" s="30"/>
      <c r="AB16" s="208">
        <f t="shared" si="7"/>
        <v>0</v>
      </c>
      <c r="AC16" s="180"/>
    </row>
    <row r="17" spans="1:29" ht="20.100000000000001" customHeight="1">
      <c r="A17" s="20">
        <v>3</v>
      </c>
      <c r="B17" s="156" t="s">
        <v>153</v>
      </c>
      <c r="C17" s="161" t="s">
        <v>376</v>
      </c>
      <c r="D17" s="181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9">
        <f>80000</f>
        <v>80000</v>
      </c>
      <c r="N17" s="25">
        <f>E17*10%</f>
        <v>3350.75</v>
      </c>
      <c r="O17" s="25">
        <v>20000</v>
      </c>
      <c r="P17" s="25">
        <v>100000</v>
      </c>
      <c r="Q17" s="204">
        <f>SUM(E17:P17)</f>
        <v>547553.50249999994</v>
      </c>
      <c r="R17" s="362" t="s">
        <v>29</v>
      </c>
      <c r="S17" s="204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8">
        <f>83626.1</f>
        <v>83626.100000000006</v>
      </c>
      <c r="X17" s="25">
        <f>96398.31</f>
        <v>96398.31</v>
      </c>
      <c r="Y17" s="25">
        <f t="shared" si="5"/>
        <v>12772.209999999992</v>
      </c>
      <c r="Z17" s="208">
        <f t="shared" si="6"/>
        <v>53697.62083333332</v>
      </c>
      <c r="AA17" s="25">
        <v>11</v>
      </c>
      <c r="AB17" s="208">
        <f t="shared" si="7"/>
        <v>590673.82916666649</v>
      </c>
      <c r="AC17" s="180"/>
    </row>
    <row r="18" spans="1:29" ht="20.100000000000001" customHeight="1">
      <c r="A18" s="20"/>
      <c r="B18" s="156" t="s">
        <v>178</v>
      </c>
      <c r="C18" s="161" t="s">
        <v>382</v>
      </c>
      <c r="D18" s="181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9"/>
      <c r="N18" s="179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4">
        <f ca="1">SUM(E18:Q18)</f>
        <v>319177.65375</v>
      </c>
      <c r="R18" s="28" t="s">
        <v>722</v>
      </c>
      <c r="S18" s="23">
        <f>'JANUARY 2024'!R127</f>
        <v>335272.06374999997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8">
        <v>42034.239999999998</v>
      </c>
      <c r="Y18" s="25">
        <f t="shared" si="5"/>
        <v>1349.6399999999994</v>
      </c>
      <c r="Z18" s="208">
        <f t="shared" si="6"/>
        <v>6684.0799999999726</v>
      </c>
      <c r="AA18" s="25">
        <v>0</v>
      </c>
      <c r="AB18" s="208">
        <f t="shared" si="7"/>
        <v>0</v>
      </c>
      <c r="AC18" s="180"/>
    </row>
    <row r="19" spans="1:29" ht="28.5" customHeight="1">
      <c r="A19" s="20"/>
      <c r="B19" s="159" t="s">
        <v>15</v>
      </c>
      <c r="C19" s="187"/>
      <c r="D19" s="181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1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8">
        <f t="shared" si="25"/>
        <v>53697.62083333332</v>
      </c>
      <c r="AA19" s="30"/>
      <c r="AB19" s="218">
        <f>SUM(AB17:AB17)</f>
        <v>590673.82916666649</v>
      </c>
      <c r="AC19" s="180"/>
    </row>
    <row r="20" spans="1:29" ht="18.75" customHeight="1">
      <c r="A20" s="20"/>
      <c r="B20" s="159"/>
      <c r="C20" s="187"/>
      <c r="D20" s="18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1"/>
      <c r="S20" s="30"/>
      <c r="T20" s="30"/>
      <c r="U20" s="30"/>
      <c r="V20" s="30"/>
      <c r="W20" s="30"/>
      <c r="X20" s="30"/>
      <c r="Y20" s="30"/>
      <c r="Z20" s="218"/>
      <c r="AA20" s="30"/>
      <c r="AB20" s="218"/>
      <c r="AC20" s="180"/>
    </row>
    <row r="21" spans="1:29" ht="28.5" customHeight="1">
      <c r="A21" s="20"/>
      <c r="B21" s="159" t="s">
        <v>466</v>
      </c>
      <c r="C21" s="187"/>
      <c r="D21" s="18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1"/>
      <c r="S21" s="30"/>
      <c r="T21" s="30"/>
      <c r="U21" s="30"/>
      <c r="V21" s="30"/>
      <c r="W21" s="30"/>
      <c r="X21" s="30"/>
      <c r="Y21" s="30"/>
      <c r="Z21" s="218"/>
      <c r="AA21" s="30"/>
      <c r="AB21" s="218"/>
      <c r="AC21" s="180"/>
    </row>
    <row r="22" spans="1:29" ht="20.100000000000001" customHeight="1">
      <c r="A22" s="191">
        <v>15</v>
      </c>
      <c r="B22" s="156" t="s">
        <v>231</v>
      </c>
      <c r="C22" s="161" t="s">
        <v>167</v>
      </c>
      <c r="D22" s="181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9"/>
      <c r="M22" s="179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4">
        <f t="shared" ref="Q22:Q24" si="32">SUM(E22:P22)</f>
        <v>81803.001000000018</v>
      </c>
      <c r="R22" s="181" t="s">
        <v>306</v>
      </c>
      <c r="S22" s="204" t="e">
        <f>'SALARY STRUCTURE'!#REF!+30000</f>
        <v>#REF!</v>
      </c>
      <c r="T22" s="23" t="e">
        <f t="shared" ref="T22:T24" si="33">S22-Q22</f>
        <v>#REF!</v>
      </c>
      <c r="U22" s="23"/>
      <c r="V22" s="23"/>
      <c r="W22" s="320">
        <v>4365.3307546666683</v>
      </c>
      <c r="X22" s="23">
        <f>'[6]October 2023'!$Z$164</f>
        <v>8312.5899999999983</v>
      </c>
      <c r="Y22" s="25">
        <f t="shared" ref="Y22:Y24" si="34">X22-W22</f>
        <v>3947.25924533333</v>
      </c>
      <c r="Z22" s="208" t="e">
        <f t="shared" ref="Z22:Z24" si="35">T22-Y22</f>
        <v>#REF!</v>
      </c>
      <c r="AA22" s="23">
        <f>(10/31)+2</f>
        <v>2.3225806451612905</v>
      </c>
      <c r="AB22" s="208" t="e">
        <f t="shared" ref="AB22:AB24" si="36">Z22*AA22</f>
        <v>#REF!</v>
      </c>
      <c r="AC22" s="180"/>
    </row>
    <row r="23" spans="1:29" s="357" customFormat="1" ht="20.100000000000001" customHeight="1">
      <c r="A23" s="350">
        <v>16</v>
      </c>
      <c r="B23" s="351" t="s">
        <v>246</v>
      </c>
      <c r="C23" s="352" t="s">
        <v>167</v>
      </c>
      <c r="D23" s="353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4"/>
      <c r="M23" s="354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3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5">
        <f>4365.33075466667</f>
        <v>4365.3307546666701</v>
      </c>
      <c r="X23" s="15">
        <f>'[6]October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6"/>
    </row>
    <row r="24" spans="1:29" ht="20.100000000000001" customHeight="1">
      <c r="A24" s="191">
        <v>17</v>
      </c>
      <c r="B24" s="157" t="s">
        <v>166</v>
      </c>
      <c r="C24" s="161" t="s">
        <v>167</v>
      </c>
      <c r="D24" s="181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9"/>
      <c r="M24" s="179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4">
        <f t="shared" si="32"/>
        <v>83370.091</v>
      </c>
      <c r="R24" s="181" t="s">
        <v>306</v>
      </c>
      <c r="S24" s="204">
        <v>115104.91666666667</v>
      </c>
      <c r="T24" s="23">
        <f t="shared" si="33"/>
        <v>31734.825666666671</v>
      </c>
      <c r="U24" s="23"/>
      <c r="V24" s="23"/>
      <c r="W24" s="320">
        <v>4504.4109199999994</v>
      </c>
      <c r="X24" s="23">
        <f>'[6]October 2023'!$Z$164</f>
        <v>8312.5899999999983</v>
      </c>
      <c r="Y24" s="25">
        <f t="shared" si="34"/>
        <v>3808.179079999999</v>
      </c>
      <c r="Z24" s="208">
        <f t="shared" si="35"/>
        <v>27926.646586666673</v>
      </c>
      <c r="AA24" s="23">
        <v>8</v>
      </c>
      <c r="AB24" s="208">
        <f t="shared" si="36"/>
        <v>223413.17269333338</v>
      </c>
      <c r="AC24" s="180"/>
    </row>
    <row r="25" spans="1:29" ht="20.100000000000001" customHeight="1">
      <c r="A25" s="20"/>
      <c r="B25" s="123"/>
      <c r="C25" s="187"/>
      <c r="D25" s="181"/>
      <c r="E25" s="30"/>
      <c r="F25" s="30"/>
      <c r="G25" s="30"/>
      <c r="H25" s="30"/>
      <c r="I25" s="30"/>
      <c r="J25" s="182"/>
      <c r="K25" s="30"/>
      <c r="L25" s="179">
        <f>226713.38+70000</f>
        <v>296713.38</v>
      </c>
      <c r="M25" s="179"/>
      <c r="N25" s="30"/>
      <c r="O25" s="30"/>
      <c r="P25" s="30"/>
      <c r="Q25" s="213"/>
      <c r="R25" s="181"/>
      <c r="S25" s="213"/>
      <c r="T25" s="23"/>
      <c r="U25" s="182"/>
      <c r="V25" s="182"/>
      <c r="W25" s="322"/>
      <c r="X25" s="30"/>
      <c r="Y25" s="25"/>
      <c r="Z25" s="208"/>
      <c r="AA25" s="30"/>
      <c r="AB25" s="208"/>
      <c r="AC25" s="180"/>
    </row>
    <row r="26" spans="1:29" ht="20.100000000000001" customHeight="1">
      <c r="A26" s="20"/>
      <c r="B26" s="123"/>
      <c r="C26" s="187"/>
      <c r="D26" s="181"/>
      <c r="E26" s="30"/>
      <c r="F26" s="30"/>
      <c r="G26" s="30"/>
      <c r="H26" s="30"/>
      <c r="I26" s="30"/>
      <c r="J26" s="182"/>
      <c r="K26" s="30"/>
      <c r="L26" s="179"/>
      <c r="M26" s="179"/>
      <c r="N26" s="30"/>
      <c r="O26" s="30"/>
      <c r="P26" s="30"/>
      <c r="Q26" s="213"/>
      <c r="R26" s="181"/>
      <c r="S26" s="213"/>
      <c r="T26" s="23"/>
      <c r="U26" s="182"/>
      <c r="V26" s="182"/>
      <c r="W26" s="322"/>
      <c r="X26" s="30"/>
      <c r="Y26" s="25"/>
      <c r="Z26" s="208"/>
      <c r="AA26" s="30"/>
      <c r="AB26" s="208"/>
      <c r="AC26" s="180"/>
    </row>
    <row r="27" spans="1:29" ht="19.5" customHeight="1">
      <c r="A27" s="20"/>
      <c r="B27" s="194" t="s">
        <v>8</v>
      </c>
      <c r="C27" s="195"/>
      <c r="D27" s="196"/>
      <c r="E27" s="197">
        <f>E19+E13+E8</f>
        <v>108118.44</v>
      </c>
      <c r="F27" s="197">
        <f t="shared" ref="F27:AB27" si="37">F19+F13+F8</f>
        <v>0</v>
      </c>
      <c r="G27" s="197">
        <f t="shared" si="37"/>
        <v>324355.32</v>
      </c>
      <c r="H27" s="197">
        <f t="shared" si="37"/>
        <v>8108.8829999999998</v>
      </c>
      <c r="I27" s="197">
        <f t="shared" si="37"/>
        <v>80244.38</v>
      </c>
      <c r="J27" s="197">
        <f t="shared" si="37"/>
        <v>54059.22</v>
      </c>
      <c r="K27" s="197">
        <f t="shared" si="37"/>
        <v>378414.54</v>
      </c>
      <c r="L27" s="197">
        <f t="shared" si="37"/>
        <v>108118.44</v>
      </c>
      <c r="M27" s="197" t="e">
        <f t="shared" si="37"/>
        <v>#REF!</v>
      </c>
      <c r="N27" s="197">
        <f t="shared" si="37"/>
        <v>130000</v>
      </c>
      <c r="O27" s="197">
        <f t="shared" si="37"/>
        <v>10811.843999999999</v>
      </c>
      <c r="P27" s="197">
        <f t="shared" si="37"/>
        <v>70000</v>
      </c>
      <c r="Q27" s="197">
        <f t="shared" ca="1" si="37"/>
        <v>82203.67</v>
      </c>
      <c r="R27" s="197">
        <f t="shared" si="37"/>
        <v>0</v>
      </c>
      <c r="S27" s="197">
        <f t="shared" si="37"/>
        <v>1927970.9133333333</v>
      </c>
      <c r="T27" s="197">
        <f t="shared" si="37"/>
        <v>255739.72083333327</v>
      </c>
      <c r="U27" s="197">
        <f t="shared" si="37"/>
        <v>1675.38</v>
      </c>
      <c r="V27" s="197">
        <f t="shared" si="37"/>
        <v>2057.88</v>
      </c>
      <c r="W27" s="197">
        <f t="shared" si="37"/>
        <v>239575.80479466668</v>
      </c>
      <c r="X27" s="197">
        <f t="shared" si="37"/>
        <v>288114.51</v>
      </c>
      <c r="Y27" s="197">
        <f t="shared" si="37"/>
        <v>48538.705205333317</v>
      </c>
      <c r="Z27" s="197">
        <f t="shared" si="37"/>
        <v>207201.01562799994</v>
      </c>
      <c r="AA27" s="197">
        <f t="shared" si="37"/>
        <v>9</v>
      </c>
      <c r="AB27" s="197">
        <f t="shared" si="37"/>
        <v>1151529.0944999997</v>
      </c>
      <c r="AC27" s="180"/>
    </row>
    <row r="28" spans="1:29" ht="20.100000000000001" customHeight="1">
      <c r="B28" s="198"/>
      <c r="D28" s="199"/>
      <c r="E28" s="199"/>
      <c r="F28" s="199"/>
      <c r="G28" s="199"/>
      <c r="H28" s="199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324"/>
      <c r="X28" s="201"/>
      <c r="Y28" s="201"/>
      <c r="Z28" s="201"/>
      <c r="AA28" s="201"/>
      <c r="AB28" s="201"/>
      <c r="AC28" s="202"/>
    </row>
    <row r="29" spans="1:29" ht="36.75" customHeight="1">
      <c r="B29" s="198"/>
      <c r="C29" s="199"/>
      <c r="D29" s="199"/>
      <c r="E29" s="199"/>
      <c r="F29" s="199"/>
      <c r="G29" s="199"/>
      <c r="H29" s="199"/>
      <c r="I29" s="200"/>
      <c r="J29" s="200"/>
      <c r="K29" s="200"/>
      <c r="L29" s="200"/>
      <c r="M29" s="200"/>
      <c r="N29" s="200"/>
      <c r="O29" s="200"/>
      <c r="Q29" s="200"/>
      <c r="R29" s="200"/>
      <c r="S29" s="200"/>
      <c r="T29" s="200"/>
      <c r="U29" s="200"/>
      <c r="V29" s="200"/>
      <c r="W29" s="324"/>
      <c r="X29" s="201"/>
      <c r="Y29" s="201"/>
      <c r="Z29" s="201"/>
      <c r="AA29" s="201"/>
      <c r="AB29" s="201"/>
    </row>
    <row r="32" spans="1:29" ht="20.100000000000001" customHeight="1">
      <c r="Q32" s="202"/>
      <c r="R32" s="202"/>
      <c r="S32" s="202"/>
      <c r="T3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0"/>
  <sheetViews>
    <sheetView zoomScaleNormal="100" zoomScaleSheetLayoutView="50" workbookViewId="0">
      <pane xSplit="3" ySplit="7" topLeftCell="D169" activePane="bottomRight" state="frozen"/>
      <selection pane="topRight" activeCell="E1" sqref="E1"/>
      <selection pane="bottomLeft" activeCell="A10" sqref="A10"/>
      <selection pane="bottomRight" activeCell="F4" sqref="F4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140625" style="164" customWidth="1"/>
    <col min="5" max="5" width="21.28515625" style="164" customWidth="1"/>
    <col min="6" max="6" width="21.7109375" style="164" customWidth="1"/>
    <col min="7" max="16384" width="9.140625" style="164"/>
  </cols>
  <sheetData>
    <row r="1" spans="1:6" ht="27" customHeight="1">
      <c r="A1" s="416" t="s">
        <v>234</v>
      </c>
      <c r="B1" s="416"/>
      <c r="C1" s="416"/>
      <c r="D1" s="416"/>
      <c r="E1" s="416"/>
    </row>
    <row r="2" spans="1:6" ht="33.75" customHeight="1">
      <c r="A2" s="270" t="s">
        <v>746</v>
      </c>
      <c r="B2" s="271"/>
      <c r="C2" s="270"/>
      <c r="D2" s="270"/>
      <c r="E2" s="270"/>
    </row>
    <row r="3" spans="1:6" ht="9.75" customHeight="1">
      <c r="E3" s="163" t="e">
        <f>'[1]FEB 08'!E11/'[1]FEB 08'!M11</f>
        <v>#REF!</v>
      </c>
    </row>
    <row r="4" spans="1:6" ht="49.5" customHeight="1">
      <c r="A4" s="20"/>
      <c r="B4" s="170" t="s">
        <v>0</v>
      </c>
      <c r="C4" s="171" t="s">
        <v>12</v>
      </c>
      <c r="D4" s="172" t="s">
        <v>309</v>
      </c>
      <c r="E4" s="376" t="s">
        <v>120</v>
      </c>
    </row>
    <row r="5" spans="1:6" ht="17.25" customHeight="1">
      <c r="C5" s="177"/>
      <c r="D5" s="177"/>
      <c r="E5" s="377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377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90">
        <v>540000</v>
      </c>
      <c r="F7" s="180"/>
    </row>
    <row r="8" spans="1:6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90">
        <v>180000</v>
      </c>
      <c r="F8" s="180"/>
    </row>
    <row r="9" spans="1:6" ht="20.100000000000001" customHeight="1">
      <c r="A9" s="28">
        <v>3</v>
      </c>
      <c r="B9" s="158" t="s">
        <v>317</v>
      </c>
      <c r="C9" s="20" t="s">
        <v>418</v>
      </c>
      <c r="D9" s="181" t="s">
        <v>221</v>
      </c>
      <c r="E9" s="290">
        <v>180000</v>
      </c>
      <c r="F9" s="180"/>
    </row>
    <row r="10" spans="1:6" ht="20.100000000000001" customHeight="1">
      <c r="A10" s="28">
        <v>4</v>
      </c>
      <c r="B10" s="156" t="s">
        <v>187</v>
      </c>
      <c r="C10" s="112" t="s">
        <v>474</v>
      </c>
      <c r="D10" s="24" t="s">
        <v>221</v>
      </c>
      <c r="E10" s="290">
        <v>180000</v>
      </c>
      <c r="F10" s="180"/>
    </row>
    <row r="11" spans="1:6" ht="20.100000000000001" customHeight="1">
      <c r="A11" s="28">
        <v>5</v>
      </c>
      <c r="B11" s="158" t="s">
        <v>203</v>
      </c>
      <c r="C11" s="20" t="s">
        <v>475</v>
      </c>
      <c r="D11" s="24" t="s">
        <v>221</v>
      </c>
      <c r="E11" s="290">
        <v>180000</v>
      </c>
      <c r="F11" s="180"/>
    </row>
    <row r="12" spans="1:6" ht="20.100000000000001" customHeight="1">
      <c r="A12" s="28">
        <v>6</v>
      </c>
      <c r="B12" s="157" t="s">
        <v>364</v>
      </c>
      <c r="C12" s="28" t="s">
        <v>343</v>
      </c>
      <c r="D12" s="181" t="s">
        <v>221</v>
      </c>
      <c r="E12" s="290">
        <v>180000</v>
      </c>
      <c r="F12" s="180"/>
    </row>
    <row r="13" spans="1:6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378">
        <v>126000</v>
      </c>
      <c r="F13" s="180"/>
    </row>
    <row r="14" spans="1:6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378">
        <v>126000</v>
      </c>
      <c r="F14" s="180"/>
    </row>
    <row r="15" spans="1:6" ht="20.100000000000001" customHeight="1">
      <c r="A15" s="28">
        <v>9</v>
      </c>
      <c r="B15" s="156" t="s">
        <v>18</v>
      </c>
      <c r="C15" s="20" t="s">
        <v>389</v>
      </c>
      <c r="D15" s="181" t="s">
        <v>181</v>
      </c>
      <c r="E15" s="378">
        <f>90000</f>
        <v>90000</v>
      </c>
      <c r="F15" s="180"/>
    </row>
    <row r="16" spans="1:6" ht="20.100000000000001" customHeight="1">
      <c r="A16" s="28">
        <v>10</v>
      </c>
      <c r="B16" s="158" t="s">
        <v>534</v>
      </c>
      <c r="C16" s="112" t="s">
        <v>297</v>
      </c>
      <c r="D16" s="181" t="s">
        <v>162</v>
      </c>
      <c r="E16" s="378">
        <f>90000</f>
        <v>90000</v>
      </c>
      <c r="F16" s="180"/>
    </row>
    <row r="17" spans="1:6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378">
        <f t="shared" ref="E17:E19" si="0">90000</f>
        <v>90000</v>
      </c>
    </row>
    <row r="18" spans="1:6" ht="20.100000000000001" customHeight="1">
      <c r="A18" s="28">
        <v>12</v>
      </c>
      <c r="B18" s="156" t="s">
        <v>334</v>
      </c>
      <c r="C18" s="161" t="s">
        <v>351</v>
      </c>
      <c r="D18" s="181" t="s">
        <v>163</v>
      </c>
      <c r="E18" s="378">
        <f t="shared" si="0"/>
        <v>90000</v>
      </c>
      <c r="F18" s="180"/>
    </row>
    <row r="19" spans="1:6" ht="20.100000000000001" customHeight="1">
      <c r="A19" s="28">
        <v>13</v>
      </c>
      <c r="B19" s="157" t="s">
        <v>291</v>
      </c>
      <c r="C19" s="20" t="s">
        <v>346</v>
      </c>
      <c r="D19" s="181" t="s">
        <v>413</v>
      </c>
      <c r="E19" s="378">
        <f t="shared" si="0"/>
        <v>90000</v>
      </c>
      <c r="F19" s="180"/>
    </row>
    <row r="20" spans="1:6" ht="18.75" customHeight="1">
      <c r="A20" s="28">
        <v>14</v>
      </c>
      <c r="B20" s="156" t="s">
        <v>253</v>
      </c>
      <c r="C20" s="161" t="s">
        <v>478</v>
      </c>
      <c r="D20" s="181" t="s">
        <v>415</v>
      </c>
      <c r="E20" s="378">
        <v>54000</v>
      </c>
      <c r="F20" s="180"/>
    </row>
    <row r="21" spans="1:6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378">
        <v>54000</v>
      </c>
      <c r="F21" s="180"/>
    </row>
    <row r="22" spans="1:6" ht="20.100000000000001" customHeight="1">
      <c r="A22" s="28">
        <v>16</v>
      </c>
      <c r="B22" s="158" t="s">
        <v>742</v>
      </c>
      <c r="C22" s="112" t="s">
        <v>743</v>
      </c>
      <c r="D22" s="28" t="s">
        <v>104</v>
      </c>
      <c r="E22" s="378">
        <v>54000</v>
      </c>
      <c r="F22" s="180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8">
        <v>54000</v>
      </c>
      <c r="F23" s="180"/>
    </row>
    <row r="24" spans="1:6" ht="18.75" customHeight="1">
      <c r="A24" s="28">
        <v>18</v>
      </c>
      <c r="B24" s="157" t="s">
        <v>254</v>
      </c>
      <c r="C24" s="161" t="s">
        <v>17</v>
      </c>
      <c r="D24" s="181" t="s">
        <v>498</v>
      </c>
      <c r="E24" s="378">
        <v>54000</v>
      </c>
      <c r="F24" s="180"/>
    </row>
    <row r="25" spans="1:6" ht="18.75" customHeight="1">
      <c r="A25" s="28">
        <v>19</v>
      </c>
      <c r="B25" s="157" t="s">
        <v>288</v>
      </c>
      <c r="C25" s="161" t="s">
        <v>706</v>
      </c>
      <c r="D25" s="181" t="s">
        <v>428</v>
      </c>
      <c r="E25" s="378">
        <v>54000</v>
      </c>
      <c r="F25" s="180"/>
    </row>
    <row r="26" spans="1:6" ht="18.75" customHeight="1">
      <c r="A26" s="28">
        <v>20</v>
      </c>
      <c r="B26" s="157" t="s">
        <v>328</v>
      </c>
      <c r="C26" s="20" t="s">
        <v>738</v>
      </c>
      <c r="D26" s="28" t="s">
        <v>428</v>
      </c>
      <c r="E26" s="378">
        <v>54000</v>
      </c>
      <c r="F26" s="180"/>
    </row>
    <row r="27" spans="1:6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378">
        <v>54000</v>
      </c>
      <c r="F27" s="180"/>
    </row>
    <row r="28" spans="1:6" ht="18.75" customHeight="1">
      <c r="A28" s="28">
        <v>22</v>
      </c>
      <c r="B28" s="157" t="s">
        <v>330</v>
      </c>
      <c r="C28" s="20" t="s">
        <v>533</v>
      </c>
      <c r="D28" s="28" t="s">
        <v>176</v>
      </c>
      <c r="E28" s="378">
        <v>54000</v>
      </c>
      <c r="F28" s="180"/>
    </row>
    <row r="29" spans="1:6" ht="18.75" customHeight="1">
      <c r="A29" s="28">
        <v>23</v>
      </c>
      <c r="B29" s="157" t="s">
        <v>274</v>
      </c>
      <c r="C29" s="161" t="s">
        <v>314</v>
      </c>
      <c r="D29" s="181" t="s">
        <v>176</v>
      </c>
      <c r="E29" s="378">
        <v>54000</v>
      </c>
      <c r="F29" s="180"/>
    </row>
    <row r="30" spans="1:6" ht="18.75" customHeight="1">
      <c r="A30" s="28">
        <v>24</v>
      </c>
      <c r="B30" s="157" t="s">
        <v>555</v>
      </c>
      <c r="C30" s="161" t="s">
        <v>314</v>
      </c>
      <c r="D30" s="181" t="s">
        <v>105</v>
      </c>
      <c r="E30" s="378">
        <v>54000</v>
      </c>
      <c r="F30" s="180"/>
    </row>
    <row r="31" spans="1:6" ht="26.25" customHeight="1">
      <c r="A31" s="28"/>
      <c r="B31" s="159" t="s">
        <v>15</v>
      </c>
      <c r="C31" s="29">
        <v>24</v>
      </c>
      <c r="D31" s="181"/>
      <c r="E31" s="380">
        <f>SUM(E7:E30)</f>
        <v>2736000</v>
      </c>
      <c r="F31" s="180"/>
    </row>
    <row r="32" spans="1:6" ht="18.75" customHeight="1">
      <c r="A32" s="28"/>
      <c r="B32" s="123"/>
      <c r="C32" s="20"/>
      <c r="D32" s="181"/>
      <c r="E32" s="380"/>
      <c r="F32" s="180"/>
    </row>
    <row r="33" spans="1:6" ht="18.75" customHeight="1">
      <c r="A33" s="28"/>
      <c r="B33" s="159" t="s">
        <v>284</v>
      </c>
      <c r="C33" s="20"/>
      <c r="D33" s="181"/>
      <c r="E33" s="378"/>
      <c r="F33" s="180"/>
    </row>
    <row r="34" spans="1:6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378">
        <v>270000</v>
      </c>
      <c r="F34" s="180"/>
    </row>
    <row r="35" spans="1:6" ht="18.75" customHeight="1">
      <c r="A35" s="28">
        <v>2</v>
      </c>
      <c r="B35" s="157" t="s">
        <v>419</v>
      </c>
      <c r="C35" s="20" t="s">
        <v>427</v>
      </c>
      <c r="D35" s="28" t="s">
        <v>105</v>
      </c>
      <c r="E35" s="378">
        <v>54000</v>
      </c>
      <c r="F35" s="180"/>
    </row>
    <row r="36" spans="1:6" ht="18.75" customHeight="1">
      <c r="A36" s="28">
        <v>3</v>
      </c>
      <c r="B36" s="156" t="s">
        <v>720</v>
      </c>
      <c r="C36" s="161" t="s">
        <v>721</v>
      </c>
      <c r="D36" s="181" t="s">
        <v>104</v>
      </c>
      <c r="E36" s="378">
        <v>54000</v>
      </c>
      <c r="F36" s="180"/>
    </row>
    <row r="37" spans="1:6" ht="19.5" customHeight="1">
      <c r="A37" s="28"/>
      <c r="B37" s="158"/>
      <c r="C37" s="29">
        <v>3</v>
      </c>
      <c r="D37" s="28"/>
      <c r="E37" s="380">
        <f>SUM(E34:E36)</f>
        <v>378000</v>
      </c>
      <c r="F37" s="180"/>
    </row>
    <row r="38" spans="1:6" ht="20.100000000000001" customHeight="1">
      <c r="A38" s="28"/>
      <c r="B38" s="158"/>
      <c r="C38" s="20"/>
      <c r="D38" s="28"/>
      <c r="E38" s="380"/>
      <c r="F38" s="180"/>
    </row>
    <row r="39" spans="1:6" ht="20.100000000000001" customHeight="1">
      <c r="A39" s="28"/>
      <c r="B39" s="185" t="s">
        <v>56</v>
      </c>
      <c r="C39" s="170"/>
      <c r="D39" s="174"/>
      <c r="E39" s="380"/>
      <c r="F39" s="180"/>
    </row>
    <row r="40" spans="1:6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378">
        <v>270000</v>
      </c>
      <c r="F40" s="180"/>
    </row>
    <row r="41" spans="1:6" ht="20.100000000000001" customHeight="1">
      <c r="A41" s="28">
        <v>2</v>
      </c>
      <c r="B41" s="156" t="s">
        <v>165</v>
      </c>
      <c r="C41" s="20" t="s">
        <v>739</v>
      </c>
      <c r="D41" s="28" t="s">
        <v>29</v>
      </c>
      <c r="E41" s="378">
        <f>180000</f>
        <v>180000</v>
      </c>
      <c r="F41" s="180"/>
    </row>
    <row r="42" spans="1:6" ht="20.100000000000001" customHeight="1">
      <c r="A42" s="28">
        <v>3</v>
      </c>
      <c r="B42" s="156" t="s">
        <v>158</v>
      </c>
      <c r="C42" s="20" t="s">
        <v>199</v>
      </c>
      <c r="D42" s="28" t="s">
        <v>75</v>
      </c>
      <c r="E42" s="378">
        <v>126000</v>
      </c>
      <c r="F42" s="180"/>
    </row>
    <row r="43" spans="1:6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378">
        <v>126000</v>
      </c>
      <c r="F43" s="180"/>
    </row>
    <row r="44" spans="1:6" ht="20.100000000000001" customHeight="1">
      <c r="A44" s="28">
        <v>5</v>
      </c>
      <c r="B44" s="156" t="s">
        <v>118</v>
      </c>
      <c r="C44" s="20" t="s">
        <v>258</v>
      </c>
      <c r="D44" s="28" t="s">
        <v>148</v>
      </c>
      <c r="E44" s="378">
        <v>126000</v>
      </c>
      <c r="F44" s="180"/>
    </row>
    <row r="45" spans="1:6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378">
        <v>126000</v>
      </c>
      <c r="F45" s="180"/>
    </row>
    <row r="46" spans="1:6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378">
        <v>90000</v>
      </c>
      <c r="F46" s="180"/>
    </row>
    <row r="47" spans="1:6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378">
        <v>90000</v>
      </c>
      <c r="F47" s="180"/>
    </row>
    <row r="48" spans="1:6" ht="20.100000000000001" customHeight="1">
      <c r="A48" s="28">
        <v>9</v>
      </c>
      <c r="B48" s="156" t="s">
        <v>551</v>
      </c>
      <c r="C48" s="20" t="s">
        <v>84</v>
      </c>
      <c r="D48" s="28" t="s">
        <v>104</v>
      </c>
      <c r="E48" s="378">
        <v>54000</v>
      </c>
      <c r="F48" s="180"/>
    </row>
    <row r="49" spans="1:6" ht="20.100000000000001" customHeight="1">
      <c r="A49" s="28">
        <v>10</v>
      </c>
      <c r="B49" s="156" t="s">
        <v>420</v>
      </c>
      <c r="C49" s="20" t="s">
        <v>84</v>
      </c>
      <c r="D49" s="28" t="s">
        <v>428</v>
      </c>
      <c r="E49" s="378">
        <v>54000</v>
      </c>
      <c r="F49" s="180"/>
    </row>
    <row r="50" spans="1:6" ht="20.100000000000001" customHeight="1">
      <c r="A50" s="28">
        <v>11</v>
      </c>
      <c r="B50" s="156" t="s">
        <v>435</v>
      </c>
      <c r="C50" s="20" t="s">
        <v>84</v>
      </c>
      <c r="D50" s="28" t="s">
        <v>428</v>
      </c>
      <c r="E50" s="378">
        <v>54000</v>
      </c>
      <c r="F50" s="180"/>
    </row>
    <row r="51" spans="1:6" ht="20.100000000000001" customHeight="1">
      <c r="A51" s="28">
        <v>12</v>
      </c>
      <c r="B51" s="156" t="s">
        <v>452</v>
      </c>
      <c r="C51" s="20" t="s">
        <v>84</v>
      </c>
      <c r="D51" s="28" t="s">
        <v>428</v>
      </c>
      <c r="E51" s="378">
        <v>54000</v>
      </c>
      <c r="F51" s="180"/>
    </row>
    <row r="52" spans="1:6" ht="25.5" customHeight="1">
      <c r="A52" s="28"/>
      <c r="B52" s="159" t="s">
        <v>15</v>
      </c>
      <c r="C52" s="29">
        <v>12</v>
      </c>
      <c r="D52" s="29"/>
      <c r="E52" s="381">
        <f>SUM(E40:E51)</f>
        <v>1350000</v>
      </c>
      <c r="F52" s="180"/>
    </row>
    <row r="53" spans="1:6" ht="20.100000000000001" customHeight="1">
      <c r="A53" s="28"/>
      <c r="B53" s="123"/>
      <c r="C53" s="29"/>
      <c r="D53" s="29"/>
      <c r="E53" s="382"/>
      <c r="F53" s="180"/>
    </row>
    <row r="54" spans="1:6" ht="20.100000000000001" customHeight="1">
      <c r="A54" s="28"/>
      <c r="B54" s="159" t="s">
        <v>195</v>
      </c>
      <c r="C54" s="29"/>
      <c r="D54" s="29"/>
      <c r="E54" s="382"/>
      <c r="F54" s="180"/>
    </row>
    <row r="55" spans="1:6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378">
        <v>270000</v>
      </c>
      <c r="F55" s="180"/>
    </row>
    <row r="56" spans="1:6" ht="20.100000000000001" customHeight="1">
      <c r="A56" s="28">
        <v>2</v>
      </c>
      <c r="B56" s="156" t="s">
        <v>276</v>
      </c>
      <c r="C56" s="161" t="s">
        <v>340</v>
      </c>
      <c r="D56" s="181" t="s">
        <v>412</v>
      </c>
      <c r="E56" s="378">
        <v>126000</v>
      </c>
      <c r="F56" s="180"/>
    </row>
    <row r="57" spans="1:6" ht="20.100000000000001" customHeight="1">
      <c r="A57" s="28"/>
      <c r="B57" s="159" t="s">
        <v>15</v>
      </c>
      <c r="C57" s="29">
        <v>2</v>
      </c>
      <c r="D57" s="29"/>
      <c r="E57" s="381">
        <f>SUM(E55:E56)</f>
        <v>396000</v>
      </c>
      <c r="F57" s="180"/>
    </row>
    <row r="58" spans="1:6" ht="20.100000000000001" customHeight="1">
      <c r="A58" s="28"/>
      <c r="B58" s="159"/>
      <c r="C58" s="29"/>
      <c r="D58" s="29"/>
      <c r="E58" s="382"/>
      <c r="F58" s="180"/>
    </row>
    <row r="59" spans="1:6" ht="20.100000000000001" customHeight="1">
      <c r="A59" s="28"/>
      <c r="B59" s="159" t="s">
        <v>461</v>
      </c>
      <c r="C59" s="29"/>
      <c r="D59" s="29"/>
      <c r="E59" s="382"/>
      <c r="F59" s="180"/>
    </row>
    <row r="60" spans="1:6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378">
        <v>270000</v>
      </c>
      <c r="F60" s="180"/>
    </row>
    <row r="61" spans="1:6" ht="20.100000000000001" customHeight="1">
      <c r="A61" s="28">
        <v>2</v>
      </c>
      <c r="B61" s="289" t="s">
        <v>332</v>
      </c>
      <c r="C61" s="112" t="s">
        <v>188</v>
      </c>
      <c r="D61" s="181" t="s">
        <v>272</v>
      </c>
      <c r="E61" s="290">
        <v>126000</v>
      </c>
      <c r="F61" s="180"/>
    </row>
    <row r="62" spans="1:6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378">
        <v>90000</v>
      </c>
      <c r="F62" s="180"/>
    </row>
    <row r="63" spans="1:6" ht="20.100000000000001" customHeight="1">
      <c r="A63" s="28">
        <v>4</v>
      </c>
      <c r="B63" s="157" t="s">
        <v>448</v>
      </c>
      <c r="C63" s="112" t="s">
        <v>257</v>
      </c>
      <c r="D63" s="181" t="s">
        <v>163</v>
      </c>
      <c r="E63" s="378">
        <v>90000</v>
      </c>
      <c r="F63" s="180"/>
    </row>
    <row r="64" spans="1:6" ht="20.100000000000001" customHeight="1">
      <c r="A64" s="28">
        <v>5</v>
      </c>
      <c r="B64" s="158" t="s">
        <v>229</v>
      </c>
      <c r="C64" s="112" t="s">
        <v>297</v>
      </c>
      <c r="D64" s="181" t="s">
        <v>181</v>
      </c>
      <c r="E64" s="378">
        <v>90000</v>
      </c>
      <c r="F64" s="180"/>
    </row>
    <row r="65" spans="1:6" ht="20.100000000000001" customHeight="1">
      <c r="A65" s="28">
        <v>7</v>
      </c>
      <c r="B65" s="156" t="s">
        <v>117</v>
      </c>
      <c r="C65" s="20" t="s">
        <v>84</v>
      </c>
      <c r="D65" s="28" t="s">
        <v>369</v>
      </c>
      <c r="E65" s="378">
        <v>54000</v>
      </c>
      <c r="F65" s="180"/>
    </row>
    <row r="66" spans="1:6" ht="20.100000000000001" customHeight="1">
      <c r="A66" s="28">
        <v>8</v>
      </c>
      <c r="B66" s="156" t="s">
        <v>424</v>
      </c>
      <c r="C66" s="112" t="s">
        <v>422</v>
      </c>
      <c r="D66" s="181" t="s">
        <v>369</v>
      </c>
      <c r="E66" s="378">
        <v>54000</v>
      </c>
      <c r="F66" s="180"/>
    </row>
    <row r="67" spans="1:6" ht="20.100000000000001" customHeight="1">
      <c r="A67" s="28">
        <v>9</v>
      </c>
      <c r="B67" s="156" t="s">
        <v>423</v>
      </c>
      <c r="C67" s="112" t="s">
        <v>422</v>
      </c>
      <c r="D67" s="181" t="s">
        <v>369</v>
      </c>
      <c r="E67" s="378">
        <v>54000</v>
      </c>
      <c r="F67" s="180"/>
    </row>
    <row r="68" spans="1:6" ht="20.100000000000001" customHeight="1">
      <c r="A68" s="28">
        <v>10</v>
      </c>
      <c r="B68" s="156" t="s">
        <v>242</v>
      </c>
      <c r="C68" s="20" t="s">
        <v>484</v>
      </c>
      <c r="D68" s="28" t="s">
        <v>415</v>
      </c>
      <c r="E68" s="378">
        <v>54000</v>
      </c>
      <c r="F68" s="180"/>
    </row>
    <row r="69" spans="1:6" ht="21.6" customHeight="1">
      <c r="A69" s="28">
        <v>11</v>
      </c>
      <c r="B69" s="156" t="s">
        <v>726</v>
      </c>
      <c r="C69" s="20" t="s">
        <v>84</v>
      </c>
      <c r="D69" s="28" t="s">
        <v>104</v>
      </c>
      <c r="E69" s="378">
        <v>54000</v>
      </c>
    </row>
    <row r="70" spans="1:6" ht="20.100000000000001" customHeight="1">
      <c r="A70" s="28">
        <v>12</v>
      </c>
      <c r="B70" s="156" t="s">
        <v>320</v>
      </c>
      <c r="C70" s="112" t="s">
        <v>115</v>
      </c>
      <c r="D70" s="28" t="s">
        <v>498</v>
      </c>
      <c r="E70" s="378">
        <v>54000</v>
      </c>
      <c r="F70" s="180"/>
    </row>
    <row r="71" spans="1:6" ht="27" customHeight="1">
      <c r="A71" s="28"/>
      <c r="B71" s="159" t="s">
        <v>15</v>
      </c>
      <c r="C71" s="29">
        <v>12</v>
      </c>
      <c r="D71" s="29"/>
      <c r="E71" s="381">
        <f>SUM(E60:E70)</f>
        <v>990000</v>
      </c>
      <c r="F71" s="180"/>
    </row>
    <row r="72" spans="1:6" ht="20.100000000000001" customHeight="1">
      <c r="A72" s="28"/>
      <c r="B72" s="123"/>
      <c r="C72" s="29"/>
      <c r="D72" s="29"/>
      <c r="E72" s="382"/>
      <c r="F72" s="180"/>
    </row>
    <row r="73" spans="1:6" ht="20.100000000000001" customHeight="1">
      <c r="A73" s="28"/>
      <c r="B73" s="159" t="s">
        <v>462</v>
      </c>
      <c r="C73" s="29"/>
      <c r="D73" s="29"/>
      <c r="E73" s="382"/>
      <c r="F73" s="180"/>
    </row>
    <row r="74" spans="1:6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378">
        <v>270000</v>
      </c>
      <c r="F74" s="180"/>
    </row>
    <row r="75" spans="1:6" ht="20.100000000000001" customHeight="1">
      <c r="A75" s="28">
        <v>2</v>
      </c>
      <c r="B75" s="158" t="s">
        <v>325</v>
      </c>
      <c r="C75" s="20" t="s">
        <v>245</v>
      </c>
      <c r="D75" s="181" t="s">
        <v>272</v>
      </c>
      <c r="E75" s="290">
        <v>126000</v>
      </c>
      <c r="F75" s="180"/>
    </row>
    <row r="76" spans="1:6" ht="20.100000000000001" customHeight="1">
      <c r="A76" s="28">
        <v>3</v>
      </c>
      <c r="B76" s="157" t="s">
        <v>333</v>
      </c>
      <c r="C76" s="161" t="s">
        <v>387</v>
      </c>
      <c r="D76" s="28" t="s">
        <v>412</v>
      </c>
      <c r="E76" s="290">
        <v>126000</v>
      </c>
      <c r="F76" s="180"/>
    </row>
    <row r="77" spans="1:6" ht="20.100000000000001" customHeight="1">
      <c r="A77" s="28">
        <v>4</v>
      </c>
      <c r="B77" s="156" t="s">
        <v>26</v>
      </c>
      <c r="C77" s="20" t="s">
        <v>707</v>
      </c>
      <c r="D77" s="181" t="s">
        <v>222</v>
      </c>
      <c r="E77" s="378">
        <v>90000</v>
      </c>
      <c r="F77" s="180"/>
    </row>
    <row r="78" spans="1:6" ht="20.100000000000001" customHeight="1">
      <c r="A78" s="28">
        <v>5</v>
      </c>
      <c r="B78" s="156" t="s">
        <v>324</v>
      </c>
      <c r="C78" s="20" t="s">
        <v>243</v>
      </c>
      <c r="D78" s="28" t="s">
        <v>207</v>
      </c>
      <c r="E78" s="378">
        <v>54000</v>
      </c>
      <c r="F78" s="180"/>
    </row>
    <row r="79" spans="1:6" ht="20.100000000000001" customHeight="1">
      <c r="A79" s="28">
        <v>6</v>
      </c>
      <c r="B79" s="156" t="s">
        <v>554</v>
      </c>
      <c r="C79" s="20" t="s">
        <v>243</v>
      </c>
      <c r="D79" s="28" t="s">
        <v>428</v>
      </c>
      <c r="E79" s="378">
        <v>54000</v>
      </c>
      <c r="F79" s="180"/>
    </row>
    <row r="80" spans="1:6" ht="20.100000000000001" customHeight="1">
      <c r="A80" s="28">
        <v>7</v>
      </c>
      <c r="B80" s="156" t="s">
        <v>552</v>
      </c>
      <c r="C80" s="20" t="s">
        <v>553</v>
      </c>
      <c r="D80" s="28" t="s">
        <v>105</v>
      </c>
      <c r="E80" s="378">
        <v>54000</v>
      </c>
      <c r="F80" s="180"/>
    </row>
    <row r="81" spans="1:6" ht="20.100000000000001" customHeight="1">
      <c r="A81" s="28"/>
      <c r="B81" s="159" t="s">
        <v>15</v>
      </c>
      <c r="C81" s="29">
        <v>7</v>
      </c>
      <c r="D81" s="29"/>
      <c r="E81" s="381">
        <f>SUM(E74:E80)</f>
        <v>774000</v>
      </c>
      <c r="F81" s="180"/>
    </row>
    <row r="82" spans="1:6" ht="20.100000000000001" customHeight="1">
      <c r="A82" s="28"/>
      <c r="B82" s="159"/>
      <c r="C82" s="29"/>
      <c r="D82" s="29"/>
      <c r="E82" s="382"/>
      <c r="F82" s="180"/>
    </row>
    <row r="83" spans="1:6" ht="20.100000000000001" customHeight="1">
      <c r="A83" s="28"/>
      <c r="B83" s="159" t="s">
        <v>463</v>
      </c>
      <c r="C83" s="186"/>
      <c r="D83" s="29"/>
      <c r="E83" s="382"/>
      <c r="F83" s="180"/>
    </row>
    <row r="84" spans="1:6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378">
        <v>126000</v>
      </c>
      <c r="F84" s="180"/>
    </row>
    <row r="85" spans="1:6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378">
        <v>126000</v>
      </c>
      <c r="F85" s="180"/>
    </row>
    <row r="86" spans="1:6" ht="20.100000000000001" customHeight="1">
      <c r="A86" s="28">
        <v>3</v>
      </c>
      <c r="B86" s="158" t="s">
        <v>138</v>
      </c>
      <c r="C86" s="20" t="s">
        <v>258</v>
      </c>
      <c r="D86" s="28" t="s">
        <v>30</v>
      </c>
      <c r="E86" s="378">
        <v>126000</v>
      </c>
      <c r="F86" s="180"/>
    </row>
    <row r="87" spans="1:6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378">
        <v>126000</v>
      </c>
      <c r="F87" s="180"/>
    </row>
    <row r="88" spans="1:6" ht="21.6" customHeight="1">
      <c r="A88" s="28">
        <v>5</v>
      </c>
      <c r="B88" s="156" t="s">
        <v>101</v>
      </c>
      <c r="C88" s="20" t="s">
        <v>80</v>
      </c>
      <c r="D88" s="181" t="s">
        <v>170</v>
      </c>
      <c r="E88" s="378">
        <v>90000</v>
      </c>
      <c r="F88" s="180"/>
    </row>
    <row r="89" spans="1:6" ht="21.6" customHeight="1">
      <c r="A89" s="28">
        <v>6</v>
      </c>
      <c r="B89" s="156" t="s">
        <v>336</v>
      </c>
      <c r="C89" s="161" t="s">
        <v>257</v>
      </c>
      <c r="D89" s="181" t="s">
        <v>163</v>
      </c>
      <c r="E89" s="378">
        <v>90000</v>
      </c>
      <c r="F89" s="180"/>
    </row>
    <row r="90" spans="1:6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378">
        <v>90000</v>
      </c>
      <c r="F90" s="180"/>
    </row>
    <row r="91" spans="1:6" ht="21.6" customHeight="1">
      <c r="A91" s="28">
        <v>8</v>
      </c>
      <c r="B91" s="156" t="s">
        <v>421</v>
      </c>
      <c r="C91" s="112" t="s">
        <v>422</v>
      </c>
      <c r="D91" s="181" t="s">
        <v>369</v>
      </c>
      <c r="E91" s="378">
        <v>54000</v>
      </c>
      <c r="F91" s="180"/>
    </row>
    <row r="92" spans="1:6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378">
        <v>54000</v>
      </c>
      <c r="F92" s="180"/>
    </row>
    <row r="93" spans="1:6" ht="21.6" customHeight="1">
      <c r="A93" s="28">
        <v>10</v>
      </c>
      <c r="B93" s="156" t="s">
        <v>436</v>
      </c>
      <c r="C93" s="20" t="s">
        <v>470</v>
      </c>
      <c r="D93" s="28" t="s">
        <v>104</v>
      </c>
      <c r="E93" s="378">
        <v>54000</v>
      </c>
      <c r="F93" s="180"/>
    </row>
    <row r="94" spans="1:6" ht="21.6" customHeight="1">
      <c r="A94" s="28">
        <v>11</v>
      </c>
      <c r="B94" s="156" t="s">
        <v>406</v>
      </c>
      <c r="C94" s="112" t="s">
        <v>432</v>
      </c>
      <c r="D94" s="181" t="s">
        <v>176</v>
      </c>
      <c r="E94" s="378">
        <v>54000</v>
      </c>
      <c r="F94" s="180"/>
    </row>
    <row r="95" spans="1:6" ht="20.100000000000001" customHeight="1">
      <c r="A95" s="28"/>
      <c r="B95" s="159" t="s">
        <v>15</v>
      </c>
      <c r="C95" s="29">
        <v>11</v>
      </c>
      <c r="D95" s="29"/>
      <c r="E95" s="381">
        <f>SUM(E84:E94)</f>
        <v>990000</v>
      </c>
      <c r="F95" s="180"/>
    </row>
    <row r="96" spans="1:6" ht="20.100000000000001" customHeight="1">
      <c r="A96" s="28"/>
      <c r="B96" s="123"/>
      <c r="C96" s="29"/>
      <c r="D96" s="29"/>
      <c r="E96" s="382"/>
      <c r="F96" s="180"/>
    </row>
    <row r="97" spans="1:6" ht="20.100000000000001" customHeight="1">
      <c r="A97" s="28"/>
      <c r="B97" s="159" t="s">
        <v>464</v>
      </c>
      <c r="C97" s="29"/>
      <c r="D97" s="29"/>
      <c r="E97" s="382"/>
      <c r="F97" s="180"/>
    </row>
    <row r="98" spans="1:6" ht="20.100000000000001" customHeight="1">
      <c r="A98" s="28">
        <v>1</v>
      </c>
      <c r="B98" s="158" t="s">
        <v>112</v>
      </c>
      <c r="C98" s="20" t="s">
        <v>741</v>
      </c>
      <c r="D98" s="24" t="s">
        <v>221</v>
      </c>
      <c r="E98" s="378">
        <f>180000</f>
        <v>180000</v>
      </c>
      <c r="F98" s="180"/>
    </row>
    <row r="99" spans="1:6" ht="20.100000000000001" customHeight="1">
      <c r="A99" s="28">
        <v>2</v>
      </c>
      <c r="B99" s="156" t="s">
        <v>124</v>
      </c>
      <c r="C99" s="20" t="s">
        <v>373</v>
      </c>
      <c r="D99" s="181" t="s">
        <v>222</v>
      </c>
      <c r="E99" s="378">
        <v>90000</v>
      </c>
      <c r="F99" s="180"/>
    </row>
    <row r="100" spans="1:6" ht="20.100000000000001" customHeight="1">
      <c r="A100" s="28">
        <v>3</v>
      </c>
      <c r="B100" s="156" t="s">
        <v>237</v>
      </c>
      <c r="C100" s="20" t="s">
        <v>483</v>
      </c>
      <c r="D100" s="181" t="s">
        <v>415</v>
      </c>
      <c r="E100" s="378">
        <v>54000</v>
      </c>
      <c r="F100" s="180"/>
    </row>
    <row r="101" spans="1:6" ht="20.100000000000001" customHeight="1">
      <c r="A101" s="28">
        <v>4</v>
      </c>
      <c r="B101" s="156" t="s">
        <v>345</v>
      </c>
      <c r="C101" s="20" t="s">
        <v>709</v>
      </c>
      <c r="D101" s="181" t="s">
        <v>104</v>
      </c>
      <c r="E101" s="378">
        <v>54000</v>
      </c>
      <c r="F101" s="180"/>
    </row>
    <row r="102" spans="1:6" ht="20.100000000000001" customHeight="1">
      <c r="A102" s="20"/>
      <c r="B102" s="159" t="s">
        <v>15</v>
      </c>
      <c r="C102" s="29">
        <v>4</v>
      </c>
      <c r="D102" s="187"/>
      <c r="E102" s="381">
        <f>SUM(E98:E101)</f>
        <v>378000</v>
      </c>
      <c r="F102" s="180"/>
    </row>
    <row r="103" spans="1:6" ht="20.100000000000001" customHeight="1">
      <c r="A103" s="20"/>
      <c r="B103" s="123"/>
      <c r="C103" s="29"/>
      <c r="D103" s="187"/>
      <c r="E103" s="382"/>
      <c r="F103" s="180"/>
    </row>
    <row r="104" spans="1:6" ht="20.100000000000001" customHeight="1">
      <c r="A104" s="20"/>
      <c r="B104" s="159" t="s">
        <v>465</v>
      </c>
      <c r="C104" s="20"/>
      <c r="D104" s="20"/>
      <c r="E104" s="383"/>
      <c r="F104" s="180"/>
    </row>
    <row r="105" spans="1:6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378">
        <v>270000</v>
      </c>
      <c r="F105" s="180"/>
    </row>
    <row r="106" spans="1:6" ht="20.100000000000001" customHeight="1">
      <c r="A106" s="20">
        <v>2</v>
      </c>
      <c r="B106" s="156" t="s">
        <v>110</v>
      </c>
      <c r="C106" s="20" t="s">
        <v>259</v>
      </c>
      <c r="D106" s="24" t="s">
        <v>221</v>
      </c>
      <c r="E106" s="378">
        <v>180000</v>
      </c>
      <c r="F106" s="180"/>
    </row>
    <row r="107" spans="1:6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378">
        <v>90000</v>
      </c>
      <c r="F107" s="180"/>
    </row>
    <row r="108" spans="1:6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378">
        <v>90000</v>
      </c>
      <c r="F108" s="180"/>
    </row>
    <row r="109" spans="1:6" ht="20.100000000000001" customHeight="1">
      <c r="A109" s="20">
        <v>5</v>
      </c>
      <c r="B109" s="156" t="s">
        <v>240</v>
      </c>
      <c r="C109" s="20" t="s">
        <v>338</v>
      </c>
      <c r="D109" s="181" t="s">
        <v>499</v>
      </c>
      <c r="E109" s="379">
        <v>54000</v>
      </c>
      <c r="F109" s="180"/>
    </row>
    <row r="110" spans="1:6" ht="20.100000000000001" customHeight="1">
      <c r="A110" s="20">
        <v>6</v>
      </c>
      <c r="B110" s="157" t="s">
        <v>341</v>
      </c>
      <c r="C110" s="20" t="s">
        <v>338</v>
      </c>
      <c r="D110" s="28" t="s">
        <v>267</v>
      </c>
      <c r="E110" s="379">
        <v>54000</v>
      </c>
      <c r="F110" s="180"/>
    </row>
    <row r="111" spans="1:6" ht="20.100000000000001" customHeight="1">
      <c r="A111" s="20">
        <v>7</v>
      </c>
      <c r="B111" s="157" t="s">
        <v>374</v>
      </c>
      <c r="C111" s="20" t="s">
        <v>338</v>
      </c>
      <c r="D111" s="181" t="s">
        <v>176</v>
      </c>
      <c r="E111" s="379">
        <v>54000</v>
      </c>
      <c r="F111" s="180"/>
    </row>
    <row r="112" spans="1:6" ht="25.5" customHeight="1">
      <c r="A112" s="20"/>
      <c r="B112" s="159" t="s">
        <v>15</v>
      </c>
      <c r="C112" s="29">
        <v>7</v>
      </c>
      <c r="D112" s="20"/>
      <c r="E112" s="384">
        <f>SUM(E105:E111)</f>
        <v>792000</v>
      </c>
      <c r="F112" s="180"/>
    </row>
    <row r="113" spans="1:6" ht="20.100000000000001" customHeight="1">
      <c r="A113" s="20"/>
      <c r="B113" s="159"/>
      <c r="C113" s="29"/>
      <c r="D113" s="20"/>
      <c r="E113" s="384"/>
      <c r="F113" s="180"/>
    </row>
    <row r="114" spans="1:6" ht="20.100000000000001" customHeight="1">
      <c r="A114" s="28"/>
      <c r="B114" s="159" t="s">
        <v>542</v>
      </c>
      <c r="C114" s="29"/>
      <c r="D114" s="29"/>
      <c r="E114" s="382"/>
      <c r="F114" s="180"/>
    </row>
    <row r="115" spans="1:6" ht="18.75" customHeight="1">
      <c r="A115" s="28">
        <v>1</v>
      </c>
      <c r="B115" s="156" t="s">
        <v>247</v>
      </c>
      <c r="C115" s="20" t="s">
        <v>477</v>
      </c>
      <c r="D115" s="181" t="s">
        <v>415</v>
      </c>
      <c r="E115" s="378">
        <v>54000</v>
      </c>
      <c r="F115" s="180"/>
    </row>
    <row r="116" spans="1:6" ht="20.100000000000001" customHeight="1">
      <c r="A116" s="28">
        <v>2</v>
      </c>
      <c r="B116" s="156" t="s">
        <v>141</v>
      </c>
      <c r="C116" s="161" t="s">
        <v>391</v>
      </c>
      <c r="D116" s="181" t="s">
        <v>497</v>
      </c>
      <c r="E116" s="378">
        <v>54000</v>
      </c>
      <c r="F116" s="180"/>
    </row>
    <row r="117" spans="1:6" ht="24.75" customHeight="1">
      <c r="A117" s="20"/>
      <c r="B117" s="159" t="s">
        <v>15</v>
      </c>
      <c r="C117" s="29">
        <v>2</v>
      </c>
      <c r="D117" s="187"/>
      <c r="E117" s="381">
        <f>SUM(E115:E116)</f>
        <v>108000</v>
      </c>
      <c r="F117" s="180"/>
    </row>
    <row r="118" spans="1:6" ht="20.100000000000001" customHeight="1">
      <c r="A118" s="20"/>
      <c r="B118" s="123"/>
      <c r="C118" s="28"/>
      <c r="D118" s="20"/>
      <c r="E118" s="385"/>
      <c r="F118" s="180"/>
    </row>
    <row r="119" spans="1:6" ht="20.100000000000001" customHeight="1">
      <c r="A119" s="20"/>
      <c r="B119" s="159" t="s">
        <v>466</v>
      </c>
      <c r="C119" s="29"/>
      <c r="D119" s="29"/>
      <c r="E119" s="382"/>
      <c r="F119" s="180"/>
    </row>
    <row r="120" spans="1:6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378">
        <f>270000</f>
        <v>270000</v>
      </c>
      <c r="F120" s="180"/>
    </row>
    <row r="121" spans="1:6" ht="20.100000000000001" customHeight="1">
      <c r="A121" s="20">
        <v>2</v>
      </c>
      <c r="B121" s="156" t="s">
        <v>153</v>
      </c>
      <c r="C121" s="161" t="s">
        <v>740</v>
      </c>
      <c r="D121" s="181" t="s">
        <v>29</v>
      </c>
      <c r="E121" s="378">
        <v>180000</v>
      </c>
      <c r="F121" s="180"/>
    </row>
    <row r="122" spans="1:6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378">
        <v>126000</v>
      </c>
      <c r="F122" s="180"/>
    </row>
    <row r="123" spans="1:6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378">
        <v>126000</v>
      </c>
      <c r="F123" s="180"/>
    </row>
    <row r="124" spans="1:6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378">
        <v>90000</v>
      </c>
      <c r="F124" s="180"/>
    </row>
    <row r="125" spans="1:6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378">
        <v>90000</v>
      </c>
      <c r="F125" s="180"/>
    </row>
    <row r="126" spans="1:6" ht="20.100000000000001" customHeight="1">
      <c r="A126" s="20">
        <v>7</v>
      </c>
      <c r="B126" s="156" t="s">
        <v>134</v>
      </c>
      <c r="C126" s="161" t="s">
        <v>476</v>
      </c>
      <c r="D126" s="181" t="s">
        <v>222</v>
      </c>
      <c r="E126" s="378">
        <v>90000</v>
      </c>
      <c r="F126" s="180"/>
    </row>
    <row r="127" spans="1:6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378">
        <v>54000</v>
      </c>
      <c r="F127" s="180"/>
    </row>
    <row r="128" spans="1:6" ht="20.100000000000001" customHeight="1">
      <c r="A128" s="20">
        <v>9</v>
      </c>
      <c r="B128" s="157" t="s">
        <v>439</v>
      </c>
      <c r="C128" s="161" t="s">
        <v>440</v>
      </c>
      <c r="D128" s="181" t="s">
        <v>105</v>
      </c>
      <c r="E128" s="378">
        <v>54000</v>
      </c>
      <c r="F128" s="180"/>
    </row>
    <row r="129" spans="1:6" ht="20.100000000000001" customHeight="1">
      <c r="A129" s="20">
        <v>10</v>
      </c>
      <c r="B129" s="157" t="s">
        <v>535</v>
      </c>
      <c r="C129" s="161" t="s">
        <v>536</v>
      </c>
      <c r="D129" s="181" t="s">
        <v>105</v>
      </c>
      <c r="E129" s="378">
        <v>54000</v>
      </c>
      <c r="F129" s="180"/>
    </row>
    <row r="130" spans="1:6" ht="28.5" customHeight="1">
      <c r="A130" s="20"/>
      <c r="B130" s="159" t="s">
        <v>15</v>
      </c>
      <c r="C130" s="187" t="s">
        <v>543</v>
      </c>
      <c r="D130" s="181"/>
      <c r="E130" s="382">
        <f>SUM(E120:E129)</f>
        <v>1134000</v>
      </c>
      <c r="F130" s="180"/>
    </row>
    <row r="131" spans="1:6" ht="20.100000000000001" customHeight="1">
      <c r="A131" s="20"/>
      <c r="B131" s="123"/>
      <c r="C131" s="187"/>
      <c r="D131" s="181"/>
      <c r="E131" s="382"/>
      <c r="F131" s="180"/>
    </row>
    <row r="132" spans="1:6" ht="20.100000000000001" customHeight="1">
      <c r="A132" s="20"/>
      <c r="B132" s="159" t="s">
        <v>467</v>
      </c>
      <c r="C132" s="161"/>
      <c r="D132" s="181"/>
      <c r="E132" s="378"/>
      <c r="F132" s="180"/>
    </row>
    <row r="133" spans="1:6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378">
        <f>270000</f>
        <v>270000</v>
      </c>
      <c r="F133" s="180"/>
    </row>
    <row r="134" spans="1:6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378">
        <v>180000</v>
      </c>
      <c r="F134" s="180"/>
    </row>
    <row r="135" spans="1:6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378">
        <v>180000</v>
      </c>
      <c r="F135" s="180"/>
    </row>
    <row r="136" spans="1:6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378">
        <v>90000</v>
      </c>
      <c r="F136" s="180"/>
    </row>
    <row r="137" spans="1:6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378">
        <v>90000</v>
      </c>
      <c r="F137" s="180"/>
    </row>
    <row r="138" spans="1:6" ht="20.100000000000001" customHeight="1">
      <c r="A138" s="191">
        <v>6</v>
      </c>
      <c r="B138" s="156" t="s">
        <v>6</v>
      </c>
      <c r="C138" s="20" t="s">
        <v>385</v>
      </c>
      <c r="D138" s="181" t="s">
        <v>181</v>
      </c>
      <c r="E138" s="378">
        <v>90000</v>
      </c>
      <c r="F138" s="180"/>
    </row>
    <row r="139" spans="1:6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378">
        <v>54000</v>
      </c>
      <c r="F139" s="180"/>
    </row>
    <row r="140" spans="1:6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378">
        <v>54000</v>
      </c>
      <c r="F140" s="180"/>
    </row>
    <row r="141" spans="1:6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378">
        <v>54000</v>
      </c>
      <c r="F141" s="180"/>
    </row>
    <row r="142" spans="1:6" ht="20.100000000000001" customHeight="1">
      <c r="A142" s="191">
        <v>10</v>
      </c>
      <c r="B142" s="156" t="s">
        <v>238</v>
      </c>
      <c r="C142" s="161" t="s">
        <v>546</v>
      </c>
      <c r="D142" s="181" t="s">
        <v>415</v>
      </c>
      <c r="E142" s="378">
        <v>54000</v>
      </c>
      <c r="F142" s="180"/>
    </row>
    <row r="143" spans="1:6" ht="20.100000000000001" customHeight="1">
      <c r="A143" s="191">
        <v>11</v>
      </c>
      <c r="B143" s="156" t="s">
        <v>53</v>
      </c>
      <c r="C143" s="161" t="s">
        <v>711</v>
      </c>
      <c r="D143" s="181" t="s">
        <v>369</v>
      </c>
      <c r="E143" s="378">
        <v>54000</v>
      </c>
      <c r="F143" s="180"/>
    </row>
    <row r="144" spans="1:6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378">
        <v>54000</v>
      </c>
      <c r="F144" s="180"/>
    </row>
    <row r="145" spans="1:6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378">
        <v>54000</v>
      </c>
      <c r="F145" s="180"/>
    </row>
    <row r="146" spans="1:6" ht="20.100000000000001" customHeight="1">
      <c r="A146" s="191">
        <v>14</v>
      </c>
      <c r="B146" s="156" t="s">
        <v>488</v>
      </c>
      <c r="C146" s="20" t="s">
        <v>239</v>
      </c>
      <c r="D146" s="181" t="s">
        <v>207</v>
      </c>
      <c r="E146" s="378">
        <v>54000</v>
      </c>
      <c r="F146" s="180"/>
    </row>
    <row r="147" spans="1:6" ht="20.100000000000001" customHeight="1">
      <c r="A147" s="191">
        <v>15</v>
      </c>
      <c r="B147" s="156" t="s">
        <v>489</v>
      </c>
      <c r="C147" s="20" t="s">
        <v>239</v>
      </c>
      <c r="D147" s="181" t="s">
        <v>164</v>
      </c>
      <c r="E147" s="378">
        <v>54000</v>
      </c>
      <c r="F147" s="180"/>
    </row>
    <row r="148" spans="1:6" ht="20.100000000000001" customHeight="1">
      <c r="A148" s="191">
        <v>16</v>
      </c>
      <c r="B148" s="156" t="s">
        <v>212</v>
      </c>
      <c r="C148" s="20" t="s">
        <v>239</v>
      </c>
      <c r="D148" s="181" t="s">
        <v>164</v>
      </c>
      <c r="E148" s="378">
        <v>54000</v>
      </c>
      <c r="F148" s="180"/>
    </row>
    <row r="149" spans="1:6" ht="20.100000000000001" customHeight="1">
      <c r="A149" s="191">
        <v>17</v>
      </c>
      <c r="B149" s="156" t="s">
        <v>425</v>
      </c>
      <c r="C149" s="161" t="s">
        <v>430</v>
      </c>
      <c r="D149" s="181" t="s">
        <v>104</v>
      </c>
      <c r="E149" s="378">
        <v>54000</v>
      </c>
      <c r="F149" s="180"/>
    </row>
    <row r="150" spans="1:6" ht="20.100000000000001" customHeight="1">
      <c r="A150" s="191">
        <v>18</v>
      </c>
      <c r="B150" s="156" t="s">
        <v>437</v>
      </c>
      <c r="C150" s="161" t="s">
        <v>438</v>
      </c>
      <c r="D150" s="28" t="s">
        <v>428</v>
      </c>
      <c r="E150" s="378">
        <v>54000</v>
      </c>
      <c r="F150" s="180"/>
    </row>
    <row r="151" spans="1:6" ht="20.100000000000001" customHeight="1">
      <c r="A151" s="191">
        <v>19</v>
      </c>
      <c r="B151" s="156" t="s">
        <v>230</v>
      </c>
      <c r="C151" s="161" t="s">
        <v>485</v>
      </c>
      <c r="D151" s="181" t="s">
        <v>207</v>
      </c>
      <c r="E151" s="378">
        <v>54000</v>
      </c>
      <c r="F151" s="180"/>
    </row>
    <row r="152" spans="1:6" ht="20.100000000000001" customHeight="1">
      <c r="A152" s="191">
        <v>20</v>
      </c>
      <c r="B152" s="156" t="s">
        <v>57</v>
      </c>
      <c r="C152" s="161" t="s">
        <v>481</v>
      </c>
      <c r="D152" s="181" t="s">
        <v>498</v>
      </c>
      <c r="E152" s="378">
        <v>54000</v>
      </c>
      <c r="F152" s="180"/>
    </row>
    <row r="153" spans="1:6" ht="20.100000000000001" customHeight="1">
      <c r="A153" s="191">
        <v>21</v>
      </c>
      <c r="B153" s="156" t="s">
        <v>251</v>
      </c>
      <c r="C153" s="161" t="s">
        <v>482</v>
      </c>
      <c r="D153" s="181" t="s">
        <v>207</v>
      </c>
      <c r="E153" s="378">
        <v>54000</v>
      </c>
      <c r="F153" s="180"/>
    </row>
    <row r="154" spans="1:6" ht="20.100000000000001" customHeight="1">
      <c r="A154" s="191">
        <v>22</v>
      </c>
      <c r="B154" s="156" t="s">
        <v>241</v>
      </c>
      <c r="C154" s="161" t="s">
        <v>348</v>
      </c>
      <c r="D154" s="181" t="s">
        <v>498</v>
      </c>
      <c r="E154" s="378">
        <v>54000</v>
      </c>
      <c r="F154" s="180"/>
    </row>
    <row r="155" spans="1:6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378">
        <v>54000</v>
      </c>
      <c r="F155" s="180"/>
    </row>
    <row r="156" spans="1:6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378">
        <v>54000</v>
      </c>
      <c r="F156" s="180"/>
    </row>
    <row r="157" spans="1:6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378">
        <v>54000</v>
      </c>
      <c r="F157" s="180"/>
    </row>
    <row r="158" spans="1:6" ht="20.100000000000001" customHeight="1">
      <c r="A158" s="191">
        <v>26</v>
      </c>
      <c r="B158" s="157" t="s">
        <v>441</v>
      </c>
      <c r="C158" s="161" t="s">
        <v>442</v>
      </c>
      <c r="D158" s="181" t="s">
        <v>105</v>
      </c>
      <c r="E158" s="378">
        <v>54000</v>
      </c>
      <c r="F158" s="180"/>
    </row>
    <row r="159" spans="1:6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378">
        <v>54000</v>
      </c>
      <c r="F159" s="180"/>
    </row>
    <row r="160" spans="1:6" ht="20.100000000000001" customHeight="1">
      <c r="A160" s="191">
        <v>28</v>
      </c>
      <c r="B160" s="157" t="s">
        <v>550</v>
      </c>
      <c r="C160" s="161" t="s">
        <v>290</v>
      </c>
      <c r="D160" s="181" t="s">
        <v>105</v>
      </c>
      <c r="E160" s="378">
        <v>54000</v>
      </c>
      <c r="F160" s="180"/>
    </row>
    <row r="161" spans="1:6" ht="20.100000000000001" customHeight="1">
      <c r="A161" s="191">
        <v>29</v>
      </c>
      <c r="B161" s="156" t="s">
        <v>22</v>
      </c>
      <c r="C161" s="161" t="s">
        <v>302</v>
      </c>
      <c r="D161" s="181" t="s">
        <v>501</v>
      </c>
      <c r="E161" s="386">
        <v>36000</v>
      </c>
      <c r="F161" s="180"/>
    </row>
    <row r="162" spans="1:6" ht="20.100000000000001" customHeight="1">
      <c r="A162" s="191">
        <v>30</v>
      </c>
      <c r="B162" s="156" t="s">
        <v>14</v>
      </c>
      <c r="C162" s="161" t="s">
        <v>302</v>
      </c>
      <c r="D162" s="181" t="s">
        <v>501</v>
      </c>
      <c r="E162" s="386">
        <v>36000</v>
      </c>
      <c r="F162" s="180"/>
    </row>
    <row r="163" spans="1:6" ht="20.100000000000001" customHeight="1">
      <c r="A163" s="191">
        <v>31</v>
      </c>
      <c r="B163" s="156" t="s">
        <v>23</v>
      </c>
      <c r="C163" s="161" t="s">
        <v>302</v>
      </c>
      <c r="D163" s="181" t="s">
        <v>501</v>
      </c>
      <c r="E163" s="386">
        <v>36000</v>
      </c>
      <c r="F163" s="180"/>
    </row>
    <row r="164" spans="1:6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386">
        <v>36000</v>
      </c>
      <c r="F164" s="180"/>
    </row>
    <row r="165" spans="1:6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386">
        <v>36000</v>
      </c>
      <c r="F165" s="180"/>
    </row>
    <row r="166" spans="1:6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386">
        <v>36000</v>
      </c>
      <c r="F166" s="180"/>
    </row>
    <row r="167" spans="1:6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386">
        <v>36000</v>
      </c>
      <c r="F167" s="180"/>
    </row>
    <row r="168" spans="1:6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386">
        <v>36000</v>
      </c>
      <c r="F168" s="180"/>
    </row>
    <row r="169" spans="1:6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386">
        <v>36000</v>
      </c>
      <c r="F169" s="180"/>
    </row>
    <row r="170" spans="1:6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386">
        <v>36000</v>
      </c>
      <c r="F170" s="180"/>
    </row>
    <row r="171" spans="1:6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386">
        <v>36000</v>
      </c>
      <c r="F171" s="180"/>
    </row>
    <row r="172" spans="1:6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386">
        <v>36000</v>
      </c>
      <c r="F172" s="180"/>
    </row>
    <row r="173" spans="1:6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386">
        <v>36000</v>
      </c>
      <c r="F173" s="180"/>
    </row>
    <row r="174" spans="1:6" ht="20.100000000000001" customHeight="1">
      <c r="A174" s="191">
        <v>42</v>
      </c>
      <c r="B174" s="157" t="s">
        <v>166</v>
      </c>
      <c r="C174" s="161" t="s">
        <v>714</v>
      </c>
      <c r="D174" s="181" t="s">
        <v>306</v>
      </c>
      <c r="E174" s="386">
        <v>36000</v>
      </c>
      <c r="F174" s="180"/>
    </row>
    <row r="175" spans="1:6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386">
        <v>36000</v>
      </c>
      <c r="F175" s="180"/>
    </row>
    <row r="176" spans="1:6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386">
        <v>36000</v>
      </c>
      <c r="F176" s="180"/>
    </row>
    <row r="177" spans="1:6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386">
        <v>36000</v>
      </c>
      <c r="F177" s="180"/>
    </row>
    <row r="178" spans="1:6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386">
        <v>36000</v>
      </c>
      <c r="F178" s="180"/>
    </row>
    <row r="179" spans="1:6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386">
        <v>36000</v>
      </c>
      <c r="F179" s="180"/>
    </row>
    <row r="180" spans="1:6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386">
        <v>36000</v>
      </c>
      <c r="F180" s="180"/>
    </row>
    <row r="181" spans="1:6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386">
        <v>36000</v>
      </c>
      <c r="F181" s="180"/>
    </row>
    <row r="182" spans="1:6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386">
        <v>36000</v>
      </c>
      <c r="F182" s="180"/>
    </row>
    <row r="183" spans="1:6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386">
        <v>36000</v>
      </c>
      <c r="F183" s="180"/>
    </row>
    <row r="184" spans="1:6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386">
        <v>36000</v>
      </c>
      <c r="F184" s="180"/>
    </row>
    <row r="185" spans="1:6" ht="20.100000000000001" customHeight="1">
      <c r="A185" s="191">
        <v>53</v>
      </c>
      <c r="B185" s="157" t="s">
        <v>279</v>
      </c>
      <c r="C185" s="161" t="s">
        <v>715</v>
      </c>
      <c r="D185" s="181" t="s">
        <v>262</v>
      </c>
      <c r="E185" s="386">
        <v>36000</v>
      </c>
      <c r="F185" s="180"/>
    </row>
    <row r="186" spans="1:6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386">
        <v>36000</v>
      </c>
      <c r="F186" s="180"/>
    </row>
    <row r="187" spans="1:6" ht="20.100000000000001" customHeight="1">
      <c r="A187" s="191">
        <v>55</v>
      </c>
      <c r="B187" s="157" t="s">
        <v>557</v>
      </c>
      <c r="C187" s="161" t="s">
        <v>558</v>
      </c>
      <c r="D187" s="181" t="s">
        <v>559</v>
      </c>
      <c r="E187" s="386">
        <v>36000</v>
      </c>
      <c r="F187" s="180"/>
    </row>
    <row r="188" spans="1:6" ht="20.100000000000001" customHeight="1">
      <c r="A188" s="191">
        <v>56</v>
      </c>
      <c r="B188" s="157" t="s">
        <v>560</v>
      </c>
      <c r="C188" s="161" t="s">
        <v>558</v>
      </c>
      <c r="D188" s="181" t="s">
        <v>559</v>
      </c>
      <c r="E188" s="386">
        <v>36000</v>
      </c>
      <c r="F188" s="180"/>
    </row>
    <row r="189" spans="1:6" ht="20.100000000000001" customHeight="1">
      <c r="A189" s="191">
        <v>57</v>
      </c>
      <c r="B189" s="157" t="s">
        <v>561</v>
      </c>
      <c r="C189" s="161" t="s">
        <v>558</v>
      </c>
      <c r="D189" s="181" t="s">
        <v>559</v>
      </c>
      <c r="E189" s="386">
        <v>36000</v>
      </c>
      <c r="F189" s="180"/>
    </row>
    <row r="190" spans="1:6" ht="20.100000000000001" customHeight="1">
      <c r="A190" s="191">
        <v>58</v>
      </c>
      <c r="B190" s="157" t="s">
        <v>562</v>
      </c>
      <c r="C190" s="161" t="s">
        <v>563</v>
      </c>
      <c r="D190" s="181" t="s">
        <v>564</v>
      </c>
      <c r="E190" s="386">
        <v>36000</v>
      </c>
      <c r="F190" s="180"/>
    </row>
    <row r="191" spans="1:6" ht="20.100000000000001" customHeight="1">
      <c r="A191" s="191">
        <v>59</v>
      </c>
      <c r="B191" s="157" t="s">
        <v>565</v>
      </c>
      <c r="C191" s="161" t="s">
        <v>563</v>
      </c>
      <c r="D191" s="181" t="s">
        <v>564</v>
      </c>
      <c r="E191" s="386">
        <v>36000</v>
      </c>
      <c r="F191" s="180"/>
    </row>
    <row r="192" spans="1:6" ht="24.75" customHeight="1">
      <c r="A192" s="191"/>
      <c r="B192" s="177" t="s">
        <v>15</v>
      </c>
      <c r="C192" s="193" t="s">
        <v>710</v>
      </c>
      <c r="D192" s="22"/>
      <c r="E192" s="381">
        <f>SUM(E133:E191)</f>
        <v>3204000</v>
      </c>
      <c r="F192" s="180"/>
    </row>
    <row r="193" spans="1:6" ht="20.100000000000001" customHeight="1">
      <c r="A193" s="417"/>
      <c r="B193" s="417"/>
      <c r="C193" s="417"/>
      <c r="D193" s="417"/>
      <c r="E193" s="417"/>
      <c r="F193" s="180"/>
    </row>
    <row r="194" spans="1:6" ht="29.25" customHeight="1">
      <c r="A194" s="20"/>
      <c r="B194" s="194" t="s">
        <v>8</v>
      </c>
      <c r="C194" s="195">
        <f>C31+C37+C52+C57+C71+C81+C95+C102+C112+C130+C192</f>
        <v>151</v>
      </c>
      <c r="D194" s="196"/>
      <c r="E194" s="387">
        <f>E192+E130+E117+E112+E102+E95+E81+E71+E57+E52+E37+E31</f>
        <v>13230000</v>
      </c>
      <c r="F194" s="180"/>
    </row>
    <row r="195" spans="1:6" ht="20.100000000000001" customHeight="1">
      <c r="B195" s="198"/>
      <c r="D195" s="199"/>
      <c r="E195" s="199"/>
      <c r="F195" s="202"/>
    </row>
    <row r="196" spans="1:6" ht="36.75" customHeight="1">
      <c r="B196" s="198"/>
      <c r="C196" s="199"/>
      <c r="D196" s="199"/>
      <c r="E196" s="363"/>
    </row>
    <row r="197" spans="1:6" ht="20.100000000000001" customHeight="1">
      <c r="E197" s="363"/>
    </row>
    <row r="198" spans="1:6" ht="20.100000000000001" customHeight="1">
      <c r="E198" s="363"/>
    </row>
    <row r="199" spans="1:6" ht="20.100000000000001" customHeight="1">
      <c r="E199" s="363"/>
    </row>
    <row r="200" spans="1:6" ht="20.100000000000001" customHeight="1">
      <c r="E200" s="202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4" customWidth="1"/>
    <col min="2" max="2" width="43.42578125" style="164" customWidth="1"/>
    <col min="3" max="3" width="40.42578125" style="164" customWidth="1"/>
    <col min="4" max="4" width="11.5703125" style="164" customWidth="1"/>
    <col min="5" max="6" width="19.28515625" style="164" customWidth="1"/>
    <col min="7" max="7" width="21.7109375" style="164" customWidth="1"/>
    <col min="8" max="16384" width="9.140625" style="164"/>
  </cols>
  <sheetData>
    <row r="1" spans="1:7" ht="27" customHeight="1">
      <c r="A1" s="165" t="s">
        <v>234</v>
      </c>
      <c r="B1" s="165"/>
      <c r="C1" s="165"/>
      <c r="D1" s="165"/>
    </row>
    <row r="2" spans="1:7" ht="33.75" customHeight="1">
      <c r="A2" s="418" t="s">
        <v>735</v>
      </c>
      <c r="B2" s="418"/>
      <c r="C2" s="418"/>
      <c r="D2" s="418"/>
      <c r="E2" s="418"/>
      <c r="F2" s="418"/>
    </row>
    <row r="3" spans="1:7" ht="9.75" customHeight="1"/>
    <row r="4" spans="1:7" ht="49.5" customHeight="1">
      <c r="A4" s="20"/>
      <c r="B4" s="170" t="s">
        <v>0</v>
      </c>
      <c r="C4" s="171" t="s">
        <v>12</v>
      </c>
      <c r="D4" s="172" t="s">
        <v>309</v>
      </c>
      <c r="E4" s="336" t="s">
        <v>745</v>
      </c>
      <c r="F4" s="221" t="s">
        <v>744</v>
      </c>
    </row>
    <row r="5" spans="1:7" ht="17.25" customHeight="1">
      <c r="C5" s="177"/>
      <c r="D5" s="177"/>
      <c r="E5" s="210" t="s">
        <v>5</v>
      </c>
      <c r="F5" s="216" t="s">
        <v>5</v>
      </c>
    </row>
    <row r="6" spans="1:7" ht="20.100000000000001" customHeight="1">
      <c r="A6" s="176" t="s">
        <v>143</v>
      </c>
      <c r="B6" s="177" t="s">
        <v>433</v>
      </c>
      <c r="C6" s="177"/>
      <c r="D6" s="177"/>
      <c r="E6" s="210"/>
      <c r="F6" s="216"/>
    </row>
    <row r="7" spans="1: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04">
        <v>1158849.8399999999</v>
      </c>
      <c r="F7" s="207">
        <f>E7/2</f>
        <v>579424.91999999993</v>
      </c>
      <c r="G7" s="180"/>
    </row>
    <row r="8" spans="1:7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04">
        <v>541465.02474999998</v>
      </c>
      <c r="F8" s="207">
        <f t="shared" ref="F8:F30" si="0">E8/2</f>
        <v>270732.51237499999</v>
      </c>
      <c r="G8" s="180"/>
    </row>
    <row r="9" spans="1:7" ht="20.100000000000001" customHeight="1">
      <c r="A9" s="28">
        <v>3</v>
      </c>
      <c r="B9" s="158" t="s">
        <v>317</v>
      </c>
      <c r="C9" s="20" t="s">
        <v>418</v>
      </c>
      <c r="D9" s="181" t="s">
        <v>221</v>
      </c>
      <c r="E9" s="204">
        <v>727743.99575</v>
      </c>
      <c r="F9" s="207">
        <f t="shared" si="0"/>
        <v>363871.997875</v>
      </c>
      <c r="G9" s="180"/>
    </row>
    <row r="10" spans="1:7" ht="20.100000000000001" customHeight="1">
      <c r="A10" s="28">
        <v>4</v>
      </c>
      <c r="B10" s="156" t="s">
        <v>187</v>
      </c>
      <c r="C10" s="112" t="s">
        <v>474</v>
      </c>
      <c r="D10" s="24" t="s">
        <v>221</v>
      </c>
      <c r="E10" s="204">
        <v>617743.99575</v>
      </c>
      <c r="F10" s="207">
        <f t="shared" si="0"/>
        <v>308871.997875</v>
      </c>
      <c r="G10" s="180"/>
    </row>
    <row r="11" spans="1:7" ht="20.100000000000001" customHeight="1">
      <c r="A11" s="28">
        <v>5</v>
      </c>
      <c r="B11" s="158" t="s">
        <v>203</v>
      </c>
      <c r="C11" s="20" t="s">
        <v>475</v>
      </c>
      <c r="D11" s="24" t="s">
        <v>221</v>
      </c>
      <c r="E11" s="204">
        <v>677743.99575</v>
      </c>
      <c r="F11" s="207">
        <f t="shared" si="0"/>
        <v>338871.997875</v>
      </c>
      <c r="G11" s="180"/>
    </row>
    <row r="12" spans="1:7" ht="20.100000000000001" customHeight="1">
      <c r="A12" s="28">
        <v>6</v>
      </c>
      <c r="B12" s="157" t="s">
        <v>364</v>
      </c>
      <c r="C12" s="28" t="s">
        <v>343</v>
      </c>
      <c r="D12" s="181" t="s">
        <v>221</v>
      </c>
      <c r="E12" s="204">
        <v>627743.99575</v>
      </c>
      <c r="F12" s="207">
        <f t="shared" si="0"/>
        <v>313871.997875</v>
      </c>
      <c r="G12" s="180"/>
    </row>
    <row r="13" spans="1:7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04">
        <v>497553.5025</v>
      </c>
      <c r="F13" s="207">
        <f t="shared" si="0"/>
        <v>248776.75125</v>
      </c>
      <c r="G13" s="180"/>
    </row>
    <row r="14" spans="1:7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3">
        <v>604729.22200000007</v>
      </c>
      <c r="F14" s="207">
        <f t="shared" si="0"/>
        <v>302364.61100000003</v>
      </c>
      <c r="G14" s="180"/>
    </row>
    <row r="15" spans="1:7" ht="20.100000000000001" customHeight="1">
      <c r="A15" s="28">
        <v>9</v>
      </c>
      <c r="B15" s="156" t="s">
        <v>18</v>
      </c>
      <c r="C15" s="20" t="s">
        <v>389</v>
      </c>
      <c r="D15" s="181" t="s">
        <v>181</v>
      </c>
      <c r="E15" s="204">
        <v>343333.03524999996</v>
      </c>
      <c r="F15" s="207">
        <f t="shared" si="0"/>
        <v>171666.51762499998</v>
      </c>
      <c r="G15" s="180"/>
    </row>
    <row r="16" spans="1:7" ht="20.100000000000001" customHeight="1">
      <c r="A16" s="28">
        <v>10</v>
      </c>
      <c r="B16" s="158" t="s">
        <v>534</v>
      </c>
      <c r="C16" s="112" t="s">
        <v>297</v>
      </c>
      <c r="D16" s="181" t="s">
        <v>162</v>
      </c>
      <c r="E16" s="204">
        <v>455272.06374999997</v>
      </c>
      <c r="F16" s="207">
        <f t="shared" si="0"/>
        <v>227636.03187499999</v>
      </c>
      <c r="G16" s="180"/>
    </row>
    <row r="17" spans="1:7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204">
        <v>326663.07749999996</v>
      </c>
      <c r="F17" s="207">
        <f t="shared" si="0"/>
        <v>163331.53874999998</v>
      </c>
    </row>
    <row r="18" spans="1:7" ht="20.100000000000001" customHeight="1">
      <c r="A18" s="28">
        <v>12</v>
      </c>
      <c r="B18" s="156" t="s">
        <v>334</v>
      </c>
      <c r="C18" s="161" t="s">
        <v>351</v>
      </c>
      <c r="D18" s="181" t="s">
        <v>163</v>
      </c>
      <c r="E18" s="204">
        <v>362001.06050000002</v>
      </c>
      <c r="F18" s="207">
        <f t="shared" si="0"/>
        <v>181000.53025000001</v>
      </c>
      <c r="G18" s="180"/>
    </row>
    <row r="19" spans="1:7" ht="20.100000000000001" customHeight="1">
      <c r="A19" s="28">
        <v>13</v>
      </c>
      <c r="B19" s="157" t="s">
        <v>291</v>
      </c>
      <c r="C19" s="20" t="s">
        <v>346</v>
      </c>
      <c r="D19" s="181" t="s">
        <v>413</v>
      </c>
      <c r="E19" s="204">
        <v>454201.02599999995</v>
      </c>
      <c r="F19" s="207">
        <f t="shared" si="0"/>
        <v>227100.51299999998</v>
      </c>
      <c r="G19" s="180"/>
    </row>
    <row r="20" spans="1:7" ht="18.75" customHeight="1">
      <c r="A20" s="28">
        <v>14</v>
      </c>
      <c r="B20" s="156" t="s">
        <v>253</v>
      </c>
      <c r="C20" s="161" t="s">
        <v>478</v>
      </c>
      <c r="D20" s="181" t="s">
        <v>415</v>
      </c>
      <c r="E20" s="204">
        <v>372454.07400000002</v>
      </c>
      <c r="F20" s="207">
        <f t="shared" si="0"/>
        <v>186227.03700000001</v>
      </c>
      <c r="G20" s="180"/>
    </row>
    <row r="21" spans="1:7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204">
        <v>400372.07500000001</v>
      </c>
      <c r="F21" s="207">
        <f t="shared" si="0"/>
        <v>200186.03750000001</v>
      </c>
      <c r="G21" s="180"/>
    </row>
    <row r="22" spans="1:7" ht="20.100000000000001" customHeight="1">
      <c r="A22" s="28">
        <v>16</v>
      </c>
      <c r="B22" s="158" t="s">
        <v>742</v>
      </c>
      <c r="C22" s="112" t="s">
        <v>743</v>
      </c>
      <c r="D22" s="28" t="s">
        <v>104</v>
      </c>
      <c r="E22" s="204">
        <v>328602.07775000005</v>
      </c>
      <c r="F22" s="207">
        <f t="shared" si="0"/>
        <v>164301.03887500003</v>
      </c>
      <c r="G22" s="18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4">
        <v>205204.0845</v>
      </c>
      <c r="F23" s="207">
        <f t="shared" si="0"/>
        <v>102602.04225</v>
      </c>
      <c r="G23" s="180"/>
    </row>
    <row r="24" spans="1:7" ht="18.75" customHeight="1">
      <c r="A24" s="28">
        <v>18</v>
      </c>
      <c r="B24" s="157" t="s">
        <v>254</v>
      </c>
      <c r="C24" s="161" t="s">
        <v>17</v>
      </c>
      <c r="D24" s="181" t="s">
        <v>498</v>
      </c>
      <c r="E24" s="204">
        <v>209356.04725</v>
      </c>
      <c r="F24" s="207">
        <f t="shared" si="0"/>
        <v>104678.023625</v>
      </c>
      <c r="G24" s="180"/>
    </row>
    <row r="25" spans="1:7" ht="18.75" customHeight="1">
      <c r="A25" s="28">
        <v>19</v>
      </c>
      <c r="B25" s="157" t="s">
        <v>288</v>
      </c>
      <c r="C25" s="161" t="s">
        <v>706</v>
      </c>
      <c r="D25" s="181" t="s">
        <v>428</v>
      </c>
      <c r="E25" s="25">
        <v>205204.0845</v>
      </c>
      <c r="F25" s="207">
        <f t="shared" si="0"/>
        <v>102602.04225</v>
      </c>
      <c r="G25" s="180"/>
    </row>
    <row r="26" spans="1:7" ht="18.75" customHeight="1">
      <c r="A26" s="28">
        <v>20</v>
      </c>
      <c r="B26" s="157" t="s">
        <v>328</v>
      </c>
      <c r="C26" s="20" t="s">
        <v>738</v>
      </c>
      <c r="D26" s="28" t="s">
        <v>428</v>
      </c>
      <c r="E26" s="204">
        <v>205204.08</v>
      </c>
      <c r="F26" s="207">
        <f t="shared" si="0"/>
        <v>102602.04</v>
      </c>
      <c r="G26" s="180"/>
    </row>
    <row r="27" spans="1:7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204">
        <v>209356.04725</v>
      </c>
      <c r="F27" s="207">
        <f t="shared" si="0"/>
        <v>104678.023625</v>
      </c>
      <c r="G27" s="180"/>
    </row>
    <row r="28" spans="1:7" ht="18.75" customHeight="1">
      <c r="A28" s="28">
        <v>22</v>
      </c>
      <c r="B28" s="157" t="s">
        <v>330</v>
      </c>
      <c r="C28" s="20" t="s">
        <v>533</v>
      </c>
      <c r="D28" s="28" t="s">
        <v>176</v>
      </c>
      <c r="E28" s="204">
        <v>176816.1</v>
      </c>
      <c r="F28" s="207">
        <f t="shared" si="0"/>
        <v>88408.05</v>
      </c>
      <c r="G28" s="180"/>
    </row>
    <row r="29" spans="1:7" ht="18.75" customHeight="1">
      <c r="A29" s="28">
        <v>23</v>
      </c>
      <c r="B29" s="157" t="s">
        <v>274</v>
      </c>
      <c r="C29" s="161" t="s">
        <v>314</v>
      </c>
      <c r="D29" s="181" t="s">
        <v>176</v>
      </c>
      <c r="E29" s="204">
        <v>176816.1</v>
      </c>
      <c r="F29" s="207">
        <f t="shared" si="0"/>
        <v>88408.05</v>
      </c>
      <c r="G29" s="180"/>
    </row>
    <row r="30" spans="1:7" ht="18.75" customHeight="1">
      <c r="A30" s="28">
        <v>24</v>
      </c>
      <c r="B30" s="157" t="s">
        <v>555</v>
      </c>
      <c r="C30" s="161" t="s">
        <v>314</v>
      </c>
      <c r="D30" s="181" t="s">
        <v>105</v>
      </c>
      <c r="E30" s="204">
        <v>173329.04949999999</v>
      </c>
      <c r="F30" s="207">
        <f t="shared" si="0"/>
        <v>86664.524749999997</v>
      </c>
      <c r="G30" s="180"/>
    </row>
    <row r="31" spans="1:7" ht="26.25" customHeight="1">
      <c r="A31" s="28"/>
      <c r="B31" s="159" t="s">
        <v>15</v>
      </c>
      <c r="C31" s="29">
        <v>24</v>
      </c>
      <c r="D31" s="181"/>
      <c r="E31" s="183">
        <v>10062524.349499997</v>
      </c>
      <c r="F31" s="183">
        <f>SUM(F7:F30)</f>
        <v>5028878.8274999987</v>
      </c>
      <c r="G31" s="180"/>
    </row>
    <row r="32" spans="1:7" ht="18.75" customHeight="1">
      <c r="A32" s="28"/>
      <c r="B32" s="123"/>
      <c r="C32" s="20"/>
      <c r="D32" s="181"/>
      <c r="E32" s="211"/>
      <c r="F32" s="217"/>
      <c r="G32" s="180"/>
    </row>
    <row r="33" spans="1:7" ht="18.75" customHeight="1">
      <c r="A33" s="28"/>
      <c r="B33" s="159" t="s">
        <v>284</v>
      </c>
      <c r="C33" s="20"/>
      <c r="D33" s="181"/>
      <c r="E33" s="204"/>
      <c r="F33" s="207"/>
      <c r="G33" s="180"/>
    </row>
    <row r="34" spans="1:7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204">
        <v>950209.06350000005</v>
      </c>
      <c r="F34" s="207">
        <f>E34/2</f>
        <v>475104.53175000002</v>
      </c>
      <c r="G34" s="180"/>
    </row>
    <row r="35" spans="1:7" ht="18.75" customHeight="1">
      <c r="A35" s="28">
        <v>2</v>
      </c>
      <c r="B35" s="157" t="s">
        <v>419</v>
      </c>
      <c r="C35" s="20" t="s">
        <v>427</v>
      </c>
      <c r="D35" s="28" t="s">
        <v>105</v>
      </c>
      <c r="E35" s="204">
        <v>173329.04949999999</v>
      </c>
      <c r="F35" s="207">
        <f t="shared" ref="F35:F36" si="1">E35/2</f>
        <v>86664.524749999997</v>
      </c>
      <c r="G35" s="180"/>
    </row>
    <row r="36" spans="1:7" ht="18.75" customHeight="1">
      <c r="A36" s="28">
        <v>3</v>
      </c>
      <c r="B36" s="156" t="s">
        <v>720</v>
      </c>
      <c r="C36" s="161" t="s">
        <v>721</v>
      </c>
      <c r="D36" s="181" t="s">
        <v>104</v>
      </c>
      <c r="E36" s="204">
        <v>228602.07775000003</v>
      </c>
      <c r="F36" s="207">
        <f t="shared" si="1"/>
        <v>114301.03887500001</v>
      </c>
      <c r="G36" s="180"/>
    </row>
    <row r="37" spans="1:7" ht="19.5" customHeight="1">
      <c r="A37" s="28"/>
      <c r="B37" s="158"/>
      <c r="C37" s="29">
        <v>3</v>
      </c>
      <c r="D37" s="28"/>
      <c r="E37" s="183">
        <v>1352140.1907500001</v>
      </c>
      <c r="F37" s="183">
        <f>SUM(F34:F36)</f>
        <v>676070.09537500003</v>
      </c>
      <c r="G37" s="180"/>
    </row>
    <row r="38" spans="1:7" ht="20.100000000000001" customHeight="1">
      <c r="A38" s="28"/>
      <c r="B38" s="158"/>
      <c r="C38" s="20"/>
      <c r="D38" s="28"/>
      <c r="E38" s="211"/>
      <c r="F38" s="207"/>
      <c r="G38" s="180"/>
    </row>
    <row r="39" spans="1:7" ht="20.100000000000001" customHeight="1">
      <c r="A39" s="28"/>
      <c r="B39" s="185" t="s">
        <v>56</v>
      </c>
      <c r="C39" s="170"/>
      <c r="D39" s="174"/>
      <c r="E39" s="204"/>
      <c r="F39" s="207"/>
      <c r="G39" s="180"/>
    </row>
    <row r="40" spans="1:7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204">
        <v>1050209.0635000002</v>
      </c>
      <c r="F40" s="207">
        <f>E40/2</f>
        <v>525104.53175000008</v>
      </c>
      <c r="G40" s="180"/>
    </row>
    <row r="41" spans="1:7" ht="20.100000000000001" customHeight="1">
      <c r="A41" s="28">
        <v>2</v>
      </c>
      <c r="B41" s="156" t="s">
        <v>158</v>
      </c>
      <c r="C41" s="20" t="s">
        <v>199</v>
      </c>
      <c r="D41" s="28" t="s">
        <v>75</v>
      </c>
      <c r="E41" s="204">
        <v>527553.50249999994</v>
      </c>
      <c r="F41" s="207">
        <f t="shared" ref="F41:F51" si="2">E41/2</f>
        <v>263776.75124999997</v>
      </c>
      <c r="G41" s="180"/>
    </row>
    <row r="42" spans="1:7" ht="20.100000000000001" customHeight="1">
      <c r="A42" s="28">
        <v>3</v>
      </c>
      <c r="B42" s="156" t="s">
        <v>165</v>
      </c>
      <c r="C42" s="20" t="s">
        <v>739</v>
      </c>
      <c r="D42" s="28" t="s">
        <v>29</v>
      </c>
      <c r="E42" s="204">
        <v>604023.32999999996</v>
      </c>
      <c r="F42" s="207">
        <f t="shared" si="2"/>
        <v>302011.66499999998</v>
      </c>
      <c r="G42" s="180"/>
    </row>
    <row r="43" spans="1:7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204">
        <v>527553.50249999994</v>
      </c>
      <c r="F43" s="207">
        <f t="shared" si="2"/>
        <v>263776.75124999997</v>
      </c>
      <c r="G43" s="180"/>
    </row>
    <row r="44" spans="1:7" ht="20.100000000000001" customHeight="1">
      <c r="A44" s="28">
        <v>5</v>
      </c>
      <c r="B44" s="156" t="s">
        <v>118</v>
      </c>
      <c r="C44" s="20" t="s">
        <v>258</v>
      </c>
      <c r="D44" s="28" t="s">
        <v>148</v>
      </c>
      <c r="E44" s="204">
        <v>516137.05000000005</v>
      </c>
      <c r="F44" s="207">
        <f t="shared" si="2"/>
        <v>258068.52500000002</v>
      </c>
      <c r="G44" s="180"/>
    </row>
    <row r="45" spans="1:7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204">
        <v>504720.04700000002</v>
      </c>
      <c r="F45" s="207">
        <f t="shared" si="2"/>
        <v>252360.02350000001</v>
      </c>
      <c r="G45" s="180"/>
    </row>
    <row r="46" spans="1:7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204">
        <v>413333.03525000007</v>
      </c>
      <c r="F46" s="207">
        <f t="shared" si="2"/>
        <v>206666.51762500004</v>
      </c>
      <c r="G46" s="180"/>
    </row>
    <row r="47" spans="1:7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23">
        <v>397211.36749999999</v>
      </c>
      <c r="F47" s="207">
        <f t="shared" si="2"/>
        <v>198605.68375</v>
      </c>
      <c r="G47" s="180"/>
    </row>
    <row r="48" spans="1:7" ht="20.100000000000001" customHeight="1">
      <c r="A48" s="28">
        <v>9</v>
      </c>
      <c r="B48" s="156" t="s">
        <v>551</v>
      </c>
      <c r="C48" s="20" t="s">
        <v>84</v>
      </c>
      <c r="D48" s="28" t="s">
        <v>104</v>
      </c>
      <c r="E48" s="204">
        <v>268602.07775000005</v>
      </c>
      <c r="F48" s="207">
        <f t="shared" si="2"/>
        <v>134301.03887500003</v>
      </c>
      <c r="G48" s="180"/>
    </row>
    <row r="49" spans="1:7" ht="20.100000000000001" customHeight="1">
      <c r="A49" s="28">
        <v>10</v>
      </c>
      <c r="B49" s="156" t="s">
        <v>420</v>
      </c>
      <c r="C49" s="20" t="s">
        <v>84</v>
      </c>
      <c r="D49" s="28" t="s">
        <v>428</v>
      </c>
      <c r="E49" s="204">
        <v>245204.0845</v>
      </c>
      <c r="F49" s="207">
        <f t="shared" si="2"/>
        <v>122602.04225</v>
      </c>
      <c r="G49" s="180"/>
    </row>
    <row r="50" spans="1:7" ht="20.100000000000001" customHeight="1">
      <c r="A50" s="28">
        <v>11</v>
      </c>
      <c r="B50" s="156" t="s">
        <v>435</v>
      </c>
      <c r="C50" s="20" t="s">
        <v>84</v>
      </c>
      <c r="D50" s="28" t="s">
        <v>428</v>
      </c>
      <c r="E50" s="204">
        <v>245204.0845</v>
      </c>
      <c r="F50" s="207">
        <f t="shared" si="2"/>
        <v>122602.04225</v>
      </c>
      <c r="G50" s="180"/>
    </row>
    <row r="51" spans="1:7" ht="20.100000000000001" customHeight="1">
      <c r="A51" s="28">
        <v>12</v>
      </c>
      <c r="B51" s="156" t="s">
        <v>452</v>
      </c>
      <c r="C51" s="20" t="s">
        <v>84</v>
      </c>
      <c r="D51" s="28" t="s">
        <v>428</v>
      </c>
      <c r="E51" s="204">
        <v>245204.0845</v>
      </c>
      <c r="F51" s="207">
        <f t="shared" si="2"/>
        <v>122602.04225</v>
      </c>
      <c r="G51" s="180"/>
    </row>
    <row r="52" spans="1:7" ht="25.5" customHeight="1">
      <c r="A52" s="28"/>
      <c r="B52" s="159" t="s">
        <v>15</v>
      </c>
      <c r="C52" s="29">
        <v>12</v>
      </c>
      <c r="D52" s="29"/>
      <c r="E52" s="68">
        <v>6101043.8132499997</v>
      </c>
      <c r="F52" s="337">
        <f>SUM(F40:F51)</f>
        <v>2772477.6147500002</v>
      </c>
      <c r="G52" s="180"/>
    </row>
    <row r="53" spans="1:7" ht="20.100000000000001" customHeight="1">
      <c r="A53" s="28"/>
      <c r="B53" s="123"/>
      <c r="C53" s="29"/>
      <c r="D53" s="29"/>
      <c r="E53" s="212"/>
      <c r="F53" s="218"/>
      <c r="G53" s="180"/>
    </row>
    <row r="54" spans="1:7" ht="20.100000000000001" customHeight="1">
      <c r="A54" s="28"/>
      <c r="B54" s="159" t="s">
        <v>195</v>
      </c>
      <c r="C54" s="29"/>
      <c r="D54" s="29"/>
      <c r="E54" s="212"/>
      <c r="F54" s="218"/>
      <c r="G54" s="180"/>
    </row>
    <row r="55" spans="1:7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204">
        <v>1050209.0635000002</v>
      </c>
      <c r="F55" s="207">
        <f>E55/2</f>
        <v>525104.53175000008</v>
      </c>
      <c r="G55" s="180"/>
    </row>
    <row r="56" spans="1:7" ht="20.100000000000001" customHeight="1">
      <c r="A56" s="28">
        <v>2</v>
      </c>
      <c r="B56" s="156" t="s">
        <v>276</v>
      </c>
      <c r="C56" s="161" t="s">
        <v>340</v>
      </c>
      <c r="D56" s="181" t="s">
        <v>412</v>
      </c>
      <c r="E56" s="204">
        <v>436137.05000000005</v>
      </c>
      <c r="F56" s="207">
        <f>E56/2</f>
        <v>218068.52500000002</v>
      </c>
      <c r="G56" s="180"/>
    </row>
    <row r="57" spans="1:7" ht="20.100000000000001" customHeight="1">
      <c r="A57" s="28"/>
      <c r="B57" s="159" t="s">
        <v>15</v>
      </c>
      <c r="C57" s="29">
        <v>2</v>
      </c>
      <c r="D57" s="29"/>
      <c r="E57" s="68">
        <v>1486346.1135000002</v>
      </c>
      <c r="F57" s="337">
        <f>SUM(F55:F56)</f>
        <v>743173.05675000011</v>
      </c>
      <c r="G57" s="180"/>
    </row>
    <row r="58" spans="1:7" ht="20.100000000000001" customHeight="1">
      <c r="A58" s="28"/>
      <c r="B58" s="159"/>
      <c r="C58" s="29"/>
      <c r="D58" s="29"/>
      <c r="E58" s="212"/>
      <c r="F58" s="218"/>
      <c r="G58" s="180"/>
    </row>
    <row r="59" spans="1:7" ht="20.100000000000001" customHeight="1">
      <c r="A59" s="28"/>
      <c r="B59" s="159" t="s">
        <v>461</v>
      </c>
      <c r="C59" s="29"/>
      <c r="D59" s="29"/>
      <c r="E59" s="212"/>
      <c r="F59" s="218"/>
      <c r="G59" s="180"/>
    </row>
    <row r="60" spans="1:7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205">
        <v>1050209.0635000002</v>
      </c>
      <c r="F60" s="208">
        <f>E60/2</f>
        <v>525104.53175000008</v>
      </c>
      <c r="G60" s="180"/>
    </row>
    <row r="61" spans="1:7" ht="20.100000000000001" customHeight="1">
      <c r="A61" s="28">
        <v>2</v>
      </c>
      <c r="B61" s="289" t="s">
        <v>332</v>
      </c>
      <c r="C61" s="112" t="s">
        <v>188</v>
      </c>
      <c r="D61" s="181" t="s">
        <v>272</v>
      </c>
      <c r="E61" s="205">
        <v>504720.04700000002</v>
      </c>
      <c r="F61" s="208">
        <f t="shared" ref="F61:F70" si="3">E61/2</f>
        <v>252360.02350000001</v>
      </c>
      <c r="G61" s="180"/>
    </row>
    <row r="62" spans="1:7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25">
        <v>397211.36749999999</v>
      </c>
      <c r="F62" s="208">
        <f t="shared" si="3"/>
        <v>198605.68375</v>
      </c>
      <c r="G62" s="180"/>
    </row>
    <row r="63" spans="1:7" ht="20.100000000000001" customHeight="1">
      <c r="A63" s="28">
        <v>4</v>
      </c>
      <c r="B63" s="157" t="s">
        <v>448</v>
      </c>
      <c r="C63" s="112" t="s">
        <v>257</v>
      </c>
      <c r="D63" s="181" t="s">
        <v>163</v>
      </c>
      <c r="E63" s="204">
        <v>362001.06049999996</v>
      </c>
      <c r="F63" s="208">
        <f t="shared" si="3"/>
        <v>181000.53024999998</v>
      </c>
      <c r="G63" s="180"/>
    </row>
    <row r="64" spans="1:7" ht="20.100000000000001" customHeight="1">
      <c r="A64" s="28">
        <v>5</v>
      </c>
      <c r="B64" s="158" t="s">
        <v>229</v>
      </c>
      <c r="C64" s="112" t="s">
        <v>297</v>
      </c>
      <c r="D64" s="181" t="s">
        <v>181</v>
      </c>
      <c r="E64" s="204">
        <v>413333.03525000007</v>
      </c>
      <c r="F64" s="208">
        <f t="shared" si="3"/>
        <v>206666.51762500004</v>
      </c>
      <c r="G64" s="180"/>
    </row>
    <row r="65" spans="1:7" ht="20.100000000000001" customHeight="1">
      <c r="A65" s="28">
        <v>7</v>
      </c>
      <c r="B65" s="156" t="s">
        <v>117</v>
      </c>
      <c r="C65" s="20" t="s">
        <v>84</v>
      </c>
      <c r="D65" s="28" t="s">
        <v>369</v>
      </c>
      <c r="E65" s="204">
        <v>315372.07500000001</v>
      </c>
      <c r="F65" s="208">
        <f t="shared" si="3"/>
        <v>157686.03750000001</v>
      </c>
      <c r="G65" s="180"/>
    </row>
    <row r="66" spans="1:7" ht="20.100000000000001" customHeight="1">
      <c r="A66" s="28">
        <v>8</v>
      </c>
      <c r="B66" s="156" t="s">
        <v>424</v>
      </c>
      <c r="C66" s="112" t="s">
        <v>422</v>
      </c>
      <c r="D66" s="181" t="s">
        <v>369</v>
      </c>
      <c r="E66" s="204">
        <v>315372.07500000001</v>
      </c>
      <c r="F66" s="208">
        <f t="shared" si="3"/>
        <v>157686.03750000001</v>
      </c>
      <c r="G66" s="180"/>
    </row>
    <row r="67" spans="1:7" ht="20.100000000000001" customHeight="1">
      <c r="A67" s="28">
        <v>9</v>
      </c>
      <c r="B67" s="156" t="s">
        <v>423</v>
      </c>
      <c r="C67" s="112" t="s">
        <v>422</v>
      </c>
      <c r="D67" s="181" t="s">
        <v>369</v>
      </c>
      <c r="E67" s="204">
        <v>315372.07500000001</v>
      </c>
      <c r="F67" s="208">
        <f t="shared" si="3"/>
        <v>157686.03750000001</v>
      </c>
      <c r="G67" s="180"/>
    </row>
    <row r="68" spans="1:7" ht="20.100000000000001" customHeight="1">
      <c r="A68" s="28">
        <v>10</v>
      </c>
      <c r="B68" s="156" t="s">
        <v>242</v>
      </c>
      <c r="C68" s="20" t="s">
        <v>484</v>
      </c>
      <c r="D68" s="28" t="s">
        <v>415</v>
      </c>
      <c r="E68" s="204">
        <v>322454.07400000002</v>
      </c>
      <c r="F68" s="208">
        <f t="shared" si="3"/>
        <v>161227.03700000001</v>
      </c>
      <c r="G68" s="180"/>
    </row>
    <row r="69" spans="1:7" ht="21.6" customHeight="1">
      <c r="A69" s="28">
        <v>11</v>
      </c>
      <c r="B69" s="156" t="s">
        <v>726</v>
      </c>
      <c r="C69" s="20" t="s">
        <v>84</v>
      </c>
      <c r="D69" s="28" t="s">
        <v>104</v>
      </c>
      <c r="E69" s="204">
        <v>268602.07775000005</v>
      </c>
      <c r="F69" s="208">
        <f t="shared" si="3"/>
        <v>134301.03887500003</v>
      </c>
    </row>
    <row r="70" spans="1:7" ht="20.100000000000001" customHeight="1">
      <c r="A70" s="28">
        <v>12</v>
      </c>
      <c r="B70" s="156" t="s">
        <v>320</v>
      </c>
      <c r="C70" s="112" t="s">
        <v>115</v>
      </c>
      <c r="D70" s="28" t="s">
        <v>498</v>
      </c>
      <c r="E70" s="204">
        <v>249356.04725</v>
      </c>
      <c r="F70" s="208">
        <f t="shared" si="3"/>
        <v>124678.023625</v>
      </c>
      <c r="G70" s="180"/>
    </row>
    <row r="71" spans="1:7" ht="27" customHeight="1">
      <c r="A71" s="28"/>
      <c r="B71" s="159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80"/>
    </row>
    <row r="72" spans="1:7" ht="20.100000000000001" customHeight="1">
      <c r="A72" s="28"/>
      <c r="B72" s="123"/>
      <c r="C72" s="29"/>
      <c r="D72" s="29"/>
      <c r="E72" s="212"/>
      <c r="F72" s="218"/>
      <c r="G72" s="180"/>
    </row>
    <row r="73" spans="1:7" ht="20.100000000000001" customHeight="1">
      <c r="A73" s="28"/>
      <c r="B73" s="159" t="s">
        <v>462</v>
      </c>
      <c r="C73" s="29"/>
      <c r="D73" s="29"/>
      <c r="E73" s="212"/>
      <c r="F73" s="218"/>
      <c r="G73" s="180"/>
    </row>
    <row r="74" spans="1:7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204">
        <v>1050209.0635000002</v>
      </c>
      <c r="F74" s="207">
        <f>E74/2</f>
        <v>525104.53175000008</v>
      </c>
      <c r="G74" s="180"/>
    </row>
    <row r="75" spans="1:7" ht="20.100000000000001" customHeight="1">
      <c r="A75" s="28">
        <v>2</v>
      </c>
      <c r="B75" s="158" t="s">
        <v>325</v>
      </c>
      <c r="C75" s="20" t="s">
        <v>245</v>
      </c>
      <c r="D75" s="181" t="s">
        <v>272</v>
      </c>
      <c r="E75" s="204">
        <v>504720.04700000002</v>
      </c>
      <c r="F75" s="207">
        <f t="shared" ref="F75:F80" si="4">E75/2</f>
        <v>252360.02350000001</v>
      </c>
      <c r="G75" s="180"/>
    </row>
    <row r="76" spans="1:7" ht="20.100000000000001" customHeight="1">
      <c r="A76" s="28">
        <v>3</v>
      </c>
      <c r="B76" s="157" t="s">
        <v>333</v>
      </c>
      <c r="C76" s="161" t="s">
        <v>387</v>
      </c>
      <c r="D76" s="28" t="s">
        <v>412</v>
      </c>
      <c r="E76" s="204">
        <v>436137.05000000005</v>
      </c>
      <c r="F76" s="207">
        <f t="shared" si="4"/>
        <v>218068.52500000002</v>
      </c>
      <c r="G76" s="180"/>
    </row>
    <row r="77" spans="1:7" ht="20.100000000000001" customHeight="1">
      <c r="A77" s="28">
        <v>4</v>
      </c>
      <c r="B77" s="156" t="s">
        <v>26</v>
      </c>
      <c r="C77" s="20" t="s">
        <v>707</v>
      </c>
      <c r="D77" s="181" t="s">
        <v>222</v>
      </c>
      <c r="E77" s="23">
        <v>397211.36749999999</v>
      </c>
      <c r="F77" s="207">
        <f t="shared" si="4"/>
        <v>198605.68375</v>
      </c>
      <c r="G77" s="180"/>
    </row>
    <row r="78" spans="1:7" ht="20.100000000000001" customHeight="1">
      <c r="A78" s="28">
        <v>5</v>
      </c>
      <c r="B78" s="156" t="s">
        <v>324</v>
      </c>
      <c r="C78" s="20" t="s">
        <v>243</v>
      </c>
      <c r="D78" s="28" t="s">
        <v>207</v>
      </c>
      <c r="E78" s="204">
        <v>273169.11749999999</v>
      </c>
      <c r="F78" s="207">
        <f t="shared" si="4"/>
        <v>136584.55875</v>
      </c>
      <c r="G78" s="180"/>
    </row>
    <row r="79" spans="1:7" ht="20.100000000000001" customHeight="1">
      <c r="A79" s="28">
        <v>6</v>
      </c>
      <c r="B79" s="156" t="s">
        <v>554</v>
      </c>
      <c r="C79" s="20" t="s">
        <v>243</v>
      </c>
      <c r="D79" s="28" t="s">
        <v>428</v>
      </c>
      <c r="E79" s="204">
        <v>245204.0845</v>
      </c>
      <c r="F79" s="207">
        <f t="shared" si="4"/>
        <v>122602.04225</v>
      </c>
      <c r="G79" s="180"/>
    </row>
    <row r="80" spans="1:7" ht="20.100000000000001" customHeight="1">
      <c r="A80" s="28">
        <v>7</v>
      </c>
      <c r="B80" s="156" t="s">
        <v>552</v>
      </c>
      <c r="C80" s="20" t="s">
        <v>553</v>
      </c>
      <c r="D80" s="28" t="s">
        <v>105</v>
      </c>
      <c r="E80" s="204">
        <v>223338.22450000001</v>
      </c>
      <c r="F80" s="207">
        <f t="shared" si="4"/>
        <v>111669.11225000001</v>
      </c>
      <c r="G80" s="180"/>
    </row>
    <row r="81" spans="1:7" ht="20.100000000000001" customHeight="1">
      <c r="A81" s="28"/>
      <c r="B81" s="159" t="s">
        <v>15</v>
      </c>
      <c r="C81" s="29">
        <v>7</v>
      </c>
      <c r="D81" s="29"/>
      <c r="E81" s="68">
        <v>3129988.9545000005</v>
      </c>
      <c r="F81" s="337">
        <f>SUM(F74:F80)</f>
        <v>1564994.4772500002</v>
      </c>
      <c r="G81" s="180"/>
    </row>
    <row r="82" spans="1:7" ht="20.100000000000001" customHeight="1">
      <c r="A82" s="28"/>
      <c r="B82" s="159"/>
      <c r="C82" s="29"/>
      <c r="D82" s="29"/>
      <c r="E82" s="213"/>
      <c r="F82" s="207"/>
      <c r="G82" s="180"/>
    </row>
    <row r="83" spans="1:7" ht="20.100000000000001" customHeight="1">
      <c r="A83" s="28"/>
      <c r="B83" s="159" t="s">
        <v>463</v>
      </c>
      <c r="C83" s="186"/>
      <c r="D83" s="29"/>
      <c r="E83" s="213"/>
      <c r="F83" s="207"/>
      <c r="G83" s="180"/>
    </row>
    <row r="84" spans="1:7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204">
        <v>627553.50249999994</v>
      </c>
      <c r="F84" s="207">
        <f>E84/2</f>
        <v>313776.75124999997</v>
      </c>
      <c r="G84" s="180"/>
    </row>
    <row r="85" spans="1:7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204">
        <v>527553.50249999994</v>
      </c>
      <c r="F85" s="207">
        <f t="shared" ref="F85:F94" si="5">E85/2</f>
        <v>263776.75124999997</v>
      </c>
      <c r="G85" s="180"/>
    </row>
    <row r="86" spans="1:7" ht="20.100000000000001" customHeight="1">
      <c r="A86" s="28">
        <v>3</v>
      </c>
      <c r="B86" s="158" t="s">
        <v>138</v>
      </c>
      <c r="C86" s="20" t="s">
        <v>258</v>
      </c>
      <c r="D86" s="28" t="s">
        <v>30</v>
      </c>
      <c r="E86" s="23">
        <v>504720.04700000002</v>
      </c>
      <c r="F86" s="207">
        <f t="shared" si="5"/>
        <v>252360.02350000001</v>
      </c>
      <c r="G86" s="180"/>
    </row>
    <row r="87" spans="1:7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23">
        <v>504729.22200000007</v>
      </c>
      <c r="F87" s="207">
        <f t="shared" si="5"/>
        <v>252364.61100000003</v>
      </c>
      <c r="G87" s="180"/>
    </row>
    <row r="88" spans="1:7" ht="21.6" customHeight="1">
      <c r="A88" s="28">
        <v>5</v>
      </c>
      <c r="B88" s="156" t="s">
        <v>101</v>
      </c>
      <c r="C88" s="20" t="s">
        <v>80</v>
      </c>
      <c r="D88" s="181" t="s">
        <v>170</v>
      </c>
      <c r="E88" s="204">
        <v>369177.65375</v>
      </c>
      <c r="F88" s="207">
        <f t="shared" si="5"/>
        <v>184588.826875</v>
      </c>
      <c r="G88" s="180"/>
    </row>
    <row r="89" spans="1:7" ht="21.6" customHeight="1">
      <c r="A89" s="28">
        <v>6</v>
      </c>
      <c r="B89" s="156" t="s">
        <v>336</v>
      </c>
      <c r="C89" s="161" t="s">
        <v>257</v>
      </c>
      <c r="D89" s="181" t="s">
        <v>163</v>
      </c>
      <c r="E89" s="204">
        <v>362001.06049999996</v>
      </c>
      <c r="F89" s="207">
        <f t="shared" si="5"/>
        <v>181000.53024999998</v>
      </c>
      <c r="G89" s="180"/>
    </row>
    <row r="90" spans="1:7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23">
        <v>389153.05674999999</v>
      </c>
      <c r="F90" s="207">
        <f t="shared" si="5"/>
        <v>194576.52837499999</v>
      </c>
      <c r="G90" s="180"/>
    </row>
    <row r="91" spans="1:7" ht="21.6" customHeight="1">
      <c r="A91" s="28">
        <v>8</v>
      </c>
      <c r="B91" s="156" t="s">
        <v>421</v>
      </c>
      <c r="C91" s="112" t="s">
        <v>422</v>
      </c>
      <c r="D91" s="181" t="s">
        <v>369</v>
      </c>
      <c r="E91" s="204">
        <v>315372.07500000001</v>
      </c>
      <c r="F91" s="207">
        <f t="shared" si="5"/>
        <v>157686.03750000001</v>
      </c>
      <c r="G91" s="180"/>
    </row>
    <row r="92" spans="1:7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204">
        <v>315372.07500000001</v>
      </c>
      <c r="F92" s="207">
        <f t="shared" si="5"/>
        <v>157686.03750000001</v>
      </c>
      <c r="G92" s="180"/>
    </row>
    <row r="93" spans="1:7" ht="21.6" customHeight="1">
      <c r="A93" s="28">
        <v>10</v>
      </c>
      <c r="B93" s="156" t="s">
        <v>436</v>
      </c>
      <c r="C93" s="20" t="s">
        <v>470</v>
      </c>
      <c r="D93" s="28" t="s">
        <v>104</v>
      </c>
      <c r="E93" s="204">
        <v>268602.07775000005</v>
      </c>
      <c r="F93" s="207">
        <f t="shared" si="5"/>
        <v>134301.03887500003</v>
      </c>
      <c r="G93" s="180"/>
    </row>
    <row r="94" spans="1:7" ht="21.6" customHeight="1">
      <c r="A94" s="28">
        <v>11</v>
      </c>
      <c r="B94" s="156" t="s">
        <v>406</v>
      </c>
      <c r="C94" s="112" t="s">
        <v>432</v>
      </c>
      <c r="D94" s="181" t="s">
        <v>176</v>
      </c>
      <c r="E94" s="204">
        <v>223709.10949999999</v>
      </c>
      <c r="F94" s="207">
        <f t="shared" si="5"/>
        <v>111854.55475</v>
      </c>
      <c r="G94" s="180"/>
    </row>
    <row r="95" spans="1:7" ht="20.100000000000001" customHeight="1">
      <c r="A95" s="28"/>
      <c r="B95" s="159" t="s">
        <v>15</v>
      </c>
      <c r="C95" s="29">
        <v>11</v>
      </c>
      <c r="D95" s="29"/>
      <c r="E95" s="68">
        <v>4407943.3822500007</v>
      </c>
      <c r="F95" s="337">
        <f>SUM(F84:F94)</f>
        <v>2203971.6911250004</v>
      </c>
      <c r="G95" s="180"/>
    </row>
    <row r="96" spans="1:7" ht="20.100000000000001" customHeight="1">
      <c r="A96" s="28"/>
      <c r="B96" s="123"/>
      <c r="C96" s="29"/>
      <c r="D96" s="29"/>
      <c r="E96" s="212"/>
      <c r="F96" s="218"/>
      <c r="G96" s="180"/>
    </row>
    <row r="97" spans="1:7" ht="20.100000000000001" customHeight="1">
      <c r="A97" s="28"/>
      <c r="B97" s="159" t="s">
        <v>464</v>
      </c>
      <c r="C97" s="29"/>
      <c r="D97" s="29"/>
      <c r="E97" s="212"/>
      <c r="F97" s="218"/>
      <c r="G97" s="180"/>
    </row>
    <row r="98" spans="1:7" ht="20.100000000000001" customHeight="1">
      <c r="A98" s="28">
        <v>1</v>
      </c>
      <c r="B98" s="158" t="s">
        <v>112</v>
      </c>
      <c r="C98" s="20" t="s">
        <v>741</v>
      </c>
      <c r="D98" s="24" t="s">
        <v>221</v>
      </c>
      <c r="E98" s="204">
        <v>527744</v>
      </c>
      <c r="F98" s="207">
        <f>E98/2</f>
        <v>263872</v>
      </c>
      <c r="G98" s="180"/>
    </row>
    <row r="99" spans="1:7" ht="20.100000000000001" customHeight="1">
      <c r="A99" s="28">
        <v>2</v>
      </c>
      <c r="B99" s="156" t="s">
        <v>124</v>
      </c>
      <c r="C99" s="20" t="s">
        <v>373</v>
      </c>
      <c r="D99" s="181" t="s">
        <v>222</v>
      </c>
      <c r="E99" s="23">
        <v>327211.36749999999</v>
      </c>
      <c r="F99" s="207">
        <f t="shared" ref="F99:F101" si="6">E99/2</f>
        <v>163605.68375</v>
      </c>
      <c r="G99" s="180"/>
    </row>
    <row r="100" spans="1:7" ht="20.100000000000001" customHeight="1">
      <c r="A100" s="28">
        <v>3</v>
      </c>
      <c r="B100" s="156" t="s">
        <v>237</v>
      </c>
      <c r="C100" s="20" t="s">
        <v>483</v>
      </c>
      <c r="D100" s="181" t="s">
        <v>415</v>
      </c>
      <c r="E100" s="204">
        <v>272454.07400000002</v>
      </c>
      <c r="F100" s="207">
        <f t="shared" si="6"/>
        <v>136227.03700000001</v>
      </c>
      <c r="G100" s="180"/>
    </row>
    <row r="101" spans="1:7" ht="20.100000000000001" customHeight="1">
      <c r="A101" s="28">
        <v>4</v>
      </c>
      <c r="B101" s="156" t="s">
        <v>345</v>
      </c>
      <c r="C101" s="20" t="s">
        <v>709</v>
      </c>
      <c r="D101" s="181" t="s">
        <v>104</v>
      </c>
      <c r="E101" s="23">
        <v>228602.07775000003</v>
      </c>
      <c r="F101" s="207">
        <f t="shared" si="6"/>
        <v>114301.03887500001</v>
      </c>
      <c r="G101" s="180"/>
    </row>
    <row r="102" spans="1:7" ht="20.100000000000001" customHeight="1">
      <c r="A102" s="20"/>
      <c r="B102" s="159" t="s">
        <v>15</v>
      </c>
      <c r="C102" s="29">
        <v>4</v>
      </c>
      <c r="D102" s="187"/>
      <c r="E102" s="68">
        <v>1813825.6849999998</v>
      </c>
      <c r="F102" s="68">
        <f>SUM(F98:F101)</f>
        <v>678005.75962499995</v>
      </c>
      <c r="G102" s="180"/>
    </row>
    <row r="103" spans="1:7" ht="20.100000000000001" customHeight="1">
      <c r="A103" s="20"/>
      <c r="B103" s="123"/>
      <c r="C103" s="29"/>
      <c r="D103" s="187"/>
      <c r="E103" s="212"/>
      <c r="F103" s="218"/>
      <c r="G103" s="180"/>
    </row>
    <row r="104" spans="1:7" ht="20.100000000000001" customHeight="1">
      <c r="A104" s="20"/>
      <c r="B104" s="159" t="s">
        <v>465</v>
      </c>
      <c r="C104" s="20"/>
      <c r="D104" s="20"/>
      <c r="E104" s="214"/>
      <c r="F104" s="219"/>
      <c r="G104" s="180"/>
    </row>
    <row r="105" spans="1:7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04">
        <v>1050209.0635000002</v>
      </c>
      <c r="F105" s="207">
        <f>E105/2</f>
        <v>525104.53175000008</v>
      </c>
      <c r="G105" s="180"/>
    </row>
    <row r="106" spans="1:7" ht="20.100000000000001" customHeight="1">
      <c r="A106" s="20">
        <v>2</v>
      </c>
      <c r="B106" s="156" t="s">
        <v>110</v>
      </c>
      <c r="C106" s="20" t="s">
        <v>259</v>
      </c>
      <c r="D106" s="24" t="s">
        <v>221</v>
      </c>
      <c r="E106" s="204">
        <v>617743.99575</v>
      </c>
      <c r="F106" s="207">
        <f t="shared" ref="F106:F111" si="7">E106/2</f>
        <v>308871.997875</v>
      </c>
      <c r="G106" s="180"/>
    </row>
    <row r="107" spans="1:7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04">
        <v>418096.01602499996</v>
      </c>
      <c r="F107" s="207">
        <f t="shared" si="7"/>
        <v>209048.00801249998</v>
      </c>
      <c r="G107" s="180"/>
    </row>
    <row r="108" spans="1:7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04">
        <v>416483.19415499998</v>
      </c>
      <c r="F108" s="207">
        <f t="shared" si="7"/>
        <v>208241.59707749999</v>
      </c>
      <c r="G108" s="180"/>
    </row>
    <row r="109" spans="1:7" ht="20.100000000000001" customHeight="1">
      <c r="A109" s="20">
        <v>5</v>
      </c>
      <c r="B109" s="156" t="s">
        <v>240</v>
      </c>
      <c r="C109" s="20" t="s">
        <v>338</v>
      </c>
      <c r="D109" s="181" t="s">
        <v>499</v>
      </c>
      <c r="E109" s="204">
        <v>262612.71747999999</v>
      </c>
      <c r="F109" s="207">
        <f t="shared" si="7"/>
        <v>131306.35874</v>
      </c>
      <c r="G109" s="180"/>
    </row>
    <row r="110" spans="1:7" ht="20.100000000000001" customHeight="1">
      <c r="A110" s="20">
        <v>6</v>
      </c>
      <c r="B110" s="157" t="s">
        <v>341</v>
      </c>
      <c r="C110" s="20" t="s">
        <v>338</v>
      </c>
      <c r="D110" s="28" t="s">
        <v>267</v>
      </c>
      <c r="E110" s="204">
        <v>258740.79775</v>
      </c>
      <c r="F110" s="207">
        <f t="shared" si="7"/>
        <v>129370.398875</v>
      </c>
      <c r="G110" s="180"/>
    </row>
    <row r="111" spans="1:7" ht="20.100000000000001" customHeight="1">
      <c r="A111" s="20">
        <v>7</v>
      </c>
      <c r="B111" s="157" t="s">
        <v>374</v>
      </c>
      <c r="C111" s="20" t="s">
        <v>338</v>
      </c>
      <c r="D111" s="181" t="s">
        <v>176</v>
      </c>
      <c r="E111" s="204">
        <v>251382.295445</v>
      </c>
      <c r="F111" s="207">
        <f t="shared" si="7"/>
        <v>125691.1477225</v>
      </c>
      <c r="G111" s="180"/>
    </row>
    <row r="112" spans="1:7" ht="25.5" customHeight="1">
      <c r="A112" s="20"/>
      <c r="B112" s="159" t="s">
        <v>15</v>
      </c>
      <c r="C112" s="29">
        <v>7</v>
      </c>
      <c r="D112" s="20"/>
      <c r="E112" s="215">
        <v>3275268.0801050002</v>
      </c>
      <c r="F112" s="360">
        <f>SUM(F105:F111)</f>
        <v>1637634.0400525001</v>
      </c>
      <c r="G112" s="180"/>
    </row>
    <row r="113" spans="1:7" ht="20.100000000000001" customHeight="1">
      <c r="A113" s="20"/>
      <c r="B113" s="159"/>
      <c r="C113" s="29"/>
      <c r="D113" s="20"/>
      <c r="E113" s="215"/>
      <c r="F113" s="360"/>
      <c r="G113" s="180"/>
    </row>
    <row r="114" spans="1:7" ht="20.100000000000001" customHeight="1">
      <c r="A114" s="28"/>
      <c r="B114" s="159" t="s">
        <v>542</v>
      </c>
      <c r="C114" s="29"/>
      <c r="D114" s="29"/>
      <c r="E114" s="212"/>
      <c r="F114" s="218"/>
      <c r="G114" s="180"/>
    </row>
    <row r="115" spans="1:7" ht="18.75" customHeight="1">
      <c r="A115" s="28">
        <v>1</v>
      </c>
      <c r="B115" s="156" t="s">
        <v>247</v>
      </c>
      <c r="C115" s="20" t="s">
        <v>477</v>
      </c>
      <c r="D115" s="181" t="s">
        <v>415</v>
      </c>
      <c r="E115" s="204">
        <v>322454.07400000002</v>
      </c>
      <c r="F115" s="375">
        <f t="shared" ref="F115:F116" si="8">E115/2</f>
        <v>161227.03700000001</v>
      </c>
      <c r="G115" s="180"/>
    </row>
    <row r="116" spans="1:7" ht="20.100000000000001" customHeight="1">
      <c r="A116" s="28">
        <v>2</v>
      </c>
      <c r="B116" s="156" t="s">
        <v>141</v>
      </c>
      <c r="C116" s="161" t="s">
        <v>391</v>
      </c>
      <c r="D116" s="181" t="s">
        <v>497</v>
      </c>
      <c r="E116" s="204">
        <v>284536.99849999999</v>
      </c>
      <c r="F116" s="375">
        <f t="shared" si="8"/>
        <v>142268.49924999999</v>
      </c>
      <c r="G116" s="180"/>
    </row>
    <row r="117" spans="1:7" ht="24.75" customHeight="1">
      <c r="A117" s="20"/>
      <c r="B117" s="159" t="s">
        <v>15</v>
      </c>
      <c r="C117" s="29">
        <v>2</v>
      </c>
      <c r="D117" s="187"/>
      <c r="E117" s="68">
        <v>790446.84587096772</v>
      </c>
      <c r="F117" s="337">
        <f>SUM(F115:F116)</f>
        <v>303495.53625</v>
      </c>
      <c r="G117" s="180"/>
    </row>
    <row r="118" spans="1:7" ht="20.100000000000001" customHeight="1">
      <c r="A118" s="20"/>
      <c r="B118" s="123"/>
      <c r="C118" s="28"/>
      <c r="D118" s="20"/>
      <c r="E118" s="206"/>
      <c r="F118" s="209"/>
      <c r="G118" s="180"/>
    </row>
    <row r="119" spans="1:7" ht="20.100000000000001" customHeight="1">
      <c r="A119" s="20"/>
      <c r="B119" s="159" t="s">
        <v>466</v>
      </c>
      <c r="C119" s="29"/>
      <c r="D119" s="29"/>
      <c r="E119" s="213"/>
      <c r="F119" s="207"/>
      <c r="G119" s="180"/>
    </row>
    <row r="120" spans="1:7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04">
        <v>1050209.0635000002</v>
      </c>
      <c r="F120" s="207">
        <f>E120/2</f>
        <v>525104.53175000008</v>
      </c>
      <c r="G120" s="180"/>
    </row>
    <row r="121" spans="1:7" ht="20.100000000000001" customHeight="1">
      <c r="A121" s="20">
        <v>2</v>
      </c>
      <c r="B121" s="156" t="s">
        <v>153</v>
      </c>
      <c r="C121" s="161" t="s">
        <v>740</v>
      </c>
      <c r="D121" s="181" t="s">
        <v>29</v>
      </c>
      <c r="E121" s="204">
        <v>614023.32999999996</v>
      </c>
      <c r="F121" s="207">
        <f t="shared" ref="F121:F129" si="9">E121/2</f>
        <v>307011.66499999998</v>
      </c>
      <c r="G121" s="180"/>
    </row>
    <row r="122" spans="1:7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04">
        <v>577553.50249999994</v>
      </c>
      <c r="F122" s="207">
        <f t="shared" si="9"/>
        <v>288776.75124999997</v>
      </c>
      <c r="G122" s="180"/>
    </row>
    <row r="123" spans="1:7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204">
        <v>424720.04700000002</v>
      </c>
      <c r="F123" s="207">
        <f t="shared" si="9"/>
        <v>212360.02350000001</v>
      </c>
      <c r="G123" s="180"/>
    </row>
    <row r="124" spans="1:7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204">
        <v>335272.06374999997</v>
      </c>
      <c r="F124" s="207">
        <f t="shared" si="9"/>
        <v>167636.03187499999</v>
      </c>
      <c r="G124" s="180"/>
    </row>
    <row r="125" spans="1:7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204">
        <v>327211.36749999999</v>
      </c>
      <c r="F125" s="207">
        <f t="shared" si="9"/>
        <v>163605.68375</v>
      </c>
      <c r="G125" s="180"/>
    </row>
    <row r="126" spans="1:7" ht="20.100000000000001" customHeight="1">
      <c r="A126" s="20">
        <v>7</v>
      </c>
      <c r="B126" s="156" t="s">
        <v>134</v>
      </c>
      <c r="C126" s="161" t="s">
        <v>476</v>
      </c>
      <c r="D126" s="181" t="s">
        <v>222</v>
      </c>
      <c r="E126" s="23">
        <v>327211.36749999999</v>
      </c>
      <c r="F126" s="207">
        <f t="shared" si="9"/>
        <v>163605.68375</v>
      </c>
      <c r="G126" s="180"/>
    </row>
    <row r="127" spans="1:7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204">
        <v>209356.04725</v>
      </c>
      <c r="F127" s="207">
        <f t="shared" si="9"/>
        <v>104678.023625</v>
      </c>
      <c r="G127" s="180"/>
    </row>
    <row r="128" spans="1:7" ht="20.100000000000001" customHeight="1">
      <c r="A128" s="20">
        <v>9</v>
      </c>
      <c r="B128" s="157" t="s">
        <v>439</v>
      </c>
      <c r="C128" s="161" t="s">
        <v>440</v>
      </c>
      <c r="D128" s="181" t="s">
        <v>105</v>
      </c>
      <c r="E128" s="204">
        <v>173338.22450000001</v>
      </c>
      <c r="F128" s="207">
        <f t="shared" si="9"/>
        <v>86669.112250000006</v>
      </c>
      <c r="G128" s="180"/>
    </row>
    <row r="129" spans="1:7" ht="20.100000000000001" customHeight="1">
      <c r="A129" s="20">
        <v>10</v>
      </c>
      <c r="B129" s="157" t="s">
        <v>535</v>
      </c>
      <c r="C129" s="161" t="s">
        <v>536</v>
      </c>
      <c r="D129" s="181" t="s">
        <v>105</v>
      </c>
      <c r="E129" s="204">
        <v>173329.04949999999</v>
      </c>
      <c r="F129" s="207">
        <f t="shared" si="9"/>
        <v>86664.524749999997</v>
      </c>
      <c r="G129" s="180"/>
    </row>
    <row r="130" spans="1:7" ht="28.5" customHeight="1">
      <c r="A130" s="20"/>
      <c r="B130" s="159" t="s">
        <v>15</v>
      </c>
      <c r="C130" s="187" t="s">
        <v>543</v>
      </c>
      <c r="D130" s="181"/>
      <c r="E130" s="30">
        <v>4802897.8959166668</v>
      </c>
      <c r="F130" s="218">
        <f>SUM(F120:F129)</f>
        <v>2106112.0315</v>
      </c>
      <c r="G130" s="180"/>
    </row>
    <row r="131" spans="1:7" ht="20.100000000000001" customHeight="1">
      <c r="A131" s="20"/>
      <c r="B131" s="123"/>
      <c r="C131" s="187"/>
      <c r="D131" s="181"/>
      <c r="E131" s="213"/>
      <c r="F131" s="220"/>
      <c r="G131" s="180"/>
    </row>
    <row r="132" spans="1:7" ht="20.100000000000001" customHeight="1">
      <c r="A132" s="20"/>
      <c r="B132" s="159" t="s">
        <v>467</v>
      </c>
      <c r="C132" s="161"/>
      <c r="D132" s="181"/>
      <c r="E132" s="204"/>
      <c r="F132" s="207"/>
      <c r="G132" s="180"/>
    </row>
    <row r="133" spans="1:7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04">
        <v>950209.06350000005</v>
      </c>
      <c r="F133" s="207">
        <f>E133/2</f>
        <v>475104.53175000002</v>
      </c>
      <c r="G133" s="180"/>
    </row>
    <row r="134" spans="1:7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04">
        <v>541465.02474999998</v>
      </c>
      <c r="F134" s="207">
        <f t="shared" ref="F134:F191" si="10">E134/2</f>
        <v>270732.51237499999</v>
      </c>
      <c r="G134" s="180"/>
    </row>
    <row r="135" spans="1:7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04">
        <v>577743.99575</v>
      </c>
      <c r="F135" s="207">
        <f t="shared" si="10"/>
        <v>288871.997875</v>
      </c>
      <c r="G135" s="180"/>
    </row>
    <row r="136" spans="1:7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04">
        <v>343333.03525000007</v>
      </c>
      <c r="F136" s="207">
        <f t="shared" si="10"/>
        <v>171666.51762500004</v>
      </c>
      <c r="G136" s="180"/>
    </row>
    <row r="137" spans="1:7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04">
        <v>343333.03525000007</v>
      </c>
      <c r="F137" s="207">
        <f t="shared" si="10"/>
        <v>171666.51762500004</v>
      </c>
      <c r="G137" s="180"/>
    </row>
    <row r="138" spans="1:7" ht="20.100000000000001" customHeight="1">
      <c r="A138" s="191">
        <v>6</v>
      </c>
      <c r="B138" s="156" t="s">
        <v>6</v>
      </c>
      <c r="C138" s="20" t="s">
        <v>385</v>
      </c>
      <c r="D138" s="181" t="s">
        <v>181</v>
      </c>
      <c r="E138" s="204">
        <v>343333.03525000007</v>
      </c>
      <c r="F138" s="207">
        <f t="shared" si="10"/>
        <v>171666.51762500004</v>
      </c>
      <c r="G138" s="180"/>
    </row>
    <row r="139" spans="1:7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04">
        <v>284536.99849999999</v>
      </c>
      <c r="F139" s="207">
        <f t="shared" si="10"/>
        <v>142268.49924999999</v>
      </c>
      <c r="G139" s="180"/>
    </row>
    <row r="140" spans="1:7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04">
        <v>284536.99849999999</v>
      </c>
      <c r="F140" s="207">
        <f t="shared" si="10"/>
        <v>142268.49924999999</v>
      </c>
      <c r="G140" s="180"/>
    </row>
    <row r="141" spans="1:7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04">
        <v>284536.99849999999</v>
      </c>
      <c r="F141" s="207">
        <f t="shared" si="10"/>
        <v>142268.49924999999</v>
      </c>
      <c r="G141" s="180"/>
    </row>
    <row r="142" spans="1:7" ht="20.100000000000001" customHeight="1">
      <c r="A142" s="191">
        <v>10</v>
      </c>
      <c r="B142" s="156" t="s">
        <v>238</v>
      </c>
      <c r="C142" s="161" t="s">
        <v>546</v>
      </c>
      <c r="D142" s="181" t="s">
        <v>415</v>
      </c>
      <c r="E142" s="204">
        <v>272454.07400000002</v>
      </c>
      <c r="F142" s="207">
        <f t="shared" si="10"/>
        <v>136227.03700000001</v>
      </c>
      <c r="G142" s="180"/>
    </row>
    <row r="143" spans="1:7" ht="20.100000000000001" customHeight="1">
      <c r="A143" s="191">
        <v>11</v>
      </c>
      <c r="B143" s="156" t="s">
        <v>53</v>
      </c>
      <c r="C143" s="161" t="s">
        <v>711</v>
      </c>
      <c r="D143" s="181" t="s">
        <v>369</v>
      </c>
      <c r="E143" s="23">
        <v>265372.07499999995</v>
      </c>
      <c r="F143" s="207">
        <f t="shared" si="10"/>
        <v>132686.03749999998</v>
      </c>
      <c r="G143" s="180"/>
    </row>
    <row r="144" spans="1:7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04">
        <v>284536.99849999999</v>
      </c>
      <c r="F144" s="207">
        <f t="shared" si="10"/>
        <v>142268.49924999999</v>
      </c>
      <c r="G144" s="180"/>
    </row>
    <row r="145" spans="1:7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23">
        <v>265372.07499999995</v>
      </c>
      <c r="F145" s="207">
        <f t="shared" si="10"/>
        <v>132686.03749999998</v>
      </c>
      <c r="G145" s="180"/>
    </row>
    <row r="146" spans="1:7" ht="20.100000000000001" customHeight="1">
      <c r="A146" s="191">
        <v>14</v>
      </c>
      <c r="B146" s="156" t="s">
        <v>488</v>
      </c>
      <c r="C146" s="20" t="s">
        <v>239</v>
      </c>
      <c r="D146" s="181" t="s">
        <v>207</v>
      </c>
      <c r="E146" s="204">
        <v>237734.04699999996</v>
      </c>
      <c r="F146" s="207">
        <f t="shared" si="10"/>
        <v>118867.02349999998</v>
      </c>
      <c r="G146" s="180"/>
    </row>
    <row r="147" spans="1:7" ht="20.100000000000001" customHeight="1">
      <c r="A147" s="191">
        <v>15</v>
      </c>
      <c r="B147" s="156" t="s">
        <v>489</v>
      </c>
      <c r="C147" s="20" t="s">
        <v>239</v>
      </c>
      <c r="D147" s="181" t="s">
        <v>164</v>
      </c>
      <c r="E147" s="204">
        <v>237734.04699999996</v>
      </c>
      <c r="F147" s="207">
        <f t="shared" si="10"/>
        <v>118867.02349999998</v>
      </c>
      <c r="G147" s="180"/>
    </row>
    <row r="148" spans="1:7" ht="20.100000000000001" customHeight="1">
      <c r="A148" s="191">
        <v>16</v>
      </c>
      <c r="B148" s="156" t="s">
        <v>212</v>
      </c>
      <c r="C148" s="20" t="s">
        <v>239</v>
      </c>
      <c r="D148" s="181" t="s">
        <v>164</v>
      </c>
      <c r="E148" s="204">
        <v>237734.04699999996</v>
      </c>
      <c r="F148" s="207">
        <f t="shared" si="10"/>
        <v>118867.02349999998</v>
      </c>
      <c r="G148" s="180"/>
    </row>
    <row r="149" spans="1:7" ht="20.100000000000001" customHeight="1">
      <c r="A149" s="191">
        <v>17</v>
      </c>
      <c r="B149" s="156" t="s">
        <v>425</v>
      </c>
      <c r="C149" s="161" t="s">
        <v>430</v>
      </c>
      <c r="D149" s="181" t="s">
        <v>104</v>
      </c>
      <c r="E149" s="204">
        <v>228602.07775000003</v>
      </c>
      <c r="F149" s="207">
        <f t="shared" si="10"/>
        <v>114301.03887500001</v>
      </c>
      <c r="G149" s="180"/>
    </row>
    <row r="150" spans="1:7" ht="20.100000000000001" customHeight="1">
      <c r="A150" s="191">
        <v>18</v>
      </c>
      <c r="B150" s="156" t="s">
        <v>437</v>
      </c>
      <c r="C150" s="161" t="s">
        <v>438</v>
      </c>
      <c r="D150" s="28" t="s">
        <v>428</v>
      </c>
      <c r="E150" s="204">
        <v>205204.0845</v>
      </c>
      <c r="F150" s="207">
        <f t="shared" si="10"/>
        <v>102602.04225</v>
      </c>
      <c r="G150" s="180"/>
    </row>
    <row r="151" spans="1:7" ht="20.100000000000001" customHeight="1">
      <c r="A151" s="191">
        <v>19</v>
      </c>
      <c r="B151" s="156" t="s">
        <v>230</v>
      </c>
      <c r="C151" s="161" t="s">
        <v>485</v>
      </c>
      <c r="D151" s="181" t="s">
        <v>207</v>
      </c>
      <c r="E151" s="204">
        <v>237734.04699999996</v>
      </c>
      <c r="F151" s="207">
        <f t="shared" si="10"/>
        <v>118867.02349999998</v>
      </c>
      <c r="G151" s="180"/>
    </row>
    <row r="152" spans="1:7" ht="20.100000000000001" customHeight="1">
      <c r="A152" s="191">
        <v>20</v>
      </c>
      <c r="B152" s="156" t="s">
        <v>57</v>
      </c>
      <c r="C152" s="161" t="s">
        <v>481</v>
      </c>
      <c r="D152" s="181" t="s">
        <v>498</v>
      </c>
      <c r="E152" s="204">
        <v>209356.04725</v>
      </c>
      <c r="F152" s="207">
        <f t="shared" si="10"/>
        <v>104678.023625</v>
      </c>
      <c r="G152" s="180"/>
    </row>
    <row r="153" spans="1:7" ht="20.100000000000001" customHeight="1">
      <c r="A153" s="191">
        <v>21</v>
      </c>
      <c r="B153" s="156" t="s">
        <v>251</v>
      </c>
      <c r="C153" s="161" t="s">
        <v>482</v>
      </c>
      <c r="D153" s="181" t="s">
        <v>207</v>
      </c>
      <c r="E153" s="204">
        <v>237734.04699999996</v>
      </c>
      <c r="F153" s="207">
        <f t="shared" si="10"/>
        <v>118867.02349999998</v>
      </c>
      <c r="G153" s="180"/>
    </row>
    <row r="154" spans="1:7" ht="20.100000000000001" customHeight="1">
      <c r="A154" s="191">
        <v>22</v>
      </c>
      <c r="B154" s="156" t="s">
        <v>241</v>
      </c>
      <c r="C154" s="161" t="s">
        <v>348</v>
      </c>
      <c r="D154" s="181" t="s">
        <v>498</v>
      </c>
      <c r="E154" s="204">
        <v>209356.04725</v>
      </c>
      <c r="F154" s="207">
        <f t="shared" si="10"/>
        <v>104678.023625</v>
      </c>
      <c r="G154" s="180"/>
    </row>
    <row r="155" spans="1:7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25">
        <v>205204.0845</v>
      </c>
      <c r="F155" s="207">
        <f t="shared" si="10"/>
        <v>102602.04225</v>
      </c>
      <c r="G155" s="180"/>
    </row>
    <row r="156" spans="1:7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04">
        <v>173329.04949999999</v>
      </c>
      <c r="F156" s="207">
        <f t="shared" si="10"/>
        <v>86664.524749999997</v>
      </c>
      <c r="G156" s="180"/>
    </row>
    <row r="157" spans="1:7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04">
        <v>173338.22450000001</v>
      </c>
      <c r="F157" s="207">
        <f t="shared" si="10"/>
        <v>86669.112250000006</v>
      </c>
      <c r="G157" s="180"/>
    </row>
    <row r="158" spans="1:7" ht="20.100000000000001" customHeight="1">
      <c r="A158" s="191">
        <v>26</v>
      </c>
      <c r="B158" s="157" t="s">
        <v>441</v>
      </c>
      <c r="C158" s="161" t="s">
        <v>442</v>
      </c>
      <c r="D158" s="181" t="s">
        <v>105</v>
      </c>
      <c r="E158" s="204">
        <v>173338.22450000001</v>
      </c>
      <c r="F158" s="207">
        <f t="shared" si="10"/>
        <v>86669.112250000006</v>
      </c>
      <c r="G158" s="180"/>
    </row>
    <row r="159" spans="1:7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04">
        <v>176816.09999999998</v>
      </c>
      <c r="F159" s="207">
        <f t="shared" si="10"/>
        <v>88408.049999999988</v>
      </c>
      <c r="G159" s="180"/>
    </row>
    <row r="160" spans="1:7" ht="20.100000000000001" customHeight="1">
      <c r="A160" s="191">
        <v>28</v>
      </c>
      <c r="B160" s="157" t="s">
        <v>550</v>
      </c>
      <c r="C160" s="161" t="s">
        <v>290</v>
      </c>
      <c r="D160" s="181" t="s">
        <v>105</v>
      </c>
      <c r="E160" s="204">
        <v>173339.22450000001</v>
      </c>
      <c r="F160" s="207">
        <f t="shared" si="10"/>
        <v>86669.612250000006</v>
      </c>
      <c r="G160" s="180"/>
    </row>
    <row r="161" spans="1:7" ht="20.100000000000001" customHeight="1">
      <c r="A161" s="191">
        <v>29</v>
      </c>
      <c r="B161" s="156" t="s">
        <v>22</v>
      </c>
      <c r="C161" s="161" t="s">
        <v>302</v>
      </c>
      <c r="D161" s="181" t="s">
        <v>501</v>
      </c>
      <c r="E161" s="204">
        <v>135590.72999999998</v>
      </c>
      <c r="F161" s="207">
        <f t="shared" si="10"/>
        <v>67795.364999999991</v>
      </c>
      <c r="G161" s="180"/>
    </row>
    <row r="162" spans="1:7" ht="20.100000000000001" customHeight="1">
      <c r="A162" s="191">
        <v>30</v>
      </c>
      <c r="B162" s="156" t="s">
        <v>14</v>
      </c>
      <c r="C162" s="161" t="s">
        <v>302</v>
      </c>
      <c r="D162" s="181" t="s">
        <v>501</v>
      </c>
      <c r="E162" s="204">
        <v>138590.72999999998</v>
      </c>
      <c r="F162" s="207">
        <f t="shared" si="10"/>
        <v>69295.364999999991</v>
      </c>
      <c r="G162" s="180"/>
    </row>
    <row r="163" spans="1:7" ht="20.100000000000001" customHeight="1">
      <c r="A163" s="191">
        <v>31</v>
      </c>
      <c r="B163" s="156" t="s">
        <v>23</v>
      </c>
      <c r="C163" s="161" t="s">
        <v>302</v>
      </c>
      <c r="D163" s="181" t="s">
        <v>501</v>
      </c>
      <c r="E163" s="204">
        <v>135590.72999999998</v>
      </c>
      <c r="F163" s="207">
        <f t="shared" si="10"/>
        <v>67795.364999999991</v>
      </c>
      <c r="G163" s="180"/>
    </row>
    <row r="164" spans="1:7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04">
        <v>135590.72999999998</v>
      </c>
      <c r="F164" s="207">
        <f t="shared" si="10"/>
        <v>67795.364999999991</v>
      </c>
      <c r="G164" s="180"/>
    </row>
    <row r="165" spans="1:7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04">
        <v>135590.72999999998</v>
      </c>
      <c r="F165" s="207">
        <f t="shared" si="10"/>
        <v>67795.364999999991</v>
      </c>
      <c r="G165" s="180"/>
    </row>
    <row r="166" spans="1:7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04">
        <v>125035.03449999999</v>
      </c>
      <c r="F166" s="207">
        <f t="shared" si="10"/>
        <v>62517.517249999997</v>
      </c>
      <c r="G166" s="180"/>
    </row>
    <row r="167" spans="1:7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04">
        <v>122035.03449999999</v>
      </c>
      <c r="F167" s="207">
        <f t="shared" si="10"/>
        <v>61017.517249999997</v>
      </c>
      <c r="G167" s="180"/>
    </row>
    <row r="168" spans="1:7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204">
        <v>125035.03449999999</v>
      </c>
      <c r="F168" s="207">
        <f t="shared" si="10"/>
        <v>62517.517249999997</v>
      </c>
      <c r="G168" s="180"/>
    </row>
    <row r="169" spans="1:7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204">
        <v>122035.03449999999</v>
      </c>
      <c r="F169" s="207">
        <f t="shared" si="10"/>
        <v>61017.517249999997</v>
      </c>
      <c r="G169" s="180"/>
    </row>
    <row r="170" spans="1:7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204">
        <v>122035.03449999999</v>
      </c>
      <c r="F170" s="207">
        <f t="shared" si="10"/>
        <v>61017.517249999997</v>
      </c>
      <c r="G170" s="180"/>
    </row>
    <row r="171" spans="1:7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204">
        <v>125035.03449999999</v>
      </c>
      <c r="F171" s="207">
        <f t="shared" si="10"/>
        <v>62517.517249999997</v>
      </c>
      <c r="G171" s="180"/>
    </row>
    <row r="172" spans="1:7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23">
        <v>122104.99825</v>
      </c>
      <c r="F172" s="207">
        <f t="shared" si="10"/>
        <v>61052.499125000002</v>
      </c>
      <c r="G172" s="180"/>
    </row>
    <row r="173" spans="1:7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23">
        <v>122104.99825</v>
      </c>
      <c r="F173" s="207">
        <f t="shared" si="10"/>
        <v>61052.499125000002</v>
      </c>
      <c r="G173" s="180"/>
    </row>
    <row r="174" spans="1:7" ht="20.100000000000001" customHeight="1">
      <c r="A174" s="191">
        <v>42</v>
      </c>
      <c r="B174" s="157" t="s">
        <v>166</v>
      </c>
      <c r="C174" s="161" t="s">
        <v>714</v>
      </c>
      <c r="D174" s="181" t="s">
        <v>306</v>
      </c>
      <c r="E174" s="23">
        <v>122104.99825</v>
      </c>
      <c r="F174" s="207">
        <f t="shared" si="10"/>
        <v>61052.499125000002</v>
      </c>
      <c r="G174" s="180"/>
    </row>
    <row r="175" spans="1:7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204">
        <v>80237.012000000002</v>
      </c>
      <c r="F175" s="207">
        <f t="shared" si="10"/>
        <v>40118.506000000001</v>
      </c>
      <c r="G175" s="180"/>
    </row>
    <row r="176" spans="1:7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204">
        <v>78671.023000000016</v>
      </c>
      <c r="F176" s="207">
        <f t="shared" si="10"/>
        <v>39335.511500000008</v>
      </c>
      <c r="G176" s="180"/>
    </row>
    <row r="177" spans="1:7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204">
        <v>75671.023000000016</v>
      </c>
      <c r="F177" s="207">
        <f t="shared" si="10"/>
        <v>37835.511500000008</v>
      </c>
      <c r="G177" s="180"/>
    </row>
    <row r="178" spans="1:7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204">
        <v>78671.023000000016</v>
      </c>
      <c r="F178" s="207">
        <f t="shared" si="10"/>
        <v>39335.511500000008</v>
      </c>
      <c r="G178" s="180"/>
    </row>
    <row r="179" spans="1:7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204">
        <v>75671.023000000016</v>
      </c>
      <c r="F179" s="207">
        <f t="shared" si="10"/>
        <v>37835.511500000008</v>
      </c>
      <c r="G179" s="180"/>
    </row>
    <row r="180" spans="1:7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204">
        <v>78671.023000000016</v>
      </c>
      <c r="F180" s="207">
        <f t="shared" si="10"/>
        <v>39335.511500000008</v>
      </c>
      <c r="G180" s="180"/>
    </row>
    <row r="181" spans="1:7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204">
        <v>75671.023000000016</v>
      </c>
      <c r="F181" s="207">
        <f t="shared" si="10"/>
        <v>37835.511500000008</v>
      </c>
      <c r="G181" s="180"/>
    </row>
    <row r="182" spans="1:7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204">
        <v>78671.023000000016</v>
      </c>
      <c r="F182" s="207">
        <f t="shared" si="10"/>
        <v>39335.511500000008</v>
      </c>
      <c r="G182" s="180"/>
    </row>
    <row r="183" spans="1:7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204">
        <v>78671.023000000001</v>
      </c>
      <c r="F183" s="207">
        <f t="shared" si="10"/>
        <v>39335.511500000001</v>
      </c>
      <c r="G183" s="180"/>
    </row>
    <row r="184" spans="1:7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204">
        <v>78671.023000000016</v>
      </c>
      <c r="F184" s="207">
        <f t="shared" si="10"/>
        <v>39335.511500000008</v>
      </c>
      <c r="G184" s="180"/>
    </row>
    <row r="185" spans="1:7" ht="20.100000000000001" customHeight="1">
      <c r="A185" s="191">
        <v>53</v>
      </c>
      <c r="B185" s="157" t="s">
        <v>279</v>
      </c>
      <c r="C185" s="161" t="s">
        <v>715</v>
      </c>
      <c r="D185" s="181" t="s">
        <v>262</v>
      </c>
      <c r="E185" s="23">
        <v>77103.749500000005</v>
      </c>
      <c r="F185" s="207">
        <f t="shared" si="10"/>
        <v>38551.874750000003</v>
      </c>
      <c r="G185" s="180"/>
    </row>
    <row r="186" spans="1:7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204">
        <v>67328.070250000004</v>
      </c>
      <c r="F186" s="207">
        <f t="shared" si="10"/>
        <v>33664.035125000002</v>
      </c>
      <c r="G186" s="180"/>
    </row>
    <row r="187" spans="1:7" ht="20.100000000000001" customHeight="1">
      <c r="A187" s="191">
        <v>55</v>
      </c>
      <c r="B187" s="157" t="s">
        <v>557</v>
      </c>
      <c r="C187" s="161" t="s">
        <v>558</v>
      </c>
      <c r="D187" s="181" t="s">
        <v>559</v>
      </c>
      <c r="E187" s="290">
        <v>61631.996500000001</v>
      </c>
      <c r="F187" s="207">
        <f t="shared" si="10"/>
        <v>30815.998250000001</v>
      </c>
      <c r="G187" s="180"/>
    </row>
    <row r="188" spans="1:7" ht="20.100000000000001" customHeight="1">
      <c r="A188" s="191">
        <v>56</v>
      </c>
      <c r="B188" s="157" t="s">
        <v>560</v>
      </c>
      <c r="C188" s="161" t="s">
        <v>558</v>
      </c>
      <c r="D188" s="181" t="s">
        <v>559</v>
      </c>
      <c r="E188" s="290">
        <v>61631.996500000001</v>
      </c>
      <c r="F188" s="207">
        <f t="shared" si="10"/>
        <v>30815.998250000001</v>
      </c>
      <c r="G188" s="180"/>
    </row>
    <row r="189" spans="1:7" ht="20.100000000000001" customHeight="1">
      <c r="A189" s="191">
        <v>57</v>
      </c>
      <c r="B189" s="157" t="s">
        <v>561</v>
      </c>
      <c r="C189" s="161" t="s">
        <v>558</v>
      </c>
      <c r="D189" s="181" t="s">
        <v>559</v>
      </c>
      <c r="E189" s="290">
        <v>61631.996500000001</v>
      </c>
      <c r="F189" s="207">
        <f t="shared" si="10"/>
        <v>30815.998250000001</v>
      </c>
      <c r="G189" s="180"/>
    </row>
    <row r="190" spans="1:7" ht="20.100000000000001" customHeight="1">
      <c r="A190" s="191">
        <v>58</v>
      </c>
      <c r="B190" s="157" t="s">
        <v>562</v>
      </c>
      <c r="C190" s="161" t="s">
        <v>563</v>
      </c>
      <c r="D190" s="181" t="s">
        <v>564</v>
      </c>
      <c r="E190" s="204">
        <v>70538.03575000001</v>
      </c>
      <c r="F190" s="207">
        <f t="shared" si="10"/>
        <v>35269.017875000005</v>
      </c>
      <c r="G190" s="180"/>
    </row>
    <row r="191" spans="1:7" ht="20.100000000000001" customHeight="1">
      <c r="A191" s="191">
        <v>59</v>
      </c>
      <c r="B191" s="157" t="s">
        <v>565</v>
      </c>
      <c r="C191" s="161" t="s">
        <v>563</v>
      </c>
      <c r="D191" s="181" t="s">
        <v>564</v>
      </c>
      <c r="E191" s="204">
        <v>70538.03575000001</v>
      </c>
      <c r="F191" s="207">
        <f t="shared" si="10"/>
        <v>35269.017875000005</v>
      </c>
      <c r="G191" s="180"/>
    </row>
    <row r="192" spans="1:7" ht="20.100000000000001" customHeight="1">
      <c r="A192" s="191"/>
      <c r="B192" s="177" t="s">
        <v>15</v>
      </c>
      <c r="C192" s="193" t="s">
        <v>710</v>
      </c>
      <c r="D192" s="22"/>
      <c r="E192" s="68">
        <v>11195475.758500002</v>
      </c>
      <c r="F192" s="337">
        <f>SUM(F133:F191)</f>
        <v>5597737.8792500012</v>
      </c>
      <c r="G192" s="180"/>
    </row>
    <row r="193" spans="1:7" ht="19.5" customHeight="1">
      <c r="A193" s="20"/>
      <c r="B193" s="194" t="s">
        <v>8</v>
      </c>
      <c r="C193" s="195">
        <f>C31+C37+C52+C57+C71+C81+C95+C102+C112+C130+C192</f>
        <v>151</v>
      </c>
      <c r="D193" s="196"/>
      <c r="E193" s="197">
        <v>52931904.066892639</v>
      </c>
      <c r="F193" s="197">
        <f>F192+F130+F117+F112+F102+F95+F81+F71+F57+F52+F37+F31</f>
        <v>25569552.508302502</v>
      </c>
      <c r="G193" s="180"/>
    </row>
    <row r="194" spans="1:7" ht="20.100000000000001" customHeight="1">
      <c r="B194" s="198"/>
      <c r="D194" s="199"/>
      <c r="E194" s="200"/>
      <c r="F194" s="201"/>
      <c r="G194" s="202"/>
    </row>
    <row r="195" spans="1:7" ht="36.75" customHeight="1">
      <c r="B195" s="198"/>
      <c r="C195" s="199"/>
      <c r="D195" s="199"/>
      <c r="E195" s="200"/>
      <c r="F195" s="202"/>
    </row>
    <row r="198" spans="1:7" ht="20.100000000000001" customHeight="1">
      <c r="E198" s="202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16384" width="9.140625" style="164"/>
  </cols>
  <sheetData>
    <row r="1" spans="1:25" ht="27" customHeight="1">
      <c r="A1" s="403" t="s">
        <v>234</v>
      </c>
      <c r="B1" s="403"/>
      <c r="C1" s="403"/>
      <c r="D1" s="403"/>
      <c r="E1" s="403"/>
      <c r="F1" s="403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5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25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5" ht="60" customHeight="1">
      <c r="A4" s="20"/>
      <c r="B4" s="171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4" t="s">
        <v>38</v>
      </c>
      <c r="T4" s="256" t="s">
        <v>459</v>
      </c>
      <c r="U4" s="175" t="s">
        <v>655</v>
      </c>
      <c r="V4" s="221" t="s">
        <v>656</v>
      </c>
      <c r="W4" s="175" t="s">
        <v>511</v>
      </c>
      <c r="X4" s="221" t="s">
        <v>671</v>
      </c>
    </row>
    <row r="5" spans="1:25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317" t="s">
        <v>5</v>
      </c>
      <c r="T5" s="178"/>
      <c r="U5" s="178"/>
      <c r="V5" s="216"/>
      <c r="W5" s="178"/>
      <c r="X5" s="216"/>
    </row>
    <row r="6" spans="1:25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25" ht="20.100000000000001" customHeight="1">
      <c r="A7" s="20">
        <v>3</v>
      </c>
      <c r="B7" s="156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9">
        <v>70000</v>
      </c>
      <c r="N7" s="179"/>
      <c r="O7" s="25">
        <f>E7*10%</f>
        <v>2633.9300000000003</v>
      </c>
      <c r="P7" s="25">
        <v>15000</v>
      </c>
      <c r="Q7" s="25"/>
      <c r="R7" s="204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7">
        <f>R7-T7</f>
        <v>284617.01749999996</v>
      </c>
      <c r="W7" s="180">
        <v>1</v>
      </c>
      <c r="X7" s="363">
        <f>V7*W7</f>
        <v>284617.01749999996</v>
      </c>
    </row>
    <row r="8" spans="1:25" ht="26.25" customHeight="1">
      <c r="A8" s="28"/>
      <c r="B8" s="159" t="s">
        <v>15</v>
      </c>
      <c r="C8" s="29"/>
      <c r="D8" s="181"/>
      <c r="E8" s="183">
        <f t="shared" ref="E8:P8" si="0">SUM(E7:E7)</f>
        <v>26339.3</v>
      </c>
      <c r="F8" s="183">
        <f t="shared" si="0"/>
        <v>0</v>
      </c>
      <c r="G8" s="183">
        <f t="shared" si="0"/>
        <v>79017.899999999994</v>
      </c>
      <c r="H8" s="183">
        <f t="shared" si="0"/>
        <v>1975.4474999999998</v>
      </c>
      <c r="I8" s="183">
        <f t="shared" si="0"/>
        <v>0</v>
      </c>
      <c r="J8" s="183">
        <f t="shared" si="0"/>
        <v>13169.65</v>
      </c>
      <c r="K8" s="183">
        <f t="shared" si="0"/>
        <v>92187.55</v>
      </c>
      <c r="L8" s="183">
        <f t="shared" si="0"/>
        <v>26339.3</v>
      </c>
      <c r="M8" s="183">
        <f t="shared" si="0"/>
        <v>70000</v>
      </c>
      <c r="N8" s="183">
        <f t="shared" si="0"/>
        <v>0</v>
      </c>
      <c r="O8" s="183">
        <f t="shared" si="0"/>
        <v>2633.9300000000003</v>
      </c>
      <c r="P8" s="183">
        <f t="shared" si="0"/>
        <v>15000</v>
      </c>
      <c r="R8" s="361">
        <f>SUM(R7)</f>
        <v>326663.07749999996</v>
      </c>
      <c r="S8" s="183">
        <f>SUM(S7:S7)</f>
        <v>42046.06</v>
      </c>
      <c r="T8" s="183">
        <f>SUM(T7:T7)</f>
        <v>42046.06</v>
      </c>
      <c r="U8" s="183">
        <f>SUM(U7:U7)</f>
        <v>0</v>
      </c>
      <c r="V8" s="217">
        <f>SUM(V7:V7)</f>
        <v>284617.01749999996</v>
      </c>
      <c r="W8" s="183"/>
      <c r="X8" s="217">
        <f>SUM(X7:X7)</f>
        <v>284617.01749999996</v>
      </c>
      <c r="Y8" s="180"/>
    </row>
    <row r="9" spans="1:25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364"/>
      <c r="S9" s="319"/>
      <c r="T9" s="183"/>
      <c r="U9" s="25"/>
      <c r="V9" s="208"/>
      <c r="W9" s="183"/>
      <c r="X9" s="208"/>
      <c r="Y9" s="180"/>
    </row>
    <row r="10" spans="1:25" ht="20.100000000000001" customHeight="1">
      <c r="A10" s="28"/>
      <c r="B10" s="185" t="s">
        <v>723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320"/>
      <c r="T10" s="23"/>
      <c r="U10" s="25"/>
      <c r="V10" s="208"/>
      <c r="W10" s="23"/>
      <c r="X10" s="208"/>
      <c r="Y10" s="180"/>
    </row>
    <row r="11" spans="1:25" ht="21.6" customHeight="1">
      <c r="A11" s="28">
        <v>10</v>
      </c>
      <c r="B11" s="156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9">
        <v>100000</v>
      </c>
      <c r="N11" s="179"/>
      <c r="O11" s="25">
        <f t="shared" ref="O11" si="6">E11*10%</f>
        <v>1728.6330000000003</v>
      </c>
      <c r="P11" s="25">
        <v>10000</v>
      </c>
      <c r="Q11" s="25"/>
      <c r="R11" s="204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7">
        <f>R11-T11</f>
        <v>236310.25775000005</v>
      </c>
      <c r="W11" s="180">
        <f>(25/31)+2</f>
        <v>2.806451612903226</v>
      </c>
      <c r="X11" s="164">
        <f>V11*W11</f>
        <v>663193.30400806468</v>
      </c>
    </row>
    <row r="12" spans="1:25" ht="25.5" customHeight="1">
      <c r="A12" s="28"/>
      <c r="B12" s="159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80"/>
    </row>
    <row r="13" spans="1:25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322"/>
      <c r="T13" s="30"/>
      <c r="U13" s="25"/>
      <c r="V13" s="208"/>
      <c r="W13" s="30"/>
      <c r="X13" s="208"/>
      <c r="Y13" s="180"/>
    </row>
    <row r="14" spans="1:25" ht="19.5" customHeight="1">
      <c r="A14" s="20"/>
      <c r="B14" s="194" t="s">
        <v>8</v>
      </c>
      <c r="C14" s="195"/>
      <c r="D14" s="196"/>
      <c r="E14" s="197">
        <f>E8+E12</f>
        <v>43625.630000000005</v>
      </c>
      <c r="F14" s="197">
        <f t="shared" ref="F14:X14" si="9">F8+F12</f>
        <v>0</v>
      </c>
      <c r="G14" s="197">
        <f t="shared" si="9"/>
        <v>130876.89</v>
      </c>
      <c r="H14" s="197">
        <f t="shared" si="9"/>
        <v>3271.9222499999996</v>
      </c>
      <c r="I14" s="197">
        <f t="shared" si="9"/>
        <v>0</v>
      </c>
      <c r="J14" s="197">
        <f t="shared" si="9"/>
        <v>21812.815000000002</v>
      </c>
      <c r="K14" s="197">
        <f t="shared" si="9"/>
        <v>152689.70500000002</v>
      </c>
      <c r="L14" s="197">
        <f t="shared" si="9"/>
        <v>43625.630000000005</v>
      </c>
      <c r="M14" s="197">
        <f t="shared" si="9"/>
        <v>170000</v>
      </c>
      <c r="N14" s="197">
        <f t="shared" si="9"/>
        <v>0</v>
      </c>
      <c r="O14" s="197">
        <f t="shared" si="9"/>
        <v>4362.5630000000001</v>
      </c>
      <c r="P14" s="197">
        <f t="shared" si="9"/>
        <v>25000</v>
      </c>
      <c r="Q14" s="197">
        <f t="shared" si="9"/>
        <v>0</v>
      </c>
      <c r="R14" s="197">
        <f t="shared" si="9"/>
        <v>595265.15525000007</v>
      </c>
      <c r="S14" s="197">
        <f t="shared" si="9"/>
        <v>74337.88</v>
      </c>
      <c r="T14" s="197">
        <f t="shared" si="9"/>
        <v>74337.88</v>
      </c>
      <c r="U14" s="197">
        <f t="shared" si="9"/>
        <v>0</v>
      </c>
      <c r="V14" s="197">
        <f t="shared" si="9"/>
        <v>520927.27525000001</v>
      </c>
      <c r="W14" s="197"/>
      <c r="X14" s="197">
        <f t="shared" si="9"/>
        <v>947810.32150806463</v>
      </c>
      <c r="Y14" s="180"/>
    </row>
    <row r="15" spans="1:25" ht="20.100000000000001" customHeight="1">
      <c r="B15" s="198"/>
      <c r="D15" s="199"/>
      <c r="E15" s="199"/>
      <c r="F15" s="199"/>
      <c r="G15" s="199"/>
      <c r="H15" s="199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324"/>
      <c r="T15" s="201"/>
      <c r="U15" s="201"/>
      <c r="V15" s="201"/>
      <c r="W15" s="201"/>
      <c r="X15" s="201"/>
      <c r="Y15" s="202"/>
    </row>
    <row r="16" spans="1:25" ht="36.75" customHeight="1">
      <c r="B16" s="198"/>
      <c r="C16" s="199"/>
      <c r="D16" s="199"/>
      <c r="E16" s="199"/>
      <c r="F16" s="199"/>
      <c r="G16" s="199"/>
      <c r="H16" s="199"/>
      <c r="I16" s="200"/>
      <c r="J16" s="200"/>
      <c r="K16" s="200"/>
      <c r="L16" s="200"/>
      <c r="M16" s="200"/>
      <c r="N16" s="200"/>
      <c r="O16" s="200"/>
      <c r="Q16" s="200"/>
      <c r="R16" s="200"/>
      <c r="S16" s="324"/>
      <c r="T16" s="201"/>
      <c r="U16" s="201"/>
      <c r="V16" s="201"/>
      <c r="W16" s="201"/>
      <c r="X16" s="201"/>
    </row>
    <row r="19" spans="17:18" ht="20.100000000000001" customHeight="1">
      <c r="Q19" s="202"/>
      <c r="R19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4" customWidth="1"/>
    <col min="2" max="2" width="37.140625" style="164" customWidth="1"/>
    <col min="3" max="3" width="37.285156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26" width="18.85546875" style="164" customWidth="1"/>
    <col min="27" max="27" width="17.7109375" style="164" customWidth="1"/>
    <col min="28" max="28" width="15.7109375" style="164" customWidth="1"/>
    <col min="29" max="29" width="18.28515625" style="164" customWidth="1"/>
    <col min="30" max="30" width="17.7109375" style="164" customWidth="1"/>
    <col min="31" max="31" width="19.85546875" style="164" customWidth="1"/>
    <col min="32" max="16384" width="9.140625" style="164"/>
  </cols>
  <sheetData>
    <row r="1" spans="1:31" ht="27" customHeight="1">
      <c r="A1" s="403" t="s">
        <v>234</v>
      </c>
      <c r="B1" s="403"/>
      <c r="C1" s="403"/>
      <c r="D1" s="403"/>
      <c r="E1" s="403"/>
      <c r="F1" s="403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1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31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1" ht="62.2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2" t="s">
        <v>664</v>
      </c>
      <c r="T4" s="336" t="s">
        <v>662</v>
      </c>
      <c r="U4" s="175" t="s">
        <v>668</v>
      </c>
      <c r="V4" s="175" t="s">
        <v>666</v>
      </c>
      <c r="W4" s="175" t="s">
        <v>667</v>
      </c>
      <c r="X4" s="175" t="s">
        <v>665</v>
      </c>
      <c r="Y4" s="175" t="s">
        <v>371</v>
      </c>
      <c r="Z4" s="340" t="s">
        <v>669</v>
      </c>
      <c r="AA4" s="341" t="s">
        <v>670</v>
      </c>
      <c r="AB4" s="175" t="s">
        <v>511</v>
      </c>
      <c r="AC4" s="221" t="s">
        <v>671</v>
      </c>
      <c r="AD4" s="221" t="s">
        <v>732</v>
      </c>
      <c r="AE4" s="221" t="s">
        <v>733</v>
      </c>
    </row>
    <row r="5" spans="1:31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317" t="s">
        <v>5</v>
      </c>
      <c r="T5" s="178"/>
      <c r="U5" s="178"/>
      <c r="V5" s="216"/>
      <c r="W5" s="178"/>
      <c r="X5" s="216"/>
    </row>
    <row r="6" spans="1:31" ht="20.100000000000001" customHeight="1">
      <c r="A6" s="176" t="s">
        <v>143</v>
      </c>
      <c r="B6" s="177" t="s">
        <v>731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31" ht="20.100000000000001" customHeight="1">
      <c r="A7" s="20"/>
      <c r="B7" s="156"/>
      <c r="C7" s="20"/>
      <c r="D7" s="28"/>
      <c r="E7" s="25"/>
      <c r="F7" s="25"/>
      <c r="G7" s="25"/>
      <c r="H7" s="25"/>
      <c r="I7" s="25"/>
      <c r="J7" s="25"/>
      <c r="K7" s="25"/>
      <c r="L7" s="25"/>
      <c r="M7" s="179"/>
      <c r="N7" s="179"/>
      <c r="O7" s="25"/>
      <c r="P7" s="25"/>
      <c r="Q7" s="25"/>
      <c r="R7" s="204"/>
      <c r="S7" s="23"/>
      <c r="T7" s="23"/>
      <c r="U7" s="23"/>
      <c r="V7" s="207"/>
      <c r="W7" s="180"/>
      <c r="X7" s="363"/>
    </row>
    <row r="8" spans="1:31" s="333" customFormat="1" ht="20.100000000000001" customHeight="1">
      <c r="A8" s="335">
        <v>40</v>
      </c>
      <c r="B8" s="334" t="s">
        <v>231</v>
      </c>
      <c r="C8" s="327" t="s">
        <v>714</v>
      </c>
      <c r="D8" s="328" t="s">
        <v>306</v>
      </c>
      <c r="E8" s="330">
        <v>5428.12</v>
      </c>
      <c r="F8" s="329"/>
      <c r="G8" s="330">
        <f t="shared" ref="G8:G10" si="0">E8*300%</f>
        <v>16284.36</v>
      </c>
      <c r="H8" s="330">
        <f t="shared" ref="H8:H10" si="1">E8*7.5%</f>
        <v>407.10899999999998</v>
      </c>
      <c r="I8" s="330"/>
      <c r="J8" s="330">
        <f t="shared" ref="J8:J10" si="2">E8*50%</f>
        <v>2714.06</v>
      </c>
      <c r="K8" s="331">
        <f t="shared" ref="K8:K10" si="3">E8*350%</f>
        <v>18998.419999999998</v>
      </c>
      <c r="L8" s="330">
        <f t="shared" ref="L8:L10" si="4">E8*100%</f>
        <v>5428.12</v>
      </c>
      <c r="M8" s="329"/>
      <c r="N8" s="329">
        <f>20000</f>
        <v>20000</v>
      </c>
      <c r="O8" s="330">
        <f t="shared" ref="O8:O10" si="5">E8*10%</f>
        <v>542.81200000000001</v>
      </c>
      <c r="P8" s="330">
        <v>5000</v>
      </c>
      <c r="Q8" s="330">
        <f>7000</f>
        <v>7000</v>
      </c>
      <c r="R8" s="331">
        <f t="shared" ref="R8:R10" si="6">SUM(E8:Q8)</f>
        <v>81803.001000000018</v>
      </c>
      <c r="S8" s="369" t="s">
        <v>306</v>
      </c>
      <c r="T8" s="331">
        <f>122105</f>
        <v>122105</v>
      </c>
      <c r="U8" s="331">
        <f>T8-R8</f>
        <v>40301.998999999982</v>
      </c>
      <c r="V8" s="331"/>
      <c r="W8" s="331"/>
      <c r="X8" s="23">
        <v>4365.3307546666683</v>
      </c>
      <c r="Y8" s="331">
        <f>9152.6</f>
        <v>9152.6</v>
      </c>
      <c r="Z8" s="207">
        <f>Y8-X8</f>
        <v>4787.269245333332</v>
      </c>
      <c r="AA8" s="371">
        <f>U8-Z8</f>
        <v>35514.729754666652</v>
      </c>
      <c r="AB8" s="372">
        <f>(11/31)+3</f>
        <v>3.3548387096774195</v>
      </c>
      <c r="AC8" s="373">
        <f>AA8*AB8</f>
        <v>119146.19014468812</v>
      </c>
      <c r="AD8" s="17">
        <f>66227.57</f>
        <v>66227.570000000007</v>
      </c>
      <c r="AE8" s="370">
        <f>AC8-AD8</f>
        <v>52918.620144688117</v>
      </c>
    </row>
    <row r="9" spans="1:31" s="333" customFormat="1" ht="20.100000000000001" customHeight="1">
      <c r="A9" s="335">
        <v>41</v>
      </c>
      <c r="B9" s="334" t="s">
        <v>246</v>
      </c>
      <c r="C9" s="327" t="s">
        <v>714</v>
      </c>
      <c r="D9" s="328" t="s">
        <v>306</v>
      </c>
      <c r="E9" s="330">
        <v>5428.12</v>
      </c>
      <c r="F9" s="329"/>
      <c r="G9" s="330">
        <f t="shared" si="0"/>
        <v>16284.36</v>
      </c>
      <c r="H9" s="330">
        <f t="shared" si="1"/>
        <v>407.10899999999998</v>
      </c>
      <c r="I9" s="330"/>
      <c r="J9" s="330">
        <f t="shared" si="2"/>
        <v>2714.06</v>
      </c>
      <c r="K9" s="331">
        <f t="shared" si="3"/>
        <v>18998.419999999998</v>
      </c>
      <c r="L9" s="330">
        <f t="shared" si="4"/>
        <v>5428.12</v>
      </c>
      <c r="M9" s="329"/>
      <c r="N9" s="329">
        <f>20000</f>
        <v>20000</v>
      </c>
      <c r="O9" s="330">
        <f t="shared" si="5"/>
        <v>542.81200000000001</v>
      </c>
      <c r="P9" s="330">
        <v>5000</v>
      </c>
      <c r="Q9" s="330">
        <f>7000</f>
        <v>7000</v>
      </c>
      <c r="R9" s="331">
        <f>SUM(E9:Q9)</f>
        <v>81803.001000000018</v>
      </c>
      <c r="S9" s="369" t="s">
        <v>306</v>
      </c>
      <c r="T9" s="331">
        <f t="shared" ref="T9:T10" si="7">122105</f>
        <v>122105</v>
      </c>
      <c r="U9" s="331">
        <f t="shared" ref="U9:U10" si="8">T9-R9</f>
        <v>40301.998999999982</v>
      </c>
      <c r="V9" s="331"/>
      <c r="W9" s="331"/>
      <c r="X9" s="23">
        <f>4365.33075466667</f>
        <v>4365.3307546666701</v>
      </c>
      <c r="Y9" s="331">
        <f t="shared" ref="Y9:Y10" si="9">9152.6</f>
        <v>9152.6</v>
      </c>
      <c r="Z9" s="207">
        <f t="shared" ref="Z9:Z10" si="10">Y9-X9</f>
        <v>4787.2692453333302</v>
      </c>
      <c r="AA9" s="371">
        <f t="shared" ref="AA9:AA10" si="11">U9-Z9</f>
        <v>35514.729754666652</v>
      </c>
      <c r="AB9" s="372">
        <f>(17/31)+2</f>
        <v>2.5483870967741935</v>
      </c>
      <c r="AC9" s="373">
        <f t="shared" ref="AC9:AC10" si="12">AA9*AB9</f>
        <v>90505.279052215017</v>
      </c>
      <c r="AD9" s="208">
        <v>44151.71</v>
      </c>
      <c r="AE9" s="370">
        <f t="shared" ref="AE9:AE10" si="13">AC9-AD9</f>
        <v>46353.569052215018</v>
      </c>
    </row>
    <row r="10" spans="1:31" s="333" customFormat="1" ht="20.100000000000001" customHeight="1">
      <c r="A10" s="335">
        <v>42</v>
      </c>
      <c r="B10" s="326" t="s">
        <v>166</v>
      </c>
      <c r="C10" s="327" t="s">
        <v>714</v>
      </c>
      <c r="D10" s="328" t="s">
        <v>306</v>
      </c>
      <c r="E10" s="330">
        <v>5598.92</v>
      </c>
      <c r="F10" s="329"/>
      <c r="G10" s="330">
        <f t="shared" si="0"/>
        <v>16796.760000000002</v>
      </c>
      <c r="H10" s="330">
        <f t="shared" si="1"/>
        <v>419.91899999999998</v>
      </c>
      <c r="I10" s="330"/>
      <c r="J10" s="330">
        <f t="shared" si="2"/>
        <v>2799.46</v>
      </c>
      <c r="K10" s="331">
        <f t="shared" si="3"/>
        <v>19596.22</v>
      </c>
      <c r="L10" s="330">
        <f t="shared" si="4"/>
        <v>5598.92</v>
      </c>
      <c r="M10" s="329"/>
      <c r="N10" s="329">
        <f>20000</f>
        <v>20000</v>
      </c>
      <c r="O10" s="330">
        <f t="shared" si="5"/>
        <v>559.89200000000005</v>
      </c>
      <c r="P10" s="330">
        <v>5000</v>
      </c>
      <c r="Q10" s="330">
        <f>7000</f>
        <v>7000</v>
      </c>
      <c r="R10" s="331">
        <f t="shared" si="6"/>
        <v>83370.091</v>
      </c>
      <c r="S10" s="369" t="s">
        <v>306</v>
      </c>
      <c r="T10" s="331">
        <f t="shared" si="7"/>
        <v>122105</v>
      </c>
      <c r="U10" s="331">
        <f t="shared" si="8"/>
        <v>38734.909</v>
      </c>
      <c r="V10" s="331"/>
      <c r="W10" s="331"/>
      <c r="X10" s="23">
        <v>4504.4109199999994</v>
      </c>
      <c r="Y10" s="331">
        <f t="shared" si="9"/>
        <v>9152.6</v>
      </c>
      <c r="Z10" s="207">
        <f t="shared" si="10"/>
        <v>4648.189080000001</v>
      </c>
      <c r="AA10" s="371">
        <f t="shared" si="11"/>
        <v>34086.719919999996</v>
      </c>
      <c r="AB10" s="372">
        <v>9</v>
      </c>
      <c r="AC10" s="373">
        <f t="shared" si="12"/>
        <v>306780.47927999997</v>
      </c>
      <c r="AD10" s="208">
        <v>216693.09</v>
      </c>
      <c r="AE10" s="370">
        <f t="shared" si="13"/>
        <v>90087.389279999974</v>
      </c>
    </row>
    <row r="11" spans="1:31" s="333" customFormat="1" ht="20.100000000000001" customHeight="1">
      <c r="A11" s="335"/>
      <c r="B11" s="326"/>
      <c r="C11" s="327"/>
      <c r="D11" s="328"/>
      <c r="E11" s="330"/>
      <c r="F11" s="329"/>
      <c r="G11" s="330"/>
      <c r="H11" s="330"/>
      <c r="I11" s="330"/>
      <c r="J11" s="330"/>
      <c r="K11" s="331"/>
      <c r="L11" s="330"/>
      <c r="M11" s="329"/>
      <c r="N11" s="329"/>
      <c r="O11" s="330"/>
      <c r="P11" s="330"/>
      <c r="Q11" s="330"/>
      <c r="R11" s="331"/>
      <c r="S11" s="331"/>
      <c r="T11" s="331"/>
      <c r="U11" s="331"/>
      <c r="V11" s="331"/>
      <c r="W11" s="366"/>
      <c r="X11" s="367"/>
      <c r="Y11" s="366"/>
      <c r="Z11" s="368"/>
      <c r="AA11" s="332"/>
      <c r="AE11" s="374">
        <f>SUM(AE8:AE10)</f>
        <v>189359.57847690312</v>
      </c>
    </row>
    <row r="12" spans="1:31" ht="21.6" customHeight="1">
      <c r="A12" s="28"/>
      <c r="B12" s="156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9"/>
      <c r="N12" s="179"/>
      <c r="O12" s="25"/>
      <c r="P12" s="25"/>
      <c r="Q12" s="25"/>
      <c r="R12" s="204"/>
      <c r="S12" s="25"/>
      <c r="T12" s="25"/>
      <c r="U12" s="23"/>
      <c r="V12" s="207"/>
      <c r="W12" s="180"/>
    </row>
    <row r="13" spans="1:31" s="333" customFormat="1" ht="20.100000000000001" customHeight="1">
      <c r="A13" s="335">
        <v>40</v>
      </c>
      <c r="B13" s="334" t="s">
        <v>231</v>
      </c>
      <c r="C13" s="327" t="s">
        <v>714</v>
      </c>
      <c r="D13" s="328" t="s">
        <v>306</v>
      </c>
      <c r="E13" s="330">
        <f>8730.79</f>
        <v>8730.7900000000009</v>
      </c>
      <c r="F13" s="329"/>
      <c r="G13" s="330">
        <f t="shared" ref="G13:G15" si="14">E13*300%</f>
        <v>26192.370000000003</v>
      </c>
      <c r="H13" s="330">
        <f t="shared" ref="H13:H15" si="15">E13*7.5%</f>
        <v>654.80925000000002</v>
      </c>
      <c r="I13" s="330"/>
      <c r="J13" s="330">
        <f t="shared" ref="J13:J15" si="16">E13*50%</f>
        <v>4365.3950000000004</v>
      </c>
      <c r="K13" s="331">
        <f t="shared" ref="K13:K15" si="17">E13*350%</f>
        <v>30557.765000000003</v>
      </c>
      <c r="L13" s="330">
        <f t="shared" ref="L13:L15" si="18">E13*100%</f>
        <v>8730.7900000000009</v>
      </c>
      <c r="M13" s="329"/>
      <c r="N13" s="329">
        <v>30000</v>
      </c>
      <c r="O13" s="330">
        <f t="shared" ref="O13:O15" si="19">E13*10%</f>
        <v>873.07900000000018</v>
      </c>
      <c r="P13" s="330">
        <v>5000</v>
      </c>
      <c r="Q13" s="330">
        <f>7000</f>
        <v>7000</v>
      </c>
      <c r="R13" s="331">
        <f t="shared" ref="R13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[7]PROMOTIONS!$X$42</f>
        <v>8312.5899999999983</v>
      </c>
      <c r="X13" s="258">
        <f t="shared" ref="X13:X15" si="21">W13+V13+U13+T13+S13</f>
        <v>43937.59</v>
      </c>
      <c r="Y13" s="331">
        <v>106043.96784954835</v>
      </c>
      <c r="Z13" s="207">
        <f t="shared" ref="Z13:Z15" si="22">R13-X13</f>
        <v>78167.408250000008</v>
      </c>
      <c r="AA13" s="332"/>
    </row>
    <row r="14" spans="1:31" s="333" customFormat="1" ht="20.100000000000001" customHeight="1">
      <c r="A14" s="335">
        <v>41</v>
      </c>
      <c r="B14" s="334" t="s">
        <v>246</v>
      </c>
      <c r="C14" s="327" t="s">
        <v>714</v>
      </c>
      <c r="D14" s="328" t="s">
        <v>306</v>
      </c>
      <c r="E14" s="330">
        <f t="shared" ref="E14:E15" si="23">8730.79</f>
        <v>8730.7900000000009</v>
      </c>
      <c r="F14" s="329"/>
      <c r="G14" s="330">
        <f t="shared" si="14"/>
        <v>26192.370000000003</v>
      </c>
      <c r="H14" s="330">
        <f t="shared" si="15"/>
        <v>654.80925000000002</v>
      </c>
      <c r="I14" s="330"/>
      <c r="J14" s="330">
        <f t="shared" si="16"/>
        <v>4365.3950000000004</v>
      </c>
      <c r="K14" s="331">
        <f t="shared" si="17"/>
        <v>30557.765000000003</v>
      </c>
      <c r="L14" s="330">
        <f t="shared" si="18"/>
        <v>8730.7900000000009</v>
      </c>
      <c r="M14" s="329"/>
      <c r="N14" s="329">
        <v>30000</v>
      </c>
      <c r="O14" s="330">
        <f t="shared" si="19"/>
        <v>873.07900000000018</v>
      </c>
      <c r="P14" s="330">
        <v>5000</v>
      </c>
      <c r="Q14" s="330">
        <f>7000</f>
        <v>7000</v>
      </c>
      <c r="R14" s="331">
        <f>SUM(E14:Q14)</f>
        <v>122104.99825</v>
      </c>
      <c r="S14" s="331"/>
      <c r="T14" s="331">
        <v>20000</v>
      </c>
      <c r="U14" s="331">
        <v>18333.330000000002</v>
      </c>
      <c r="V14" s="331"/>
      <c r="W14" s="331">
        <f>[7]PROMOTIONS!$X$42</f>
        <v>8312.5899999999983</v>
      </c>
      <c r="X14" s="258">
        <f t="shared" si="21"/>
        <v>46645.919999999998</v>
      </c>
      <c r="Y14" s="331">
        <v>80609.452233032236</v>
      </c>
      <c r="Z14" s="207">
        <f t="shared" si="22"/>
        <v>75459.078250000006</v>
      </c>
      <c r="AA14" s="332"/>
    </row>
    <row r="15" spans="1:31" s="333" customFormat="1" ht="20.100000000000001" customHeight="1">
      <c r="A15" s="335">
        <v>42</v>
      </c>
      <c r="B15" s="326" t="s">
        <v>166</v>
      </c>
      <c r="C15" s="327" t="s">
        <v>714</v>
      </c>
      <c r="D15" s="328" t="s">
        <v>306</v>
      </c>
      <c r="E15" s="330">
        <f t="shared" si="23"/>
        <v>8730.7900000000009</v>
      </c>
      <c r="F15" s="329"/>
      <c r="G15" s="330">
        <f t="shared" si="14"/>
        <v>26192.370000000003</v>
      </c>
      <c r="H15" s="330">
        <f t="shared" si="15"/>
        <v>654.80925000000002</v>
      </c>
      <c r="I15" s="330"/>
      <c r="J15" s="330">
        <f t="shared" si="16"/>
        <v>4365.3950000000004</v>
      </c>
      <c r="K15" s="331">
        <f t="shared" si="17"/>
        <v>30557.765000000003</v>
      </c>
      <c r="L15" s="330">
        <f t="shared" si="18"/>
        <v>8730.7900000000009</v>
      </c>
      <c r="M15" s="329"/>
      <c r="N15" s="329">
        <v>30000</v>
      </c>
      <c r="O15" s="330">
        <f t="shared" si="19"/>
        <v>873.07900000000018</v>
      </c>
      <c r="P15" s="330">
        <v>5000</v>
      </c>
      <c r="Q15" s="330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[7]PROMOTIONS!$X$42</f>
        <v>8312.5899999999983</v>
      </c>
      <c r="X15" s="258">
        <f t="shared" si="21"/>
        <v>65312.59</v>
      </c>
      <c r="Y15" s="331">
        <v>239903.58369333335</v>
      </c>
      <c r="Z15" s="207">
        <f t="shared" si="22"/>
        <v>56792.408250000008</v>
      </c>
      <c r="AA15" s="332"/>
    </row>
    <row r="16" spans="1:31" ht="19.5" customHeight="1">
      <c r="A16" s="20"/>
      <c r="B16" s="194" t="s">
        <v>8</v>
      </c>
      <c r="C16" s="195"/>
      <c r="D16" s="196"/>
      <c r="E16" s="197">
        <f t="shared" ref="E16:V16" si="25">E8+E14</f>
        <v>14158.91</v>
      </c>
      <c r="F16" s="197">
        <f t="shared" si="25"/>
        <v>0</v>
      </c>
      <c r="G16" s="197">
        <f t="shared" si="25"/>
        <v>42476.73</v>
      </c>
      <c r="H16" s="197">
        <f t="shared" si="25"/>
        <v>1061.9182499999999</v>
      </c>
      <c r="I16" s="197">
        <f t="shared" si="25"/>
        <v>0</v>
      </c>
      <c r="J16" s="197">
        <f t="shared" si="25"/>
        <v>7079.4549999999999</v>
      </c>
      <c r="K16" s="197">
        <f t="shared" si="25"/>
        <v>49556.184999999998</v>
      </c>
      <c r="L16" s="197">
        <f t="shared" si="25"/>
        <v>14158.91</v>
      </c>
      <c r="M16" s="197">
        <f t="shared" si="25"/>
        <v>0</v>
      </c>
      <c r="N16" s="197">
        <f t="shared" si="25"/>
        <v>50000</v>
      </c>
      <c r="O16" s="197">
        <f t="shared" si="25"/>
        <v>1415.8910000000001</v>
      </c>
      <c r="P16" s="197">
        <f t="shared" si="25"/>
        <v>10000</v>
      </c>
      <c r="Q16" s="197">
        <f t="shared" si="25"/>
        <v>14000</v>
      </c>
      <c r="R16" s="197">
        <f t="shared" si="25"/>
        <v>203907.99925000002</v>
      </c>
      <c r="S16" s="197" t="e">
        <f t="shared" si="25"/>
        <v>#VALUE!</v>
      </c>
      <c r="T16" s="197">
        <f t="shared" si="25"/>
        <v>142105</v>
      </c>
      <c r="U16" s="197">
        <f t="shared" si="25"/>
        <v>58635.328999999983</v>
      </c>
      <c r="V16" s="197">
        <f t="shared" si="25"/>
        <v>0</v>
      </c>
      <c r="W16" s="197"/>
      <c r="X16" s="197">
        <f>X8+X14</f>
        <v>51011.250754666667</v>
      </c>
      <c r="Y16" s="180"/>
    </row>
    <row r="17" spans="1:27" ht="20.100000000000001" customHeight="1">
      <c r="B17" s="198"/>
      <c r="D17" s="199"/>
      <c r="E17" s="199"/>
      <c r="F17" s="199"/>
      <c r="G17" s="199"/>
      <c r="H17" s="19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324"/>
      <c r="T17" s="201"/>
      <c r="U17" s="201"/>
      <c r="V17" s="201"/>
      <c r="W17" s="201"/>
      <c r="X17" s="201"/>
      <c r="Y17" s="202"/>
    </row>
    <row r="18" spans="1:27" ht="36.75" customHeight="1">
      <c r="B18" s="198"/>
      <c r="C18" s="199"/>
      <c r="D18" s="199"/>
      <c r="E18" s="199"/>
      <c r="F18" s="199"/>
      <c r="G18" s="199"/>
      <c r="H18" s="199"/>
      <c r="I18" s="200"/>
      <c r="J18" s="200"/>
      <c r="K18" s="200"/>
      <c r="L18" s="200"/>
      <c r="M18" s="200"/>
      <c r="N18" s="200"/>
      <c r="O18" s="200"/>
      <c r="Q18" s="200"/>
      <c r="R18" s="200"/>
      <c r="S18" s="324"/>
      <c r="T18" s="201"/>
      <c r="U18" s="201"/>
      <c r="V18" s="201"/>
      <c r="W18" s="201"/>
      <c r="X18" s="201"/>
    </row>
    <row r="21" spans="1:27" s="315" customFormat="1" ht="20.100000000000001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202"/>
      <c r="R21" s="202"/>
      <c r="T21" s="164"/>
      <c r="U21" s="164"/>
      <c r="V21" s="164"/>
      <c r="W21" s="164"/>
      <c r="X21" s="164"/>
      <c r="Y21" s="164"/>
      <c r="Z21" s="164"/>
      <c r="AA21" s="16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16384" width="9.140625" style="164"/>
  </cols>
  <sheetData>
    <row r="1" spans="1:29" ht="27" customHeight="1">
      <c r="A1" s="403" t="s">
        <v>234</v>
      </c>
      <c r="B1" s="403"/>
      <c r="C1" s="403"/>
      <c r="D1" s="403"/>
      <c r="E1" s="403"/>
      <c r="F1" s="403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9" ht="33.75" customHeight="1">
      <c r="A2" s="165" t="s">
        <v>663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29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9" ht="60" customHeight="1">
      <c r="A4" s="20"/>
      <c r="B4" s="171" t="s">
        <v>0</v>
      </c>
      <c r="C4" s="171" t="s">
        <v>12</v>
      </c>
      <c r="D4" s="172" t="s">
        <v>661</v>
      </c>
      <c r="E4" s="175" t="s">
        <v>308</v>
      </c>
      <c r="F4" s="29" t="s">
        <v>2</v>
      </c>
      <c r="G4" s="29" t="s">
        <v>3</v>
      </c>
      <c r="H4" s="175" t="s">
        <v>32</v>
      </c>
      <c r="I4" s="29" t="s">
        <v>42</v>
      </c>
      <c r="J4" s="29" t="s">
        <v>43</v>
      </c>
      <c r="K4" s="29" t="s">
        <v>46</v>
      </c>
      <c r="L4" s="175" t="s">
        <v>93</v>
      </c>
      <c r="M4" s="175" t="s">
        <v>93</v>
      </c>
      <c r="N4" s="29" t="s">
        <v>33</v>
      </c>
      <c r="O4" s="29" t="s">
        <v>33</v>
      </c>
      <c r="P4" s="175" t="s">
        <v>49</v>
      </c>
      <c r="Q4" s="336" t="s">
        <v>660</v>
      </c>
      <c r="R4" s="172" t="s">
        <v>664</v>
      </c>
      <c r="S4" s="336" t="s">
        <v>662</v>
      </c>
      <c r="T4" s="175" t="s">
        <v>668</v>
      </c>
      <c r="U4" s="175" t="s">
        <v>666</v>
      </c>
      <c r="V4" s="175" t="s">
        <v>667</v>
      </c>
      <c r="W4" s="175" t="s">
        <v>665</v>
      </c>
      <c r="X4" s="175" t="s">
        <v>371</v>
      </c>
      <c r="Y4" s="340" t="s">
        <v>669</v>
      </c>
      <c r="Z4" s="341" t="s">
        <v>670</v>
      </c>
      <c r="AA4" s="175" t="s">
        <v>511</v>
      </c>
      <c r="AB4" s="221" t="s">
        <v>671</v>
      </c>
    </row>
    <row r="5" spans="1:29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210" t="s">
        <v>5</v>
      </c>
      <c r="T5" s="178"/>
      <c r="U5" s="178" t="s">
        <v>5</v>
      </c>
      <c r="V5" s="178"/>
      <c r="W5" s="317" t="s">
        <v>5</v>
      </c>
      <c r="X5" s="178"/>
      <c r="Y5" s="178"/>
      <c r="Z5" s="216"/>
      <c r="AA5" s="178"/>
      <c r="AB5" s="216"/>
    </row>
    <row r="6" spans="1:29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29" ht="18.75" customHeight="1">
      <c r="A7" s="28">
        <v>1</v>
      </c>
      <c r="B7" s="157" t="s">
        <v>288</v>
      </c>
      <c r="C7" s="161" t="s">
        <v>249</v>
      </c>
      <c r="D7" s="181" t="s">
        <v>267</v>
      </c>
      <c r="E7" s="179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9"/>
      <c r="M7" s="179">
        <f>50000</f>
        <v>50000</v>
      </c>
      <c r="N7" s="25">
        <f>E7*10%</f>
        <v>1349.221</v>
      </c>
      <c r="O7" s="25">
        <v>10000</v>
      </c>
      <c r="P7" s="20"/>
      <c r="Q7" s="205">
        <f>SUM(E7:P7)</f>
        <v>183791.02674999999</v>
      </c>
      <c r="R7" s="181" t="s">
        <v>428</v>
      </c>
      <c r="S7" s="205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8">
        <v>18102.902732666666</v>
      </c>
      <c r="X7" s="25">
        <f>'[6]October 2023'!$Z$29</f>
        <v>21640.882666666668</v>
      </c>
      <c r="Y7" s="25">
        <f>X7-W7</f>
        <v>3537.9799340000027</v>
      </c>
      <c r="Z7" s="208">
        <f>T7-Y7</f>
        <v>17874.659982666664</v>
      </c>
      <c r="AA7" s="25">
        <f>(19/31)+4</f>
        <v>4.612903225806452</v>
      </c>
      <c r="AB7" s="208">
        <f>Z7*AA7</f>
        <v>82454.076694236559</v>
      </c>
      <c r="AC7" s="180"/>
    </row>
    <row r="8" spans="1:29" ht="26.25" customHeight="1">
      <c r="A8" s="28"/>
      <c r="B8" s="159" t="s">
        <v>15</v>
      </c>
      <c r="C8" s="29">
        <v>1</v>
      </c>
      <c r="D8" s="181"/>
      <c r="E8" s="183">
        <f t="shared" ref="E8:Q8" si="1">SUM(E7:E7)</f>
        <v>13492.21</v>
      </c>
      <c r="F8" s="183">
        <f t="shared" si="1"/>
        <v>40476.629999999997</v>
      </c>
      <c r="G8" s="183">
        <f t="shared" si="1"/>
        <v>1011.9157499999999</v>
      </c>
      <c r="H8" s="183">
        <f t="shared" si="1"/>
        <v>0</v>
      </c>
      <c r="I8" s="183">
        <f t="shared" si="1"/>
        <v>6746.1049999999996</v>
      </c>
      <c r="J8" s="183">
        <f t="shared" si="1"/>
        <v>47222.735000000001</v>
      </c>
      <c r="K8" s="183">
        <f t="shared" si="1"/>
        <v>13492.21</v>
      </c>
      <c r="L8" s="183">
        <f t="shared" si="1"/>
        <v>0</v>
      </c>
      <c r="M8" s="183">
        <f t="shared" si="1"/>
        <v>50000</v>
      </c>
      <c r="N8" s="183">
        <f t="shared" si="1"/>
        <v>1349.221</v>
      </c>
      <c r="O8" s="183">
        <f t="shared" si="1"/>
        <v>10000</v>
      </c>
      <c r="P8" s="183">
        <f t="shared" si="1"/>
        <v>0</v>
      </c>
      <c r="Q8" s="183">
        <f t="shared" si="1"/>
        <v>183791.02674999999</v>
      </c>
      <c r="R8" s="181"/>
      <c r="S8" s="183">
        <f t="shared" ref="S8:Z8" si="2">SUM(S7:S7)</f>
        <v>205203.66666666666</v>
      </c>
      <c r="T8" s="183">
        <f t="shared" si="2"/>
        <v>21412.639916666667</v>
      </c>
      <c r="U8" s="183">
        <f t="shared" si="2"/>
        <v>0</v>
      </c>
      <c r="V8" s="183">
        <f t="shared" si="2"/>
        <v>0</v>
      </c>
      <c r="W8" s="183">
        <f t="shared" si="2"/>
        <v>18102.902732666666</v>
      </c>
      <c r="X8" s="183">
        <f t="shared" si="2"/>
        <v>21640.882666666668</v>
      </c>
      <c r="Y8" s="183">
        <f t="shared" si="2"/>
        <v>3537.9799340000027</v>
      </c>
      <c r="Z8" s="217">
        <f t="shared" si="2"/>
        <v>17874.659982666664</v>
      </c>
      <c r="AA8" s="183"/>
      <c r="AB8" s="217">
        <f>SUM(AB7:AB7)</f>
        <v>82454.076694236559</v>
      </c>
      <c r="AC8" s="180"/>
    </row>
    <row r="9" spans="1:29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29" ht="20.100000000000001" customHeight="1">
      <c r="A10" s="28"/>
      <c r="B10" s="185" t="s">
        <v>56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29" ht="20.100000000000001" customHeight="1">
      <c r="A11" s="28">
        <v>2</v>
      </c>
      <c r="B11" s="156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9">
        <f t="shared" ref="L11" si="3">120000</f>
        <v>120000</v>
      </c>
      <c r="M11" s="179"/>
      <c r="N11" s="25">
        <f>E11*10%</f>
        <v>2552.3450000000003</v>
      </c>
      <c r="O11" s="25">
        <v>15000</v>
      </c>
      <c r="P11" s="25"/>
      <c r="Q11" s="204">
        <f>SUM(E11:P11)</f>
        <v>369177.65375</v>
      </c>
      <c r="R11" s="28" t="s">
        <v>222</v>
      </c>
      <c r="S11" s="204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8">
        <v>49548.776186666662</v>
      </c>
      <c r="X11" s="25">
        <f>'[6]October 2023'!$Z$50</f>
        <v>54812.468586666662</v>
      </c>
      <c r="Y11" s="25">
        <f t="shared" ref="Y11:Y45" si="4">X11-W11</f>
        <v>5263.6923999999999</v>
      </c>
      <c r="Z11" s="208">
        <f t="shared" ref="Z11:Z45" si="5">T11-Y11</f>
        <v>22769.903850000002</v>
      </c>
      <c r="AA11" s="25">
        <f>(18/31)+1</f>
        <v>1.5806451612903225</v>
      </c>
      <c r="AB11" s="208">
        <f t="shared" ref="AB11:AB45" si="6">Z11*AA11</f>
        <v>35991.138343548388</v>
      </c>
      <c r="AC11" s="180"/>
    </row>
    <row r="12" spans="1:29" ht="25.5" customHeight="1">
      <c r="A12" s="28"/>
      <c r="B12" s="159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7">
        <f t="shared" si="8"/>
        <v>22769.903850000002</v>
      </c>
      <c r="AA12" s="68"/>
      <c r="AB12" s="337">
        <f>SUM(AB11:AB11)</f>
        <v>35991.138343548388</v>
      </c>
      <c r="AC12" s="180"/>
    </row>
    <row r="13" spans="1:29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212"/>
      <c r="T13" s="23">
        <f t="shared" si="0"/>
        <v>0</v>
      </c>
      <c r="U13" s="30"/>
      <c r="V13" s="30"/>
      <c r="W13" s="322"/>
      <c r="X13" s="30"/>
      <c r="Y13" s="25"/>
      <c r="Z13" s="208"/>
      <c r="AA13" s="30"/>
      <c r="AB13" s="208"/>
      <c r="AC13" s="180"/>
    </row>
    <row r="14" spans="1:29" ht="20.100000000000001" customHeight="1">
      <c r="A14" s="28"/>
      <c r="B14" s="159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si="0"/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29" ht="20.100000000000001" customHeight="1">
      <c r="A15" s="28">
        <v>3</v>
      </c>
      <c r="B15" s="158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9">
        <v>140000</v>
      </c>
      <c r="M15" s="179"/>
      <c r="N15" s="25">
        <f>E15*10%</f>
        <v>2848.9810000000002</v>
      </c>
      <c r="O15" s="25">
        <v>20000</v>
      </c>
      <c r="P15" s="25">
        <v>0</v>
      </c>
      <c r="Q15" s="204">
        <f>SUM(E15:P15)</f>
        <v>421394.00675000006</v>
      </c>
      <c r="R15" s="28" t="s">
        <v>30</v>
      </c>
      <c r="S15" s="204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20">
        <v>59441.782042666666</v>
      </c>
      <c r="X15" s="23">
        <f>'[6]October 2023'!$Z$85</f>
        <v>75440.404746666667</v>
      </c>
      <c r="Y15" s="25">
        <f t="shared" si="4"/>
        <v>15998.622704000001</v>
      </c>
      <c r="Z15" s="208">
        <f t="shared" si="5"/>
        <v>67327.537212666619</v>
      </c>
      <c r="AA15" s="23">
        <f>9</f>
        <v>9</v>
      </c>
      <c r="AB15" s="208">
        <f t="shared" si="6"/>
        <v>605947.83491399954</v>
      </c>
      <c r="AC15" s="180"/>
    </row>
    <row r="16" spans="1:29" ht="20.100000000000001" customHeight="1">
      <c r="A16" s="28">
        <v>4</v>
      </c>
      <c r="B16" s="156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9">
        <f t="shared" ref="L16" si="9">120000</f>
        <v>120000</v>
      </c>
      <c r="M16" s="179"/>
      <c r="N16" s="25">
        <f>E16*10%</f>
        <v>2552.3450000000003</v>
      </c>
      <c r="O16" s="25">
        <v>15000</v>
      </c>
      <c r="P16" s="25"/>
      <c r="Q16" s="205">
        <f>SUM(E16:P16)</f>
        <v>369177.65375</v>
      </c>
      <c r="R16" s="28" t="s">
        <v>222</v>
      </c>
      <c r="S16" s="205">
        <f>'SALARY STRUCTURE'!I17+140000</f>
        <v>397211.25</v>
      </c>
      <c r="T16" s="23">
        <f t="shared" si="0"/>
        <v>28033.596250000002</v>
      </c>
      <c r="U16" s="25"/>
      <c r="V16" s="25"/>
      <c r="W16" s="318">
        <v>49548.776186666662</v>
      </c>
      <c r="X16" s="25">
        <f>'[6]October 2023'!$Z$62</f>
        <v>54931.226666666662</v>
      </c>
      <c r="Y16" s="25">
        <f t="shared" si="4"/>
        <v>5382.4504799999995</v>
      </c>
      <c r="Z16" s="208">
        <f t="shared" si="5"/>
        <v>22651.145770000003</v>
      </c>
      <c r="AA16" s="25">
        <f>(7/31)+2</f>
        <v>2.225806451612903</v>
      </c>
      <c r="AB16" s="208">
        <f t="shared" si="6"/>
        <v>50417.066391290326</v>
      </c>
      <c r="AC16" s="180"/>
    </row>
    <row r="17" spans="1:29" ht="20.100000000000001" customHeight="1">
      <c r="A17" s="28"/>
      <c r="B17" s="159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7">
        <f t="shared" si="11"/>
        <v>89978.682982666622</v>
      </c>
      <c r="AA17" s="68"/>
      <c r="AB17" s="337">
        <f t="shared" si="11"/>
        <v>656364.90130528982</v>
      </c>
      <c r="AC17" s="180"/>
    </row>
    <row r="18" spans="1:29" ht="20.100000000000001" customHeight="1">
      <c r="A18" s="28"/>
      <c r="B18" s="123"/>
      <c r="C18" s="29"/>
      <c r="D18" s="29"/>
      <c r="E18" s="30"/>
      <c r="F18" s="30"/>
      <c r="G18" s="30"/>
      <c r="H18" s="30"/>
      <c r="I18" s="30"/>
      <c r="J18" s="30"/>
      <c r="K18" s="30"/>
      <c r="L18" s="179"/>
      <c r="M18" s="179"/>
      <c r="N18" s="30"/>
      <c r="O18" s="30"/>
      <c r="P18" s="30"/>
      <c r="Q18" s="212"/>
      <c r="R18" s="29"/>
      <c r="S18" s="212"/>
      <c r="T18" s="23"/>
      <c r="U18" s="30"/>
      <c r="V18" s="30"/>
      <c r="W18" s="322"/>
      <c r="X18" s="30"/>
      <c r="Y18" s="25">
        <f t="shared" si="4"/>
        <v>0</v>
      </c>
      <c r="Z18" s="208">
        <f t="shared" si="5"/>
        <v>0</v>
      </c>
      <c r="AA18" s="30"/>
      <c r="AB18" s="208">
        <f t="shared" si="6"/>
        <v>0</v>
      </c>
      <c r="AC18" s="180"/>
    </row>
    <row r="19" spans="1:29" ht="20.100000000000001" customHeight="1">
      <c r="A19" s="28"/>
      <c r="B19" s="159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9"/>
      <c r="M19" s="179"/>
      <c r="N19" s="30"/>
      <c r="O19" s="30"/>
      <c r="P19" s="30"/>
      <c r="Q19" s="212"/>
      <c r="R19" s="29"/>
      <c r="S19" s="212"/>
      <c r="T19" s="23"/>
      <c r="U19" s="30"/>
      <c r="V19" s="30"/>
      <c r="W19" s="322"/>
      <c r="X19" s="30"/>
      <c r="Y19" s="25">
        <f t="shared" si="4"/>
        <v>0</v>
      </c>
      <c r="Z19" s="208">
        <f t="shared" si="5"/>
        <v>0</v>
      </c>
      <c r="AA19" s="30"/>
      <c r="AB19" s="208">
        <f t="shared" si="6"/>
        <v>0</v>
      </c>
      <c r="AC19" s="180"/>
    </row>
    <row r="20" spans="1:29" ht="20.100000000000001" customHeight="1">
      <c r="A20" s="28">
        <v>5</v>
      </c>
      <c r="B20" s="156" t="s">
        <v>26</v>
      </c>
      <c r="C20" s="20" t="s">
        <v>296</v>
      </c>
      <c r="D20" s="181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9">
        <f>120000</f>
        <v>120000</v>
      </c>
      <c r="M20" s="179"/>
      <c r="N20" s="25">
        <f>E20*10%</f>
        <v>2552.3450000000003</v>
      </c>
      <c r="O20" s="25">
        <v>15000</v>
      </c>
      <c r="P20" s="25">
        <v>0</v>
      </c>
      <c r="Q20" s="204">
        <f>SUM(E20:P20)</f>
        <v>369177.65375</v>
      </c>
      <c r="R20" s="181" t="s">
        <v>222</v>
      </c>
      <c r="S20" s="204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8">
        <v>49548.776186666662</v>
      </c>
      <c r="X20" s="25">
        <f>'[6]October 2023'!$Z$78</f>
        <v>54931.226666666662</v>
      </c>
      <c r="Y20" s="25">
        <f t="shared" si="4"/>
        <v>5382.4504799999995</v>
      </c>
      <c r="Z20" s="208">
        <f t="shared" si="5"/>
        <v>22651.145770000003</v>
      </c>
      <c r="AA20" s="25">
        <f>9</f>
        <v>9</v>
      </c>
      <c r="AB20" s="208">
        <f t="shared" si="6"/>
        <v>203860.31193000003</v>
      </c>
      <c r="AC20" s="180"/>
    </row>
    <row r="21" spans="1:29" ht="20.100000000000001" customHeight="1">
      <c r="A21" s="28"/>
      <c r="B21" s="159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1">
        <f>SUM(W20:W20)</f>
        <v>49548.776186666662</v>
      </c>
      <c r="X21" s="321">
        <f t="shared" ref="X21:AB21" si="13">SUM(X20:X20)</f>
        <v>54931.226666666662</v>
      </c>
      <c r="Y21" s="321">
        <f t="shared" si="13"/>
        <v>5382.4504799999995</v>
      </c>
      <c r="Z21" s="338">
        <f t="shared" si="13"/>
        <v>22651.145770000003</v>
      </c>
      <c r="AA21" s="321"/>
      <c r="AB21" s="338">
        <f t="shared" si="13"/>
        <v>203860.31193000003</v>
      </c>
      <c r="AC21" s="180"/>
    </row>
    <row r="22" spans="1:29" ht="20.100000000000001" customHeight="1">
      <c r="A22" s="28"/>
      <c r="B22" s="159"/>
      <c r="C22" s="29"/>
      <c r="D22" s="29"/>
      <c r="E22" s="30"/>
      <c r="F22" s="30"/>
      <c r="G22" s="30"/>
      <c r="H22" s="30"/>
      <c r="I22" s="30"/>
      <c r="J22" s="30"/>
      <c r="K22" s="30"/>
      <c r="L22" s="179"/>
      <c r="M22" s="179"/>
      <c r="N22" s="30"/>
      <c r="O22" s="30"/>
      <c r="P22" s="30"/>
      <c r="Q22" s="213"/>
      <c r="R22" s="29"/>
      <c r="S22" s="213"/>
      <c r="T22" s="23"/>
      <c r="U22" s="182"/>
      <c r="V22" s="182"/>
      <c r="W22" s="322"/>
      <c r="X22" s="30"/>
      <c r="Y22" s="25">
        <f t="shared" si="4"/>
        <v>0</v>
      </c>
      <c r="Z22" s="208">
        <f t="shared" si="5"/>
        <v>0</v>
      </c>
      <c r="AA22" s="30"/>
      <c r="AB22" s="208">
        <f t="shared" si="6"/>
        <v>0</v>
      </c>
      <c r="AC22" s="180"/>
    </row>
    <row r="23" spans="1:29" ht="20.100000000000001" customHeight="1">
      <c r="A23" s="28"/>
      <c r="B23" s="159" t="s">
        <v>463</v>
      </c>
      <c r="C23" s="186"/>
      <c r="D23" s="29"/>
      <c r="E23" s="30"/>
      <c r="F23" s="30"/>
      <c r="G23" s="30"/>
      <c r="H23" s="30"/>
      <c r="I23" s="30"/>
      <c r="J23" s="30"/>
      <c r="K23" s="30"/>
      <c r="L23" s="179"/>
      <c r="M23" s="179"/>
      <c r="N23" s="30"/>
      <c r="O23" s="30"/>
      <c r="P23" s="30"/>
      <c r="Q23" s="213"/>
      <c r="R23" s="29"/>
      <c r="S23" s="213"/>
      <c r="T23" s="23"/>
      <c r="U23" s="182"/>
      <c r="V23" s="182"/>
      <c r="W23" s="322"/>
      <c r="X23" s="30"/>
      <c r="Y23" s="25">
        <f t="shared" si="4"/>
        <v>0</v>
      </c>
      <c r="Z23" s="208">
        <f t="shared" si="5"/>
        <v>0</v>
      </c>
      <c r="AA23" s="30"/>
      <c r="AB23" s="208">
        <f t="shared" si="6"/>
        <v>0</v>
      </c>
      <c r="AC23" s="180"/>
    </row>
    <row r="24" spans="1:29" ht="20.100000000000001" customHeight="1">
      <c r="A24" s="28">
        <v>6</v>
      </c>
      <c r="B24" s="156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9">
        <v>140000</v>
      </c>
      <c r="M24" s="179"/>
      <c r="N24" s="25">
        <f>E24*10%</f>
        <v>2761.123</v>
      </c>
      <c r="O24" s="25">
        <v>20000</v>
      </c>
      <c r="P24" s="25"/>
      <c r="Q24" s="204">
        <f>SUM(E24:P24)</f>
        <v>413333.03525000007</v>
      </c>
      <c r="R24" s="28" t="s">
        <v>30</v>
      </c>
      <c r="S24" s="204">
        <f>'SALARY STRUCTURE'!H18+160000</f>
        <v>504720.16666666669</v>
      </c>
      <c r="T24" s="23">
        <f t="shared" si="0"/>
        <v>91387.131416666612</v>
      </c>
      <c r="U24" s="23"/>
      <c r="V24" s="23"/>
      <c r="W24" s="320">
        <v>58026.609434666672</v>
      </c>
      <c r="X24" s="23">
        <f>'[6]October 2023'!$Z$86</f>
        <v>75572.938666666669</v>
      </c>
      <c r="Y24" s="25">
        <f t="shared" si="4"/>
        <v>17546.329231999996</v>
      </c>
      <c r="Z24" s="208">
        <f t="shared" si="5"/>
        <v>73840.802184666623</v>
      </c>
      <c r="AA24" s="23">
        <v>1</v>
      </c>
      <c r="AB24" s="208">
        <f t="shared" si="6"/>
        <v>73840.802184666623</v>
      </c>
      <c r="AC24" s="180"/>
    </row>
    <row r="25" spans="1:29" ht="21.6" customHeight="1">
      <c r="A25" s="28">
        <v>7</v>
      </c>
      <c r="B25" s="156" t="s">
        <v>337</v>
      </c>
      <c r="C25" s="161" t="s">
        <v>257</v>
      </c>
      <c r="D25" s="181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9">
        <f t="shared" ref="L25" si="14">120000</f>
        <v>120000</v>
      </c>
      <c r="M25" s="179"/>
      <c r="N25" s="25">
        <f>E25*10%</f>
        <v>2474.1260000000002</v>
      </c>
      <c r="O25" s="25">
        <v>15000</v>
      </c>
      <c r="P25" s="25">
        <v>0</v>
      </c>
      <c r="Q25" s="204">
        <f>SUM(E25:P25)</f>
        <v>362001.06049999996</v>
      </c>
      <c r="R25" s="181" t="s">
        <v>95</v>
      </c>
      <c r="S25" s="204">
        <f>'SALARY STRUCTURE'!H17+140000</f>
        <v>389153.41666666663</v>
      </c>
      <c r="T25" s="23">
        <f t="shared" si="0"/>
        <v>27152.356166666665</v>
      </c>
      <c r="U25" s="23"/>
      <c r="V25" s="23"/>
      <c r="W25" s="318">
        <v>48170.870282666663</v>
      </c>
      <c r="X25" s="25">
        <f>'[6]October 2023'!$Z$89</f>
        <v>53384.122666666663</v>
      </c>
      <c r="Y25" s="25">
        <f t="shared" si="4"/>
        <v>5213.2523839999994</v>
      </c>
      <c r="Z25" s="208">
        <f t="shared" si="5"/>
        <v>21939.103782666665</v>
      </c>
      <c r="AA25" s="25">
        <f>(19/31)+2</f>
        <v>2.6129032258064515</v>
      </c>
      <c r="AB25" s="208">
        <f t="shared" si="6"/>
        <v>57324.755045032252</v>
      </c>
      <c r="AC25" s="180"/>
    </row>
    <row r="26" spans="1:29" ht="20.100000000000001" customHeight="1">
      <c r="A26" s="28"/>
      <c r="B26" s="159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7">
        <f t="shared" si="16"/>
        <v>95779.905967333296</v>
      </c>
      <c r="AA26" s="68"/>
      <c r="AB26" s="337">
        <f t="shared" si="16"/>
        <v>131165.55722969887</v>
      </c>
      <c r="AC26" s="180"/>
    </row>
    <row r="27" spans="1:29" ht="20.100000000000001" customHeight="1">
      <c r="A27" s="28"/>
      <c r="B27" s="123"/>
      <c r="C27" s="29"/>
      <c r="D27" s="29"/>
      <c r="E27" s="30"/>
      <c r="F27" s="30"/>
      <c r="G27" s="30"/>
      <c r="H27" s="30"/>
      <c r="I27" s="30"/>
      <c r="J27" s="30"/>
      <c r="K27" s="30"/>
      <c r="L27" s="179"/>
      <c r="M27" s="179"/>
      <c r="N27" s="30"/>
      <c r="O27" s="30"/>
      <c r="P27" s="30"/>
      <c r="Q27" s="212"/>
      <c r="R27" s="29"/>
      <c r="S27" s="212"/>
      <c r="T27" s="23">
        <f t="shared" si="0"/>
        <v>0</v>
      </c>
      <c r="U27" s="30"/>
      <c r="V27" s="30"/>
      <c r="W27" s="322"/>
      <c r="X27" s="30"/>
      <c r="Y27" s="25">
        <f t="shared" si="4"/>
        <v>0</v>
      </c>
      <c r="Z27" s="208">
        <f t="shared" si="5"/>
        <v>0</v>
      </c>
      <c r="AA27" s="30"/>
      <c r="AB27" s="208">
        <f t="shared" si="6"/>
        <v>0</v>
      </c>
      <c r="AC27" s="180"/>
    </row>
    <row r="28" spans="1:29" ht="20.100000000000001" customHeight="1">
      <c r="A28" s="28"/>
      <c r="B28" s="159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9"/>
      <c r="M28" s="179"/>
      <c r="N28" s="30"/>
      <c r="O28" s="30"/>
      <c r="P28" s="30"/>
      <c r="Q28" s="212"/>
      <c r="R28" s="29"/>
      <c r="S28" s="212"/>
      <c r="T28" s="23">
        <f t="shared" si="0"/>
        <v>0</v>
      </c>
      <c r="U28" s="30"/>
      <c r="V28" s="30"/>
      <c r="W28" s="322"/>
      <c r="X28" s="30"/>
      <c r="Y28" s="25">
        <f t="shared" si="4"/>
        <v>0</v>
      </c>
      <c r="Z28" s="208">
        <f t="shared" si="5"/>
        <v>0</v>
      </c>
      <c r="AA28" s="30"/>
      <c r="AB28" s="208">
        <f t="shared" si="6"/>
        <v>0</v>
      </c>
      <c r="AC28" s="180"/>
    </row>
    <row r="29" spans="1:29" ht="20.100000000000001" customHeight="1">
      <c r="A29" s="28">
        <v>8</v>
      </c>
      <c r="B29" s="156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9">
        <v>140000</v>
      </c>
      <c r="M29" s="179"/>
      <c r="N29" s="25">
        <f>E29*10%</f>
        <v>2761.123</v>
      </c>
      <c r="O29" s="25">
        <v>20000</v>
      </c>
      <c r="P29" s="25">
        <f>100000</f>
        <v>100000</v>
      </c>
      <c r="Q29" s="204">
        <f>SUM(E29:P29)</f>
        <v>513333.03525000007</v>
      </c>
      <c r="R29" s="28" t="s">
        <v>30</v>
      </c>
      <c r="S29" s="204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20">
        <f>77098.29</f>
        <v>77098.289999999994</v>
      </c>
      <c r="X29" s="23">
        <f>'[6]October 2023'!$Z$97</f>
        <v>94644.621866666668</v>
      </c>
      <c r="Y29" s="25">
        <f t="shared" si="4"/>
        <v>17546.331866666675</v>
      </c>
      <c r="Z29" s="208">
        <f t="shared" si="5"/>
        <v>73840.799549999996</v>
      </c>
      <c r="AA29" s="23">
        <f>3</f>
        <v>3</v>
      </c>
      <c r="AB29" s="208">
        <f t="shared" si="6"/>
        <v>221522.39864999999</v>
      </c>
      <c r="AC29" s="180"/>
    </row>
    <row r="30" spans="1:29" ht="20.100000000000001" customHeight="1">
      <c r="A30" s="28">
        <v>9</v>
      </c>
      <c r="B30" s="156" t="s">
        <v>124</v>
      </c>
      <c r="C30" s="20" t="s">
        <v>235</v>
      </c>
      <c r="D30" s="181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9"/>
      <c r="M30" s="179">
        <v>70000</v>
      </c>
      <c r="N30" s="25">
        <f>E30*10%</f>
        <v>2552.3450000000003</v>
      </c>
      <c r="O30" s="25">
        <v>15000</v>
      </c>
      <c r="P30" s="25">
        <v>0</v>
      </c>
      <c r="Q30" s="204">
        <f>SUM(E30:P30)</f>
        <v>319177.65375</v>
      </c>
      <c r="R30" s="181" t="s">
        <v>222</v>
      </c>
      <c r="S30" s="204">
        <f>'SALARY STRUCTURE'!I17+70000</f>
        <v>327211.25</v>
      </c>
      <c r="T30" s="23">
        <f t="shared" si="0"/>
        <v>8033.5962500000023</v>
      </c>
      <c r="U30" s="23"/>
      <c r="V30" s="23"/>
      <c r="W30" s="318">
        <v>40698.124856666655</v>
      </c>
      <c r="X30" s="25">
        <f>'[6]October 2023'!$Z$129</f>
        <v>42047.769026666661</v>
      </c>
      <c r="Y30" s="25">
        <f t="shared" si="4"/>
        <v>1349.6441700000069</v>
      </c>
      <c r="Z30" s="208">
        <f t="shared" si="5"/>
        <v>6683.9520799999955</v>
      </c>
      <c r="AA30" s="25">
        <v>7</v>
      </c>
      <c r="AB30" s="208">
        <f t="shared" si="6"/>
        <v>46787.664559999968</v>
      </c>
      <c r="AC30" s="180"/>
    </row>
    <row r="31" spans="1:29" ht="20.100000000000001" customHeight="1">
      <c r="A31" s="28">
        <v>10</v>
      </c>
      <c r="B31" s="156" t="s">
        <v>345</v>
      </c>
      <c r="C31" s="20" t="s">
        <v>541</v>
      </c>
      <c r="D31" s="181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9"/>
      <c r="M31" s="179">
        <v>50000</v>
      </c>
      <c r="N31" s="25">
        <v>1349.221</v>
      </c>
      <c r="O31" s="25">
        <v>10000</v>
      </c>
      <c r="P31" s="25"/>
      <c r="Q31" s="204">
        <v>183791.02674999999</v>
      </c>
      <c r="R31" s="181" t="s">
        <v>104</v>
      </c>
      <c r="S31" s="204">
        <f>'SALARY STRUCTURE'!H14+60000</f>
        <v>228601.58333333334</v>
      </c>
      <c r="T31" s="23">
        <f t="shared" si="0"/>
        <v>44810.556583333353</v>
      </c>
      <c r="U31" s="23"/>
      <c r="V31" s="23"/>
      <c r="W31" s="318">
        <v>18102.902732666666</v>
      </c>
      <c r="X31" s="25">
        <f>'[6]October 2023'!$Z$30</f>
        <v>25571.732666666667</v>
      </c>
      <c r="Y31" s="25">
        <f t="shared" si="4"/>
        <v>7468.8299340000012</v>
      </c>
      <c r="Z31" s="208">
        <f t="shared" si="5"/>
        <v>37341.726649333352</v>
      </c>
      <c r="AA31" s="25">
        <v>1</v>
      </c>
      <c r="AB31" s="208">
        <f t="shared" si="6"/>
        <v>37341.726649333352</v>
      </c>
      <c r="AC31" s="180"/>
    </row>
    <row r="32" spans="1:29" ht="20.100000000000001" customHeight="1">
      <c r="A32" s="20"/>
      <c r="B32" s="159" t="s">
        <v>15</v>
      </c>
      <c r="C32" s="29">
        <v>3</v>
      </c>
      <c r="D32" s="187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7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1">
        <f>SUM(W29:W31)</f>
        <v>135899.31758933331</v>
      </c>
      <c r="X32" s="321">
        <f t="shared" ref="X32:AB32" si="18">SUM(X29:X31)</f>
        <v>162264.12356000001</v>
      </c>
      <c r="Y32" s="321">
        <f t="shared" si="18"/>
        <v>26364.805970666683</v>
      </c>
      <c r="Z32" s="338">
        <f t="shared" si="18"/>
        <v>117866.47827933333</v>
      </c>
      <c r="AA32" s="321"/>
      <c r="AB32" s="338">
        <f t="shared" si="18"/>
        <v>305651.78985933331</v>
      </c>
      <c r="AC32" s="180"/>
    </row>
    <row r="33" spans="1:29" ht="20.100000000000001" customHeight="1">
      <c r="A33" s="20"/>
      <c r="B33" s="123"/>
      <c r="C33" s="28"/>
      <c r="D33" s="20"/>
      <c r="E33" s="189"/>
      <c r="F33" s="189"/>
      <c r="G33" s="189"/>
      <c r="H33" s="189"/>
      <c r="I33" s="189"/>
      <c r="J33" s="189"/>
      <c r="K33" s="189"/>
      <c r="L33" s="179"/>
      <c r="M33" s="179"/>
      <c r="N33" s="189"/>
      <c r="O33" s="189"/>
      <c r="P33" s="189"/>
      <c r="Q33" s="206"/>
      <c r="R33" s="20"/>
      <c r="S33" s="206"/>
      <c r="T33" s="23"/>
      <c r="U33" s="189"/>
      <c r="V33" s="189"/>
      <c r="W33" s="323"/>
      <c r="X33" s="189"/>
      <c r="Y33" s="25">
        <f t="shared" si="4"/>
        <v>0</v>
      </c>
      <c r="Z33" s="208">
        <f t="shared" si="5"/>
        <v>0</v>
      </c>
      <c r="AA33" s="189"/>
      <c r="AB33" s="208">
        <f t="shared" si="6"/>
        <v>0</v>
      </c>
      <c r="AC33" s="180"/>
    </row>
    <row r="34" spans="1:29" ht="20.100000000000001" customHeight="1">
      <c r="A34" s="20"/>
      <c r="B34" s="159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9"/>
      <c r="M34" s="179"/>
      <c r="N34" s="30"/>
      <c r="O34" s="30"/>
      <c r="P34" s="30"/>
      <c r="Q34" s="213"/>
      <c r="R34" s="29"/>
      <c r="S34" s="213"/>
      <c r="T34" s="23"/>
      <c r="U34" s="182"/>
      <c r="V34" s="182"/>
      <c r="W34" s="322"/>
      <c r="X34" s="30"/>
      <c r="Y34" s="25">
        <f t="shared" si="4"/>
        <v>0</v>
      </c>
      <c r="Z34" s="208">
        <f t="shared" si="5"/>
        <v>0</v>
      </c>
      <c r="AA34" s="30"/>
      <c r="AB34" s="208">
        <f t="shared" si="6"/>
        <v>0</v>
      </c>
      <c r="AC34" s="180"/>
    </row>
    <row r="35" spans="1:29" ht="20.100000000000001" customHeight="1">
      <c r="A35" s="20">
        <v>11</v>
      </c>
      <c r="B35" s="156" t="s">
        <v>134</v>
      </c>
      <c r="C35" s="161" t="s">
        <v>384</v>
      </c>
      <c r="D35" s="181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9"/>
      <c r="M35" s="179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4">
        <f>SUM(E35:P35)</f>
        <v>319177.65375</v>
      </c>
      <c r="R35" s="181" t="s">
        <v>222</v>
      </c>
      <c r="S35" s="204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8">
        <v>40684.599176666663</v>
      </c>
      <c r="X35" s="25">
        <f>'[6]October 2023'!$Z$118</f>
        <v>42034.243346666663</v>
      </c>
      <c r="Y35" s="25">
        <f t="shared" si="4"/>
        <v>1349.6441699999996</v>
      </c>
      <c r="Z35" s="208">
        <f t="shared" si="5"/>
        <v>6683.9520800000028</v>
      </c>
      <c r="AA35" s="25">
        <f>9</f>
        <v>9</v>
      </c>
      <c r="AB35" s="208">
        <f t="shared" si="6"/>
        <v>60155.568720000025</v>
      </c>
      <c r="AC35" s="180"/>
    </row>
    <row r="36" spans="1:29" ht="28.5" customHeight="1">
      <c r="A36" s="20"/>
      <c r="B36" s="159" t="s">
        <v>15</v>
      </c>
      <c r="C36" s="187" t="s">
        <v>716</v>
      </c>
      <c r="D36" s="181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1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8">
        <f t="shared" si="21"/>
        <v>6683.9520800000028</v>
      </c>
      <c r="AA36" s="30"/>
      <c r="AB36" s="218">
        <f>SUM(AB35:AB35)</f>
        <v>60155.568720000025</v>
      </c>
      <c r="AC36" s="180"/>
    </row>
    <row r="37" spans="1:29" ht="20.100000000000001" customHeight="1">
      <c r="A37" s="20"/>
      <c r="B37" s="123"/>
      <c r="C37" s="187"/>
      <c r="D37" s="181"/>
      <c r="E37" s="30"/>
      <c r="F37" s="30"/>
      <c r="G37" s="30"/>
      <c r="H37" s="30"/>
      <c r="I37" s="30"/>
      <c r="J37" s="182"/>
      <c r="K37" s="30"/>
      <c r="L37" s="179">
        <f>226713.38+70000</f>
        <v>296713.38</v>
      </c>
      <c r="M37" s="179"/>
      <c r="N37" s="30"/>
      <c r="O37" s="30"/>
      <c r="P37" s="30"/>
      <c r="Q37" s="213"/>
      <c r="R37" s="181"/>
      <c r="S37" s="213"/>
      <c r="T37" s="23"/>
      <c r="U37" s="182"/>
      <c r="V37" s="182"/>
      <c r="W37" s="322"/>
      <c r="X37" s="30"/>
      <c r="Y37" s="25"/>
      <c r="Z37" s="208"/>
      <c r="AA37" s="30"/>
      <c r="AB37" s="208"/>
      <c r="AC37" s="180"/>
    </row>
    <row r="38" spans="1:29" ht="20.100000000000001" customHeight="1">
      <c r="A38" s="20"/>
      <c r="B38" s="159" t="s">
        <v>467</v>
      </c>
      <c r="C38" s="161"/>
      <c r="D38" s="181"/>
      <c r="E38" s="25"/>
      <c r="F38" s="25"/>
      <c r="G38" s="25"/>
      <c r="H38" s="25"/>
      <c r="I38" s="25"/>
      <c r="J38" s="23"/>
      <c r="K38" s="25"/>
      <c r="L38" s="179"/>
      <c r="M38" s="179"/>
      <c r="N38" s="25"/>
      <c r="O38" s="25"/>
      <c r="P38" s="25"/>
      <c r="Q38" s="204"/>
      <c r="R38" s="181"/>
      <c r="S38" s="204"/>
      <c r="T38" s="23"/>
      <c r="U38" s="23"/>
      <c r="V38" s="23"/>
      <c r="W38" s="318"/>
      <c r="X38" s="25"/>
      <c r="Y38" s="25"/>
      <c r="Z38" s="208"/>
      <c r="AA38" s="25"/>
      <c r="AB38" s="208"/>
      <c r="AC38" s="180"/>
    </row>
    <row r="39" spans="1:29" ht="20.100000000000001" customHeight="1">
      <c r="A39" s="191">
        <v>12</v>
      </c>
      <c r="B39" s="156" t="s">
        <v>53</v>
      </c>
      <c r="C39" s="161" t="s">
        <v>300</v>
      </c>
      <c r="D39" s="181" t="s">
        <v>27</v>
      </c>
      <c r="E39" s="179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9"/>
      <c r="M39" s="179">
        <f>60000</f>
        <v>60000</v>
      </c>
      <c r="N39" s="25">
        <f t="shared" ref="N39:N45" si="27">E39*10%</f>
        <v>1877.93</v>
      </c>
      <c r="O39" s="25">
        <v>10000</v>
      </c>
      <c r="P39" s="25"/>
      <c r="Q39" s="204">
        <f t="shared" ref="Q39:Q45" si="28">SUM(E39:P39)</f>
        <v>242300.07749999996</v>
      </c>
      <c r="R39" s="181" t="s">
        <v>369</v>
      </c>
      <c r="S39" s="204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8">
        <v>27794.206626666662</v>
      </c>
      <c r="X39" s="25">
        <f>'[6]October 2023'!$Z$134</f>
        <v>31653.201066666661</v>
      </c>
      <c r="Y39" s="25">
        <f t="shared" si="4"/>
        <v>3858.9944399999986</v>
      </c>
      <c r="Z39" s="208">
        <f t="shared" si="5"/>
        <v>19212.678060000046</v>
      </c>
      <c r="AA39" s="25">
        <v>9</v>
      </c>
      <c r="AB39" s="208">
        <f t="shared" si="6"/>
        <v>172914.1025400004</v>
      </c>
      <c r="AC39" s="180"/>
    </row>
    <row r="40" spans="1:29" ht="20.100000000000001" customHeight="1">
      <c r="A40" s="191">
        <v>13</v>
      </c>
      <c r="B40" s="157" t="s">
        <v>293</v>
      </c>
      <c r="C40" s="20" t="s">
        <v>438</v>
      </c>
      <c r="D40" s="181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9"/>
      <c r="M40" s="179">
        <v>60000</v>
      </c>
      <c r="N40" s="25">
        <f t="shared" si="27"/>
        <v>1877.93</v>
      </c>
      <c r="O40" s="25">
        <v>10000</v>
      </c>
      <c r="P40" s="25"/>
      <c r="Q40" s="204">
        <f t="shared" si="28"/>
        <v>242300.07749999996</v>
      </c>
      <c r="R40" s="181" t="s">
        <v>369</v>
      </c>
      <c r="S40" s="204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8">
        <v>27873.079686666664</v>
      </c>
      <c r="X40" s="25">
        <f>'[6]October 2023'!$Z$24</f>
        <v>31749.120666666666</v>
      </c>
      <c r="Y40" s="25">
        <f t="shared" si="4"/>
        <v>3876.0409800000016</v>
      </c>
      <c r="Z40" s="208">
        <f t="shared" si="5"/>
        <v>19195.631520000043</v>
      </c>
      <c r="AA40" s="25">
        <v>1</v>
      </c>
      <c r="AB40" s="208">
        <f t="shared" si="6"/>
        <v>19195.631520000043</v>
      </c>
      <c r="AC40" s="180"/>
    </row>
    <row r="41" spans="1:29" ht="20.100000000000001" customHeight="1">
      <c r="A41" s="191">
        <v>14</v>
      </c>
      <c r="B41" s="157" t="s">
        <v>289</v>
      </c>
      <c r="C41" s="161" t="s">
        <v>290</v>
      </c>
      <c r="D41" s="181" t="s">
        <v>267</v>
      </c>
      <c r="E41" s="179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9"/>
      <c r="M41" s="179">
        <f>50000</f>
        <v>50000</v>
      </c>
      <c r="N41" s="25">
        <f t="shared" si="27"/>
        <v>1349.221</v>
      </c>
      <c r="O41" s="25">
        <v>10000</v>
      </c>
      <c r="P41" s="20"/>
      <c r="Q41" s="205">
        <f t="shared" si="28"/>
        <v>183791.02674999999</v>
      </c>
      <c r="R41" s="181" t="s">
        <v>428</v>
      </c>
      <c r="S41" s="205">
        <f>'SALARY STRUCTURE'!H13+60000</f>
        <v>205203.66666666666</v>
      </c>
      <c r="T41" s="23">
        <f t="shared" si="0"/>
        <v>21412.639916666667</v>
      </c>
      <c r="U41" s="23"/>
      <c r="V41" s="23"/>
      <c r="W41" s="318">
        <v>18102.902732666666</v>
      </c>
      <c r="X41" s="25">
        <f>'[6]October 2023'!$Z$145</f>
        <v>21640.882666666668</v>
      </c>
      <c r="Y41" s="25">
        <f t="shared" si="4"/>
        <v>3537.9799340000027</v>
      </c>
      <c r="Z41" s="208">
        <f t="shared" si="5"/>
        <v>17874.659982666664</v>
      </c>
      <c r="AA41" s="25">
        <v>2</v>
      </c>
      <c r="AB41" s="208">
        <f t="shared" si="6"/>
        <v>35749.319965333329</v>
      </c>
      <c r="AC41" s="180"/>
    </row>
    <row r="42" spans="1:29" ht="20.100000000000001" customHeight="1">
      <c r="A42" s="191">
        <v>15</v>
      </c>
      <c r="B42" s="156" t="s">
        <v>231</v>
      </c>
      <c r="C42" s="161" t="s">
        <v>167</v>
      </c>
      <c r="D42" s="181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9"/>
      <c r="M42" s="179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4">
        <f t="shared" si="28"/>
        <v>81803.001000000018</v>
      </c>
      <c r="R42" s="181" t="s">
        <v>306</v>
      </c>
      <c r="S42" s="204">
        <f>'SALARY STRUCTURE'!D11+30000</f>
        <v>115104.91666666667</v>
      </c>
      <c r="T42" s="23">
        <f t="shared" si="0"/>
        <v>33301.915666666653</v>
      </c>
      <c r="U42" s="23"/>
      <c r="V42" s="23"/>
      <c r="W42" s="320">
        <v>4365.3307546666683</v>
      </c>
      <c r="X42" s="23">
        <f>'[6]October 2023'!$Z$164</f>
        <v>8312.5899999999983</v>
      </c>
      <c r="Y42" s="25">
        <f t="shared" si="4"/>
        <v>3947.25924533333</v>
      </c>
      <c r="Z42" s="208">
        <f t="shared" si="5"/>
        <v>29354.656421333322</v>
      </c>
      <c r="AA42" s="23">
        <f>(10/31)+2</f>
        <v>2.3225806451612905</v>
      </c>
      <c r="AB42" s="208">
        <f t="shared" si="6"/>
        <v>68178.55684954836</v>
      </c>
      <c r="AC42" s="180"/>
    </row>
    <row r="43" spans="1:29" s="357" customFormat="1" ht="20.100000000000001" customHeight="1">
      <c r="A43" s="350">
        <v>16</v>
      </c>
      <c r="B43" s="351" t="s">
        <v>246</v>
      </c>
      <c r="C43" s="352" t="s">
        <v>167</v>
      </c>
      <c r="D43" s="353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4"/>
      <c r="M43" s="354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3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5">
        <f>4365.33075466667</f>
        <v>4365.3307546666701</v>
      </c>
      <c r="X43" s="15">
        <f>'[6]October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6"/>
    </row>
    <row r="44" spans="1:29" ht="20.100000000000001" customHeight="1">
      <c r="A44" s="191">
        <v>17</v>
      </c>
      <c r="B44" s="157" t="s">
        <v>166</v>
      </c>
      <c r="C44" s="161" t="s">
        <v>167</v>
      </c>
      <c r="D44" s="181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9"/>
      <c r="M44" s="179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4">
        <f t="shared" si="28"/>
        <v>83370.091</v>
      </c>
      <c r="R44" s="181" t="s">
        <v>306</v>
      </c>
      <c r="S44" s="204">
        <v>115104.91666666667</v>
      </c>
      <c r="T44" s="23">
        <f t="shared" si="0"/>
        <v>31734.825666666671</v>
      </c>
      <c r="U44" s="23"/>
      <c r="V44" s="23"/>
      <c r="W44" s="320">
        <v>4504.4109199999994</v>
      </c>
      <c r="X44" s="23">
        <f>'[6]October 2023'!$Z$164</f>
        <v>8312.5899999999983</v>
      </c>
      <c r="Y44" s="25">
        <f t="shared" si="4"/>
        <v>3808.179079999999</v>
      </c>
      <c r="Z44" s="208">
        <f t="shared" si="5"/>
        <v>27926.646586666673</v>
      </c>
      <c r="AA44" s="23">
        <v>8</v>
      </c>
      <c r="AB44" s="208">
        <f t="shared" si="6"/>
        <v>223413.17269333338</v>
      </c>
      <c r="AC44" s="180"/>
    </row>
    <row r="45" spans="1:29" ht="20.100000000000001" customHeight="1">
      <c r="A45" s="191">
        <v>18</v>
      </c>
      <c r="B45" s="157" t="s">
        <v>279</v>
      </c>
      <c r="C45" s="161" t="s">
        <v>13</v>
      </c>
      <c r="D45" s="181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9"/>
      <c r="M45" s="179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4">
        <f t="shared" si="28"/>
        <v>67025.061499999996</v>
      </c>
      <c r="R45" s="181" t="s">
        <v>262</v>
      </c>
      <c r="S45" s="204">
        <f>'SALARY STRUCTURE'!I9+20000+7000</f>
        <v>77104.416666666657</v>
      </c>
      <c r="T45" s="23">
        <f t="shared" si="0"/>
        <v>10079.355166666661</v>
      </c>
      <c r="U45" s="23"/>
      <c r="V45" s="23"/>
      <c r="W45" s="320">
        <v>3064.8720786666654</v>
      </c>
      <c r="X45" s="23">
        <f>'[6]October 2023'!$Z$177</f>
        <v>3951.8553333333325</v>
      </c>
      <c r="Y45" s="25">
        <f t="shared" si="4"/>
        <v>886.98325466666711</v>
      </c>
      <c r="Z45" s="208">
        <f t="shared" si="5"/>
        <v>9192.3719119999932</v>
      </c>
      <c r="AA45" s="23">
        <f>(23/31)+6</f>
        <v>6.741935483870968</v>
      </c>
      <c r="AB45" s="208">
        <f t="shared" si="6"/>
        <v>61974.378374451568</v>
      </c>
      <c r="AC45" s="180"/>
    </row>
    <row r="46" spans="1:29" ht="20.100000000000001" customHeight="1">
      <c r="A46" s="191"/>
      <c r="B46" s="177" t="s">
        <v>15</v>
      </c>
      <c r="C46" s="193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7">
        <f t="shared" si="30"/>
        <v>152111.30090400006</v>
      </c>
      <c r="AA46" s="68"/>
      <c r="AB46" s="337">
        <f t="shared" si="30"/>
        <v>626877.5331756993</v>
      </c>
      <c r="AC46" s="180"/>
    </row>
    <row r="47" spans="1:29" ht="19.5" customHeight="1">
      <c r="A47" s="20"/>
      <c r="B47" s="194" t="s">
        <v>8</v>
      </c>
      <c r="C47" s="195">
        <f>C46+C36+C32+C26+C21+C17+C12+C8</f>
        <v>18</v>
      </c>
      <c r="D47" s="196"/>
      <c r="E47" s="197">
        <f t="shared" ref="E47:AB47" si="31">E46+E36+E32+E26+E21+E17+E12+E8</f>
        <v>335250.55000000005</v>
      </c>
      <c r="F47" s="197">
        <f t="shared" si="31"/>
        <v>1005751.65</v>
      </c>
      <c r="G47" s="197">
        <f t="shared" si="31"/>
        <v>25143.791249999998</v>
      </c>
      <c r="H47" s="197">
        <f t="shared" si="31"/>
        <v>0</v>
      </c>
      <c r="I47" s="197">
        <f t="shared" si="31"/>
        <v>167625.27500000002</v>
      </c>
      <c r="J47" s="197">
        <f t="shared" si="31"/>
        <v>1173376.925</v>
      </c>
      <c r="K47" s="197">
        <f t="shared" si="31"/>
        <v>335250.55000000005</v>
      </c>
      <c r="L47" s="197">
        <f t="shared" si="31"/>
        <v>900000</v>
      </c>
      <c r="M47" s="197">
        <f t="shared" si="31"/>
        <v>485000</v>
      </c>
      <c r="N47" s="197">
        <f t="shared" si="31"/>
        <v>33525.055000000008</v>
      </c>
      <c r="O47" s="197">
        <f t="shared" si="31"/>
        <v>220000</v>
      </c>
      <c r="P47" s="197">
        <f t="shared" si="31"/>
        <v>125000</v>
      </c>
      <c r="Q47" s="197">
        <f t="shared" si="31"/>
        <v>4805923.7962499997</v>
      </c>
      <c r="R47" s="197">
        <f t="shared" si="31"/>
        <v>0</v>
      </c>
      <c r="S47" s="197">
        <f t="shared" si="31"/>
        <v>5441541.75</v>
      </c>
      <c r="T47" s="197">
        <f t="shared" si="31"/>
        <v>607584.35750000004</v>
      </c>
      <c r="U47" s="197">
        <f t="shared" si="31"/>
        <v>3786.2672500000008</v>
      </c>
      <c r="V47" s="197">
        <f t="shared" si="31"/>
        <v>2789.2</v>
      </c>
      <c r="W47" s="197">
        <f t="shared" si="31"/>
        <v>599042.5433726667</v>
      </c>
      <c r="X47" s="197">
        <f t="shared" si="31"/>
        <v>708944.46730666654</v>
      </c>
      <c r="Y47" s="197">
        <f t="shared" si="31"/>
        <v>109901.92393400002</v>
      </c>
      <c r="Z47" s="339">
        <f t="shared" si="31"/>
        <v>525716.02981600002</v>
      </c>
      <c r="AA47" s="197">
        <f t="shared" si="31"/>
        <v>0</v>
      </c>
      <c r="AB47" s="339">
        <f t="shared" si="31"/>
        <v>2102520.8772578062</v>
      </c>
      <c r="AC47" s="180"/>
    </row>
    <row r="48" spans="1:29" ht="20.100000000000001" customHeight="1">
      <c r="B48" s="198"/>
      <c r="D48" s="199"/>
      <c r="E48" s="199"/>
      <c r="F48" s="199"/>
      <c r="G48" s="199"/>
      <c r="H48" s="199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324"/>
      <c r="X48" s="201"/>
      <c r="Y48" s="201"/>
      <c r="Z48" s="201"/>
      <c r="AA48" s="201"/>
      <c r="AB48" s="201"/>
      <c r="AC48" s="202"/>
    </row>
    <row r="49" spans="2:28" ht="36.75" customHeight="1">
      <c r="B49" s="198"/>
      <c r="C49" s="199"/>
      <c r="D49" s="199"/>
      <c r="E49" s="199"/>
      <c r="F49" s="199"/>
      <c r="G49" s="199"/>
      <c r="H49" s="199"/>
      <c r="I49" s="200"/>
      <c r="J49" s="200"/>
      <c r="K49" s="200"/>
      <c r="L49" s="200"/>
      <c r="M49" s="200"/>
      <c r="N49" s="200"/>
      <c r="O49" s="200"/>
      <c r="Q49" s="200"/>
      <c r="R49" s="200"/>
      <c r="S49" s="200"/>
      <c r="T49" s="200"/>
      <c r="U49" s="200"/>
      <c r="V49" s="200"/>
      <c r="W49" s="324"/>
      <c r="X49" s="201"/>
      <c r="Y49" s="201"/>
      <c r="Z49" s="201"/>
      <c r="AA49" s="201"/>
      <c r="AB49" s="201"/>
    </row>
    <row r="52" spans="2:28" ht="20.100000000000001" customHeight="1">
      <c r="Q52" s="202"/>
      <c r="R52" s="202"/>
      <c r="S52" s="202"/>
      <c r="T5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5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9" t="s">
        <v>672</v>
      </c>
      <c r="B1" s="299"/>
      <c r="C1" s="299"/>
      <c r="D1" s="299"/>
      <c r="E1" s="299"/>
      <c r="F1" s="299"/>
      <c r="G1" s="299"/>
      <c r="H1" s="348"/>
      <c r="I1" s="299"/>
      <c r="J1" s="299"/>
      <c r="K1" s="299"/>
      <c r="L1" s="299"/>
      <c r="M1" s="299"/>
      <c r="N1" s="299"/>
      <c r="O1" s="299"/>
      <c r="P1" s="299"/>
      <c r="Q1" s="344"/>
      <c r="R1" s="344"/>
    </row>
    <row r="2" spans="1:18">
      <c r="A2" s="299" t="s">
        <v>673</v>
      </c>
      <c r="B2" s="299"/>
      <c r="C2" s="299"/>
      <c r="D2" s="299"/>
      <c r="E2" s="299"/>
      <c r="F2" s="299"/>
      <c r="G2" s="299"/>
      <c r="H2" s="349"/>
      <c r="I2" s="299"/>
      <c r="J2" s="299"/>
      <c r="K2" s="299"/>
      <c r="L2" s="299"/>
      <c r="M2" s="299"/>
      <c r="N2" s="299"/>
      <c r="O2" s="299"/>
      <c r="P2" s="299"/>
      <c r="Q2" s="344"/>
      <c r="R2" s="344"/>
    </row>
    <row r="3" spans="1:18">
      <c r="A3" s="299"/>
      <c r="B3" s="299" t="s">
        <v>674</v>
      </c>
      <c r="C3" s="299" t="s">
        <v>675</v>
      </c>
      <c r="D3" s="299" t="s">
        <v>676</v>
      </c>
      <c r="E3" s="299" t="s">
        <v>677</v>
      </c>
      <c r="F3" s="299" t="s">
        <v>678</v>
      </c>
      <c r="G3" s="299" t="s">
        <v>679</v>
      </c>
      <c r="H3" s="349" t="s">
        <v>680</v>
      </c>
      <c r="I3" s="299" t="s">
        <v>681</v>
      </c>
      <c r="J3" s="299" t="s">
        <v>682</v>
      </c>
      <c r="K3" s="299" t="s">
        <v>683</v>
      </c>
      <c r="L3" s="299" t="s">
        <v>684</v>
      </c>
      <c r="M3" s="299" t="s">
        <v>685</v>
      </c>
      <c r="N3" s="299" t="s">
        <v>686</v>
      </c>
      <c r="O3" s="299" t="s">
        <v>687</v>
      </c>
      <c r="P3" s="299" t="s">
        <v>688</v>
      </c>
      <c r="Q3" s="344"/>
      <c r="R3" s="344"/>
    </row>
    <row r="4" spans="1:18">
      <c r="A4" s="299" t="s">
        <v>689</v>
      </c>
      <c r="B4" s="299" t="s">
        <v>5</v>
      </c>
      <c r="C4" s="299" t="s">
        <v>5</v>
      </c>
      <c r="D4" s="299" t="s">
        <v>5</v>
      </c>
      <c r="E4" s="299" t="s">
        <v>5</v>
      </c>
      <c r="F4" s="299" t="s">
        <v>5</v>
      </c>
      <c r="G4" s="299" t="s">
        <v>5</v>
      </c>
      <c r="H4" s="349" t="s">
        <v>5</v>
      </c>
      <c r="I4" s="299" t="s">
        <v>5</v>
      </c>
      <c r="J4" s="299" t="s">
        <v>5</v>
      </c>
      <c r="K4" s="299" t="s">
        <v>5</v>
      </c>
      <c r="L4" s="299" t="s">
        <v>5</v>
      </c>
      <c r="M4" s="299" t="s">
        <v>5</v>
      </c>
      <c r="N4" s="299" t="s">
        <v>5</v>
      </c>
      <c r="O4" s="299" t="s">
        <v>5</v>
      </c>
      <c r="P4" s="299" t="s">
        <v>5</v>
      </c>
      <c r="Q4" s="344"/>
      <c r="R4" s="344"/>
    </row>
    <row r="5" spans="1:18" ht="14.25">
      <c r="A5" s="346" t="s">
        <v>690</v>
      </c>
      <c r="B5" s="346">
        <v>32012.166666666668</v>
      </c>
      <c r="C5" s="346">
        <v>32710.5</v>
      </c>
      <c r="D5" s="346">
        <v>33408.75</v>
      </c>
      <c r="E5" s="346">
        <v>34107.083333333336</v>
      </c>
      <c r="F5" s="346">
        <v>34805.5</v>
      </c>
      <c r="G5" s="346">
        <v>35503.75</v>
      </c>
      <c r="H5" s="347">
        <v>36202.083333333336</v>
      </c>
      <c r="I5" s="346">
        <v>36900.333333333336</v>
      </c>
      <c r="J5" s="346">
        <v>37598.666666666664</v>
      </c>
      <c r="K5" s="346">
        <v>38297.083333333336</v>
      </c>
      <c r="L5" s="346">
        <v>38995.333333333336</v>
      </c>
      <c r="M5" s="346">
        <v>39693.666666666664</v>
      </c>
      <c r="N5" s="346">
        <v>40391.916666666664</v>
      </c>
      <c r="O5" s="346">
        <v>41090.166666666664</v>
      </c>
      <c r="P5" s="346">
        <v>41788.666666666664</v>
      </c>
      <c r="Q5" s="344"/>
      <c r="R5" s="344"/>
    </row>
    <row r="6" spans="1:18" ht="14.25">
      <c r="A6" s="346" t="s">
        <v>691</v>
      </c>
      <c r="B6" s="346">
        <v>32532.166666666668</v>
      </c>
      <c r="C6" s="346">
        <v>33445.166666666664</v>
      </c>
      <c r="D6" s="346">
        <v>34358.333333333336</v>
      </c>
      <c r="E6" s="346">
        <v>35271.25</v>
      </c>
      <c r="F6" s="346">
        <v>36184.25</v>
      </c>
      <c r="G6" s="346">
        <v>37097.416666666664</v>
      </c>
      <c r="H6" s="347">
        <v>38010.333333333336</v>
      </c>
      <c r="I6" s="346">
        <v>38923.416666666664</v>
      </c>
      <c r="J6" s="346">
        <v>39836.416666666664</v>
      </c>
      <c r="K6" s="346">
        <v>40749.416666666664</v>
      </c>
      <c r="L6" s="346">
        <v>41662.5</v>
      </c>
      <c r="M6" s="346">
        <v>42575.5</v>
      </c>
      <c r="N6" s="346">
        <v>43488.666666666664</v>
      </c>
      <c r="O6" s="346">
        <v>44401.583333333336</v>
      </c>
      <c r="P6" s="346">
        <v>45314.583333333336</v>
      </c>
      <c r="Q6" s="344"/>
      <c r="R6" s="344"/>
    </row>
    <row r="7" spans="1:18" ht="14.25">
      <c r="A7" s="346" t="s">
        <v>692</v>
      </c>
      <c r="B7" s="346">
        <v>32976.25</v>
      </c>
      <c r="C7" s="346">
        <v>34098.416666666664</v>
      </c>
      <c r="D7" s="346">
        <v>35220.666666666664</v>
      </c>
      <c r="E7" s="346">
        <v>36343</v>
      </c>
      <c r="F7" s="346">
        <v>37465.166666666664</v>
      </c>
      <c r="G7" s="346">
        <v>38587.416666666664</v>
      </c>
      <c r="H7" s="347">
        <v>39709.666666666664</v>
      </c>
      <c r="I7" s="346">
        <v>40823.583333333336</v>
      </c>
      <c r="J7" s="346">
        <v>41954.083333333336</v>
      </c>
      <c r="K7" s="346">
        <v>43076.416666666664</v>
      </c>
      <c r="L7" s="346">
        <v>44198.666666666664</v>
      </c>
      <c r="M7" s="346">
        <v>45445.833333333336</v>
      </c>
      <c r="N7" s="346">
        <v>46443.166666666664</v>
      </c>
      <c r="O7" s="346">
        <v>47565.333333333336</v>
      </c>
      <c r="P7" s="346">
        <v>48687.5</v>
      </c>
      <c r="Q7" s="344"/>
      <c r="R7" s="344"/>
    </row>
    <row r="8" spans="1:18" ht="14.25">
      <c r="A8" s="346" t="s">
        <v>693</v>
      </c>
      <c r="B8" s="346">
        <v>34542.5</v>
      </c>
      <c r="C8" s="346">
        <v>35890.833333333336</v>
      </c>
      <c r="D8" s="346">
        <v>37238.916666666664</v>
      </c>
      <c r="E8" s="346">
        <v>38587.166666666664</v>
      </c>
      <c r="F8" s="346">
        <v>39935.5</v>
      </c>
      <c r="G8" s="346">
        <v>41283.75</v>
      </c>
      <c r="H8" s="347">
        <v>42631.916666666664</v>
      </c>
      <c r="I8" s="346">
        <v>43980</v>
      </c>
      <c r="J8" s="346">
        <v>45328.333333333336</v>
      </c>
      <c r="K8" s="346">
        <v>46676.416666666664</v>
      </c>
      <c r="L8" s="346">
        <v>48024.666666666664</v>
      </c>
      <c r="M8" s="346">
        <v>49373</v>
      </c>
      <c r="N8" s="346">
        <v>50721.166666666664</v>
      </c>
      <c r="O8" s="346">
        <v>52069.416666666664</v>
      </c>
      <c r="P8" s="346">
        <v>53417.5</v>
      </c>
      <c r="Q8" s="344"/>
      <c r="R8" s="344"/>
    </row>
    <row r="9" spans="1:18" ht="14.25">
      <c r="A9" s="346" t="s">
        <v>694</v>
      </c>
      <c r="B9" s="346">
        <v>39140.333333333336</v>
      </c>
      <c r="C9" s="346">
        <v>40706.583333333336</v>
      </c>
      <c r="D9" s="346">
        <v>42272.833333333336</v>
      </c>
      <c r="E9" s="346">
        <v>43839.083333333336</v>
      </c>
      <c r="F9" s="346">
        <v>45405.5</v>
      </c>
      <c r="G9" s="346">
        <v>46971.75</v>
      </c>
      <c r="H9" s="347">
        <v>48538</v>
      </c>
      <c r="I9" s="346">
        <v>50104.416666666664</v>
      </c>
      <c r="J9" s="346">
        <v>51670.666666666664</v>
      </c>
      <c r="K9" s="346">
        <v>53236.916666666664</v>
      </c>
      <c r="L9" s="346">
        <v>54803.166666666664</v>
      </c>
      <c r="M9" s="346">
        <v>56369.583333333336</v>
      </c>
      <c r="N9" s="346">
        <v>57936</v>
      </c>
      <c r="O9" s="346">
        <v>59502.083333333336</v>
      </c>
      <c r="P9" s="346">
        <v>61068.333333333336</v>
      </c>
      <c r="Q9" s="344"/>
      <c r="R9" s="344"/>
    </row>
    <row r="10" spans="1:18" ht="14.25">
      <c r="A10" s="346" t="s">
        <v>695</v>
      </c>
      <c r="B10" s="346">
        <v>47723.333333333336</v>
      </c>
      <c r="C10" s="346">
        <v>49632.5</v>
      </c>
      <c r="D10" s="346">
        <v>51541.75</v>
      </c>
      <c r="E10" s="346">
        <v>53450.916666666664</v>
      </c>
      <c r="F10" s="346">
        <v>55360.166666666664</v>
      </c>
      <c r="G10" s="346">
        <v>57269.416666666664</v>
      </c>
      <c r="H10" s="347">
        <v>59178.666666666664</v>
      </c>
      <c r="I10" s="346">
        <v>61087.833333333336</v>
      </c>
      <c r="J10" s="346">
        <v>62997.083333333336</v>
      </c>
      <c r="K10" s="346">
        <v>64906.25</v>
      </c>
      <c r="L10" s="346">
        <v>66815.5</v>
      </c>
      <c r="M10" s="346">
        <v>68724.666666666672</v>
      </c>
      <c r="N10" s="346">
        <v>70633.916666666672</v>
      </c>
      <c r="O10" s="346">
        <v>72543.166666666672</v>
      </c>
      <c r="P10" s="346">
        <v>74452.416666666672</v>
      </c>
      <c r="Q10" s="344"/>
      <c r="R10" s="344"/>
    </row>
    <row r="11" spans="1:18" ht="14.25">
      <c r="A11" s="346" t="s">
        <v>696</v>
      </c>
      <c r="B11" s="346">
        <v>79244.583333333328</v>
      </c>
      <c r="C11" s="346">
        <v>82174.666666666672</v>
      </c>
      <c r="D11" s="346">
        <v>85104.916666666672</v>
      </c>
      <c r="E11" s="346">
        <v>88034.916666666672</v>
      </c>
      <c r="F11" s="346">
        <v>106590</v>
      </c>
      <c r="G11" s="346">
        <v>93895</v>
      </c>
      <c r="H11" s="347">
        <v>96825.166666666672</v>
      </c>
      <c r="I11" s="346">
        <v>99755.166666666672</v>
      </c>
      <c r="J11" s="346">
        <v>102685.33333333333</v>
      </c>
      <c r="K11" s="346">
        <v>105615.33333333333</v>
      </c>
      <c r="L11" s="346">
        <v>108545.5</v>
      </c>
      <c r="M11" s="346">
        <v>111468</v>
      </c>
      <c r="N11" s="346">
        <v>114405.66666666667</v>
      </c>
      <c r="O11" s="346">
        <v>117335.83333333333</v>
      </c>
      <c r="P11" s="346">
        <v>120265.83333333333</v>
      </c>
      <c r="Q11" s="344"/>
      <c r="R11" s="344"/>
    </row>
    <row r="12" spans="1:18" ht="14.25">
      <c r="A12" s="346" t="s">
        <v>697</v>
      </c>
      <c r="B12" s="346">
        <v>102403.75</v>
      </c>
      <c r="C12" s="346">
        <v>105891.25</v>
      </c>
      <c r="D12" s="346">
        <v>109378.75</v>
      </c>
      <c r="E12" s="346">
        <v>112866.25</v>
      </c>
      <c r="F12" s="346">
        <v>116353.66666666667</v>
      </c>
      <c r="G12" s="346">
        <v>119841.16666666667</v>
      </c>
      <c r="H12" s="347">
        <v>123328.66666666667</v>
      </c>
      <c r="I12" s="346">
        <v>126816.16666666667</v>
      </c>
      <c r="J12" s="346">
        <v>130303.66666666667</v>
      </c>
      <c r="K12" s="346">
        <v>133791.16666666666</v>
      </c>
      <c r="L12" s="346">
        <v>137278.66666666666</v>
      </c>
      <c r="M12" s="346">
        <v>140766.16666666666</v>
      </c>
      <c r="N12" s="346">
        <v>144253.66666666666</v>
      </c>
      <c r="O12" s="346">
        <v>147741.16666666666</v>
      </c>
      <c r="P12" s="346">
        <v>151228.66666666666</v>
      </c>
      <c r="Q12" s="344"/>
      <c r="R12" s="344"/>
    </row>
    <row r="13" spans="1:18" ht="14.25">
      <c r="A13" s="346" t="s">
        <v>698</v>
      </c>
      <c r="B13" s="346">
        <v>120290</v>
      </c>
      <c r="C13" s="346">
        <v>124442.16666666667</v>
      </c>
      <c r="D13" s="346">
        <v>128594.58333333333</v>
      </c>
      <c r="E13" s="346">
        <v>132746.75</v>
      </c>
      <c r="F13" s="346">
        <v>136899.08333333334</v>
      </c>
      <c r="G13" s="346">
        <v>141051.25</v>
      </c>
      <c r="H13" s="347">
        <v>145203.66666666666</v>
      </c>
      <c r="I13" s="346">
        <v>149355.83333333334</v>
      </c>
      <c r="J13" s="346">
        <v>153508</v>
      </c>
      <c r="K13" s="346">
        <v>157660.33333333334</v>
      </c>
      <c r="L13" s="346">
        <v>161812.5</v>
      </c>
      <c r="M13" s="346">
        <v>165964.91666666666</v>
      </c>
      <c r="N13" s="346">
        <v>170117.08333333334</v>
      </c>
      <c r="O13" s="346">
        <v>174269.41666666666</v>
      </c>
      <c r="P13" s="346">
        <v>178421.58333333334</v>
      </c>
      <c r="Q13" s="344"/>
      <c r="R13" s="344"/>
    </row>
    <row r="14" spans="1:18" ht="14.25">
      <c r="A14" s="346" t="s">
        <v>699</v>
      </c>
      <c r="B14" s="346">
        <v>141204.91666666666</v>
      </c>
      <c r="C14" s="346">
        <v>145770.91666666666</v>
      </c>
      <c r="D14" s="346">
        <v>150337.08333333334</v>
      </c>
      <c r="E14" s="346">
        <v>154903.33333333334</v>
      </c>
      <c r="F14" s="346">
        <v>159469.41666666666</v>
      </c>
      <c r="G14" s="346">
        <v>164035.5</v>
      </c>
      <c r="H14" s="347">
        <v>168601.58333333334</v>
      </c>
      <c r="I14" s="346">
        <v>173167.66666666666</v>
      </c>
      <c r="J14" s="346">
        <v>177733.75</v>
      </c>
      <c r="K14" s="346">
        <v>182299.91666666666</v>
      </c>
      <c r="L14" s="346">
        <v>186865.91666666666</v>
      </c>
      <c r="M14" s="346">
        <v>191432.16666666666</v>
      </c>
      <c r="N14" s="346">
        <v>195998.33333333334</v>
      </c>
      <c r="O14" s="346">
        <v>200564.41666666666</v>
      </c>
      <c r="P14" s="346">
        <v>205130.5</v>
      </c>
      <c r="Q14" s="344"/>
      <c r="R14" s="344"/>
    </row>
    <row r="15" spans="1:18" ht="14.25">
      <c r="A15" s="346" t="s">
        <v>700</v>
      </c>
      <c r="B15" s="346">
        <v>162876.25</v>
      </c>
      <c r="C15" s="346">
        <v>169958.91666666666</v>
      </c>
      <c r="D15" s="346">
        <v>177039.91666666666</v>
      </c>
      <c r="E15" s="346">
        <v>184124.08333333334</v>
      </c>
      <c r="F15" s="346">
        <v>191206.58333333334</v>
      </c>
      <c r="G15" s="346">
        <v>198289.25</v>
      </c>
      <c r="H15" s="347">
        <v>205371.75</v>
      </c>
      <c r="I15" s="346">
        <v>212454.41666666666</v>
      </c>
      <c r="J15" s="346">
        <v>219536.91666666666</v>
      </c>
      <c r="K15" s="346">
        <v>226619.58333333334</v>
      </c>
      <c r="L15" s="346">
        <v>233702.08333333334</v>
      </c>
      <c r="M15" s="346"/>
      <c r="N15" s="346"/>
      <c r="O15" s="346"/>
      <c r="P15" s="346"/>
      <c r="Q15" s="344"/>
      <c r="R15" s="344"/>
    </row>
    <row r="16" spans="1:18" ht="14.25">
      <c r="A16" s="346" t="s">
        <v>701</v>
      </c>
      <c r="B16" s="346">
        <v>181786.41666666666</v>
      </c>
      <c r="C16" s="346">
        <v>189274.25</v>
      </c>
      <c r="D16" s="346">
        <v>198324.58333333334</v>
      </c>
      <c r="E16" s="346">
        <v>204249.91666666666</v>
      </c>
      <c r="F16" s="346">
        <v>211737.66666666666</v>
      </c>
      <c r="G16" s="346">
        <v>219225.5</v>
      </c>
      <c r="H16" s="347">
        <v>226713.33333333334</v>
      </c>
      <c r="I16" s="346">
        <v>234201.16666666666</v>
      </c>
      <c r="J16" s="346">
        <v>242001.41666666666</v>
      </c>
      <c r="K16" s="346">
        <v>249176.75</v>
      </c>
      <c r="L16" s="346">
        <v>256664.58333333334</v>
      </c>
      <c r="M16" s="346"/>
      <c r="N16" s="346"/>
      <c r="O16" s="346"/>
      <c r="P16" s="346"/>
      <c r="Q16" s="344"/>
      <c r="R16" s="344"/>
    </row>
    <row r="17" spans="1:18" ht="14.25">
      <c r="A17" s="346" t="s">
        <v>702</v>
      </c>
      <c r="B17" s="346">
        <v>200784.08333333334</v>
      </c>
      <c r="C17" s="346">
        <v>208845.16666666666</v>
      </c>
      <c r="D17" s="346">
        <v>216904.66666666666</v>
      </c>
      <c r="E17" s="346">
        <v>224967.16666666666</v>
      </c>
      <c r="F17" s="346">
        <v>233028.33333333334</v>
      </c>
      <c r="G17" s="346">
        <v>241089.25</v>
      </c>
      <c r="H17" s="347">
        <v>249153.41666666666</v>
      </c>
      <c r="I17" s="346">
        <v>257211.25</v>
      </c>
      <c r="J17" s="346">
        <v>265272.41666666669</v>
      </c>
      <c r="K17" s="346">
        <v>273333.41666666669</v>
      </c>
      <c r="L17" s="346">
        <v>281394.41666666669</v>
      </c>
      <c r="M17" s="346"/>
      <c r="N17" s="346"/>
      <c r="O17" s="346"/>
      <c r="P17" s="346"/>
      <c r="Q17" s="344"/>
      <c r="R17" s="344"/>
    </row>
    <row r="18" spans="1:18" ht="14.25">
      <c r="A18" s="346" t="s">
        <v>703</v>
      </c>
      <c r="B18" s="346">
        <v>276221.25</v>
      </c>
      <c r="C18" s="346">
        <v>287637.83333333331</v>
      </c>
      <c r="D18" s="346">
        <v>299054.25</v>
      </c>
      <c r="E18" s="346">
        <v>312760.25</v>
      </c>
      <c r="F18" s="346">
        <v>321887.16666666669</v>
      </c>
      <c r="G18" s="346">
        <v>333303.75</v>
      </c>
      <c r="H18" s="347">
        <v>344720.16666666669</v>
      </c>
      <c r="I18" s="346">
        <v>356136.75</v>
      </c>
      <c r="J18" s="346">
        <v>367553.16666666669</v>
      </c>
      <c r="K18" s="346"/>
      <c r="L18" s="346"/>
      <c r="M18" s="346"/>
      <c r="N18" s="346"/>
      <c r="O18" s="346"/>
      <c r="P18" s="346"/>
      <c r="Q18" s="344"/>
      <c r="R18" s="344"/>
    </row>
    <row r="19" spans="1:18" ht="14.25">
      <c r="A19" s="346" t="s">
        <v>704</v>
      </c>
      <c r="B19" s="346">
        <v>341699.58333333331</v>
      </c>
      <c r="C19" s="346">
        <v>355420.16666666669</v>
      </c>
      <c r="D19" s="346">
        <v>369154.91666666669</v>
      </c>
      <c r="E19" s="346">
        <v>382861.41666666669</v>
      </c>
      <c r="F19" s="346">
        <v>396582.08333333331</v>
      </c>
      <c r="G19" s="346">
        <v>410302.66666666669</v>
      </c>
      <c r="H19" s="347">
        <v>424023.33333333331</v>
      </c>
      <c r="I19" s="346">
        <v>437743.91666666669</v>
      </c>
      <c r="J19" s="346">
        <v>451464.58333333331</v>
      </c>
      <c r="K19" s="346"/>
      <c r="L19" s="346"/>
      <c r="M19" s="346"/>
      <c r="N19" s="346"/>
      <c r="O19" s="346"/>
      <c r="P19" s="346"/>
      <c r="Q19" s="344"/>
      <c r="R19" s="344"/>
    </row>
    <row r="20" spans="1:18" ht="14.25">
      <c r="A20" s="346" t="s">
        <v>705</v>
      </c>
      <c r="B20" s="346">
        <v>652000</v>
      </c>
      <c r="C20" s="346">
        <v>676776.16666666663</v>
      </c>
      <c r="D20" s="346">
        <v>701552.16666666663</v>
      </c>
      <c r="E20" s="346">
        <v>726328.33333333337</v>
      </c>
      <c r="F20" s="346">
        <v>751104.41666666663</v>
      </c>
      <c r="G20" s="346">
        <v>775880.5</v>
      </c>
      <c r="H20" s="347">
        <v>800656.58333333337</v>
      </c>
      <c r="I20" s="346">
        <v>825432.66666666663</v>
      </c>
      <c r="J20" s="346">
        <v>850208.75</v>
      </c>
      <c r="K20" s="346"/>
      <c r="L20" s="346"/>
      <c r="M20" s="346"/>
      <c r="N20" s="346"/>
      <c r="O20" s="346"/>
      <c r="P20" s="346"/>
      <c r="Q20" s="344"/>
      <c r="R20" s="344"/>
    </row>
    <row r="21" spans="1:18" ht="14.25">
      <c r="A21" s="346"/>
      <c r="B21" s="346"/>
      <c r="C21" s="346"/>
      <c r="D21" s="346"/>
      <c r="E21" s="346"/>
      <c r="F21" s="346"/>
      <c r="G21" s="346"/>
      <c r="H21" s="347"/>
      <c r="I21" s="346"/>
      <c r="J21" s="346"/>
      <c r="K21" s="346"/>
      <c r="L21" s="346"/>
      <c r="M21" s="346"/>
      <c r="N21" s="346"/>
      <c r="O21" s="346"/>
      <c r="P21" s="346"/>
      <c r="Q21" s="344"/>
      <c r="R21" s="344"/>
    </row>
    <row r="22" spans="1:18">
      <c r="A22" s="344"/>
      <c r="B22" s="344"/>
      <c r="C22" s="344"/>
      <c r="D22" s="344"/>
      <c r="E22" s="344"/>
      <c r="F22" s="344"/>
      <c r="G22" s="344"/>
      <c r="H22" s="345"/>
      <c r="I22" s="344"/>
      <c r="J22" s="254"/>
      <c r="K22" s="344"/>
      <c r="L22" s="344"/>
      <c r="M22" s="344"/>
      <c r="N22" s="344"/>
      <c r="O22" s="344"/>
      <c r="P22" s="344"/>
      <c r="Q22" s="344"/>
      <c r="R22" s="344"/>
    </row>
    <row r="23" spans="1:18">
      <c r="D23" s="34"/>
      <c r="F23" s="34"/>
      <c r="H23" s="343"/>
    </row>
    <row r="24" spans="1:18">
      <c r="H24" s="343"/>
    </row>
    <row r="25" spans="1:18">
      <c r="H25" s="343"/>
    </row>
    <row r="26" spans="1:18">
      <c r="H26" s="343"/>
    </row>
    <row r="27" spans="1:18">
      <c r="H27" s="343"/>
    </row>
    <row r="28" spans="1:18">
      <c r="H28" s="343"/>
    </row>
    <row r="29" spans="1:18">
      <c r="H29" s="343"/>
    </row>
    <row r="30" spans="1:18">
      <c r="H30" s="343"/>
    </row>
    <row r="31" spans="1:18">
      <c r="H31" s="343"/>
    </row>
    <row r="32" spans="1:18">
      <c r="H32" s="343"/>
    </row>
    <row r="33" spans="8:8">
      <c r="H33" s="343"/>
    </row>
    <row r="34" spans="8:8">
      <c r="H34" s="343"/>
    </row>
    <row r="35" spans="8:8">
      <c r="H35" s="343"/>
    </row>
    <row r="36" spans="8:8">
      <c r="H36" s="343"/>
    </row>
    <row r="37" spans="8:8">
      <c r="H37" s="343"/>
    </row>
    <row r="38" spans="8:8">
      <c r="H38" s="343"/>
    </row>
    <row r="39" spans="8:8">
      <c r="H39" s="343"/>
    </row>
    <row r="40" spans="8:8">
      <c r="H40" s="343"/>
    </row>
    <row r="41" spans="8:8">
      <c r="H41" s="343"/>
    </row>
    <row r="42" spans="8:8">
      <c r="H42" s="343"/>
    </row>
    <row r="43" spans="8:8">
      <c r="H43" s="343"/>
    </row>
    <row r="44" spans="8:8">
      <c r="H44" s="343"/>
    </row>
    <row r="45" spans="8:8">
      <c r="H45" s="343"/>
    </row>
    <row r="46" spans="8:8">
      <c r="H46" s="343"/>
    </row>
    <row r="47" spans="8:8">
      <c r="H47" s="34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419" t="s">
        <v>234</v>
      </c>
      <c r="B1" s="419"/>
      <c r="C1" s="419"/>
      <c r="D1" s="419"/>
      <c r="E1" s="419"/>
      <c r="F1" s="419"/>
      <c r="G1" s="419"/>
      <c r="H1" s="419"/>
      <c r="I1" s="419"/>
      <c r="J1" s="296"/>
      <c r="K1" s="296"/>
    </row>
    <row r="2" spans="1:11" ht="14.25">
      <c r="A2" s="419" t="s">
        <v>567</v>
      </c>
      <c r="B2" s="419"/>
      <c r="C2" s="419"/>
      <c r="D2" s="419"/>
      <c r="E2" s="419"/>
      <c r="F2" s="419"/>
      <c r="G2" s="419"/>
      <c r="H2" s="419"/>
      <c r="I2" s="419"/>
      <c r="J2" s="294"/>
      <c r="K2" s="294"/>
    </row>
    <row r="3" spans="1:11" ht="23.25" customHeight="1">
      <c r="A3" s="420" t="s">
        <v>568</v>
      </c>
      <c r="B3" s="420"/>
      <c r="C3" s="420"/>
      <c r="D3" s="420"/>
      <c r="E3" s="420"/>
      <c r="F3" s="420"/>
      <c r="G3" s="420"/>
      <c r="H3" s="420"/>
      <c r="I3" s="420"/>
    </row>
    <row r="5" spans="1:11" ht="42.75" customHeight="1">
      <c r="A5" s="297" t="s">
        <v>143</v>
      </c>
      <c r="B5" s="297" t="s">
        <v>0</v>
      </c>
      <c r="C5" s="297" t="s">
        <v>12</v>
      </c>
      <c r="D5" s="298" t="s">
        <v>309</v>
      </c>
      <c r="E5" s="298" t="s">
        <v>584</v>
      </c>
      <c r="F5" s="298" t="s">
        <v>585</v>
      </c>
      <c r="G5" s="298" t="s">
        <v>586</v>
      </c>
      <c r="H5" s="298" t="s">
        <v>587</v>
      </c>
      <c r="I5" s="301" t="s">
        <v>583</v>
      </c>
    </row>
    <row r="6" spans="1:11">
      <c r="B6" s="299" t="s">
        <v>433</v>
      </c>
    </row>
    <row r="7" spans="1:11">
      <c r="A7" s="308">
        <v>1</v>
      </c>
      <c r="B7" s="308" t="s">
        <v>224</v>
      </c>
      <c r="C7" s="308" t="s">
        <v>119</v>
      </c>
      <c r="D7" s="308" t="s">
        <v>582</v>
      </c>
      <c r="E7" s="309">
        <v>35000</v>
      </c>
      <c r="F7" s="309">
        <v>35000</v>
      </c>
      <c r="G7" s="309">
        <v>35000</v>
      </c>
      <c r="H7" s="309">
        <v>35000</v>
      </c>
      <c r="I7" s="309">
        <f>E7+F7+G7+H7</f>
        <v>140000</v>
      </c>
    </row>
    <row r="8" spans="1:11">
      <c r="A8" s="308">
        <v>2</v>
      </c>
      <c r="B8" s="310" t="s">
        <v>137</v>
      </c>
      <c r="C8" s="308" t="s">
        <v>540</v>
      </c>
      <c r="D8" s="308" t="s">
        <v>160</v>
      </c>
      <c r="E8" s="309">
        <v>35000</v>
      </c>
      <c r="F8" s="309">
        <v>35000</v>
      </c>
      <c r="G8" s="309">
        <v>35000</v>
      </c>
      <c r="H8" s="309">
        <v>35000</v>
      </c>
      <c r="I8" s="309">
        <f t="shared" ref="I8:I27" si="0">E8+F8+G8+H8</f>
        <v>140000</v>
      </c>
    </row>
    <row r="9" spans="1:11">
      <c r="A9" s="308">
        <v>3</v>
      </c>
      <c r="B9" s="308" t="s">
        <v>315</v>
      </c>
      <c r="C9" s="308" t="s">
        <v>316</v>
      </c>
      <c r="D9" s="308" t="s">
        <v>496</v>
      </c>
      <c r="E9" s="309">
        <v>35000</v>
      </c>
      <c r="F9" s="309">
        <v>35000</v>
      </c>
      <c r="G9" s="309">
        <v>35000</v>
      </c>
      <c r="H9" s="309">
        <v>35000</v>
      </c>
      <c r="I9" s="309">
        <f t="shared" si="0"/>
        <v>140000</v>
      </c>
    </row>
    <row r="10" spans="1:11">
      <c r="A10" s="308">
        <v>4</v>
      </c>
      <c r="B10" s="308" t="s">
        <v>317</v>
      </c>
      <c r="C10" s="308" t="s">
        <v>418</v>
      </c>
      <c r="D10" s="308" t="s">
        <v>221</v>
      </c>
      <c r="E10" s="309">
        <v>35000</v>
      </c>
      <c r="F10" s="309">
        <v>35000</v>
      </c>
      <c r="G10" s="309">
        <v>35000</v>
      </c>
      <c r="H10" s="309">
        <v>35000</v>
      </c>
      <c r="I10" s="309">
        <f t="shared" si="0"/>
        <v>140000</v>
      </c>
    </row>
    <row r="11" spans="1:11">
      <c r="A11" s="308">
        <v>5</v>
      </c>
      <c r="B11" s="308" t="s">
        <v>112</v>
      </c>
      <c r="C11" s="308" t="s">
        <v>473</v>
      </c>
      <c r="D11" s="308" t="s">
        <v>221</v>
      </c>
      <c r="E11" s="309">
        <v>35000</v>
      </c>
      <c r="F11" s="309">
        <v>35000</v>
      </c>
      <c r="G11" s="309">
        <v>35000</v>
      </c>
      <c r="H11" s="309">
        <v>35000</v>
      </c>
      <c r="I11" s="309">
        <f t="shared" si="0"/>
        <v>140000</v>
      </c>
    </row>
    <row r="12" spans="1:11">
      <c r="A12" s="308">
        <v>6</v>
      </c>
      <c r="B12" s="308" t="s">
        <v>187</v>
      </c>
      <c r="C12" s="308" t="s">
        <v>474</v>
      </c>
      <c r="D12" s="308" t="s">
        <v>221</v>
      </c>
      <c r="E12" s="309">
        <v>35000</v>
      </c>
      <c r="F12" s="309">
        <v>35000</v>
      </c>
      <c r="G12" s="309">
        <v>35000</v>
      </c>
      <c r="H12" s="309">
        <v>35000</v>
      </c>
      <c r="I12" s="309">
        <f t="shared" si="0"/>
        <v>140000</v>
      </c>
    </row>
    <row r="13" spans="1:11">
      <c r="A13" s="308">
        <v>7</v>
      </c>
      <c r="B13" s="308" t="s">
        <v>203</v>
      </c>
      <c r="C13" s="308" t="s">
        <v>475</v>
      </c>
      <c r="D13" s="308" t="s">
        <v>221</v>
      </c>
      <c r="E13" s="309">
        <v>35000</v>
      </c>
      <c r="F13" s="309">
        <v>35000</v>
      </c>
      <c r="G13" s="309">
        <v>35000</v>
      </c>
      <c r="H13" s="309">
        <v>35000</v>
      </c>
      <c r="I13" s="309">
        <f t="shared" si="0"/>
        <v>140000</v>
      </c>
    </row>
    <row r="14" spans="1:11">
      <c r="A14" s="308">
        <v>8</v>
      </c>
      <c r="B14" s="308" t="s">
        <v>111</v>
      </c>
      <c r="C14" s="308" t="s">
        <v>468</v>
      </c>
      <c r="D14" s="308" t="s">
        <v>75</v>
      </c>
      <c r="E14" s="309">
        <v>35000</v>
      </c>
      <c r="F14" s="309">
        <v>35000</v>
      </c>
      <c r="G14" s="309">
        <v>35000</v>
      </c>
      <c r="H14" s="309">
        <v>35000</v>
      </c>
      <c r="I14" s="309">
        <f t="shared" si="0"/>
        <v>140000</v>
      </c>
    </row>
    <row r="15" spans="1:11">
      <c r="A15" s="308">
        <v>9</v>
      </c>
      <c r="B15" s="308" t="s">
        <v>144</v>
      </c>
      <c r="C15" s="308" t="s">
        <v>389</v>
      </c>
      <c r="D15" s="308" t="s">
        <v>181</v>
      </c>
      <c r="E15" s="309">
        <v>35000</v>
      </c>
      <c r="F15" s="309">
        <v>35000</v>
      </c>
      <c r="G15" s="309">
        <v>35000</v>
      </c>
      <c r="H15" s="309">
        <v>35000</v>
      </c>
      <c r="I15" s="309">
        <f t="shared" si="0"/>
        <v>140000</v>
      </c>
    </row>
    <row r="16" spans="1:11">
      <c r="A16" s="308">
        <v>11</v>
      </c>
      <c r="B16" s="308" t="s">
        <v>18</v>
      </c>
      <c r="C16" s="308" t="s">
        <v>389</v>
      </c>
      <c r="D16" s="308" t="s">
        <v>181</v>
      </c>
      <c r="E16" s="309">
        <v>35000</v>
      </c>
      <c r="F16" s="309">
        <v>35000</v>
      </c>
      <c r="G16" s="309">
        <v>35000</v>
      </c>
      <c r="H16" s="309">
        <v>35000</v>
      </c>
      <c r="I16" s="309">
        <f t="shared" si="0"/>
        <v>140000</v>
      </c>
    </row>
    <row r="17" spans="1:9">
      <c r="A17" s="308">
        <v>12</v>
      </c>
      <c r="B17" s="308" t="s">
        <v>334</v>
      </c>
      <c r="C17" s="308" t="s">
        <v>351</v>
      </c>
      <c r="D17" s="308" t="s">
        <v>163</v>
      </c>
      <c r="E17" s="309">
        <v>35000</v>
      </c>
      <c r="F17" s="309">
        <v>35000</v>
      </c>
      <c r="G17" s="309">
        <v>35000</v>
      </c>
      <c r="H17" s="309">
        <v>35000</v>
      </c>
      <c r="I17" s="309">
        <f t="shared" si="0"/>
        <v>140000</v>
      </c>
    </row>
    <row r="18" spans="1:9">
      <c r="A18" s="308">
        <v>13</v>
      </c>
      <c r="B18" s="308" t="s">
        <v>291</v>
      </c>
      <c r="C18" s="308" t="s">
        <v>346</v>
      </c>
      <c r="D18" s="308" t="s">
        <v>413</v>
      </c>
      <c r="E18" s="309">
        <v>35000</v>
      </c>
      <c r="F18" s="309">
        <v>35000</v>
      </c>
      <c r="G18" s="309">
        <v>35000</v>
      </c>
      <c r="H18" s="309">
        <v>35000</v>
      </c>
      <c r="I18" s="309">
        <f t="shared" si="0"/>
        <v>140000</v>
      </c>
    </row>
    <row r="19" spans="1:9">
      <c r="A19" s="308">
        <v>14</v>
      </c>
      <c r="B19" s="308" t="s">
        <v>253</v>
      </c>
      <c r="C19" s="308" t="s">
        <v>478</v>
      </c>
      <c r="D19" s="308" t="s">
        <v>415</v>
      </c>
      <c r="E19" s="309">
        <v>35000</v>
      </c>
      <c r="F19" s="309">
        <v>35000</v>
      </c>
      <c r="G19" s="309">
        <v>35000</v>
      </c>
      <c r="H19" s="309">
        <v>35000</v>
      </c>
      <c r="I19" s="309">
        <f t="shared" si="0"/>
        <v>140000</v>
      </c>
    </row>
    <row r="20" spans="1:9">
      <c r="A20" s="308">
        <v>16</v>
      </c>
      <c r="B20" s="308" t="s">
        <v>254</v>
      </c>
      <c r="C20" s="308" t="s">
        <v>17</v>
      </c>
      <c r="D20" s="308" t="s">
        <v>498</v>
      </c>
      <c r="E20" s="309">
        <v>35000</v>
      </c>
      <c r="F20" s="309">
        <v>35000</v>
      </c>
      <c r="G20" s="309">
        <v>35000</v>
      </c>
      <c r="H20" s="309">
        <v>35000</v>
      </c>
      <c r="I20" s="309">
        <f t="shared" si="0"/>
        <v>140000</v>
      </c>
    </row>
    <row r="21" spans="1:9">
      <c r="A21" s="308">
        <v>17</v>
      </c>
      <c r="B21" s="308" t="s">
        <v>248</v>
      </c>
      <c r="C21" s="308" t="s">
        <v>480</v>
      </c>
      <c r="D21" s="308" t="s">
        <v>498</v>
      </c>
      <c r="E21" s="309">
        <v>35000</v>
      </c>
      <c r="F21" s="309">
        <v>35000</v>
      </c>
      <c r="G21" s="309">
        <v>35000</v>
      </c>
      <c r="H21" s="309">
        <v>35000</v>
      </c>
      <c r="I21" s="309">
        <f t="shared" si="0"/>
        <v>140000</v>
      </c>
    </row>
    <row r="22" spans="1:9">
      <c r="A22" s="308">
        <v>18</v>
      </c>
      <c r="B22" s="308" t="s">
        <v>288</v>
      </c>
      <c r="C22" s="308" t="s">
        <v>249</v>
      </c>
      <c r="D22" s="308" t="s">
        <v>267</v>
      </c>
      <c r="E22" s="309">
        <v>35000</v>
      </c>
      <c r="F22" s="309">
        <v>35000</v>
      </c>
      <c r="G22" s="309">
        <v>35000</v>
      </c>
      <c r="H22" s="309">
        <v>35000</v>
      </c>
      <c r="I22" s="309">
        <f t="shared" si="0"/>
        <v>140000</v>
      </c>
    </row>
    <row r="23" spans="1:9">
      <c r="A23" s="308">
        <v>19</v>
      </c>
      <c r="B23" s="308" t="s">
        <v>328</v>
      </c>
      <c r="C23" s="308" t="s">
        <v>329</v>
      </c>
      <c r="D23" s="308" t="s">
        <v>267</v>
      </c>
      <c r="E23" s="309">
        <v>35000</v>
      </c>
      <c r="F23" s="309">
        <v>35000</v>
      </c>
      <c r="G23" s="309">
        <v>35000</v>
      </c>
      <c r="H23" s="309">
        <v>35000</v>
      </c>
      <c r="I23" s="309">
        <f t="shared" si="0"/>
        <v>140000</v>
      </c>
    </row>
    <row r="24" spans="1:9">
      <c r="A24" s="308">
        <v>20</v>
      </c>
      <c r="B24" s="308" t="s">
        <v>360</v>
      </c>
      <c r="C24" s="308" t="s">
        <v>372</v>
      </c>
      <c r="D24" s="308" t="s">
        <v>498</v>
      </c>
      <c r="E24" s="309">
        <v>35000</v>
      </c>
      <c r="F24" s="309">
        <v>35000</v>
      </c>
      <c r="G24" s="309">
        <v>35000</v>
      </c>
      <c r="H24" s="309">
        <v>35000</v>
      </c>
      <c r="I24" s="309">
        <f t="shared" si="0"/>
        <v>140000</v>
      </c>
    </row>
    <row r="25" spans="1:9">
      <c r="A25" s="308">
        <v>21</v>
      </c>
      <c r="B25" s="308" t="s">
        <v>330</v>
      </c>
      <c r="C25" s="308" t="s">
        <v>533</v>
      </c>
      <c r="D25" s="308" t="s">
        <v>176</v>
      </c>
      <c r="E25" s="309">
        <v>35000</v>
      </c>
      <c r="F25" s="309">
        <v>35000</v>
      </c>
      <c r="G25" s="309">
        <v>35000</v>
      </c>
      <c r="H25" s="309">
        <v>35000</v>
      </c>
      <c r="I25" s="309">
        <f t="shared" si="0"/>
        <v>140000</v>
      </c>
    </row>
    <row r="26" spans="1:9">
      <c r="A26" s="308">
        <v>22</v>
      </c>
      <c r="B26" s="308" t="s">
        <v>274</v>
      </c>
      <c r="C26" s="308" t="s">
        <v>314</v>
      </c>
      <c r="D26" s="308" t="s">
        <v>176</v>
      </c>
      <c r="E26" s="309">
        <v>35000</v>
      </c>
      <c r="F26" s="309">
        <v>35000</v>
      </c>
      <c r="G26" s="309">
        <v>35000</v>
      </c>
      <c r="H26" s="309">
        <v>35000</v>
      </c>
      <c r="I26" s="309">
        <f t="shared" si="0"/>
        <v>140000</v>
      </c>
    </row>
    <row r="27" spans="1:9">
      <c r="A27" s="308">
        <v>23</v>
      </c>
      <c r="B27" s="308" t="s">
        <v>555</v>
      </c>
      <c r="C27" s="308" t="s">
        <v>314</v>
      </c>
      <c r="D27" s="308" t="s">
        <v>105</v>
      </c>
      <c r="E27" s="311">
        <v>35000</v>
      </c>
      <c r="F27" s="311">
        <v>35000</v>
      </c>
      <c r="G27" s="311">
        <v>35000</v>
      </c>
      <c r="H27" s="311">
        <v>35000</v>
      </c>
      <c r="I27" s="311">
        <f t="shared" si="0"/>
        <v>140000</v>
      </c>
    </row>
    <row r="28" spans="1:9">
      <c r="A28" s="308"/>
      <c r="B28" s="312" t="s">
        <v>569</v>
      </c>
      <c r="C28" s="308"/>
      <c r="D28" s="308"/>
      <c r="E28" s="313">
        <f>SUM(E7:E27)</f>
        <v>735000</v>
      </c>
      <c r="F28" s="313">
        <f>SUM(F7:F27)</f>
        <v>735000</v>
      </c>
      <c r="G28" s="313">
        <f>SUM(G7:G27)</f>
        <v>735000</v>
      </c>
      <c r="H28" s="313">
        <f>SUM(H7:H27)</f>
        <v>735000</v>
      </c>
      <c r="I28" s="313">
        <f>SUM(I7:I27)</f>
        <v>2940000</v>
      </c>
    </row>
    <row r="29" spans="1:9">
      <c r="E29" s="295"/>
      <c r="F29" s="295"/>
      <c r="G29" s="295"/>
      <c r="H29" s="295"/>
      <c r="I29" s="295"/>
    </row>
    <row r="30" spans="1:9">
      <c r="B30" s="299" t="s">
        <v>284</v>
      </c>
      <c r="E30" s="295"/>
      <c r="F30" s="295"/>
      <c r="G30" s="295"/>
      <c r="H30" s="295"/>
      <c r="I30" s="295"/>
    </row>
    <row r="31" spans="1:9">
      <c r="A31" s="308">
        <v>1</v>
      </c>
      <c r="B31" s="308" t="s">
        <v>361</v>
      </c>
      <c r="C31" s="308" t="s">
        <v>362</v>
      </c>
      <c r="D31" s="308" t="s">
        <v>161</v>
      </c>
      <c r="E31" s="309">
        <v>35000</v>
      </c>
      <c r="F31" s="309">
        <v>35000</v>
      </c>
      <c r="G31" s="309">
        <v>35000</v>
      </c>
      <c r="H31" s="309">
        <v>35000</v>
      </c>
      <c r="I31" s="309">
        <f>E31+F31+G31+H31</f>
        <v>140000</v>
      </c>
    </row>
    <row r="32" spans="1:9">
      <c r="A32" s="308">
        <v>2</v>
      </c>
      <c r="B32" s="308" t="s">
        <v>419</v>
      </c>
      <c r="C32" s="308" t="s">
        <v>427</v>
      </c>
      <c r="D32" s="308" t="s">
        <v>105</v>
      </c>
      <c r="E32" s="311">
        <v>35000</v>
      </c>
      <c r="F32" s="311">
        <v>35000</v>
      </c>
      <c r="G32" s="311">
        <v>35000</v>
      </c>
      <c r="H32" s="311">
        <v>35000</v>
      </c>
      <c r="I32" s="309">
        <f>E32+F32+G32+H32</f>
        <v>140000</v>
      </c>
    </row>
    <row r="33" spans="1:9">
      <c r="A33" s="308"/>
      <c r="B33" s="312" t="s">
        <v>570</v>
      </c>
      <c r="C33" s="308"/>
      <c r="D33" s="308"/>
      <c r="E33" s="313">
        <f>SUM(E31:E32)</f>
        <v>70000</v>
      </c>
      <c r="F33" s="313">
        <f t="shared" ref="F33:H33" si="1">SUM(F31:F32)</f>
        <v>70000</v>
      </c>
      <c r="G33" s="313">
        <f t="shared" si="1"/>
        <v>70000</v>
      </c>
      <c r="H33" s="313">
        <f t="shared" si="1"/>
        <v>70000</v>
      </c>
      <c r="I33" s="313">
        <f>SUM(I31:I32)</f>
        <v>280000</v>
      </c>
    </row>
    <row r="34" spans="1:9">
      <c r="E34" s="295"/>
      <c r="F34" s="295"/>
      <c r="G34" s="295"/>
      <c r="H34" s="295"/>
      <c r="I34" s="295"/>
    </row>
    <row r="35" spans="1:9">
      <c r="B35" s="299" t="s">
        <v>56</v>
      </c>
      <c r="E35" s="295"/>
      <c r="F35" s="295"/>
      <c r="G35" s="295"/>
      <c r="H35" s="295"/>
      <c r="I35" s="295"/>
    </row>
    <row r="36" spans="1:9">
      <c r="A36" s="308">
        <v>1</v>
      </c>
      <c r="B36" s="308" t="s">
        <v>255</v>
      </c>
      <c r="C36" s="308" t="s">
        <v>256</v>
      </c>
      <c r="D36" s="308" t="s">
        <v>161</v>
      </c>
      <c r="E36" s="309">
        <v>35000</v>
      </c>
      <c r="F36" s="309">
        <v>35000</v>
      </c>
      <c r="G36" s="309">
        <v>35000</v>
      </c>
      <c r="H36" s="309">
        <v>35000</v>
      </c>
      <c r="I36" s="309">
        <f>E36+F36+G36+H36</f>
        <v>140000</v>
      </c>
    </row>
    <row r="37" spans="1:9">
      <c r="A37" s="308">
        <v>2</v>
      </c>
      <c r="B37" s="308" t="s">
        <v>158</v>
      </c>
      <c r="C37" s="308" t="s">
        <v>199</v>
      </c>
      <c r="D37" s="308" t="s">
        <v>75</v>
      </c>
      <c r="E37" s="309">
        <v>35000</v>
      </c>
      <c r="F37" s="309">
        <v>35000</v>
      </c>
      <c r="G37" s="309">
        <v>35000</v>
      </c>
      <c r="H37" s="309">
        <v>35000</v>
      </c>
      <c r="I37" s="309">
        <f t="shared" ref="I37:I48" si="2">E37+F37+G37+H37</f>
        <v>140000</v>
      </c>
    </row>
    <row r="38" spans="1:9">
      <c r="A38" s="308">
        <v>3</v>
      </c>
      <c r="B38" s="308" t="s">
        <v>165</v>
      </c>
      <c r="C38" s="308" t="s">
        <v>258</v>
      </c>
      <c r="D38" s="308" t="s">
        <v>75</v>
      </c>
      <c r="E38" s="309">
        <v>35000</v>
      </c>
      <c r="F38" s="309">
        <v>35000</v>
      </c>
      <c r="G38" s="309">
        <v>35000</v>
      </c>
      <c r="H38" s="309">
        <v>35000</v>
      </c>
      <c r="I38" s="309">
        <f t="shared" si="2"/>
        <v>140000</v>
      </c>
    </row>
    <row r="39" spans="1:9">
      <c r="A39" s="308">
        <v>4</v>
      </c>
      <c r="B39" s="308" t="s">
        <v>159</v>
      </c>
      <c r="C39" s="308" t="s">
        <v>258</v>
      </c>
      <c r="D39" s="308" t="s">
        <v>75</v>
      </c>
      <c r="E39" s="309">
        <v>35000</v>
      </c>
      <c r="F39" s="309">
        <v>35000</v>
      </c>
      <c r="G39" s="309">
        <v>35000</v>
      </c>
      <c r="H39" s="309">
        <v>35000</v>
      </c>
      <c r="I39" s="309">
        <f t="shared" si="2"/>
        <v>140000</v>
      </c>
    </row>
    <row r="40" spans="1:9">
      <c r="A40" s="308">
        <v>5</v>
      </c>
      <c r="B40" s="308" t="s">
        <v>118</v>
      </c>
      <c r="C40" s="308" t="s">
        <v>258</v>
      </c>
      <c r="D40" s="308" t="s">
        <v>148</v>
      </c>
      <c r="E40" s="309">
        <v>35000</v>
      </c>
      <c r="F40" s="309">
        <v>35000</v>
      </c>
      <c r="G40" s="309">
        <v>35000</v>
      </c>
      <c r="H40" s="309">
        <v>35000</v>
      </c>
      <c r="I40" s="309">
        <f t="shared" si="2"/>
        <v>140000</v>
      </c>
    </row>
    <row r="41" spans="1:9">
      <c r="A41" s="308">
        <v>6</v>
      </c>
      <c r="B41" s="308" t="s">
        <v>205</v>
      </c>
      <c r="C41" s="308" t="s">
        <v>78</v>
      </c>
      <c r="D41" s="308" t="s">
        <v>181</v>
      </c>
      <c r="E41" s="309">
        <v>35000</v>
      </c>
      <c r="F41" s="309">
        <v>35000</v>
      </c>
      <c r="G41" s="309">
        <v>35000</v>
      </c>
      <c r="H41" s="309">
        <v>35000</v>
      </c>
      <c r="I41" s="309">
        <f t="shared" si="2"/>
        <v>140000</v>
      </c>
    </row>
    <row r="42" spans="1:9">
      <c r="A42" s="308">
        <v>7</v>
      </c>
      <c r="B42" s="308" t="s">
        <v>173</v>
      </c>
      <c r="C42" s="308" t="s">
        <v>297</v>
      </c>
      <c r="D42" s="308" t="s">
        <v>181</v>
      </c>
      <c r="E42" s="309">
        <v>35000</v>
      </c>
      <c r="F42" s="309">
        <v>35000</v>
      </c>
      <c r="G42" s="309">
        <v>35000</v>
      </c>
      <c r="H42" s="309">
        <v>35000</v>
      </c>
      <c r="I42" s="309">
        <f t="shared" si="2"/>
        <v>140000</v>
      </c>
    </row>
    <row r="43" spans="1:9">
      <c r="A43" s="308">
        <v>8</v>
      </c>
      <c r="B43" s="308" t="s">
        <v>116</v>
      </c>
      <c r="C43" s="308" t="s">
        <v>297</v>
      </c>
      <c r="D43" s="308" t="s">
        <v>162</v>
      </c>
      <c r="E43" s="309">
        <v>35000</v>
      </c>
      <c r="F43" s="309">
        <v>35000</v>
      </c>
      <c r="G43" s="309">
        <v>35000</v>
      </c>
      <c r="H43" s="309">
        <v>35000</v>
      </c>
      <c r="I43" s="309">
        <f t="shared" si="2"/>
        <v>140000</v>
      </c>
    </row>
    <row r="44" spans="1:9">
      <c r="A44" s="308">
        <v>9</v>
      </c>
      <c r="B44" s="308" t="s">
        <v>184</v>
      </c>
      <c r="C44" s="308" t="s">
        <v>80</v>
      </c>
      <c r="D44" s="308" t="s">
        <v>170</v>
      </c>
      <c r="E44" s="309">
        <v>35000</v>
      </c>
      <c r="F44" s="309">
        <v>35000</v>
      </c>
      <c r="G44" s="309">
        <v>35000</v>
      </c>
      <c r="H44" s="309">
        <v>35000</v>
      </c>
      <c r="I44" s="309">
        <f t="shared" si="2"/>
        <v>140000</v>
      </c>
    </row>
    <row r="45" spans="1:9">
      <c r="A45" s="308">
        <v>10</v>
      </c>
      <c r="B45" s="308" t="s">
        <v>551</v>
      </c>
      <c r="C45" s="308" t="s">
        <v>84</v>
      </c>
      <c r="D45" s="308" t="s">
        <v>104</v>
      </c>
      <c r="E45" s="309">
        <v>35000</v>
      </c>
      <c r="F45" s="309">
        <v>35000</v>
      </c>
      <c r="G45" s="309">
        <v>35000</v>
      </c>
      <c r="H45" s="309">
        <v>35000</v>
      </c>
      <c r="I45" s="309">
        <f t="shared" si="2"/>
        <v>140000</v>
      </c>
    </row>
    <row r="46" spans="1:9">
      <c r="A46" s="308">
        <v>11</v>
      </c>
      <c r="B46" s="308" t="s">
        <v>420</v>
      </c>
      <c r="C46" s="308" t="s">
        <v>84</v>
      </c>
      <c r="D46" s="308" t="s">
        <v>428</v>
      </c>
      <c r="E46" s="309">
        <v>35000</v>
      </c>
      <c r="F46" s="309">
        <v>35000</v>
      </c>
      <c r="G46" s="309">
        <v>35000</v>
      </c>
      <c r="H46" s="309">
        <v>35000</v>
      </c>
      <c r="I46" s="309">
        <f t="shared" si="2"/>
        <v>140000</v>
      </c>
    </row>
    <row r="47" spans="1:9">
      <c r="A47" s="308">
        <v>12</v>
      </c>
      <c r="B47" s="308" t="s">
        <v>435</v>
      </c>
      <c r="C47" s="308" t="s">
        <v>84</v>
      </c>
      <c r="D47" s="308" t="s">
        <v>428</v>
      </c>
      <c r="E47" s="309">
        <v>35000</v>
      </c>
      <c r="F47" s="309">
        <v>35000</v>
      </c>
      <c r="G47" s="309">
        <v>35000</v>
      </c>
      <c r="H47" s="309">
        <v>35000</v>
      </c>
      <c r="I47" s="309">
        <f t="shared" si="2"/>
        <v>140000</v>
      </c>
    </row>
    <row r="48" spans="1:9">
      <c r="A48" s="308">
        <v>13</v>
      </c>
      <c r="B48" s="308" t="s">
        <v>452</v>
      </c>
      <c r="C48" s="308" t="s">
        <v>84</v>
      </c>
      <c r="D48" s="308" t="s">
        <v>428</v>
      </c>
      <c r="E48" s="311">
        <v>35000</v>
      </c>
      <c r="F48" s="311">
        <v>35000</v>
      </c>
      <c r="G48" s="311">
        <v>35000</v>
      </c>
      <c r="H48" s="311">
        <v>35000</v>
      </c>
      <c r="I48" s="311">
        <f t="shared" si="2"/>
        <v>140000</v>
      </c>
    </row>
    <row r="49" spans="1:9">
      <c r="A49" s="308"/>
      <c r="B49" s="312" t="s">
        <v>571</v>
      </c>
      <c r="C49" s="308"/>
      <c r="D49" s="308"/>
      <c r="E49" s="313">
        <f>SUM(E36:E48)</f>
        <v>455000</v>
      </c>
      <c r="F49" s="313">
        <f t="shared" ref="F49:H49" si="3">SUM(F36:F48)</f>
        <v>455000</v>
      </c>
      <c r="G49" s="313">
        <f t="shared" si="3"/>
        <v>455000</v>
      </c>
      <c r="H49" s="313">
        <f t="shared" si="3"/>
        <v>455000</v>
      </c>
      <c r="I49" s="313">
        <f>SUM(I36:I48)</f>
        <v>1820000</v>
      </c>
    </row>
    <row r="50" spans="1:9">
      <c r="E50" s="295"/>
      <c r="F50" s="295"/>
      <c r="G50" s="295"/>
      <c r="H50" s="295"/>
      <c r="I50" s="295"/>
    </row>
    <row r="51" spans="1:9">
      <c r="B51" s="299" t="s">
        <v>195</v>
      </c>
      <c r="E51" s="295"/>
      <c r="F51" s="295"/>
      <c r="G51" s="295"/>
      <c r="H51" s="295"/>
      <c r="I51" s="295"/>
    </row>
    <row r="52" spans="1:9">
      <c r="A52" s="308">
        <v>1</v>
      </c>
      <c r="B52" s="310" t="s">
        <v>11</v>
      </c>
      <c r="C52" s="308" t="s">
        <v>200</v>
      </c>
      <c r="D52" s="308" t="s">
        <v>161</v>
      </c>
      <c r="E52" s="309">
        <v>35000</v>
      </c>
      <c r="F52" s="309">
        <v>35000</v>
      </c>
      <c r="G52" s="309">
        <v>35000</v>
      </c>
      <c r="H52" s="309">
        <v>35000</v>
      </c>
      <c r="I52" s="309">
        <f>E52+F52+G52+H52</f>
        <v>140000</v>
      </c>
    </row>
    <row r="53" spans="1:9">
      <c r="A53" s="308">
        <v>2</v>
      </c>
      <c r="B53" s="308" t="s">
        <v>276</v>
      </c>
      <c r="C53" s="308" t="s">
        <v>340</v>
      </c>
      <c r="D53" s="308" t="s">
        <v>412</v>
      </c>
      <c r="E53" s="311">
        <v>35000</v>
      </c>
      <c r="F53" s="311">
        <v>35000</v>
      </c>
      <c r="G53" s="311">
        <v>35000</v>
      </c>
      <c r="H53" s="311">
        <v>35000</v>
      </c>
      <c r="I53" s="311">
        <f>E53+F53+G53+H53</f>
        <v>140000</v>
      </c>
    </row>
    <row r="54" spans="1:9">
      <c r="A54" s="308"/>
      <c r="B54" s="312" t="s">
        <v>572</v>
      </c>
      <c r="C54" s="308"/>
      <c r="D54" s="308"/>
      <c r="E54" s="313">
        <f>SUM(E52:E53)</f>
        <v>70000</v>
      </c>
      <c r="F54" s="313">
        <f t="shared" ref="F54:H54" si="4">SUM(F52:F53)</f>
        <v>70000</v>
      </c>
      <c r="G54" s="313">
        <f t="shared" si="4"/>
        <v>70000</v>
      </c>
      <c r="H54" s="313">
        <f t="shared" si="4"/>
        <v>70000</v>
      </c>
      <c r="I54" s="313">
        <f>SUM(I52:I53)</f>
        <v>280000</v>
      </c>
    </row>
    <row r="55" spans="1:9">
      <c r="E55" s="295"/>
      <c r="F55" s="295"/>
      <c r="G55" s="295"/>
      <c r="H55" s="295"/>
      <c r="I55" s="295"/>
    </row>
    <row r="56" spans="1:9">
      <c r="B56" s="299" t="s">
        <v>461</v>
      </c>
      <c r="E56" s="295"/>
      <c r="F56" s="295"/>
      <c r="G56" s="295"/>
      <c r="H56" s="295"/>
      <c r="I56" s="295"/>
    </row>
    <row r="57" spans="1:9">
      <c r="A57" s="308">
        <v>1</v>
      </c>
      <c r="B57" s="308" t="s">
        <v>277</v>
      </c>
      <c r="C57" s="308" t="s">
        <v>278</v>
      </c>
      <c r="D57" s="308" t="s">
        <v>161</v>
      </c>
      <c r="E57" s="309">
        <v>35000</v>
      </c>
      <c r="F57" s="309">
        <v>35000</v>
      </c>
      <c r="G57" s="309">
        <v>35000</v>
      </c>
      <c r="H57" s="309">
        <v>35000</v>
      </c>
      <c r="I57" s="309">
        <f>E57+F57+G57+H57</f>
        <v>140000</v>
      </c>
    </row>
    <row r="58" spans="1:9">
      <c r="A58" s="308">
        <v>2</v>
      </c>
      <c r="B58" s="308" t="s">
        <v>332</v>
      </c>
      <c r="C58" s="308" t="s">
        <v>188</v>
      </c>
      <c r="D58" s="308" t="s">
        <v>272</v>
      </c>
      <c r="E58" s="309">
        <v>35000</v>
      </c>
      <c r="F58" s="309">
        <v>35000</v>
      </c>
      <c r="G58" s="309">
        <v>35000</v>
      </c>
      <c r="H58" s="309">
        <v>35000</v>
      </c>
      <c r="I58" s="309">
        <f t="shared" ref="I58:I68" si="5">E58+F58+G58+H58</f>
        <v>140000</v>
      </c>
    </row>
    <row r="59" spans="1:9">
      <c r="A59" s="308">
        <v>3</v>
      </c>
      <c r="B59" s="308" t="s">
        <v>189</v>
      </c>
      <c r="C59" s="308" t="s">
        <v>257</v>
      </c>
      <c r="D59" s="308" t="s">
        <v>170</v>
      </c>
      <c r="E59" s="309">
        <v>35000</v>
      </c>
      <c r="F59" s="309">
        <v>35000</v>
      </c>
      <c r="G59" s="309">
        <v>35000</v>
      </c>
      <c r="H59" s="309">
        <v>35000</v>
      </c>
      <c r="I59" s="309">
        <f t="shared" si="5"/>
        <v>140000</v>
      </c>
    </row>
    <row r="60" spans="1:9">
      <c r="A60" s="308">
        <v>4</v>
      </c>
      <c r="B60" s="308" t="s">
        <v>448</v>
      </c>
      <c r="C60" s="308" t="s">
        <v>257</v>
      </c>
      <c r="D60" s="308" t="s">
        <v>163</v>
      </c>
      <c r="E60" s="309">
        <v>35000</v>
      </c>
      <c r="F60" s="309">
        <v>35000</v>
      </c>
      <c r="G60" s="309">
        <v>35000</v>
      </c>
      <c r="H60" s="309">
        <v>35000</v>
      </c>
      <c r="I60" s="309">
        <f t="shared" si="5"/>
        <v>140000</v>
      </c>
    </row>
    <row r="61" spans="1:9">
      <c r="A61" s="308">
        <v>5</v>
      </c>
      <c r="B61" s="308" t="s">
        <v>229</v>
      </c>
      <c r="C61" s="308" t="s">
        <v>297</v>
      </c>
      <c r="D61" s="308" t="s">
        <v>181</v>
      </c>
      <c r="E61" s="309">
        <v>35000</v>
      </c>
      <c r="F61" s="309">
        <v>35000</v>
      </c>
      <c r="G61" s="309">
        <v>35000</v>
      </c>
      <c r="H61" s="309">
        <v>35000</v>
      </c>
      <c r="I61" s="309">
        <f t="shared" si="5"/>
        <v>140000</v>
      </c>
    </row>
    <row r="62" spans="1:9">
      <c r="A62" s="308">
        <v>6</v>
      </c>
      <c r="B62" s="308" t="s">
        <v>534</v>
      </c>
      <c r="C62" s="308" t="s">
        <v>297</v>
      </c>
      <c r="D62" s="308" t="s">
        <v>162</v>
      </c>
      <c r="E62" s="309">
        <v>35000</v>
      </c>
      <c r="F62" s="309">
        <v>35000</v>
      </c>
      <c r="G62" s="309">
        <v>35000</v>
      </c>
      <c r="H62" s="309">
        <v>35000</v>
      </c>
      <c r="I62" s="309">
        <f t="shared" si="5"/>
        <v>140000</v>
      </c>
    </row>
    <row r="63" spans="1:9">
      <c r="A63" s="308">
        <v>7</v>
      </c>
      <c r="B63" s="308" t="s">
        <v>117</v>
      </c>
      <c r="C63" s="308" t="s">
        <v>84</v>
      </c>
      <c r="D63" s="308" t="s">
        <v>369</v>
      </c>
      <c r="E63" s="309">
        <v>35000</v>
      </c>
      <c r="F63" s="309">
        <v>35000</v>
      </c>
      <c r="G63" s="309">
        <v>35000</v>
      </c>
      <c r="H63" s="309">
        <v>35000</v>
      </c>
      <c r="I63" s="309">
        <f t="shared" si="5"/>
        <v>140000</v>
      </c>
    </row>
    <row r="64" spans="1:9">
      <c r="A64" s="308">
        <v>8</v>
      </c>
      <c r="B64" s="308" t="s">
        <v>424</v>
      </c>
      <c r="C64" s="308" t="s">
        <v>422</v>
      </c>
      <c r="D64" s="308" t="s">
        <v>369</v>
      </c>
      <c r="E64" s="309">
        <v>35000</v>
      </c>
      <c r="F64" s="309">
        <v>35000</v>
      </c>
      <c r="G64" s="309">
        <v>35000</v>
      </c>
      <c r="H64" s="309">
        <v>35000</v>
      </c>
      <c r="I64" s="309">
        <f t="shared" si="5"/>
        <v>140000</v>
      </c>
    </row>
    <row r="65" spans="1:9">
      <c r="A65" s="308">
        <v>9</v>
      </c>
      <c r="B65" s="308" t="s">
        <v>423</v>
      </c>
      <c r="C65" s="308" t="s">
        <v>422</v>
      </c>
      <c r="D65" s="308" t="s">
        <v>369</v>
      </c>
      <c r="E65" s="309">
        <v>35000</v>
      </c>
      <c r="F65" s="309">
        <v>35000</v>
      </c>
      <c r="G65" s="309">
        <v>35000</v>
      </c>
      <c r="H65" s="309">
        <v>35000</v>
      </c>
      <c r="I65" s="309">
        <f t="shared" si="5"/>
        <v>140000</v>
      </c>
    </row>
    <row r="66" spans="1:9">
      <c r="A66" s="308">
        <v>10</v>
      </c>
      <c r="B66" s="308" t="s">
        <v>242</v>
      </c>
      <c r="C66" s="308" t="s">
        <v>484</v>
      </c>
      <c r="D66" s="308" t="s">
        <v>415</v>
      </c>
      <c r="E66" s="309">
        <v>35000</v>
      </c>
      <c r="F66" s="309">
        <v>35000</v>
      </c>
      <c r="G66" s="309">
        <v>35000</v>
      </c>
      <c r="H66" s="309">
        <v>35000</v>
      </c>
      <c r="I66" s="309">
        <f t="shared" si="5"/>
        <v>140000</v>
      </c>
    </row>
    <row r="67" spans="1:9">
      <c r="A67" s="308">
        <v>11</v>
      </c>
      <c r="B67" s="308" t="s">
        <v>320</v>
      </c>
      <c r="C67" s="308" t="s">
        <v>115</v>
      </c>
      <c r="D67" s="308" t="s">
        <v>498</v>
      </c>
      <c r="E67" s="309">
        <v>35000</v>
      </c>
      <c r="F67" s="309">
        <v>35000</v>
      </c>
      <c r="G67" s="309">
        <v>35000</v>
      </c>
      <c r="H67" s="309">
        <v>35000</v>
      </c>
      <c r="I67" s="309">
        <f t="shared" si="5"/>
        <v>140000</v>
      </c>
    </row>
    <row r="68" spans="1:9">
      <c r="A68" s="308">
        <v>12</v>
      </c>
      <c r="B68" s="308" t="s">
        <v>321</v>
      </c>
      <c r="C68" s="308" t="s">
        <v>115</v>
      </c>
      <c r="D68" s="308" t="s">
        <v>176</v>
      </c>
      <c r="E68" s="311">
        <v>35000</v>
      </c>
      <c r="F68" s="311">
        <v>35000</v>
      </c>
      <c r="G68" s="311">
        <v>35000</v>
      </c>
      <c r="H68" s="311">
        <v>35000</v>
      </c>
      <c r="I68" s="311">
        <f t="shared" si="5"/>
        <v>140000</v>
      </c>
    </row>
    <row r="69" spans="1:9">
      <c r="A69" s="308"/>
      <c r="B69" s="312" t="s">
        <v>573</v>
      </c>
      <c r="C69" s="308"/>
      <c r="D69" s="308"/>
      <c r="E69" s="313">
        <f>SUM(E57:E68)</f>
        <v>420000</v>
      </c>
      <c r="F69" s="313">
        <f t="shared" ref="F69:H69" si="6">SUM(F57:F68)</f>
        <v>420000</v>
      </c>
      <c r="G69" s="313">
        <f t="shared" si="6"/>
        <v>420000</v>
      </c>
      <c r="H69" s="313">
        <f t="shared" si="6"/>
        <v>420000</v>
      </c>
      <c r="I69" s="313">
        <f>SUM(I57:I68)</f>
        <v>1680000</v>
      </c>
    </row>
    <row r="70" spans="1:9">
      <c r="E70" s="295"/>
      <c r="F70" s="295"/>
      <c r="G70" s="295"/>
      <c r="H70" s="295"/>
      <c r="I70" s="295"/>
    </row>
    <row r="71" spans="1:9">
      <c r="B71" s="299" t="s">
        <v>462</v>
      </c>
      <c r="E71" s="295"/>
      <c r="F71" s="295"/>
      <c r="G71" s="295"/>
      <c r="H71" s="295"/>
      <c r="I71" s="295"/>
    </row>
    <row r="72" spans="1:9">
      <c r="A72" s="308">
        <v>1</v>
      </c>
      <c r="B72" s="308" t="s">
        <v>19</v>
      </c>
      <c r="C72" s="308" t="s">
        <v>201</v>
      </c>
      <c r="D72" s="308" t="s">
        <v>161</v>
      </c>
      <c r="E72" s="309">
        <v>35000</v>
      </c>
      <c r="F72" s="309">
        <v>35000</v>
      </c>
      <c r="G72" s="309">
        <v>35000</v>
      </c>
      <c r="H72" s="309">
        <v>35000</v>
      </c>
      <c r="I72" s="309">
        <f>E72+F72+G72+H72</f>
        <v>140000</v>
      </c>
    </row>
    <row r="73" spans="1:9">
      <c r="A73" s="308">
        <v>2</v>
      </c>
      <c r="B73" s="308" t="s">
        <v>325</v>
      </c>
      <c r="C73" s="308" t="s">
        <v>245</v>
      </c>
      <c r="D73" s="308" t="s">
        <v>272</v>
      </c>
      <c r="E73" s="309">
        <v>35000</v>
      </c>
      <c r="F73" s="309">
        <v>35000</v>
      </c>
      <c r="G73" s="309">
        <v>35000</v>
      </c>
      <c r="H73" s="309">
        <v>35000</v>
      </c>
      <c r="I73" s="309">
        <f t="shared" ref="I73:I78" si="7">E73+F73+G73+H73</f>
        <v>140000</v>
      </c>
    </row>
    <row r="74" spans="1:9">
      <c r="A74" s="308">
        <v>3</v>
      </c>
      <c r="B74" s="308" t="s">
        <v>333</v>
      </c>
      <c r="C74" s="308" t="s">
        <v>387</v>
      </c>
      <c r="D74" s="308" t="s">
        <v>412</v>
      </c>
      <c r="E74" s="309">
        <v>35000</v>
      </c>
      <c r="F74" s="309">
        <v>35000</v>
      </c>
      <c r="G74" s="309">
        <v>35000</v>
      </c>
      <c r="H74" s="309">
        <v>35000</v>
      </c>
      <c r="I74" s="309">
        <f t="shared" si="7"/>
        <v>140000</v>
      </c>
    </row>
    <row r="75" spans="1:9">
      <c r="A75" s="308">
        <v>4</v>
      </c>
      <c r="B75" s="308" t="s">
        <v>26</v>
      </c>
      <c r="C75" s="308" t="s">
        <v>296</v>
      </c>
      <c r="D75" s="308" t="s">
        <v>170</v>
      </c>
      <c r="E75" s="309">
        <v>35000</v>
      </c>
      <c r="F75" s="309">
        <v>35000</v>
      </c>
      <c r="G75" s="309">
        <v>35000</v>
      </c>
      <c r="H75" s="309">
        <v>35000</v>
      </c>
      <c r="I75" s="309">
        <f t="shared" si="7"/>
        <v>140000</v>
      </c>
    </row>
    <row r="76" spans="1:9">
      <c r="A76" s="308">
        <v>5</v>
      </c>
      <c r="B76" s="308" t="s">
        <v>324</v>
      </c>
      <c r="C76" s="308" t="s">
        <v>243</v>
      </c>
      <c r="D76" s="308" t="s">
        <v>207</v>
      </c>
      <c r="E76" s="309">
        <v>35000</v>
      </c>
      <c r="F76" s="309">
        <v>35000</v>
      </c>
      <c r="G76" s="309">
        <v>35000</v>
      </c>
      <c r="H76" s="309">
        <v>35000</v>
      </c>
      <c r="I76" s="309">
        <f t="shared" si="7"/>
        <v>140000</v>
      </c>
    </row>
    <row r="77" spans="1:9">
      <c r="A77" s="308">
        <v>6</v>
      </c>
      <c r="B77" s="308" t="s">
        <v>554</v>
      </c>
      <c r="C77" s="308" t="s">
        <v>243</v>
      </c>
      <c r="D77" s="308" t="s">
        <v>428</v>
      </c>
      <c r="E77" s="309">
        <v>35000</v>
      </c>
      <c r="F77" s="309">
        <v>35000</v>
      </c>
      <c r="G77" s="309">
        <v>35000</v>
      </c>
      <c r="H77" s="309">
        <v>35000</v>
      </c>
      <c r="I77" s="309">
        <f t="shared" si="7"/>
        <v>140000</v>
      </c>
    </row>
    <row r="78" spans="1:9">
      <c r="A78" s="308">
        <v>7</v>
      </c>
      <c r="B78" s="308" t="s">
        <v>552</v>
      </c>
      <c r="C78" s="308" t="s">
        <v>553</v>
      </c>
      <c r="D78" s="308" t="s">
        <v>105</v>
      </c>
      <c r="E78" s="311">
        <v>35000</v>
      </c>
      <c r="F78" s="311">
        <v>35000</v>
      </c>
      <c r="G78" s="311">
        <v>35000</v>
      </c>
      <c r="H78" s="311">
        <v>35000</v>
      </c>
      <c r="I78" s="311">
        <f t="shared" si="7"/>
        <v>140000</v>
      </c>
    </row>
    <row r="79" spans="1:9">
      <c r="A79" s="308"/>
      <c r="B79" s="312" t="s">
        <v>574</v>
      </c>
      <c r="C79" s="308"/>
      <c r="D79" s="308"/>
      <c r="E79" s="313">
        <f>SUM(E72:E78)</f>
        <v>245000</v>
      </c>
      <c r="F79" s="313">
        <f t="shared" ref="F79:H79" si="8">SUM(F72:F78)</f>
        <v>245000</v>
      </c>
      <c r="G79" s="313">
        <f t="shared" si="8"/>
        <v>245000</v>
      </c>
      <c r="H79" s="313">
        <f t="shared" si="8"/>
        <v>245000</v>
      </c>
      <c r="I79" s="313">
        <f>SUM(I72:I78)</f>
        <v>980000</v>
      </c>
    </row>
    <row r="80" spans="1:9">
      <c r="E80" s="295"/>
      <c r="F80" s="295"/>
      <c r="G80" s="295"/>
      <c r="H80" s="295"/>
      <c r="I80" s="295"/>
    </row>
    <row r="81" spans="1:9">
      <c r="B81" s="299" t="s">
        <v>463</v>
      </c>
      <c r="E81" s="295"/>
      <c r="F81" s="295"/>
      <c r="G81" s="295"/>
      <c r="H81" s="295"/>
      <c r="I81" s="295"/>
    </row>
    <row r="82" spans="1:9">
      <c r="A82" s="308">
        <v>1</v>
      </c>
      <c r="B82" s="308" t="s">
        <v>169</v>
      </c>
      <c r="C82" s="308" t="s">
        <v>258</v>
      </c>
      <c r="D82" s="308" t="s">
        <v>75</v>
      </c>
      <c r="E82" s="309">
        <v>35000</v>
      </c>
      <c r="F82" s="309">
        <v>35000</v>
      </c>
      <c r="G82" s="309">
        <v>35000</v>
      </c>
      <c r="H82" s="309">
        <v>35000</v>
      </c>
      <c r="I82" s="309">
        <f t="shared" ref="I82:I92" si="9">35000*4</f>
        <v>140000</v>
      </c>
    </row>
    <row r="83" spans="1:9">
      <c r="A83" s="308">
        <v>2</v>
      </c>
      <c r="B83" s="308" t="s">
        <v>192</v>
      </c>
      <c r="C83" s="308" t="s">
        <v>258</v>
      </c>
      <c r="D83" s="308" t="s">
        <v>75</v>
      </c>
      <c r="E83" s="309">
        <v>35000</v>
      </c>
      <c r="F83" s="309">
        <v>35000</v>
      </c>
      <c r="G83" s="309">
        <v>35000</v>
      </c>
      <c r="H83" s="309">
        <v>35000</v>
      </c>
      <c r="I83" s="309">
        <f t="shared" si="9"/>
        <v>140000</v>
      </c>
    </row>
    <row r="84" spans="1:9">
      <c r="A84" s="308">
        <v>3</v>
      </c>
      <c r="B84" s="308" t="s">
        <v>138</v>
      </c>
      <c r="C84" s="308" t="s">
        <v>297</v>
      </c>
      <c r="D84" s="308" t="s">
        <v>174</v>
      </c>
      <c r="E84" s="309">
        <v>35000</v>
      </c>
      <c r="F84" s="309">
        <v>35000</v>
      </c>
      <c r="G84" s="309">
        <v>35000</v>
      </c>
      <c r="H84" s="309">
        <v>35000</v>
      </c>
      <c r="I84" s="309">
        <f t="shared" si="9"/>
        <v>140000</v>
      </c>
    </row>
    <row r="85" spans="1:9">
      <c r="A85" s="308">
        <v>4</v>
      </c>
      <c r="B85" s="308" t="s">
        <v>202</v>
      </c>
      <c r="C85" s="308" t="s">
        <v>78</v>
      </c>
      <c r="D85" s="308" t="s">
        <v>181</v>
      </c>
      <c r="E85" s="309">
        <v>35000</v>
      </c>
      <c r="F85" s="309">
        <v>35000</v>
      </c>
      <c r="G85" s="309">
        <v>35000</v>
      </c>
      <c r="H85" s="309">
        <v>35000</v>
      </c>
      <c r="I85" s="309">
        <f t="shared" si="9"/>
        <v>140000</v>
      </c>
    </row>
    <row r="86" spans="1:9">
      <c r="A86" s="308">
        <v>5</v>
      </c>
      <c r="B86" s="308" t="s">
        <v>101</v>
      </c>
      <c r="C86" s="308" t="s">
        <v>80</v>
      </c>
      <c r="D86" s="308" t="s">
        <v>170</v>
      </c>
      <c r="E86" s="309">
        <v>35000</v>
      </c>
      <c r="F86" s="309">
        <v>35000</v>
      </c>
      <c r="G86" s="309">
        <v>35000</v>
      </c>
      <c r="H86" s="309">
        <v>35000</v>
      </c>
      <c r="I86" s="309">
        <f t="shared" si="9"/>
        <v>140000</v>
      </c>
    </row>
    <row r="87" spans="1:9">
      <c r="A87" s="308">
        <v>6</v>
      </c>
      <c r="B87" s="308" t="s">
        <v>336</v>
      </c>
      <c r="C87" s="308" t="s">
        <v>257</v>
      </c>
      <c r="D87" s="308" t="s">
        <v>163</v>
      </c>
      <c r="E87" s="309">
        <v>35000</v>
      </c>
      <c r="F87" s="309">
        <v>35000</v>
      </c>
      <c r="G87" s="309">
        <v>35000</v>
      </c>
      <c r="H87" s="309">
        <v>35000</v>
      </c>
      <c r="I87" s="309">
        <f t="shared" si="9"/>
        <v>140000</v>
      </c>
    </row>
    <row r="88" spans="1:9">
      <c r="A88" s="308">
        <v>7</v>
      </c>
      <c r="B88" s="308" t="s">
        <v>337</v>
      </c>
      <c r="C88" s="308" t="s">
        <v>257</v>
      </c>
      <c r="D88" s="308" t="s">
        <v>163</v>
      </c>
      <c r="E88" s="309">
        <v>35000</v>
      </c>
      <c r="F88" s="309">
        <v>35000</v>
      </c>
      <c r="G88" s="309">
        <v>35000</v>
      </c>
      <c r="H88" s="309">
        <v>35000</v>
      </c>
      <c r="I88" s="309">
        <f t="shared" si="9"/>
        <v>140000</v>
      </c>
    </row>
    <row r="89" spans="1:9">
      <c r="A89" s="308">
        <v>8</v>
      </c>
      <c r="B89" s="308" t="s">
        <v>421</v>
      </c>
      <c r="C89" s="308" t="s">
        <v>422</v>
      </c>
      <c r="D89" s="308" t="s">
        <v>369</v>
      </c>
      <c r="E89" s="309">
        <v>35000</v>
      </c>
      <c r="F89" s="309">
        <v>35000</v>
      </c>
      <c r="G89" s="309">
        <v>35000</v>
      </c>
      <c r="H89" s="309">
        <v>35000</v>
      </c>
      <c r="I89" s="309">
        <f t="shared" si="9"/>
        <v>140000</v>
      </c>
    </row>
    <row r="90" spans="1:9">
      <c r="A90" s="308">
        <v>9</v>
      </c>
      <c r="B90" s="308" t="s">
        <v>556</v>
      </c>
      <c r="C90" s="308" t="s">
        <v>422</v>
      </c>
      <c r="D90" s="308" t="s">
        <v>369</v>
      </c>
      <c r="E90" s="309">
        <v>35000</v>
      </c>
      <c r="F90" s="309">
        <v>35000</v>
      </c>
      <c r="G90" s="309">
        <v>35000</v>
      </c>
      <c r="H90" s="309">
        <v>35000</v>
      </c>
      <c r="I90" s="309">
        <f t="shared" si="9"/>
        <v>140000</v>
      </c>
    </row>
    <row r="91" spans="1:9">
      <c r="A91" s="308">
        <v>10</v>
      </c>
      <c r="B91" s="308" t="s">
        <v>436</v>
      </c>
      <c r="C91" s="308" t="s">
        <v>470</v>
      </c>
      <c r="D91" s="308" t="s">
        <v>104</v>
      </c>
      <c r="E91" s="309">
        <v>35000</v>
      </c>
      <c r="F91" s="309">
        <v>35000</v>
      </c>
      <c r="G91" s="309">
        <v>35000</v>
      </c>
      <c r="H91" s="309">
        <v>35000</v>
      </c>
      <c r="I91" s="309">
        <f t="shared" si="9"/>
        <v>140000</v>
      </c>
    </row>
    <row r="92" spans="1:9">
      <c r="A92" s="308">
        <v>11</v>
      </c>
      <c r="B92" s="308" t="s">
        <v>406</v>
      </c>
      <c r="C92" s="308" t="s">
        <v>432</v>
      </c>
      <c r="D92" s="308" t="s">
        <v>176</v>
      </c>
      <c r="E92" s="311">
        <v>35000</v>
      </c>
      <c r="F92" s="311">
        <v>35000</v>
      </c>
      <c r="G92" s="311">
        <v>35000</v>
      </c>
      <c r="H92" s="311">
        <v>35000</v>
      </c>
      <c r="I92" s="311">
        <f t="shared" si="9"/>
        <v>140000</v>
      </c>
    </row>
    <row r="93" spans="1:9">
      <c r="A93" s="308"/>
      <c r="B93" s="312" t="s">
        <v>575</v>
      </c>
      <c r="C93" s="308"/>
      <c r="D93" s="308"/>
      <c r="E93" s="313">
        <f>SUM(E82:E92)</f>
        <v>385000</v>
      </c>
      <c r="F93" s="313">
        <f t="shared" ref="F93:H93" si="10">SUM(F82:F92)</f>
        <v>385000</v>
      </c>
      <c r="G93" s="313">
        <f t="shared" si="10"/>
        <v>385000</v>
      </c>
      <c r="H93" s="313">
        <f t="shared" si="10"/>
        <v>385000</v>
      </c>
      <c r="I93" s="313">
        <f>SUM(I82:I92)</f>
        <v>1540000</v>
      </c>
    </row>
    <row r="94" spans="1:9">
      <c r="E94" s="295"/>
      <c r="F94" s="295"/>
      <c r="G94" s="295"/>
      <c r="H94" s="295"/>
      <c r="I94" s="295"/>
    </row>
    <row r="95" spans="1:9">
      <c r="B95" s="299" t="s">
        <v>464</v>
      </c>
      <c r="E95" s="295"/>
      <c r="F95" s="295"/>
      <c r="G95" s="295"/>
      <c r="H95" s="295"/>
      <c r="I95" s="295"/>
    </row>
    <row r="96" spans="1:9">
      <c r="A96" s="308">
        <v>1</v>
      </c>
      <c r="B96" s="308" t="s">
        <v>364</v>
      </c>
      <c r="C96" s="308" t="s">
        <v>343</v>
      </c>
      <c r="D96" s="308" t="s">
        <v>221</v>
      </c>
      <c r="E96" s="309">
        <v>35000</v>
      </c>
      <c r="F96" s="309">
        <v>35000</v>
      </c>
      <c r="G96" s="309">
        <v>35000</v>
      </c>
      <c r="H96" s="309">
        <v>35000</v>
      </c>
      <c r="I96" s="309">
        <f>E96+F96+G96+H96</f>
        <v>140000</v>
      </c>
    </row>
    <row r="97" spans="1:9">
      <c r="A97" s="308">
        <v>2</v>
      </c>
      <c r="B97" s="308" t="s">
        <v>185</v>
      </c>
      <c r="C97" s="308" t="s">
        <v>373</v>
      </c>
      <c r="D97" s="308" t="s">
        <v>181</v>
      </c>
      <c r="E97" s="309">
        <v>35000</v>
      </c>
      <c r="F97" s="309">
        <v>35000</v>
      </c>
      <c r="G97" s="309">
        <v>35000</v>
      </c>
      <c r="H97" s="309">
        <v>35000</v>
      </c>
      <c r="I97" s="309">
        <f t="shared" ref="I97:I99" si="11">E97+F97+G97+H97</f>
        <v>140000</v>
      </c>
    </row>
    <row r="98" spans="1:9">
      <c r="A98" s="308">
        <v>3</v>
      </c>
      <c r="B98" s="308" t="s">
        <v>237</v>
      </c>
      <c r="C98" s="308" t="s">
        <v>483</v>
      </c>
      <c r="D98" s="308" t="s">
        <v>415</v>
      </c>
      <c r="E98" s="309">
        <v>35000</v>
      </c>
      <c r="F98" s="309">
        <v>35000</v>
      </c>
      <c r="G98" s="309">
        <v>35000</v>
      </c>
      <c r="H98" s="309">
        <v>35000</v>
      </c>
      <c r="I98" s="309">
        <f t="shared" si="11"/>
        <v>140000</v>
      </c>
    </row>
    <row r="99" spans="1:9">
      <c r="A99" s="308">
        <v>4</v>
      </c>
      <c r="B99" s="308" t="s">
        <v>345</v>
      </c>
      <c r="C99" s="308" t="s">
        <v>541</v>
      </c>
      <c r="D99" s="308" t="s">
        <v>267</v>
      </c>
      <c r="E99" s="311">
        <v>35000</v>
      </c>
      <c r="F99" s="311">
        <v>35000</v>
      </c>
      <c r="G99" s="311">
        <v>35000</v>
      </c>
      <c r="H99" s="311">
        <v>35000</v>
      </c>
      <c r="I99" s="311">
        <f t="shared" si="11"/>
        <v>140000</v>
      </c>
    </row>
    <row r="100" spans="1:9">
      <c r="A100" s="308"/>
      <c r="B100" s="312" t="s">
        <v>576</v>
      </c>
      <c r="C100" s="308"/>
      <c r="D100" s="308"/>
      <c r="E100" s="313">
        <f>SUM(E96:E99)</f>
        <v>140000</v>
      </c>
      <c r="F100" s="313">
        <f t="shared" ref="F100:H100" si="12">SUM(F96:F99)</f>
        <v>140000</v>
      </c>
      <c r="G100" s="313">
        <f t="shared" si="12"/>
        <v>140000</v>
      </c>
      <c r="H100" s="313">
        <f t="shared" si="12"/>
        <v>140000</v>
      </c>
      <c r="I100" s="313">
        <f>SUM(I96:I99)</f>
        <v>560000</v>
      </c>
    </row>
    <row r="101" spans="1:9">
      <c r="E101" s="295"/>
      <c r="F101" s="295"/>
      <c r="G101" s="295"/>
      <c r="H101" s="295"/>
      <c r="I101" s="295"/>
    </row>
    <row r="102" spans="1:9">
      <c r="B102" s="299" t="s">
        <v>465</v>
      </c>
      <c r="E102" s="295"/>
      <c r="F102" s="295"/>
      <c r="G102" s="295"/>
      <c r="H102" s="295"/>
      <c r="I102" s="295"/>
    </row>
    <row r="103" spans="1:9">
      <c r="A103" s="308">
        <v>1</v>
      </c>
      <c r="B103" s="308" t="s">
        <v>216</v>
      </c>
      <c r="C103" s="308" t="s">
        <v>217</v>
      </c>
      <c r="D103" s="308" t="s">
        <v>161</v>
      </c>
      <c r="E103" s="309">
        <f>35000</f>
        <v>35000</v>
      </c>
      <c r="F103" s="309">
        <f>35000</f>
        <v>35000</v>
      </c>
      <c r="G103" s="309">
        <f>35000</f>
        <v>35000</v>
      </c>
      <c r="H103" s="309">
        <f>35000</f>
        <v>35000</v>
      </c>
      <c r="I103" s="309">
        <f>E103+F103+G103+H103</f>
        <v>140000</v>
      </c>
    </row>
    <row r="104" spans="1:9">
      <c r="A104" s="308">
        <v>2</v>
      </c>
      <c r="B104" s="308" t="s">
        <v>110</v>
      </c>
      <c r="C104" s="308" t="s">
        <v>259</v>
      </c>
      <c r="D104" s="308" t="s">
        <v>221</v>
      </c>
      <c r="E104" s="309">
        <f>35000</f>
        <v>35000</v>
      </c>
      <c r="F104" s="309">
        <f>35000</f>
        <v>35000</v>
      </c>
      <c r="G104" s="309">
        <f>35000</f>
        <v>35000</v>
      </c>
      <c r="H104" s="309">
        <f>35000</f>
        <v>35000</v>
      </c>
      <c r="I104" s="309">
        <f t="shared" ref="I104:I109" si="13">E104+F104+G104+H104</f>
        <v>140000</v>
      </c>
    </row>
    <row r="105" spans="1:9">
      <c r="A105" s="308">
        <v>3</v>
      </c>
      <c r="B105" s="308" t="s">
        <v>109</v>
      </c>
      <c r="C105" s="308" t="s">
        <v>311</v>
      </c>
      <c r="D105" s="308" t="s">
        <v>175</v>
      </c>
      <c r="E105" s="309">
        <f>35000</f>
        <v>35000</v>
      </c>
      <c r="F105" s="309">
        <f>35000</f>
        <v>35000</v>
      </c>
      <c r="G105" s="309">
        <f>35000</f>
        <v>35000</v>
      </c>
      <c r="H105" s="309">
        <f>35000</f>
        <v>35000</v>
      </c>
      <c r="I105" s="309">
        <f t="shared" si="13"/>
        <v>140000</v>
      </c>
    </row>
    <row r="106" spans="1:9">
      <c r="A106" s="308">
        <v>4</v>
      </c>
      <c r="B106" s="308" t="s">
        <v>135</v>
      </c>
      <c r="C106" s="308" t="s">
        <v>311</v>
      </c>
      <c r="D106" s="308" t="s">
        <v>175</v>
      </c>
      <c r="E106" s="309">
        <f>35000</f>
        <v>35000</v>
      </c>
      <c r="F106" s="309">
        <f>35000</f>
        <v>35000</v>
      </c>
      <c r="G106" s="309">
        <f>35000</f>
        <v>35000</v>
      </c>
      <c r="H106" s="309">
        <f>35000</f>
        <v>35000</v>
      </c>
      <c r="I106" s="309">
        <f t="shared" si="13"/>
        <v>140000</v>
      </c>
    </row>
    <row r="107" spans="1:9">
      <c r="A107" s="308">
        <v>5</v>
      </c>
      <c r="B107" s="308" t="s">
        <v>240</v>
      </c>
      <c r="C107" s="308" t="s">
        <v>338</v>
      </c>
      <c r="D107" s="308" t="s">
        <v>499</v>
      </c>
      <c r="E107" s="309">
        <f>35000</f>
        <v>35000</v>
      </c>
      <c r="F107" s="309">
        <f>35000</f>
        <v>35000</v>
      </c>
      <c r="G107" s="309">
        <f>35000</f>
        <v>35000</v>
      </c>
      <c r="H107" s="309">
        <f>35000</f>
        <v>35000</v>
      </c>
      <c r="I107" s="309">
        <f t="shared" si="13"/>
        <v>140000</v>
      </c>
    </row>
    <row r="108" spans="1:9">
      <c r="A108" s="308">
        <v>6</v>
      </c>
      <c r="B108" s="308" t="s">
        <v>341</v>
      </c>
      <c r="C108" s="308" t="s">
        <v>338</v>
      </c>
      <c r="D108" s="308" t="s">
        <v>267</v>
      </c>
      <c r="E108" s="309">
        <f>35000</f>
        <v>35000</v>
      </c>
      <c r="F108" s="309">
        <f>35000</f>
        <v>35000</v>
      </c>
      <c r="G108" s="309">
        <f>35000</f>
        <v>35000</v>
      </c>
      <c r="H108" s="309">
        <f>35000</f>
        <v>35000</v>
      </c>
      <c r="I108" s="309">
        <f t="shared" si="13"/>
        <v>140000</v>
      </c>
    </row>
    <row r="109" spans="1:9">
      <c r="A109" s="308">
        <v>7</v>
      </c>
      <c r="B109" s="308" t="s">
        <v>374</v>
      </c>
      <c r="C109" s="308" t="s">
        <v>338</v>
      </c>
      <c r="D109" s="308" t="s">
        <v>176</v>
      </c>
      <c r="E109" s="311">
        <f>35000</f>
        <v>35000</v>
      </c>
      <c r="F109" s="311">
        <f>35000</f>
        <v>35000</v>
      </c>
      <c r="G109" s="311">
        <f>35000</f>
        <v>35000</v>
      </c>
      <c r="H109" s="311">
        <f>35000</f>
        <v>35000</v>
      </c>
      <c r="I109" s="311">
        <f t="shared" si="13"/>
        <v>140000</v>
      </c>
    </row>
    <row r="110" spans="1:9">
      <c r="A110" s="308"/>
      <c r="B110" s="312" t="s">
        <v>577</v>
      </c>
      <c r="C110" s="308"/>
      <c r="D110" s="308"/>
      <c r="E110" s="313">
        <f>SUM(E103:E109)</f>
        <v>245000</v>
      </c>
      <c r="F110" s="313">
        <f t="shared" ref="F110:H110" si="14">SUM(F103:F109)</f>
        <v>245000</v>
      </c>
      <c r="G110" s="313">
        <f t="shared" si="14"/>
        <v>245000</v>
      </c>
      <c r="H110" s="313">
        <f t="shared" si="14"/>
        <v>245000</v>
      </c>
      <c r="I110" s="313">
        <f>SUM(I103:I109)</f>
        <v>980000</v>
      </c>
    </row>
    <row r="111" spans="1:9">
      <c r="I111" s="302"/>
    </row>
    <row r="112" spans="1:9">
      <c r="B112" s="299" t="s">
        <v>542</v>
      </c>
      <c r="E112" s="295"/>
      <c r="F112" s="295"/>
      <c r="G112" s="295"/>
      <c r="H112" s="295"/>
      <c r="I112" s="295"/>
    </row>
    <row r="113" spans="1:9">
      <c r="A113" s="308">
        <v>1</v>
      </c>
      <c r="B113" s="308" t="s">
        <v>182</v>
      </c>
      <c r="C113" s="308" t="s">
        <v>422</v>
      </c>
      <c r="D113" s="308" t="s">
        <v>497</v>
      </c>
      <c r="E113" s="309">
        <v>35000</v>
      </c>
      <c r="F113" s="309">
        <v>35000</v>
      </c>
      <c r="G113" s="309">
        <v>35000</v>
      </c>
      <c r="H113" s="309">
        <v>35000</v>
      </c>
      <c r="I113" s="309">
        <f>E113+F113+G113+H113</f>
        <v>140000</v>
      </c>
    </row>
    <row r="114" spans="1:9">
      <c r="A114" s="308">
        <v>2</v>
      </c>
      <c r="B114" s="308" t="s">
        <v>247</v>
      </c>
      <c r="C114" s="308" t="s">
        <v>477</v>
      </c>
      <c r="D114" s="308" t="s">
        <v>415</v>
      </c>
      <c r="E114" s="309">
        <v>35000</v>
      </c>
      <c r="F114" s="309">
        <v>35000</v>
      </c>
      <c r="G114" s="309">
        <v>35000</v>
      </c>
      <c r="H114" s="309">
        <v>35000</v>
      </c>
      <c r="I114" s="309">
        <f t="shared" ref="I114:I115" si="15">E114+F114+G114+H114</f>
        <v>140000</v>
      </c>
    </row>
    <row r="115" spans="1:9">
      <c r="A115" s="308">
        <v>3</v>
      </c>
      <c r="B115" s="308" t="s">
        <v>141</v>
      </c>
      <c r="C115" s="308" t="s">
        <v>391</v>
      </c>
      <c r="D115" s="308" t="s">
        <v>497</v>
      </c>
      <c r="E115" s="311">
        <v>35000</v>
      </c>
      <c r="F115" s="311">
        <v>35000</v>
      </c>
      <c r="G115" s="311">
        <v>35000</v>
      </c>
      <c r="H115" s="311">
        <v>35000</v>
      </c>
      <c r="I115" s="311">
        <f t="shared" si="15"/>
        <v>140000</v>
      </c>
    </row>
    <row r="116" spans="1:9">
      <c r="A116" s="308"/>
      <c r="B116" s="312" t="s">
        <v>578</v>
      </c>
      <c r="C116" s="308"/>
      <c r="D116" s="308"/>
      <c r="E116" s="313">
        <f>SUM(E113:E115)</f>
        <v>105000</v>
      </c>
      <c r="F116" s="313">
        <f t="shared" ref="F116:H116" si="16">SUM(F113:F115)</f>
        <v>105000</v>
      </c>
      <c r="G116" s="313">
        <f t="shared" si="16"/>
        <v>105000</v>
      </c>
      <c r="H116" s="313">
        <f t="shared" si="16"/>
        <v>105000</v>
      </c>
      <c r="I116" s="313">
        <f>SUM(I113:I115)</f>
        <v>420000</v>
      </c>
    </row>
    <row r="117" spans="1:9">
      <c r="E117" s="300"/>
      <c r="F117" s="300"/>
      <c r="G117" s="300"/>
      <c r="H117" s="300"/>
      <c r="I117" s="300"/>
    </row>
    <row r="118" spans="1:9">
      <c r="B118" s="299" t="s">
        <v>466</v>
      </c>
      <c r="E118" s="295"/>
      <c r="F118" s="295"/>
      <c r="G118" s="295"/>
      <c r="H118" s="295"/>
      <c r="I118" s="295"/>
    </row>
    <row r="119" spans="1:9">
      <c r="A119" s="308">
        <v>1</v>
      </c>
      <c r="B119" s="308" t="s">
        <v>20</v>
      </c>
      <c r="C119" s="308" t="s">
        <v>250</v>
      </c>
      <c r="D119" s="308" t="s">
        <v>161</v>
      </c>
      <c r="E119" s="309">
        <v>35000</v>
      </c>
      <c r="F119" s="309">
        <v>35000</v>
      </c>
      <c r="G119" s="309">
        <v>35000</v>
      </c>
      <c r="H119" s="309">
        <v>35000</v>
      </c>
      <c r="I119" s="309">
        <f>E119+F119+G119+H119</f>
        <v>140000</v>
      </c>
    </row>
    <row r="120" spans="1:9">
      <c r="A120" s="308">
        <v>2</v>
      </c>
      <c r="B120" s="308" t="s">
        <v>153</v>
      </c>
      <c r="C120" s="308" t="s">
        <v>376</v>
      </c>
      <c r="D120" s="308" t="s">
        <v>75</v>
      </c>
      <c r="E120" s="309">
        <v>35000</v>
      </c>
      <c r="F120" s="309">
        <v>35000</v>
      </c>
      <c r="G120" s="309">
        <v>35000</v>
      </c>
      <c r="H120" s="309">
        <v>35000</v>
      </c>
      <c r="I120" s="309">
        <f t="shared" ref="I120:I127" si="17">E120+F120+G120+H120</f>
        <v>140000</v>
      </c>
    </row>
    <row r="121" spans="1:9">
      <c r="A121" s="308">
        <v>3</v>
      </c>
      <c r="B121" s="308" t="s">
        <v>142</v>
      </c>
      <c r="C121" s="308" t="s">
        <v>376</v>
      </c>
      <c r="D121" s="308" t="s">
        <v>75</v>
      </c>
      <c r="E121" s="309">
        <v>35000</v>
      </c>
      <c r="F121" s="309">
        <v>35000</v>
      </c>
      <c r="G121" s="309">
        <v>35000</v>
      </c>
      <c r="H121" s="309">
        <v>35000</v>
      </c>
      <c r="I121" s="309">
        <f t="shared" si="17"/>
        <v>140000</v>
      </c>
    </row>
    <row r="122" spans="1:9">
      <c r="A122" s="308">
        <v>5</v>
      </c>
      <c r="B122" s="308" t="s">
        <v>108</v>
      </c>
      <c r="C122" s="308" t="s">
        <v>476</v>
      </c>
      <c r="D122" s="308" t="s">
        <v>162</v>
      </c>
      <c r="E122" s="309">
        <v>35000</v>
      </c>
      <c r="F122" s="309">
        <v>35000</v>
      </c>
      <c r="G122" s="309">
        <v>35000</v>
      </c>
      <c r="H122" s="309">
        <v>35000</v>
      </c>
      <c r="I122" s="309">
        <f t="shared" si="17"/>
        <v>140000</v>
      </c>
    </row>
    <row r="123" spans="1:9">
      <c r="A123" s="308">
        <v>6</v>
      </c>
      <c r="B123" s="308" t="s">
        <v>178</v>
      </c>
      <c r="C123" s="308" t="s">
        <v>382</v>
      </c>
      <c r="D123" s="308" t="s">
        <v>170</v>
      </c>
      <c r="E123" s="309">
        <v>35000</v>
      </c>
      <c r="F123" s="309">
        <v>35000</v>
      </c>
      <c r="G123" s="309">
        <v>35000</v>
      </c>
      <c r="H123" s="309">
        <v>35000</v>
      </c>
      <c r="I123" s="309">
        <f t="shared" si="17"/>
        <v>140000</v>
      </c>
    </row>
    <row r="124" spans="1:9">
      <c r="A124" s="308">
        <v>7</v>
      </c>
      <c r="B124" s="308" t="s">
        <v>134</v>
      </c>
      <c r="C124" s="308" t="s">
        <v>384</v>
      </c>
      <c r="D124" s="308" t="s">
        <v>170</v>
      </c>
      <c r="E124" s="309">
        <v>35000</v>
      </c>
      <c r="F124" s="309">
        <v>35000</v>
      </c>
      <c r="G124" s="309">
        <v>35000</v>
      </c>
      <c r="H124" s="309">
        <v>35000</v>
      </c>
      <c r="I124" s="309">
        <f t="shared" si="17"/>
        <v>140000</v>
      </c>
    </row>
    <row r="125" spans="1:9">
      <c r="A125" s="308">
        <v>8</v>
      </c>
      <c r="B125" s="308" t="s">
        <v>443</v>
      </c>
      <c r="C125" s="308" t="s">
        <v>447</v>
      </c>
      <c r="D125" s="308" t="s">
        <v>498</v>
      </c>
      <c r="E125" s="309">
        <v>35000</v>
      </c>
      <c r="F125" s="309">
        <v>35000</v>
      </c>
      <c r="G125" s="309">
        <v>35000</v>
      </c>
      <c r="H125" s="309">
        <v>35000</v>
      </c>
      <c r="I125" s="309">
        <f t="shared" si="17"/>
        <v>140000</v>
      </c>
    </row>
    <row r="126" spans="1:9">
      <c r="A126" s="308">
        <v>9</v>
      </c>
      <c r="B126" s="308" t="s">
        <v>439</v>
      </c>
      <c r="C126" s="308" t="s">
        <v>440</v>
      </c>
      <c r="D126" s="308" t="s">
        <v>105</v>
      </c>
      <c r="E126" s="309">
        <v>35000</v>
      </c>
      <c r="F126" s="309">
        <v>35000</v>
      </c>
      <c r="G126" s="309">
        <v>35000</v>
      </c>
      <c r="H126" s="309">
        <v>35000</v>
      </c>
      <c r="I126" s="309">
        <f t="shared" si="17"/>
        <v>140000</v>
      </c>
    </row>
    <row r="127" spans="1:9">
      <c r="A127" s="308">
        <v>10</v>
      </c>
      <c r="B127" s="308" t="s">
        <v>535</v>
      </c>
      <c r="C127" s="308" t="s">
        <v>536</v>
      </c>
      <c r="D127" s="308" t="s">
        <v>105</v>
      </c>
      <c r="E127" s="311">
        <v>35000</v>
      </c>
      <c r="F127" s="311">
        <v>35000</v>
      </c>
      <c r="G127" s="311">
        <v>35000</v>
      </c>
      <c r="H127" s="311">
        <v>35000</v>
      </c>
      <c r="I127" s="311">
        <f t="shared" si="17"/>
        <v>140000</v>
      </c>
    </row>
    <row r="128" spans="1:9">
      <c r="A128" s="308"/>
      <c r="B128" s="312" t="s">
        <v>579</v>
      </c>
      <c r="C128" s="308"/>
      <c r="D128" s="308"/>
      <c r="E128" s="313">
        <f>SUM(E119:E127)</f>
        <v>315000</v>
      </c>
      <c r="F128" s="313">
        <f>SUM(F119:F127)</f>
        <v>315000</v>
      </c>
      <c r="G128" s="313">
        <f>SUM(G119:G127)</f>
        <v>315000</v>
      </c>
      <c r="H128" s="313">
        <f>SUM(H119:H127)</f>
        <v>315000</v>
      </c>
      <c r="I128" s="313">
        <f>SUM(I119:I127)</f>
        <v>1260000</v>
      </c>
    </row>
    <row r="129" spans="1:9">
      <c r="E129" s="295"/>
      <c r="F129" s="295"/>
      <c r="G129" s="295"/>
      <c r="H129" s="295"/>
      <c r="I129" s="295"/>
    </row>
    <row r="130" spans="1:9">
      <c r="B130" s="299" t="s">
        <v>467</v>
      </c>
      <c r="E130" s="295"/>
      <c r="F130" s="295"/>
      <c r="G130" s="295"/>
      <c r="H130" s="295"/>
      <c r="I130" s="295"/>
    </row>
    <row r="131" spans="1:9">
      <c r="A131" s="308">
        <v>1</v>
      </c>
      <c r="B131" s="308" t="s">
        <v>21</v>
      </c>
      <c r="C131" s="308" t="s">
        <v>393</v>
      </c>
      <c r="D131" s="308" t="s">
        <v>161</v>
      </c>
      <c r="E131" s="309">
        <v>35000</v>
      </c>
      <c r="F131" s="309">
        <v>35000</v>
      </c>
      <c r="G131" s="309">
        <v>35000</v>
      </c>
      <c r="H131" s="309">
        <v>35000</v>
      </c>
      <c r="I131" s="309">
        <f>E131+F131+G131+H131</f>
        <v>140000</v>
      </c>
    </row>
    <row r="132" spans="1:9">
      <c r="A132" s="308">
        <v>3</v>
      </c>
      <c r="B132" s="308" t="s">
        <v>183</v>
      </c>
      <c r="C132" s="308" t="s">
        <v>486</v>
      </c>
      <c r="D132" s="308" t="s">
        <v>221</v>
      </c>
      <c r="E132" s="309">
        <v>35000</v>
      </c>
      <c r="F132" s="309">
        <v>35000</v>
      </c>
      <c r="G132" s="309">
        <v>35000</v>
      </c>
      <c r="H132" s="309">
        <v>35000</v>
      </c>
      <c r="I132" s="309">
        <f t="shared" ref="I132:I189" si="18">E132+F132+G132+H132</f>
        <v>140000</v>
      </c>
    </row>
    <row r="133" spans="1:9">
      <c r="A133" s="308">
        <v>4</v>
      </c>
      <c r="B133" s="308" t="s">
        <v>106</v>
      </c>
      <c r="C133" s="308" t="s">
        <v>381</v>
      </c>
      <c r="D133" s="308" t="s">
        <v>181</v>
      </c>
      <c r="E133" s="309">
        <v>35000</v>
      </c>
      <c r="F133" s="309">
        <v>35000</v>
      </c>
      <c r="G133" s="309">
        <v>35000</v>
      </c>
      <c r="H133" s="309">
        <v>35000</v>
      </c>
      <c r="I133" s="309">
        <f t="shared" si="18"/>
        <v>140000</v>
      </c>
    </row>
    <row r="134" spans="1:9">
      <c r="A134" s="308">
        <v>5</v>
      </c>
      <c r="B134" s="308" t="s">
        <v>7</v>
      </c>
      <c r="C134" s="308" t="s">
        <v>385</v>
      </c>
      <c r="D134" s="308" t="s">
        <v>181</v>
      </c>
      <c r="E134" s="309">
        <v>35000</v>
      </c>
      <c r="F134" s="309">
        <v>35000</v>
      </c>
      <c r="G134" s="309">
        <v>35000</v>
      </c>
      <c r="H134" s="309">
        <v>35000</v>
      </c>
      <c r="I134" s="309">
        <f t="shared" si="18"/>
        <v>140000</v>
      </c>
    </row>
    <row r="135" spans="1:9">
      <c r="A135" s="308">
        <v>6</v>
      </c>
      <c r="B135" s="308" t="s">
        <v>6</v>
      </c>
      <c r="C135" s="308" t="s">
        <v>385</v>
      </c>
      <c r="D135" s="308" t="s">
        <v>181</v>
      </c>
      <c r="E135" s="309">
        <v>35000</v>
      </c>
      <c r="F135" s="309">
        <v>35000</v>
      </c>
      <c r="G135" s="309">
        <v>35000</v>
      </c>
      <c r="H135" s="309">
        <v>35000</v>
      </c>
      <c r="I135" s="309">
        <f t="shared" si="18"/>
        <v>140000</v>
      </c>
    </row>
    <row r="136" spans="1:9">
      <c r="A136" s="308">
        <v>7</v>
      </c>
      <c r="B136" s="308" t="s">
        <v>124</v>
      </c>
      <c r="C136" s="308" t="s">
        <v>235</v>
      </c>
      <c r="D136" s="308" t="s">
        <v>170</v>
      </c>
      <c r="E136" s="309">
        <v>35000</v>
      </c>
      <c r="F136" s="309">
        <v>35000</v>
      </c>
      <c r="G136" s="309">
        <v>35000</v>
      </c>
      <c r="H136" s="309">
        <v>35000</v>
      </c>
      <c r="I136" s="309">
        <f t="shared" si="18"/>
        <v>140000</v>
      </c>
    </row>
    <row r="137" spans="1:9">
      <c r="A137" s="308">
        <v>8</v>
      </c>
      <c r="B137" s="308" t="s">
        <v>102</v>
      </c>
      <c r="C137" s="308" t="s">
        <v>395</v>
      </c>
      <c r="D137" s="308" t="s">
        <v>497</v>
      </c>
      <c r="E137" s="309">
        <v>35000</v>
      </c>
      <c r="F137" s="309">
        <v>35000</v>
      </c>
      <c r="G137" s="309">
        <v>35000</v>
      </c>
      <c r="H137" s="309">
        <v>35000</v>
      </c>
      <c r="I137" s="309">
        <f t="shared" si="18"/>
        <v>140000</v>
      </c>
    </row>
    <row r="138" spans="1:9">
      <c r="A138" s="308">
        <v>9</v>
      </c>
      <c r="B138" s="308" t="s">
        <v>103</v>
      </c>
      <c r="C138" s="308" t="s">
        <v>395</v>
      </c>
      <c r="D138" s="308" t="s">
        <v>497</v>
      </c>
      <c r="E138" s="309">
        <v>35000</v>
      </c>
      <c r="F138" s="309">
        <v>35000</v>
      </c>
      <c r="G138" s="309">
        <v>35000</v>
      </c>
      <c r="H138" s="309">
        <v>35000</v>
      </c>
      <c r="I138" s="309">
        <f t="shared" si="18"/>
        <v>140000</v>
      </c>
    </row>
    <row r="139" spans="1:9">
      <c r="A139" s="308">
        <v>10</v>
      </c>
      <c r="B139" s="308" t="s">
        <v>151</v>
      </c>
      <c r="C139" s="308" t="s">
        <v>235</v>
      </c>
      <c r="D139" s="308" t="s">
        <v>497</v>
      </c>
      <c r="E139" s="309">
        <v>35000</v>
      </c>
      <c r="F139" s="309">
        <v>35000</v>
      </c>
      <c r="G139" s="309">
        <v>35000</v>
      </c>
      <c r="H139" s="309">
        <v>35000</v>
      </c>
      <c r="I139" s="309">
        <f t="shared" si="18"/>
        <v>140000</v>
      </c>
    </row>
    <row r="140" spans="1:9">
      <c r="A140" s="308">
        <v>11</v>
      </c>
      <c r="B140" s="308" t="s">
        <v>238</v>
      </c>
      <c r="C140" s="308" t="s">
        <v>546</v>
      </c>
      <c r="D140" s="308" t="s">
        <v>415</v>
      </c>
      <c r="E140" s="309">
        <v>35000</v>
      </c>
      <c r="F140" s="309">
        <v>35000</v>
      </c>
      <c r="G140" s="309">
        <v>35000</v>
      </c>
      <c r="H140" s="309">
        <v>35000</v>
      </c>
      <c r="I140" s="309">
        <f t="shared" si="18"/>
        <v>140000</v>
      </c>
    </row>
    <row r="141" spans="1:9">
      <c r="A141" s="308">
        <v>12</v>
      </c>
      <c r="B141" s="308" t="s">
        <v>53</v>
      </c>
      <c r="C141" s="308" t="s">
        <v>300</v>
      </c>
      <c r="D141" s="308" t="s">
        <v>27</v>
      </c>
      <c r="E141" s="309">
        <v>35000</v>
      </c>
      <c r="F141" s="309">
        <v>35000</v>
      </c>
      <c r="G141" s="309">
        <v>35000</v>
      </c>
      <c r="H141" s="309">
        <v>35000</v>
      </c>
      <c r="I141" s="309">
        <f t="shared" si="18"/>
        <v>140000</v>
      </c>
    </row>
    <row r="142" spans="1:9">
      <c r="A142" s="308">
        <v>13</v>
      </c>
      <c r="B142" s="308" t="s">
        <v>179</v>
      </c>
      <c r="C142" s="308" t="s">
        <v>479</v>
      </c>
      <c r="D142" s="308" t="s">
        <v>497</v>
      </c>
      <c r="E142" s="309">
        <v>35000</v>
      </c>
      <c r="F142" s="309">
        <v>35000</v>
      </c>
      <c r="G142" s="309">
        <v>35000</v>
      </c>
      <c r="H142" s="309">
        <v>35000</v>
      </c>
      <c r="I142" s="309">
        <f t="shared" si="18"/>
        <v>140000</v>
      </c>
    </row>
    <row r="143" spans="1:9">
      <c r="A143" s="308">
        <v>14</v>
      </c>
      <c r="B143" s="308" t="s">
        <v>293</v>
      </c>
      <c r="C143" s="308" t="s">
        <v>438</v>
      </c>
      <c r="D143" s="308" t="s">
        <v>27</v>
      </c>
      <c r="E143" s="309">
        <v>35000</v>
      </c>
      <c r="F143" s="309">
        <v>35000</v>
      </c>
      <c r="G143" s="309">
        <v>35000</v>
      </c>
      <c r="H143" s="309">
        <v>35000</v>
      </c>
      <c r="I143" s="309">
        <f t="shared" si="18"/>
        <v>140000</v>
      </c>
    </row>
    <row r="144" spans="1:9">
      <c r="A144" s="308">
        <v>15</v>
      </c>
      <c r="B144" s="308" t="s">
        <v>488</v>
      </c>
      <c r="C144" s="308" t="s">
        <v>239</v>
      </c>
      <c r="D144" s="308" t="s">
        <v>207</v>
      </c>
      <c r="E144" s="309">
        <v>35000</v>
      </c>
      <c r="F144" s="309">
        <v>35000</v>
      </c>
      <c r="G144" s="309">
        <v>35000</v>
      </c>
      <c r="H144" s="309">
        <v>35000</v>
      </c>
      <c r="I144" s="309">
        <f t="shared" si="18"/>
        <v>140000</v>
      </c>
    </row>
    <row r="145" spans="1:9">
      <c r="A145" s="308">
        <v>16</v>
      </c>
      <c r="B145" s="308" t="s">
        <v>489</v>
      </c>
      <c r="C145" s="308" t="s">
        <v>239</v>
      </c>
      <c r="D145" s="308" t="s">
        <v>164</v>
      </c>
      <c r="E145" s="309">
        <v>35000</v>
      </c>
      <c r="F145" s="309">
        <v>35000</v>
      </c>
      <c r="G145" s="309">
        <v>35000</v>
      </c>
      <c r="H145" s="309">
        <v>35000</v>
      </c>
      <c r="I145" s="309">
        <f t="shared" si="18"/>
        <v>140000</v>
      </c>
    </row>
    <row r="146" spans="1:9">
      <c r="A146" s="308">
        <v>17</v>
      </c>
      <c r="B146" s="308" t="s">
        <v>212</v>
      </c>
      <c r="C146" s="308" t="s">
        <v>239</v>
      </c>
      <c r="D146" s="308" t="s">
        <v>164</v>
      </c>
      <c r="E146" s="309">
        <v>35000</v>
      </c>
      <c r="F146" s="309">
        <v>35000</v>
      </c>
      <c r="G146" s="309">
        <v>35000</v>
      </c>
      <c r="H146" s="309">
        <v>35000</v>
      </c>
      <c r="I146" s="309">
        <f t="shared" si="18"/>
        <v>140000</v>
      </c>
    </row>
    <row r="147" spans="1:9">
      <c r="A147" s="308">
        <v>18</v>
      </c>
      <c r="B147" s="308" t="s">
        <v>425</v>
      </c>
      <c r="C147" s="308" t="s">
        <v>430</v>
      </c>
      <c r="D147" s="308" t="s">
        <v>104</v>
      </c>
      <c r="E147" s="309">
        <v>35000</v>
      </c>
      <c r="F147" s="309">
        <v>35000</v>
      </c>
      <c r="G147" s="309">
        <v>35000</v>
      </c>
      <c r="H147" s="309">
        <v>35000</v>
      </c>
      <c r="I147" s="309">
        <f t="shared" si="18"/>
        <v>140000</v>
      </c>
    </row>
    <row r="148" spans="1:9">
      <c r="A148" s="308">
        <v>19</v>
      </c>
      <c r="B148" s="308" t="s">
        <v>437</v>
      </c>
      <c r="C148" s="308" t="s">
        <v>438</v>
      </c>
      <c r="D148" s="308" t="s">
        <v>428</v>
      </c>
      <c r="E148" s="309">
        <v>35000</v>
      </c>
      <c r="F148" s="309">
        <v>35000</v>
      </c>
      <c r="G148" s="309">
        <v>35000</v>
      </c>
      <c r="H148" s="309">
        <v>35000</v>
      </c>
      <c r="I148" s="309">
        <f t="shared" si="18"/>
        <v>140000</v>
      </c>
    </row>
    <row r="149" spans="1:9">
      <c r="A149" s="308">
        <v>20</v>
      </c>
      <c r="B149" s="308" t="s">
        <v>230</v>
      </c>
      <c r="C149" s="308" t="s">
        <v>485</v>
      </c>
      <c r="D149" s="308" t="s">
        <v>207</v>
      </c>
      <c r="E149" s="309">
        <v>35000</v>
      </c>
      <c r="F149" s="309">
        <v>35000</v>
      </c>
      <c r="G149" s="309">
        <v>35000</v>
      </c>
      <c r="H149" s="309">
        <v>35000</v>
      </c>
      <c r="I149" s="309">
        <f t="shared" si="18"/>
        <v>140000</v>
      </c>
    </row>
    <row r="150" spans="1:9">
      <c r="A150" s="308">
        <v>21</v>
      </c>
      <c r="B150" s="308" t="s">
        <v>57</v>
      </c>
      <c r="C150" s="308" t="s">
        <v>481</v>
      </c>
      <c r="D150" s="308" t="s">
        <v>498</v>
      </c>
      <c r="E150" s="309">
        <v>35000</v>
      </c>
      <c r="F150" s="309">
        <v>35000</v>
      </c>
      <c r="G150" s="309">
        <v>35000</v>
      </c>
      <c r="H150" s="309">
        <v>35000</v>
      </c>
      <c r="I150" s="309">
        <f t="shared" si="18"/>
        <v>140000</v>
      </c>
    </row>
    <row r="151" spans="1:9">
      <c r="A151" s="308">
        <v>22</v>
      </c>
      <c r="B151" s="308" t="s">
        <v>251</v>
      </c>
      <c r="C151" s="308" t="s">
        <v>482</v>
      </c>
      <c r="D151" s="308" t="s">
        <v>207</v>
      </c>
      <c r="E151" s="309">
        <v>35000</v>
      </c>
      <c r="F151" s="309">
        <v>35000</v>
      </c>
      <c r="G151" s="309">
        <v>35000</v>
      </c>
      <c r="H151" s="309">
        <v>35000</v>
      </c>
      <c r="I151" s="309">
        <f t="shared" si="18"/>
        <v>140000</v>
      </c>
    </row>
    <row r="152" spans="1:9">
      <c r="A152" s="308">
        <v>23</v>
      </c>
      <c r="B152" s="308" t="s">
        <v>241</v>
      </c>
      <c r="C152" s="308" t="s">
        <v>348</v>
      </c>
      <c r="D152" s="308" t="s">
        <v>498</v>
      </c>
      <c r="E152" s="309">
        <v>35000</v>
      </c>
      <c r="F152" s="309">
        <v>35000</v>
      </c>
      <c r="G152" s="309">
        <v>35000</v>
      </c>
      <c r="H152" s="309">
        <v>35000</v>
      </c>
      <c r="I152" s="309">
        <f t="shared" si="18"/>
        <v>140000</v>
      </c>
    </row>
    <row r="153" spans="1:9">
      <c r="A153" s="308">
        <v>24</v>
      </c>
      <c r="B153" s="308" t="s">
        <v>289</v>
      </c>
      <c r="C153" s="308" t="s">
        <v>290</v>
      </c>
      <c r="D153" s="308" t="s">
        <v>267</v>
      </c>
      <c r="E153" s="309">
        <v>35000</v>
      </c>
      <c r="F153" s="309">
        <v>35000</v>
      </c>
      <c r="G153" s="309">
        <v>35000</v>
      </c>
      <c r="H153" s="309">
        <v>35000</v>
      </c>
      <c r="I153" s="309">
        <f t="shared" si="18"/>
        <v>140000</v>
      </c>
    </row>
    <row r="154" spans="1:9">
      <c r="A154" s="308">
        <v>25</v>
      </c>
      <c r="B154" s="308" t="s">
        <v>407</v>
      </c>
      <c r="C154" s="308" t="s">
        <v>131</v>
      </c>
      <c r="D154" s="308" t="s">
        <v>105</v>
      </c>
      <c r="E154" s="309">
        <v>35000</v>
      </c>
      <c r="F154" s="309">
        <v>35000</v>
      </c>
      <c r="G154" s="309">
        <v>35000</v>
      </c>
      <c r="H154" s="309">
        <v>35000</v>
      </c>
      <c r="I154" s="309">
        <f t="shared" si="18"/>
        <v>140000</v>
      </c>
    </row>
    <row r="155" spans="1:9">
      <c r="A155" s="308">
        <v>26</v>
      </c>
      <c r="B155" s="308" t="s">
        <v>426</v>
      </c>
      <c r="C155" s="308" t="s">
        <v>290</v>
      </c>
      <c r="D155" s="308" t="s">
        <v>105</v>
      </c>
      <c r="E155" s="309">
        <v>35000</v>
      </c>
      <c r="F155" s="309">
        <v>35000</v>
      </c>
      <c r="G155" s="309">
        <v>35000</v>
      </c>
      <c r="H155" s="309">
        <v>35000</v>
      </c>
      <c r="I155" s="309">
        <f t="shared" si="18"/>
        <v>140000</v>
      </c>
    </row>
    <row r="156" spans="1:9">
      <c r="A156" s="308">
        <v>27</v>
      </c>
      <c r="B156" s="308" t="s">
        <v>441</v>
      </c>
      <c r="C156" s="308" t="s">
        <v>442</v>
      </c>
      <c r="D156" s="308" t="s">
        <v>105</v>
      </c>
      <c r="E156" s="309">
        <v>35000</v>
      </c>
      <c r="F156" s="309">
        <v>35000</v>
      </c>
      <c r="G156" s="309">
        <v>35000</v>
      </c>
      <c r="H156" s="309">
        <v>35000</v>
      </c>
      <c r="I156" s="309">
        <f t="shared" si="18"/>
        <v>140000</v>
      </c>
    </row>
    <row r="157" spans="1:9">
      <c r="A157" s="308">
        <v>28</v>
      </c>
      <c r="B157" s="308" t="s">
        <v>445</v>
      </c>
      <c r="C157" s="308" t="s">
        <v>446</v>
      </c>
      <c r="D157" s="308" t="s">
        <v>176</v>
      </c>
      <c r="E157" s="309">
        <v>35000</v>
      </c>
      <c r="F157" s="309">
        <v>35000</v>
      </c>
      <c r="G157" s="309">
        <v>35000</v>
      </c>
      <c r="H157" s="309">
        <v>35000</v>
      </c>
      <c r="I157" s="309">
        <f t="shared" si="18"/>
        <v>140000</v>
      </c>
    </row>
    <row r="158" spans="1:9">
      <c r="A158" s="308">
        <v>29</v>
      </c>
      <c r="B158" s="308" t="s">
        <v>550</v>
      </c>
      <c r="C158" s="308" t="s">
        <v>290</v>
      </c>
      <c r="D158" s="308" t="s">
        <v>105</v>
      </c>
      <c r="E158" s="309">
        <v>35000</v>
      </c>
      <c r="F158" s="309">
        <v>35000</v>
      </c>
      <c r="G158" s="309">
        <v>35000</v>
      </c>
      <c r="H158" s="309">
        <v>35000</v>
      </c>
      <c r="I158" s="309">
        <f t="shared" si="18"/>
        <v>140000</v>
      </c>
    </row>
    <row r="159" spans="1:9">
      <c r="A159" s="308">
        <v>30</v>
      </c>
      <c r="B159" s="308" t="s">
        <v>22</v>
      </c>
      <c r="C159" s="308" t="s">
        <v>302</v>
      </c>
      <c r="D159" s="308" t="s">
        <v>501</v>
      </c>
      <c r="E159" s="309">
        <v>35000</v>
      </c>
      <c r="F159" s="309">
        <v>35000</v>
      </c>
      <c r="G159" s="309">
        <v>35000</v>
      </c>
      <c r="H159" s="309">
        <v>35000</v>
      </c>
      <c r="I159" s="309">
        <f t="shared" si="18"/>
        <v>140000</v>
      </c>
    </row>
    <row r="160" spans="1:9">
      <c r="A160" s="308">
        <v>31</v>
      </c>
      <c r="B160" s="308" t="s">
        <v>14</v>
      </c>
      <c r="C160" s="308" t="s">
        <v>302</v>
      </c>
      <c r="D160" s="308" t="s">
        <v>501</v>
      </c>
      <c r="E160" s="309">
        <v>35000</v>
      </c>
      <c r="F160" s="309">
        <v>35000</v>
      </c>
      <c r="G160" s="309">
        <v>35000</v>
      </c>
      <c r="H160" s="309">
        <v>35000</v>
      </c>
      <c r="I160" s="309">
        <f t="shared" si="18"/>
        <v>140000</v>
      </c>
    </row>
    <row r="161" spans="1:9">
      <c r="A161" s="308">
        <v>32</v>
      </c>
      <c r="B161" s="308" t="s">
        <v>23</v>
      </c>
      <c r="C161" s="308" t="s">
        <v>302</v>
      </c>
      <c r="D161" s="308" t="s">
        <v>501</v>
      </c>
      <c r="E161" s="309">
        <v>35000</v>
      </c>
      <c r="F161" s="309">
        <v>35000</v>
      </c>
      <c r="G161" s="309">
        <v>35000</v>
      </c>
      <c r="H161" s="309">
        <v>35000</v>
      </c>
      <c r="I161" s="309">
        <f t="shared" si="18"/>
        <v>140000</v>
      </c>
    </row>
    <row r="162" spans="1:9">
      <c r="A162" s="308">
        <v>33</v>
      </c>
      <c r="B162" s="308" t="s">
        <v>39</v>
      </c>
      <c r="C162" s="308" t="s">
        <v>302</v>
      </c>
      <c r="D162" s="308" t="s">
        <v>501</v>
      </c>
      <c r="E162" s="309">
        <v>35000</v>
      </c>
      <c r="F162" s="309">
        <v>35000</v>
      </c>
      <c r="G162" s="309">
        <v>35000</v>
      </c>
      <c r="H162" s="309">
        <v>35000</v>
      </c>
      <c r="I162" s="309">
        <f t="shared" si="18"/>
        <v>140000</v>
      </c>
    </row>
    <row r="163" spans="1:9">
      <c r="A163" s="308">
        <v>34</v>
      </c>
      <c r="B163" s="308" t="s">
        <v>40</v>
      </c>
      <c r="C163" s="308" t="s">
        <v>302</v>
      </c>
      <c r="D163" s="308" t="s">
        <v>501</v>
      </c>
      <c r="E163" s="309">
        <v>35000</v>
      </c>
      <c r="F163" s="309">
        <v>35000</v>
      </c>
      <c r="G163" s="309">
        <v>35000</v>
      </c>
      <c r="H163" s="309">
        <v>35000</v>
      </c>
      <c r="I163" s="309">
        <f t="shared" si="18"/>
        <v>140000</v>
      </c>
    </row>
    <row r="164" spans="1:9">
      <c r="A164" s="308">
        <v>35</v>
      </c>
      <c r="B164" s="308" t="s">
        <v>127</v>
      </c>
      <c r="C164" s="308" t="s">
        <v>302</v>
      </c>
      <c r="D164" s="308" t="s">
        <v>416</v>
      </c>
      <c r="E164" s="309">
        <v>35000</v>
      </c>
      <c r="F164" s="309">
        <v>35000</v>
      </c>
      <c r="G164" s="309">
        <v>35000</v>
      </c>
      <c r="H164" s="309">
        <v>35000</v>
      </c>
      <c r="I164" s="309">
        <f t="shared" si="18"/>
        <v>140000</v>
      </c>
    </row>
    <row r="165" spans="1:9">
      <c r="A165" s="308">
        <v>36</v>
      </c>
      <c r="B165" s="308" t="s">
        <v>128</v>
      </c>
      <c r="C165" s="308" t="s">
        <v>302</v>
      </c>
      <c r="D165" s="308" t="s">
        <v>416</v>
      </c>
      <c r="E165" s="309">
        <v>35000</v>
      </c>
      <c r="F165" s="309">
        <v>35000</v>
      </c>
      <c r="G165" s="309">
        <v>35000</v>
      </c>
      <c r="H165" s="309">
        <v>35000</v>
      </c>
      <c r="I165" s="309">
        <f t="shared" si="18"/>
        <v>140000</v>
      </c>
    </row>
    <row r="166" spans="1:9">
      <c r="A166" s="308">
        <v>37</v>
      </c>
      <c r="B166" s="308" t="s">
        <v>136</v>
      </c>
      <c r="C166" s="308" t="s">
        <v>302</v>
      </c>
      <c r="D166" s="308" t="s">
        <v>416</v>
      </c>
      <c r="E166" s="309">
        <v>35000</v>
      </c>
      <c r="F166" s="309">
        <v>35000</v>
      </c>
      <c r="G166" s="309">
        <v>35000</v>
      </c>
      <c r="H166" s="309">
        <v>35000</v>
      </c>
      <c r="I166" s="309">
        <f t="shared" si="18"/>
        <v>140000</v>
      </c>
    </row>
    <row r="167" spans="1:9">
      <c r="A167" s="308">
        <v>38</v>
      </c>
      <c r="B167" s="308" t="s">
        <v>140</v>
      </c>
      <c r="C167" s="308" t="s">
        <v>302</v>
      </c>
      <c r="D167" s="308" t="s">
        <v>416</v>
      </c>
      <c r="E167" s="309">
        <v>35000</v>
      </c>
      <c r="F167" s="309">
        <v>35000</v>
      </c>
      <c r="G167" s="309">
        <v>35000</v>
      </c>
      <c r="H167" s="309">
        <v>35000</v>
      </c>
      <c r="I167" s="309">
        <f t="shared" si="18"/>
        <v>140000</v>
      </c>
    </row>
    <row r="168" spans="1:9">
      <c r="A168" s="308">
        <v>39</v>
      </c>
      <c r="B168" s="308" t="s">
        <v>152</v>
      </c>
      <c r="C168" s="308" t="s">
        <v>302</v>
      </c>
      <c r="D168" s="308" t="s">
        <v>416</v>
      </c>
      <c r="E168" s="309">
        <v>35000</v>
      </c>
      <c r="F168" s="309">
        <v>35000</v>
      </c>
      <c r="G168" s="309">
        <v>35000</v>
      </c>
      <c r="H168" s="309">
        <v>35000</v>
      </c>
      <c r="I168" s="309">
        <f t="shared" si="18"/>
        <v>140000</v>
      </c>
    </row>
    <row r="169" spans="1:9">
      <c r="A169" s="308">
        <v>40</v>
      </c>
      <c r="B169" s="308" t="s">
        <v>132</v>
      </c>
      <c r="C169" s="308" t="s">
        <v>302</v>
      </c>
      <c r="D169" s="308" t="s">
        <v>416</v>
      </c>
      <c r="E169" s="309">
        <v>35000</v>
      </c>
      <c r="F169" s="309">
        <v>35000</v>
      </c>
      <c r="G169" s="309">
        <v>35000</v>
      </c>
      <c r="H169" s="309">
        <v>35000</v>
      </c>
      <c r="I169" s="309">
        <f t="shared" si="18"/>
        <v>140000</v>
      </c>
    </row>
    <row r="170" spans="1:9">
      <c r="A170" s="308">
        <v>41</v>
      </c>
      <c r="B170" s="308" t="s">
        <v>231</v>
      </c>
      <c r="C170" s="308" t="s">
        <v>167</v>
      </c>
      <c r="D170" s="308" t="s">
        <v>263</v>
      </c>
      <c r="E170" s="309">
        <v>35000</v>
      </c>
      <c r="F170" s="309">
        <v>35000</v>
      </c>
      <c r="G170" s="309">
        <v>35000</v>
      </c>
      <c r="H170" s="309">
        <v>35000</v>
      </c>
      <c r="I170" s="309">
        <f t="shared" si="18"/>
        <v>140000</v>
      </c>
    </row>
    <row r="171" spans="1:9">
      <c r="A171" s="308">
        <v>42</v>
      </c>
      <c r="B171" s="308" t="s">
        <v>246</v>
      </c>
      <c r="C171" s="308" t="s">
        <v>167</v>
      </c>
      <c r="D171" s="308" t="s">
        <v>263</v>
      </c>
      <c r="E171" s="309">
        <v>35000</v>
      </c>
      <c r="F171" s="309">
        <v>35000</v>
      </c>
      <c r="G171" s="309">
        <v>35000</v>
      </c>
      <c r="H171" s="309">
        <v>35000</v>
      </c>
      <c r="I171" s="309">
        <f t="shared" si="18"/>
        <v>140000</v>
      </c>
    </row>
    <row r="172" spans="1:9">
      <c r="A172" s="308">
        <v>43</v>
      </c>
      <c r="B172" s="308" t="s">
        <v>166</v>
      </c>
      <c r="C172" s="308" t="s">
        <v>167</v>
      </c>
      <c r="D172" s="308" t="s">
        <v>223</v>
      </c>
      <c r="E172" s="309">
        <v>35000</v>
      </c>
      <c r="F172" s="309">
        <v>35000</v>
      </c>
      <c r="G172" s="309">
        <v>35000</v>
      </c>
      <c r="H172" s="309">
        <v>35000</v>
      </c>
      <c r="I172" s="309">
        <f t="shared" si="18"/>
        <v>140000</v>
      </c>
    </row>
    <row r="173" spans="1:9">
      <c r="A173" s="308">
        <v>44</v>
      </c>
      <c r="B173" s="308" t="s">
        <v>204</v>
      </c>
      <c r="C173" s="308" t="s">
        <v>167</v>
      </c>
      <c r="D173" s="308" t="s">
        <v>177</v>
      </c>
      <c r="E173" s="309">
        <v>35000</v>
      </c>
      <c r="F173" s="309">
        <v>35000</v>
      </c>
      <c r="G173" s="309">
        <v>35000</v>
      </c>
      <c r="H173" s="309">
        <v>35000</v>
      </c>
      <c r="I173" s="309">
        <f t="shared" si="18"/>
        <v>140000</v>
      </c>
    </row>
    <row r="174" spans="1:9">
      <c r="A174" s="308">
        <v>45</v>
      </c>
      <c r="B174" s="308" t="s">
        <v>209</v>
      </c>
      <c r="C174" s="308" t="s">
        <v>13</v>
      </c>
      <c r="D174" s="308" t="s">
        <v>502</v>
      </c>
      <c r="E174" s="309">
        <v>35000</v>
      </c>
      <c r="F174" s="309">
        <v>35000</v>
      </c>
      <c r="G174" s="309">
        <v>35000</v>
      </c>
      <c r="H174" s="309">
        <v>35000</v>
      </c>
      <c r="I174" s="309">
        <f t="shared" si="18"/>
        <v>140000</v>
      </c>
    </row>
    <row r="175" spans="1:9">
      <c r="A175" s="308">
        <v>46</v>
      </c>
      <c r="B175" s="308" t="s">
        <v>218</v>
      </c>
      <c r="C175" s="308" t="s">
        <v>13</v>
      </c>
      <c r="D175" s="308" t="s">
        <v>502</v>
      </c>
      <c r="E175" s="309">
        <v>35000</v>
      </c>
      <c r="F175" s="309">
        <v>35000</v>
      </c>
      <c r="G175" s="309">
        <v>35000</v>
      </c>
      <c r="H175" s="309">
        <v>35000</v>
      </c>
      <c r="I175" s="309">
        <f t="shared" si="18"/>
        <v>140000</v>
      </c>
    </row>
    <row r="176" spans="1:9">
      <c r="A176" s="308">
        <v>47</v>
      </c>
      <c r="B176" s="308" t="s">
        <v>219</v>
      </c>
      <c r="C176" s="308" t="s">
        <v>13</v>
      </c>
      <c r="D176" s="308" t="s">
        <v>502</v>
      </c>
      <c r="E176" s="309">
        <v>35000</v>
      </c>
      <c r="F176" s="309">
        <v>35000</v>
      </c>
      <c r="G176" s="309">
        <v>35000</v>
      </c>
      <c r="H176" s="309">
        <v>35000</v>
      </c>
      <c r="I176" s="309">
        <f t="shared" si="18"/>
        <v>140000</v>
      </c>
    </row>
    <row r="177" spans="1:9">
      <c r="A177" s="308">
        <v>48</v>
      </c>
      <c r="B177" s="308" t="s">
        <v>211</v>
      </c>
      <c r="C177" s="308" t="s">
        <v>13</v>
      </c>
      <c r="D177" s="308" t="s">
        <v>502</v>
      </c>
      <c r="E177" s="309">
        <v>35000</v>
      </c>
      <c r="F177" s="309">
        <v>35000</v>
      </c>
      <c r="G177" s="309">
        <v>35000</v>
      </c>
      <c r="H177" s="309">
        <v>35000</v>
      </c>
      <c r="I177" s="309">
        <f t="shared" si="18"/>
        <v>140000</v>
      </c>
    </row>
    <row r="178" spans="1:9">
      <c r="A178" s="308">
        <v>49</v>
      </c>
      <c r="B178" s="308" t="s">
        <v>213</v>
      </c>
      <c r="C178" s="308" t="s">
        <v>13</v>
      </c>
      <c r="D178" s="308" t="s">
        <v>502</v>
      </c>
      <c r="E178" s="309">
        <v>35000</v>
      </c>
      <c r="F178" s="309">
        <v>35000</v>
      </c>
      <c r="G178" s="309">
        <v>35000</v>
      </c>
      <c r="H178" s="309">
        <v>35000</v>
      </c>
      <c r="I178" s="309">
        <f t="shared" si="18"/>
        <v>140000</v>
      </c>
    </row>
    <row r="179" spans="1:9">
      <c r="A179" s="308">
        <v>50</v>
      </c>
      <c r="B179" s="308" t="s">
        <v>342</v>
      </c>
      <c r="C179" s="308" t="s">
        <v>13</v>
      </c>
      <c r="D179" s="308" t="s">
        <v>502</v>
      </c>
      <c r="E179" s="309">
        <v>35000</v>
      </c>
      <c r="F179" s="309">
        <v>35000</v>
      </c>
      <c r="G179" s="309">
        <v>35000</v>
      </c>
      <c r="H179" s="309">
        <v>35000</v>
      </c>
      <c r="I179" s="309">
        <f t="shared" si="18"/>
        <v>140000</v>
      </c>
    </row>
    <row r="180" spans="1:9">
      <c r="A180" s="308">
        <v>51</v>
      </c>
      <c r="B180" s="308" t="s">
        <v>405</v>
      </c>
      <c r="C180" s="308" t="s">
        <v>13</v>
      </c>
      <c r="D180" s="308" t="s">
        <v>502</v>
      </c>
      <c r="E180" s="309">
        <v>35000</v>
      </c>
      <c r="F180" s="309">
        <v>35000</v>
      </c>
      <c r="G180" s="309">
        <v>35000</v>
      </c>
      <c r="H180" s="309">
        <v>35000</v>
      </c>
      <c r="I180" s="309">
        <f t="shared" si="18"/>
        <v>140000</v>
      </c>
    </row>
    <row r="181" spans="1:9">
      <c r="A181" s="308">
        <v>52</v>
      </c>
      <c r="B181" s="308" t="s">
        <v>232</v>
      </c>
      <c r="C181" s="308" t="s">
        <v>167</v>
      </c>
      <c r="D181" s="308" t="s">
        <v>502</v>
      </c>
      <c r="E181" s="309">
        <v>35000</v>
      </c>
      <c r="F181" s="309">
        <v>35000</v>
      </c>
      <c r="G181" s="309">
        <v>35000</v>
      </c>
      <c r="H181" s="309">
        <v>35000</v>
      </c>
      <c r="I181" s="309">
        <f t="shared" si="18"/>
        <v>140000</v>
      </c>
    </row>
    <row r="182" spans="1:9">
      <c r="A182" s="308">
        <v>53</v>
      </c>
      <c r="B182" s="308" t="s">
        <v>233</v>
      </c>
      <c r="C182" s="308" t="s">
        <v>167</v>
      </c>
      <c r="D182" s="308" t="s">
        <v>502</v>
      </c>
      <c r="E182" s="309">
        <v>35000</v>
      </c>
      <c r="F182" s="309">
        <v>35000</v>
      </c>
      <c r="G182" s="309">
        <v>35000</v>
      </c>
      <c r="H182" s="309">
        <v>35000</v>
      </c>
      <c r="I182" s="309">
        <f t="shared" si="18"/>
        <v>140000</v>
      </c>
    </row>
    <row r="183" spans="1:9">
      <c r="A183" s="308">
        <v>54</v>
      </c>
      <c r="B183" s="308" t="s">
        <v>279</v>
      </c>
      <c r="C183" s="308" t="s">
        <v>13</v>
      </c>
      <c r="D183" s="308" t="s">
        <v>503</v>
      </c>
      <c r="E183" s="309">
        <v>35000</v>
      </c>
      <c r="F183" s="309">
        <v>35000</v>
      </c>
      <c r="G183" s="309">
        <v>35000</v>
      </c>
      <c r="H183" s="309">
        <v>35000</v>
      </c>
      <c r="I183" s="309">
        <f t="shared" si="18"/>
        <v>140000</v>
      </c>
    </row>
    <row r="184" spans="1:9">
      <c r="A184" s="308">
        <v>55</v>
      </c>
      <c r="B184" s="308" t="s">
        <v>403</v>
      </c>
      <c r="C184" s="308" t="s">
        <v>13</v>
      </c>
      <c r="D184" s="308" t="s">
        <v>264</v>
      </c>
      <c r="E184" s="309">
        <v>35000</v>
      </c>
      <c r="F184" s="309">
        <v>35000</v>
      </c>
      <c r="G184" s="309">
        <v>35000</v>
      </c>
      <c r="H184" s="309">
        <v>35000</v>
      </c>
      <c r="I184" s="309">
        <f t="shared" si="18"/>
        <v>140000</v>
      </c>
    </row>
    <row r="185" spans="1:9">
      <c r="A185" s="308">
        <v>56</v>
      </c>
      <c r="B185" s="308" t="s">
        <v>557</v>
      </c>
      <c r="C185" s="308" t="s">
        <v>558</v>
      </c>
      <c r="D185" s="308" t="s">
        <v>559</v>
      </c>
      <c r="E185" s="309">
        <v>35000</v>
      </c>
      <c r="F185" s="309">
        <v>35000</v>
      </c>
      <c r="G185" s="309">
        <v>35000</v>
      </c>
      <c r="H185" s="309">
        <v>35000</v>
      </c>
      <c r="I185" s="309">
        <f t="shared" si="18"/>
        <v>140000</v>
      </c>
    </row>
    <row r="186" spans="1:9">
      <c r="A186" s="308">
        <v>57</v>
      </c>
      <c r="B186" s="308" t="s">
        <v>560</v>
      </c>
      <c r="C186" s="308" t="s">
        <v>558</v>
      </c>
      <c r="D186" s="308" t="s">
        <v>559</v>
      </c>
      <c r="E186" s="309">
        <v>35000</v>
      </c>
      <c r="F186" s="309">
        <v>35000</v>
      </c>
      <c r="G186" s="309">
        <v>35000</v>
      </c>
      <c r="H186" s="309">
        <v>35000</v>
      </c>
      <c r="I186" s="309">
        <f t="shared" si="18"/>
        <v>140000</v>
      </c>
    </row>
    <row r="187" spans="1:9">
      <c r="A187" s="308">
        <v>58</v>
      </c>
      <c r="B187" s="308" t="s">
        <v>561</v>
      </c>
      <c r="C187" s="308" t="s">
        <v>558</v>
      </c>
      <c r="D187" s="308" t="s">
        <v>559</v>
      </c>
      <c r="E187" s="309">
        <v>35000</v>
      </c>
      <c r="F187" s="309">
        <v>35000</v>
      </c>
      <c r="G187" s="309">
        <v>35000</v>
      </c>
      <c r="H187" s="309">
        <v>35000</v>
      </c>
      <c r="I187" s="309">
        <f t="shared" si="18"/>
        <v>140000</v>
      </c>
    </row>
    <row r="188" spans="1:9">
      <c r="A188" s="308">
        <v>59</v>
      </c>
      <c r="B188" s="308" t="s">
        <v>562</v>
      </c>
      <c r="C188" s="308" t="s">
        <v>563</v>
      </c>
      <c r="D188" s="308" t="s">
        <v>564</v>
      </c>
      <c r="E188" s="309">
        <v>35000</v>
      </c>
      <c r="F188" s="309">
        <v>35000</v>
      </c>
      <c r="G188" s="309">
        <v>35000</v>
      </c>
      <c r="H188" s="309">
        <v>35000</v>
      </c>
      <c r="I188" s="309">
        <f t="shared" si="18"/>
        <v>140000</v>
      </c>
    </row>
    <row r="189" spans="1:9">
      <c r="A189" s="308">
        <v>60</v>
      </c>
      <c r="B189" s="308" t="s">
        <v>565</v>
      </c>
      <c r="C189" s="308" t="s">
        <v>563</v>
      </c>
      <c r="D189" s="308" t="s">
        <v>564</v>
      </c>
      <c r="E189" s="311">
        <v>35000</v>
      </c>
      <c r="F189" s="311">
        <v>35000</v>
      </c>
      <c r="G189" s="311">
        <v>35000</v>
      </c>
      <c r="H189" s="311">
        <v>35000</v>
      </c>
      <c r="I189" s="311">
        <f t="shared" si="18"/>
        <v>140000</v>
      </c>
    </row>
    <row r="190" spans="1:9">
      <c r="A190" s="308"/>
      <c r="B190" s="312" t="s">
        <v>580</v>
      </c>
      <c r="C190" s="308"/>
      <c r="D190" s="308"/>
      <c r="E190" s="313">
        <f>SUM(E131:E189)</f>
        <v>2065000</v>
      </c>
      <c r="F190" s="313">
        <f t="shared" ref="F190:H190" si="19">SUM(F131:F189)</f>
        <v>2065000</v>
      </c>
      <c r="G190" s="313">
        <f t="shared" si="19"/>
        <v>2065000</v>
      </c>
      <c r="H190" s="313">
        <f t="shared" si="19"/>
        <v>2065000</v>
      </c>
      <c r="I190" s="313">
        <f>SUM(I131:I189)</f>
        <v>8260000</v>
      </c>
    </row>
    <row r="191" spans="1:9">
      <c r="E191" s="295"/>
      <c r="F191" s="295"/>
      <c r="G191" s="295"/>
      <c r="H191" s="295"/>
      <c r="I191" s="300"/>
    </row>
    <row r="192" spans="1:9" ht="24" customHeight="1">
      <c r="A192" s="308"/>
      <c r="B192" s="421" t="s">
        <v>581</v>
      </c>
      <c r="C192" s="421"/>
      <c r="D192" s="421"/>
      <c r="E192" s="421"/>
      <c r="F192" s="421"/>
      <c r="G192" s="421"/>
      <c r="H192" s="421"/>
      <c r="I192" s="314">
        <f>I190+I116+I110+I100+I93+I79+I69+I54+I49+I33+I28</f>
        <v>19740000</v>
      </c>
    </row>
    <row r="193" spans="5:8">
      <c r="E193" s="295"/>
      <c r="F193" s="295"/>
      <c r="G193" s="295"/>
      <c r="H193" s="295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422" t="s">
        <v>234</v>
      </c>
      <c r="B1" s="422"/>
      <c r="C1" s="422"/>
      <c r="D1" s="422"/>
      <c r="E1" s="422"/>
      <c r="F1" s="422"/>
      <c r="G1" s="422"/>
      <c r="H1" s="422"/>
      <c r="I1" s="296"/>
      <c r="J1" s="296"/>
    </row>
    <row r="2" spans="1:10" ht="18.75">
      <c r="A2" s="423" t="s">
        <v>567</v>
      </c>
      <c r="B2" s="423"/>
      <c r="C2" s="423"/>
      <c r="D2" s="423"/>
      <c r="E2" s="423"/>
      <c r="F2" s="423"/>
      <c r="G2" s="423"/>
      <c r="H2" s="423"/>
      <c r="I2" s="294"/>
      <c r="J2" s="294"/>
    </row>
    <row r="3" spans="1:10" ht="37.5" customHeight="1">
      <c r="A3" s="424" t="s">
        <v>568</v>
      </c>
      <c r="B3" s="424"/>
      <c r="C3" s="424"/>
      <c r="D3" s="424"/>
      <c r="E3" s="424"/>
      <c r="F3" s="424"/>
      <c r="G3" s="424"/>
      <c r="H3" s="424"/>
    </row>
    <row r="5" spans="1:10" ht="42.75" customHeight="1">
      <c r="A5" s="304" t="s">
        <v>143</v>
      </c>
      <c r="B5" s="107" t="s">
        <v>0</v>
      </c>
      <c r="C5" s="107" t="s">
        <v>12</v>
      </c>
      <c r="D5" s="305" t="s">
        <v>566</v>
      </c>
      <c r="E5" s="305" t="s">
        <v>655</v>
      </c>
      <c r="F5" s="305" t="s">
        <v>656</v>
      </c>
      <c r="G5" s="305" t="s">
        <v>657</v>
      </c>
      <c r="H5" s="306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2">
        <v>35000</v>
      </c>
      <c r="E6" s="292">
        <v>35000</v>
      </c>
      <c r="F6" s="292">
        <v>35000</v>
      </c>
      <c r="G6" s="292">
        <v>35000</v>
      </c>
      <c r="H6" s="292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2">
        <v>35000</v>
      </c>
      <c r="E7" s="292">
        <v>35000</v>
      </c>
      <c r="F7" s="292">
        <v>35000</v>
      </c>
      <c r="G7" s="292">
        <v>35000</v>
      </c>
      <c r="H7" s="292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2">
        <v>35000</v>
      </c>
      <c r="E8" s="292">
        <v>35000</v>
      </c>
      <c r="F8" s="292">
        <v>35000</v>
      </c>
      <c r="G8" s="292">
        <v>35000</v>
      </c>
      <c r="H8" s="292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2">
        <v>35000</v>
      </c>
      <c r="E9" s="292">
        <v>35000</v>
      </c>
      <c r="F9" s="292">
        <v>35000</v>
      </c>
      <c r="G9" s="292">
        <v>35000</v>
      </c>
      <c r="H9" s="292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2">
        <v>35000</v>
      </c>
      <c r="E10" s="292">
        <v>35000</v>
      </c>
      <c r="F10" s="292">
        <v>35000</v>
      </c>
      <c r="G10" s="292">
        <v>35000</v>
      </c>
      <c r="H10" s="292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2">
        <v>35000</v>
      </c>
      <c r="E11" s="292">
        <v>35000</v>
      </c>
      <c r="F11" s="292">
        <v>35000</v>
      </c>
      <c r="G11" s="292">
        <v>35000</v>
      </c>
      <c r="H11" s="292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2">
        <v>35000</v>
      </c>
      <c r="E12" s="292">
        <v>35000</v>
      </c>
      <c r="F12" s="292">
        <v>35000</v>
      </c>
      <c r="G12" s="292">
        <v>35000</v>
      </c>
      <c r="H12" s="292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2">
        <v>35000</v>
      </c>
      <c r="E13" s="292">
        <v>35000</v>
      </c>
      <c r="F13" s="292">
        <v>35000</v>
      </c>
      <c r="G13" s="292">
        <v>35000</v>
      </c>
      <c r="H13" s="292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2">
        <v>35000</v>
      </c>
      <c r="E14" s="292">
        <v>35000</v>
      </c>
      <c r="F14" s="292">
        <v>35000</v>
      </c>
      <c r="G14" s="292">
        <v>35000</v>
      </c>
      <c r="H14" s="292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2">
        <v>35000</v>
      </c>
      <c r="E15" s="292">
        <v>35000</v>
      </c>
      <c r="F15" s="292">
        <v>35000</v>
      </c>
      <c r="G15" s="292">
        <v>35000</v>
      </c>
      <c r="H15" s="292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2">
        <v>35000</v>
      </c>
      <c r="E16" s="292">
        <v>35000</v>
      </c>
      <c r="F16" s="292">
        <v>35000</v>
      </c>
      <c r="G16" s="292">
        <v>35000</v>
      </c>
      <c r="H16" s="292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2">
        <v>35000</v>
      </c>
      <c r="E17" s="292">
        <v>35000</v>
      </c>
      <c r="F17" s="292">
        <v>35000</v>
      </c>
      <c r="G17" s="292">
        <v>35000</v>
      </c>
      <c r="H17" s="292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2">
        <v>35000</v>
      </c>
      <c r="E18" s="292">
        <v>35000</v>
      </c>
      <c r="F18" s="292">
        <v>35000</v>
      </c>
      <c r="G18" s="292">
        <v>35000</v>
      </c>
      <c r="H18" s="292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2">
        <v>35000</v>
      </c>
      <c r="E19" s="292">
        <v>35000</v>
      </c>
      <c r="F19" s="292">
        <v>35000</v>
      </c>
      <c r="G19" s="292">
        <v>35000</v>
      </c>
      <c r="H19" s="292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2">
        <v>35000</v>
      </c>
      <c r="E20" s="292">
        <v>35000</v>
      </c>
      <c r="F20" s="292">
        <v>35000</v>
      </c>
      <c r="G20" s="292">
        <v>35000</v>
      </c>
      <c r="H20" s="292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2">
        <v>35000</v>
      </c>
      <c r="E21" s="292">
        <v>35000</v>
      </c>
      <c r="F21" s="292">
        <v>35000</v>
      </c>
      <c r="G21" s="292">
        <v>35000</v>
      </c>
      <c r="H21" s="292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2">
        <v>35000</v>
      </c>
      <c r="E22" s="292">
        <v>35000</v>
      </c>
      <c r="F22" s="292">
        <v>35000</v>
      </c>
      <c r="G22" s="292">
        <v>35000</v>
      </c>
      <c r="H22" s="292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2">
        <v>35000</v>
      </c>
      <c r="E23" s="292">
        <v>35000</v>
      </c>
      <c r="F23" s="292">
        <v>35000</v>
      </c>
      <c r="G23" s="292">
        <v>35000</v>
      </c>
      <c r="H23" s="292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2">
        <v>35000</v>
      </c>
      <c r="E24" s="292">
        <v>35000</v>
      </c>
      <c r="F24" s="292">
        <v>35000</v>
      </c>
      <c r="G24" s="292">
        <v>35000</v>
      </c>
      <c r="H24" s="292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2">
        <v>35000</v>
      </c>
      <c r="E25" s="292">
        <v>35000</v>
      </c>
      <c r="F25" s="292">
        <v>35000</v>
      </c>
      <c r="G25" s="292">
        <v>35000</v>
      </c>
      <c r="H25" s="292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2">
        <v>35000</v>
      </c>
      <c r="E26" s="292">
        <v>35000</v>
      </c>
      <c r="F26" s="292">
        <v>35000</v>
      </c>
      <c r="G26" s="292">
        <v>35000</v>
      </c>
      <c r="H26" s="292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2">
        <v>35000</v>
      </c>
      <c r="E27" s="292">
        <v>35000</v>
      </c>
      <c r="F27" s="292">
        <v>35000</v>
      </c>
      <c r="G27" s="292">
        <v>35000</v>
      </c>
      <c r="H27" s="292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2">
        <v>35000</v>
      </c>
      <c r="E28" s="292">
        <v>35000</v>
      </c>
      <c r="F28" s="292">
        <v>35000</v>
      </c>
      <c r="G28" s="292">
        <v>35000</v>
      </c>
      <c r="H28" s="292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2">
        <v>35000</v>
      </c>
      <c r="E29" s="292">
        <v>35000</v>
      </c>
      <c r="F29" s="292">
        <v>35000</v>
      </c>
      <c r="G29" s="292">
        <v>35000</v>
      </c>
      <c r="H29" s="292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2">
        <v>35000</v>
      </c>
      <c r="E30" s="292">
        <v>35000</v>
      </c>
      <c r="F30" s="292">
        <v>35000</v>
      </c>
      <c r="G30" s="292">
        <v>35000</v>
      </c>
      <c r="H30" s="292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2">
        <v>35000</v>
      </c>
      <c r="E31" s="292">
        <v>35000</v>
      </c>
      <c r="F31" s="292">
        <v>35000</v>
      </c>
      <c r="G31" s="292">
        <v>35000</v>
      </c>
      <c r="H31" s="292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2">
        <v>35000</v>
      </c>
      <c r="E32" s="292">
        <v>35000</v>
      </c>
      <c r="F32" s="292">
        <v>35000</v>
      </c>
      <c r="G32" s="292">
        <v>35000</v>
      </c>
      <c r="H32" s="292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2">
        <v>35000</v>
      </c>
      <c r="E33" s="292">
        <v>35000</v>
      </c>
      <c r="F33" s="292">
        <v>35000</v>
      </c>
      <c r="G33" s="292">
        <v>35000</v>
      </c>
      <c r="H33" s="292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2">
        <v>35000</v>
      </c>
      <c r="E34" s="292">
        <v>35000</v>
      </c>
      <c r="F34" s="292">
        <v>35000</v>
      </c>
      <c r="G34" s="292">
        <v>35000</v>
      </c>
      <c r="H34" s="292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2">
        <v>35000</v>
      </c>
      <c r="E35" s="292">
        <v>35000</v>
      </c>
      <c r="F35" s="292">
        <v>35000</v>
      </c>
      <c r="G35" s="292">
        <v>35000</v>
      </c>
      <c r="H35" s="292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2">
        <v>35000</v>
      </c>
      <c r="E36" s="292">
        <v>35000</v>
      </c>
      <c r="F36" s="292">
        <v>35000</v>
      </c>
      <c r="G36" s="292">
        <v>35000</v>
      </c>
      <c r="H36" s="292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2">
        <v>35000</v>
      </c>
      <c r="E37" s="292">
        <v>35000</v>
      </c>
      <c r="F37" s="292">
        <v>35000</v>
      </c>
      <c r="G37" s="292">
        <v>35000</v>
      </c>
      <c r="H37" s="292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2">
        <v>35000</v>
      </c>
      <c r="E38" s="292">
        <v>35000</v>
      </c>
      <c r="F38" s="292">
        <v>35000</v>
      </c>
      <c r="G38" s="292">
        <v>35000</v>
      </c>
      <c r="H38" s="292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2">
        <v>35000</v>
      </c>
      <c r="E39" s="292">
        <v>35000</v>
      </c>
      <c r="F39" s="292">
        <v>35000</v>
      </c>
      <c r="G39" s="292">
        <v>35000</v>
      </c>
      <c r="H39" s="292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2">
        <v>35000</v>
      </c>
      <c r="E40" s="292">
        <v>35000</v>
      </c>
      <c r="F40" s="292">
        <v>35000</v>
      </c>
      <c r="G40" s="292">
        <v>35000</v>
      </c>
      <c r="H40" s="292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2">
        <v>35000</v>
      </c>
      <c r="E41" s="292">
        <v>35000</v>
      </c>
      <c r="F41" s="292">
        <v>35000</v>
      </c>
      <c r="G41" s="292">
        <v>35000</v>
      </c>
      <c r="H41" s="292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2">
        <v>35000</v>
      </c>
      <c r="E42" s="292">
        <v>35000</v>
      </c>
      <c r="F42" s="292">
        <v>35000</v>
      </c>
      <c r="G42" s="292">
        <v>35000</v>
      </c>
      <c r="H42" s="292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2">
        <v>35000</v>
      </c>
      <c r="E43" s="292">
        <v>35000</v>
      </c>
      <c r="F43" s="292">
        <v>35000</v>
      </c>
      <c r="G43" s="292">
        <v>35000</v>
      </c>
      <c r="H43" s="292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2">
        <v>35000</v>
      </c>
      <c r="E44" s="292">
        <v>35000</v>
      </c>
      <c r="F44" s="292">
        <v>35000</v>
      </c>
      <c r="G44" s="292">
        <v>35000</v>
      </c>
      <c r="H44" s="292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2">
        <v>35000</v>
      </c>
      <c r="E45" s="292">
        <v>35000</v>
      </c>
      <c r="F45" s="292">
        <v>35000</v>
      </c>
      <c r="G45" s="292">
        <v>35000</v>
      </c>
      <c r="H45" s="292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2">
        <v>35000</v>
      </c>
      <c r="E46" s="292">
        <v>35000</v>
      </c>
      <c r="F46" s="292">
        <v>35000</v>
      </c>
      <c r="G46" s="292">
        <v>35000</v>
      </c>
      <c r="H46" s="292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2">
        <v>35000</v>
      </c>
      <c r="E47" s="292">
        <v>35000</v>
      </c>
      <c r="F47" s="292">
        <v>35000</v>
      </c>
      <c r="G47" s="292">
        <v>35000</v>
      </c>
      <c r="H47" s="292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2">
        <v>35000</v>
      </c>
      <c r="E48" s="292">
        <v>35000</v>
      </c>
      <c r="F48" s="292">
        <v>35000</v>
      </c>
      <c r="G48" s="292">
        <v>35000</v>
      </c>
      <c r="H48" s="292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2">
        <v>35000</v>
      </c>
      <c r="E49" s="292">
        <v>35000</v>
      </c>
      <c r="F49" s="292">
        <v>35000</v>
      </c>
      <c r="G49" s="292">
        <v>35000</v>
      </c>
      <c r="H49" s="292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2">
        <v>35000</v>
      </c>
      <c r="E50" s="292">
        <v>35000</v>
      </c>
      <c r="F50" s="292">
        <v>35000</v>
      </c>
      <c r="G50" s="292">
        <v>35000</v>
      </c>
      <c r="H50" s="292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2">
        <v>35000</v>
      </c>
      <c r="E51" s="292">
        <v>35000</v>
      </c>
      <c r="F51" s="292">
        <v>35000</v>
      </c>
      <c r="G51" s="292">
        <v>35000</v>
      </c>
      <c r="H51" s="292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2">
        <v>35000</v>
      </c>
      <c r="E52" s="292">
        <v>35000</v>
      </c>
      <c r="F52" s="292">
        <v>35000</v>
      </c>
      <c r="G52" s="292">
        <v>35000</v>
      </c>
      <c r="H52" s="292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2">
        <v>35000</v>
      </c>
      <c r="E53" s="292">
        <v>35000</v>
      </c>
      <c r="F53" s="292">
        <v>35000</v>
      </c>
      <c r="G53" s="292">
        <v>35000</v>
      </c>
      <c r="H53" s="292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2">
        <v>35000</v>
      </c>
      <c r="E54" s="292">
        <v>35000</v>
      </c>
      <c r="F54" s="292">
        <v>35000</v>
      </c>
      <c r="G54" s="292">
        <v>35000</v>
      </c>
      <c r="H54" s="292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2">
        <v>35000</v>
      </c>
      <c r="E55" s="292">
        <v>35000</v>
      </c>
      <c r="F55" s="292">
        <v>35000</v>
      </c>
      <c r="G55" s="292">
        <v>35000</v>
      </c>
      <c r="H55" s="292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2">
        <v>35000</v>
      </c>
      <c r="E56" s="292">
        <v>35000</v>
      </c>
      <c r="F56" s="292">
        <v>35000</v>
      </c>
      <c r="G56" s="292">
        <v>35000</v>
      </c>
      <c r="H56" s="292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2">
        <v>35000</v>
      </c>
      <c r="E57" s="292">
        <v>35000</v>
      </c>
      <c r="F57" s="292">
        <v>35000</v>
      </c>
      <c r="G57" s="292">
        <v>35000</v>
      </c>
      <c r="H57" s="292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2">
        <v>35000</v>
      </c>
      <c r="E58" s="292">
        <v>35000</v>
      </c>
      <c r="F58" s="292">
        <v>35000</v>
      </c>
      <c r="G58" s="292">
        <v>35000</v>
      </c>
      <c r="H58" s="292">
        <f t="shared" si="2"/>
        <v>140000</v>
      </c>
      <c r="I58" s="1"/>
    </row>
    <row r="59" spans="1:9" ht="18.75">
      <c r="A59" s="21"/>
      <c r="B59" s="32"/>
      <c r="C59" s="32"/>
      <c r="D59" s="307">
        <f>SUM(D8:D58)</f>
        <v>1785000</v>
      </c>
      <c r="E59" s="307">
        <f>SUM(E8:E58)</f>
        <v>1785000</v>
      </c>
      <c r="F59" s="307">
        <f>SUM(F8:F58)</f>
        <v>1785000</v>
      </c>
      <c r="G59" s="307">
        <f>SUM(G8:G58)</f>
        <v>1785000</v>
      </c>
      <c r="H59" s="307">
        <f>SUM(H8:H58)</f>
        <v>7140000</v>
      </c>
      <c r="I59" s="1"/>
    </row>
    <row r="60" spans="1:9">
      <c r="D60" s="295"/>
      <c r="E60" s="295"/>
      <c r="F60" s="295"/>
      <c r="G60" s="295"/>
      <c r="H60" s="295"/>
    </row>
    <row r="61" spans="1:9">
      <c r="D61" s="295"/>
      <c r="E61" s="295"/>
      <c r="F61" s="295"/>
      <c r="G61" s="295"/>
      <c r="H61" s="300"/>
    </row>
    <row r="62" spans="1:9">
      <c r="A62" s="299"/>
      <c r="B62" s="299"/>
      <c r="C62" s="299"/>
      <c r="D62" s="300"/>
      <c r="E62" s="300"/>
      <c r="F62" s="300"/>
      <c r="G62" s="300"/>
      <c r="H62" s="303"/>
    </row>
    <row r="63" spans="1:9">
      <c r="D63" s="295"/>
      <c r="E63" s="295"/>
      <c r="F63" s="295"/>
      <c r="G63" s="295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1" t="s">
        <v>730</v>
      </c>
      <c r="E2" s="291" t="s">
        <v>38</v>
      </c>
      <c r="F2" s="291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2">
        <f>20000*28</f>
        <v>560000</v>
      </c>
      <c r="E3" s="342">
        <f>86186.67</f>
        <v>86186.67</v>
      </c>
      <c r="F3" s="292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2" t="s">
        <v>728</v>
      </c>
      <c r="C4" s="32" t="s">
        <v>729</v>
      </c>
      <c r="D4" s="292">
        <f>20000*28</f>
        <v>560000</v>
      </c>
      <c r="E4" s="342">
        <f>86186.67</f>
        <v>86186.67</v>
      </c>
      <c r="F4" s="292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3">
        <f>SUM(D3:D4)</f>
        <v>1120000</v>
      </c>
      <c r="E5" s="293">
        <f>SUM(E3:E4)</f>
        <v>172373.34</v>
      </c>
      <c r="F5" s="293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4" customWidth="1"/>
    <col min="2" max="2" width="42.8554687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1"/>
    </row>
    <row r="2" spans="1:6" ht="33.75" customHeight="1">
      <c r="A2" s="270" t="s">
        <v>537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450000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150000</v>
      </c>
      <c r="F8" s="180"/>
    </row>
    <row r="9" spans="1:6" ht="20.100000000000001" customHeight="1">
      <c r="A9" s="28">
        <v>3</v>
      </c>
      <c r="B9" s="158" t="s">
        <v>225</v>
      </c>
      <c r="C9" s="20" t="s">
        <v>226</v>
      </c>
      <c r="D9" s="28" t="s">
        <v>160</v>
      </c>
      <c r="E9" s="276">
        <v>150000</v>
      </c>
      <c r="F9" s="180"/>
    </row>
    <row r="10" spans="1:6" ht="20.100000000000001" customHeight="1">
      <c r="A10" s="28">
        <v>4</v>
      </c>
      <c r="B10" s="156" t="s">
        <v>315</v>
      </c>
      <c r="C10" s="161" t="s">
        <v>316</v>
      </c>
      <c r="D10" s="28" t="s">
        <v>496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317</v>
      </c>
      <c r="C11" s="20" t="s">
        <v>418</v>
      </c>
      <c r="D11" s="181" t="s">
        <v>221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112</v>
      </c>
      <c r="C12" s="20" t="s">
        <v>473</v>
      </c>
      <c r="D12" s="24" t="s">
        <v>221</v>
      </c>
      <c r="E12" s="276">
        <v>150000</v>
      </c>
      <c r="F12" s="180"/>
    </row>
    <row r="13" spans="1:6" ht="20.100000000000001" customHeight="1">
      <c r="A13" s="28">
        <v>7</v>
      </c>
      <c r="B13" s="156" t="s">
        <v>187</v>
      </c>
      <c r="C13" s="112" t="s">
        <v>474</v>
      </c>
      <c r="D13" s="24" t="s">
        <v>221</v>
      </c>
      <c r="E13" s="276">
        <v>150000</v>
      </c>
      <c r="F13" s="180"/>
    </row>
    <row r="14" spans="1:6" ht="20.100000000000001" customHeight="1">
      <c r="A14" s="28">
        <v>8</v>
      </c>
      <c r="B14" s="158" t="s">
        <v>203</v>
      </c>
      <c r="C14" s="20" t="s">
        <v>475</v>
      </c>
      <c r="D14" s="24" t="s">
        <v>221</v>
      </c>
      <c r="E14" s="276">
        <v>150000</v>
      </c>
      <c r="F14" s="180"/>
    </row>
    <row r="15" spans="1:6" ht="20.100000000000001" customHeight="1">
      <c r="A15" s="28">
        <v>9</v>
      </c>
      <c r="B15" s="156" t="s">
        <v>111</v>
      </c>
      <c r="C15" s="161" t="s">
        <v>468</v>
      </c>
      <c r="D15" s="181" t="s">
        <v>75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333</v>
      </c>
      <c r="C16" s="161" t="s">
        <v>387</v>
      </c>
      <c r="D16" s="28" t="s">
        <v>412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220</v>
      </c>
      <c r="C17" s="20" t="s">
        <v>388</v>
      </c>
      <c r="D17" s="24" t="s">
        <v>181</v>
      </c>
      <c r="E17" s="276">
        <v>75000</v>
      </c>
      <c r="F17" s="180"/>
    </row>
    <row r="18" spans="1:6" ht="19.5" customHeight="1">
      <c r="A18" s="28">
        <v>12</v>
      </c>
      <c r="B18" s="158" t="s">
        <v>144</v>
      </c>
      <c r="C18" s="20" t="s">
        <v>389</v>
      </c>
      <c r="D18" s="28" t="s">
        <v>181</v>
      </c>
      <c r="E18" s="276">
        <v>75000</v>
      </c>
      <c r="F18" s="180"/>
    </row>
    <row r="19" spans="1:6" ht="19.5" customHeight="1">
      <c r="A19" s="28">
        <v>13</v>
      </c>
      <c r="B19" s="158" t="s">
        <v>139</v>
      </c>
      <c r="C19" s="20" t="s">
        <v>386</v>
      </c>
      <c r="D19" s="28" t="s">
        <v>181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18</v>
      </c>
      <c r="C20" s="20" t="s">
        <v>389</v>
      </c>
      <c r="D20" s="181" t="s">
        <v>181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334</v>
      </c>
      <c r="C21" s="161" t="s">
        <v>351</v>
      </c>
      <c r="D21" s="181" t="s">
        <v>163</v>
      </c>
      <c r="E21" s="276">
        <v>75000</v>
      </c>
      <c r="F21" s="180"/>
    </row>
    <row r="22" spans="1:6" ht="20.100000000000001" customHeight="1">
      <c r="A22" s="28">
        <v>16</v>
      </c>
      <c r="B22" s="157" t="s">
        <v>291</v>
      </c>
      <c r="C22" s="20" t="s">
        <v>346</v>
      </c>
      <c r="D22" s="181" t="s">
        <v>413</v>
      </c>
      <c r="E22" s="276">
        <v>75000</v>
      </c>
      <c r="F22" s="180"/>
    </row>
    <row r="23" spans="1:6" ht="20.100000000000001" customHeight="1">
      <c r="A23" s="28">
        <v>17</v>
      </c>
      <c r="B23" s="156" t="s">
        <v>141</v>
      </c>
      <c r="C23" s="161" t="s">
        <v>391</v>
      </c>
      <c r="D23" s="181" t="s">
        <v>497</v>
      </c>
      <c r="E23" s="276">
        <v>45000</v>
      </c>
      <c r="F23" s="180"/>
    </row>
    <row r="24" spans="1:6" ht="18.75" customHeight="1">
      <c r="A24" s="28">
        <v>18</v>
      </c>
      <c r="B24" s="156" t="s">
        <v>253</v>
      </c>
      <c r="C24" s="161" t="s">
        <v>478</v>
      </c>
      <c r="D24" s="181" t="s">
        <v>415</v>
      </c>
      <c r="E24" s="276">
        <v>45000</v>
      </c>
      <c r="F24" s="180"/>
    </row>
    <row r="25" spans="1:6" ht="18.75" customHeight="1">
      <c r="A25" s="28">
        <v>19</v>
      </c>
      <c r="B25" s="156" t="s">
        <v>247</v>
      </c>
      <c r="C25" s="20" t="s">
        <v>477</v>
      </c>
      <c r="D25" s="181" t="s">
        <v>415</v>
      </c>
      <c r="E25" s="276">
        <v>45000</v>
      </c>
      <c r="F25" s="180"/>
    </row>
    <row r="26" spans="1:6" ht="18.75" customHeight="1">
      <c r="A26" s="28">
        <v>20</v>
      </c>
      <c r="B26" s="157" t="s">
        <v>275</v>
      </c>
      <c r="C26" s="161" t="s">
        <v>314</v>
      </c>
      <c r="D26" s="181" t="s">
        <v>164</v>
      </c>
      <c r="E26" s="276">
        <v>45000</v>
      </c>
      <c r="F26" s="180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6">
        <v>45000</v>
      </c>
      <c r="F27" s="180"/>
    </row>
    <row r="28" spans="1:6" ht="18.75" customHeight="1">
      <c r="A28" s="28">
        <v>22</v>
      </c>
      <c r="B28" s="157" t="s">
        <v>254</v>
      </c>
      <c r="C28" s="161" t="s">
        <v>17</v>
      </c>
      <c r="D28" s="181" t="s">
        <v>498</v>
      </c>
      <c r="E28" s="276">
        <v>45000</v>
      </c>
      <c r="F28" s="180"/>
    </row>
    <row r="29" spans="1:6" ht="18.75" customHeight="1">
      <c r="A29" s="28">
        <v>23</v>
      </c>
      <c r="B29" s="156" t="s">
        <v>248</v>
      </c>
      <c r="C29" s="161" t="s">
        <v>480</v>
      </c>
      <c r="D29" s="181" t="s">
        <v>498</v>
      </c>
      <c r="E29" s="276">
        <v>45000</v>
      </c>
      <c r="F29" s="180"/>
    </row>
    <row r="30" spans="1:6" ht="18.75" customHeight="1">
      <c r="A30" s="28">
        <v>24</v>
      </c>
      <c r="B30" s="157" t="s">
        <v>288</v>
      </c>
      <c r="C30" s="161" t="s">
        <v>249</v>
      </c>
      <c r="D30" s="181" t="s">
        <v>267</v>
      </c>
      <c r="E30" s="276">
        <v>45000</v>
      </c>
      <c r="F30" s="180"/>
    </row>
    <row r="31" spans="1:6" ht="18.75" customHeight="1">
      <c r="A31" s="28">
        <v>25</v>
      </c>
      <c r="B31" s="157" t="s">
        <v>328</v>
      </c>
      <c r="C31" s="20" t="s">
        <v>329</v>
      </c>
      <c r="D31" s="28" t="s">
        <v>267</v>
      </c>
      <c r="E31" s="276">
        <v>45000</v>
      </c>
      <c r="F31" s="180"/>
    </row>
    <row r="32" spans="1:6" ht="18.75" customHeight="1">
      <c r="A32" s="28">
        <v>26</v>
      </c>
      <c r="B32" s="157" t="s">
        <v>360</v>
      </c>
      <c r="C32" s="112" t="s">
        <v>372</v>
      </c>
      <c r="D32" s="181" t="s">
        <v>498</v>
      </c>
      <c r="E32" s="276">
        <v>45000</v>
      </c>
      <c r="F32" s="180"/>
    </row>
    <row r="33" spans="1:6" ht="18.75" customHeight="1">
      <c r="A33" s="28">
        <v>27</v>
      </c>
      <c r="B33" s="157" t="s">
        <v>330</v>
      </c>
      <c r="C33" s="20" t="s">
        <v>533</v>
      </c>
      <c r="D33" s="28" t="s">
        <v>176</v>
      </c>
      <c r="E33" s="276">
        <v>45000</v>
      </c>
      <c r="F33" s="180"/>
    </row>
    <row r="34" spans="1:6" ht="18.75" customHeight="1">
      <c r="A34" s="28">
        <v>28</v>
      </c>
      <c r="B34" s="157" t="s">
        <v>274</v>
      </c>
      <c r="C34" s="161" t="s">
        <v>314</v>
      </c>
      <c r="D34" s="181" t="s">
        <v>176</v>
      </c>
      <c r="E34" s="276">
        <v>45000</v>
      </c>
      <c r="F34" s="180"/>
    </row>
    <row r="35" spans="1:6" ht="18.75" customHeight="1">
      <c r="A35" s="28">
        <v>29</v>
      </c>
      <c r="B35" s="157" t="s">
        <v>453</v>
      </c>
      <c r="C35" s="161" t="s">
        <v>314</v>
      </c>
      <c r="D35" s="181" t="s">
        <v>176</v>
      </c>
      <c r="E35" s="276">
        <v>45000</v>
      </c>
      <c r="F35" s="180"/>
    </row>
    <row r="36" spans="1:6" ht="18.75" customHeight="1">
      <c r="A36" s="28">
        <v>30</v>
      </c>
      <c r="B36" s="157" t="s">
        <v>535</v>
      </c>
      <c r="C36" s="161" t="s">
        <v>536</v>
      </c>
      <c r="D36" s="181" t="s">
        <v>105</v>
      </c>
      <c r="E36" s="276">
        <v>45000</v>
      </c>
      <c r="F36" s="180"/>
    </row>
    <row r="37" spans="1:6" ht="26.25" customHeight="1">
      <c r="A37" s="28"/>
      <c r="B37" s="159" t="s">
        <v>15</v>
      </c>
      <c r="C37" s="29">
        <v>30</v>
      </c>
      <c r="D37" s="181"/>
      <c r="E37" s="277">
        <f>SUM(E7:E36)</f>
        <v>2790000</v>
      </c>
      <c r="F37" s="180"/>
    </row>
    <row r="38" spans="1:6" ht="18.75" customHeight="1">
      <c r="A38" s="28"/>
      <c r="B38" s="123"/>
      <c r="C38" s="20"/>
      <c r="D38" s="181"/>
      <c r="E38" s="278"/>
      <c r="F38" s="180"/>
    </row>
    <row r="39" spans="1:6" ht="18.75" customHeight="1">
      <c r="A39" s="28"/>
      <c r="B39" s="159" t="s">
        <v>284</v>
      </c>
      <c r="C39" s="20"/>
      <c r="D39" s="181"/>
      <c r="E39" s="276"/>
      <c r="F39" s="180"/>
    </row>
    <row r="40" spans="1:6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76">
        <v>225000</v>
      </c>
      <c r="F40" s="180"/>
    </row>
    <row r="41" spans="1:6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76">
        <v>45000</v>
      </c>
      <c r="F41" s="180"/>
    </row>
    <row r="42" spans="1:6" ht="19.5" customHeight="1">
      <c r="A42" s="28"/>
      <c r="B42" s="158"/>
      <c r="C42" s="29">
        <v>2</v>
      </c>
      <c r="D42" s="28"/>
      <c r="E42" s="277">
        <f>SUM(E40:E41)</f>
        <v>270000</v>
      </c>
      <c r="F42" s="180"/>
    </row>
    <row r="43" spans="1:6" ht="20.100000000000001" customHeight="1">
      <c r="A43" s="28"/>
      <c r="B43" s="158"/>
      <c r="C43" s="20"/>
      <c r="D43" s="28"/>
      <c r="E43" s="276"/>
      <c r="F43" s="180"/>
    </row>
    <row r="44" spans="1:6" ht="20.100000000000001" customHeight="1">
      <c r="A44" s="28"/>
      <c r="B44" s="185" t="s">
        <v>56</v>
      </c>
      <c r="C44" s="170"/>
      <c r="D44" s="174"/>
      <c r="E44" s="276"/>
      <c r="F44" s="180"/>
    </row>
    <row r="45" spans="1:6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76">
        <v>225000</v>
      </c>
      <c r="F45" s="180"/>
    </row>
    <row r="46" spans="1:6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76">
        <v>105000</v>
      </c>
      <c r="F46" s="180"/>
    </row>
    <row r="47" spans="1:6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76">
        <v>105000</v>
      </c>
      <c r="F47" s="180"/>
    </row>
    <row r="48" spans="1:6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76">
        <v>105000</v>
      </c>
      <c r="F48" s="180"/>
    </row>
    <row r="49" spans="1:6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76">
        <v>105000</v>
      </c>
      <c r="F49" s="180"/>
    </row>
    <row r="50" spans="1:6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76">
        <v>75000</v>
      </c>
      <c r="F50" s="180"/>
    </row>
    <row r="51" spans="1:6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76">
        <v>75000</v>
      </c>
      <c r="F51" s="180"/>
    </row>
    <row r="52" spans="1:6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76">
        <v>75000</v>
      </c>
      <c r="F52" s="180"/>
    </row>
    <row r="53" spans="1:6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76">
        <v>75000</v>
      </c>
      <c r="F53" s="180"/>
    </row>
    <row r="54" spans="1:6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76">
        <v>45000</v>
      </c>
      <c r="F54" s="180"/>
    </row>
    <row r="55" spans="1:6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76">
        <v>45000</v>
      </c>
      <c r="F55" s="180"/>
    </row>
    <row r="56" spans="1:6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76">
        <v>45000</v>
      </c>
      <c r="F56" s="180"/>
    </row>
    <row r="57" spans="1:6" ht="25.5" customHeight="1">
      <c r="A57" s="28"/>
      <c r="B57" s="159" t="s">
        <v>15</v>
      </c>
      <c r="C57" s="29">
        <v>12</v>
      </c>
      <c r="D57" s="29"/>
      <c r="E57" s="279">
        <f>SUM(E45:E56)</f>
        <v>1080000</v>
      </c>
      <c r="F57" s="180"/>
    </row>
    <row r="58" spans="1:6" ht="20.100000000000001" customHeight="1">
      <c r="A58" s="28"/>
      <c r="B58" s="123"/>
      <c r="C58" s="29"/>
      <c r="D58" s="29"/>
      <c r="E58" s="280"/>
      <c r="F58" s="180"/>
    </row>
    <row r="59" spans="1:6" ht="20.100000000000001" customHeight="1">
      <c r="A59" s="28"/>
      <c r="B59" s="159" t="s">
        <v>195</v>
      </c>
      <c r="C59" s="29"/>
      <c r="D59" s="29"/>
      <c r="E59" s="280"/>
      <c r="F59" s="180"/>
    </row>
    <row r="60" spans="1:6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76">
        <v>225000</v>
      </c>
      <c r="F60" s="180"/>
    </row>
    <row r="61" spans="1:6" ht="20.100000000000001" customHeight="1">
      <c r="A61" s="28">
        <v>2</v>
      </c>
      <c r="B61" s="156" t="s">
        <v>276</v>
      </c>
      <c r="C61" s="161" t="s">
        <v>340</v>
      </c>
      <c r="D61" s="181" t="s">
        <v>412</v>
      </c>
      <c r="E61" s="276">
        <v>105000</v>
      </c>
      <c r="F61" s="180"/>
    </row>
    <row r="62" spans="1:6" ht="20.100000000000001" customHeight="1">
      <c r="A62" s="28"/>
      <c r="B62" s="159" t="s">
        <v>15</v>
      </c>
      <c r="C62" s="29">
        <v>2</v>
      </c>
      <c r="D62" s="29"/>
      <c r="E62" s="279">
        <f>SUM(E60:E61)</f>
        <v>330000</v>
      </c>
      <c r="F62" s="180"/>
    </row>
    <row r="63" spans="1:6" ht="20.100000000000001" customHeight="1">
      <c r="A63" s="28"/>
      <c r="B63" s="159"/>
      <c r="C63" s="29"/>
      <c r="D63" s="29"/>
      <c r="E63" s="280"/>
      <c r="F63" s="180"/>
    </row>
    <row r="64" spans="1:6" ht="20.100000000000001" customHeight="1">
      <c r="A64" s="28"/>
      <c r="B64" s="159" t="s">
        <v>461</v>
      </c>
      <c r="C64" s="29"/>
      <c r="D64" s="29"/>
      <c r="E64" s="280"/>
      <c r="F64" s="180"/>
    </row>
    <row r="65" spans="1:6" ht="20.100000000000001" customHeight="1">
      <c r="A65" s="28">
        <v>1</v>
      </c>
      <c r="B65" s="156" t="s">
        <v>277</v>
      </c>
      <c r="C65" s="112" t="s">
        <v>278</v>
      </c>
      <c r="D65" s="28" t="s">
        <v>161</v>
      </c>
      <c r="E65" s="281">
        <v>225000</v>
      </c>
      <c r="F65" s="180"/>
    </row>
    <row r="66" spans="1:6" ht="20.100000000000001" customHeight="1">
      <c r="A66" s="28">
        <v>2</v>
      </c>
      <c r="B66" s="157" t="s">
        <v>332</v>
      </c>
      <c r="C66" s="112" t="s">
        <v>188</v>
      </c>
      <c r="D66" s="181" t="s">
        <v>272</v>
      </c>
      <c r="E66" s="276">
        <v>105000</v>
      </c>
      <c r="F66" s="180"/>
    </row>
    <row r="67" spans="1:6" ht="20.100000000000001" customHeight="1">
      <c r="A67" s="28">
        <v>3</v>
      </c>
      <c r="B67" s="156" t="s">
        <v>189</v>
      </c>
      <c r="C67" s="20" t="s">
        <v>257</v>
      </c>
      <c r="D67" s="28" t="s">
        <v>170</v>
      </c>
      <c r="E67" s="281">
        <v>75000</v>
      </c>
      <c r="F67" s="180"/>
    </row>
    <row r="68" spans="1:6" ht="20.100000000000001" customHeight="1">
      <c r="A68" s="28">
        <v>4</v>
      </c>
      <c r="B68" s="157" t="s">
        <v>448</v>
      </c>
      <c r="C68" s="112" t="s">
        <v>257</v>
      </c>
      <c r="D68" s="181" t="s">
        <v>163</v>
      </c>
      <c r="E68" s="281">
        <v>75000</v>
      </c>
      <c r="F68" s="180"/>
    </row>
    <row r="69" spans="1:6" ht="20.100000000000001" customHeight="1">
      <c r="A69" s="28">
        <v>5</v>
      </c>
      <c r="B69" s="158" t="s">
        <v>229</v>
      </c>
      <c r="C69" s="112" t="s">
        <v>297</v>
      </c>
      <c r="D69" s="181" t="s">
        <v>181</v>
      </c>
      <c r="E69" s="281">
        <v>75000</v>
      </c>
      <c r="F69" s="180"/>
    </row>
    <row r="70" spans="1:6" ht="20.100000000000001" customHeight="1">
      <c r="A70" s="28">
        <v>6</v>
      </c>
      <c r="B70" s="158" t="s">
        <v>534</v>
      </c>
      <c r="C70" s="112" t="s">
        <v>297</v>
      </c>
      <c r="D70" s="181" t="s">
        <v>162</v>
      </c>
      <c r="E70" s="281">
        <v>75000</v>
      </c>
      <c r="F70" s="180"/>
    </row>
    <row r="71" spans="1:6" ht="20.100000000000001" customHeight="1">
      <c r="A71" s="28">
        <v>7</v>
      </c>
      <c r="B71" s="156" t="s">
        <v>117</v>
      </c>
      <c r="C71" s="20" t="s">
        <v>84</v>
      </c>
      <c r="D71" s="28" t="s">
        <v>369</v>
      </c>
      <c r="E71" s="276">
        <v>45000</v>
      </c>
      <c r="F71" s="180"/>
    </row>
    <row r="72" spans="1:6" ht="20.100000000000001" customHeight="1">
      <c r="A72" s="28">
        <v>8</v>
      </c>
      <c r="B72" s="156" t="s">
        <v>182</v>
      </c>
      <c r="C72" s="112" t="s">
        <v>422</v>
      </c>
      <c r="D72" s="181" t="s">
        <v>497</v>
      </c>
      <c r="E72" s="276">
        <v>45000</v>
      </c>
      <c r="F72" s="180"/>
    </row>
    <row r="73" spans="1:6" ht="20.100000000000001" customHeight="1">
      <c r="A73" s="28">
        <v>9</v>
      </c>
      <c r="B73" s="156" t="s">
        <v>424</v>
      </c>
      <c r="C73" s="112" t="s">
        <v>422</v>
      </c>
      <c r="D73" s="181" t="s">
        <v>369</v>
      </c>
      <c r="E73" s="276">
        <v>45000</v>
      </c>
      <c r="F73" s="180"/>
    </row>
    <row r="74" spans="1:6" ht="20.100000000000001" customHeight="1">
      <c r="A74" s="28">
        <v>10</v>
      </c>
      <c r="B74" s="156" t="s">
        <v>423</v>
      </c>
      <c r="C74" s="112" t="s">
        <v>422</v>
      </c>
      <c r="D74" s="181" t="s">
        <v>369</v>
      </c>
      <c r="E74" s="276">
        <v>45000</v>
      </c>
      <c r="F74" s="180"/>
    </row>
    <row r="75" spans="1:6" ht="20.100000000000001" customHeight="1">
      <c r="A75" s="28">
        <v>11</v>
      </c>
      <c r="B75" s="156" t="s">
        <v>242</v>
      </c>
      <c r="C75" s="20" t="s">
        <v>484</v>
      </c>
      <c r="D75" s="28" t="s">
        <v>415</v>
      </c>
      <c r="E75" s="276">
        <v>45000</v>
      </c>
      <c r="F75" s="180"/>
    </row>
    <row r="76" spans="1:6" ht="20.100000000000001" customHeight="1">
      <c r="A76" s="28">
        <v>12</v>
      </c>
      <c r="B76" s="156" t="s">
        <v>322</v>
      </c>
      <c r="C76" s="112" t="s">
        <v>84</v>
      </c>
      <c r="D76" s="28" t="s">
        <v>207</v>
      </c>
      <c r="E76" s="276">
        <v>45000</v>
      </c>
      <c r="F76" s="180"/>
    </row>
    <row r="77" spans="1:6" ht="20.100000000000001" customHeight="1">
      <c r="A77" s="28">
        <v>13</v>
      </c>
      <c r="B77" s="156" t="s">
        <v>320</v>
      </c>
      <c r="C77" s="112" t="s">
        <v>115</v>
      </c>
      <c r="D77" s="28" t="s">
        <v>498</v>
      </c>
      <c r="E77" s="276">
        <v>45000</v>
      </c>
      <c r="F77" s="180"/>
    </row>
    <row r="78" spans="1:6" ht="20.100000000000001" customHeight="1">
      <c r="A78" s="28">
        <v>14</v>
      </c>
      <c r="B78" s="158" t="s">
        <v>321</v>
      </c>
      <c r="C78" s="112" t="s">
        <v>115</v>
      </c>
      <c r="D78" s="28" t="s">
        <v>176</v>
      </c>
      <c r="E78" s="276">
        <v>45000</v>
      </c>
      <c r="F78" s="180"/>
    </row>
    <row r="79" spans="1:6" ht="20.100000000000001" customHeight="1">
      <c r="A79" s="28"/>
      <c r="B79" s="159" t="s">
        <v>15</v>
      </c>
      <c r="C79" s="29">
        <v>14</v>
      </c>
      <c r="D79" s="29"/>
      <c r="E79" s="279">
        <f>SUM(E65:E78)</f>
        <v>990000</v>
      </c>
      <c r="F79" s="180"/>
    </row>
    <row r="80" spans="1:6" ht="20.100000000000001" customHeight="1">
      <c r="A80" s="28"/>
      <c r="B80" s="123"/>
      <c r="C80" s="29"/>
      <c r="D80" s="29"/>
      <c r="E80" s="280"/>
      <c r="F80" s="180"/>
    </row>
    <row r="81" spans="1:6" ht="20.100000000000001" customHeight="1">
      <c r="A81" s="28"/>
      <c r="B81" s="159" t="s">
        <v>462</v>
      </c>
      <c r="C81" s="29"/>
      <c r="D81" s="29"/>
      <c r="E81" s="280"/>
      <c r="F81" s="180"/>
    </row>
    <row r="82" spans="1:6" ht="20.100000000000001" customHeight="1">
      <c r="A82" s="28">
        <v>1</v>
      </c>
      <c r="B82" s="156" t="s">
        <v>19</v>
      </c>
      <c r="C82" s="20" t="s">
        <v>201</v>
      </c>
      <c r="D82" s="28" t="s">
        <v>161</v>
      </c>
      <c r="E82" s="276">
        <v>225000</v>
      </c>
      <c r="F82" s="180"/>
    </row>
    <row r="83" spans="1:6" ht="20.100000000000001" customHeight="1">
      <c r="A83" s="28">
        <v>2</v>
      </c>
      <c r="B83" s="158" t="s">
        <v>325</v>
      </c>
      <c r="C83" s="20" t="s">
        <v>245</v>
      </c>
      <c r="D83" s="181" t="s">
        <v>272</v>
      </c>
      <c r="E83" s="276">
        <v>105000</v>
      </c>
      <c r="F83" s="180"/>
    </row>
    <row r="84" spans="1:6" ht="20.100000000000001" customHeight="1">
      <c r="A84" s="28">
        <v>3</v>
      </c>
      <c r="B84" s="158" t="s">
        <v>326</v>
      </c>
      <c r="C84" s="20" t="s">
        <v>327</v>
      </c>
      <c r="D84" s="181" t="s">
        <v>272</v>
      </c>
      <c r="E84" s="276">
        <v>105000</v>
      </c>
      <c r="F84" s="180"/>
    </row>
    <row r="85" spans="1:6" ht="20.100000000000001" customHeight="1">
      <c r="A85" s="28">
        <v>4</v>
      </c>
      <c r="B85" s="156" t="s">
        <v>26</v>
      </c>
      <c r="C85" s="20" t="s">
        <v>296</v>
      </c>
      <c r="D85" s="181" t="s">
        <v>170</v>
      </c>
      <c r="E85" s="276">
        <v>75000</v>
      </c>
      <c r="F85" s="180"/>
    </row>
    <row r="86" spans="1:6" ht="20.100000000000001" customHeight="1">
      <c r="A86" s="28">
        <v>5</v>
      </c>
      <c r="B86" s="156" t="s">
        <v>324</v>
      </c>
      <c r="C86" s="20" t="s">
        <v>243</v>
      </c>
      <c r="D86" s="28" t="s">
        <v>207</v>
      </c>
      <c r="E86" s="276">
        <v>45000</v>
      </c>
      <c r="F86" s="180"/>
    </row>
    <row r="87" spans="1:6" ht="20.100000000000001" customHeight="1">
      <c r="A87" s="28"/>
      <c r="B87" s="159" t="s">
        <v>15</v>
      </c>
      <c r="C87" s="29">
        <v>5</v>
      </c>
      <c r="D87" s="29"/>
      <c r="E87" s="279">
        <f>SUM(E82:E86)</f>
        <v>555000</v>
      </c>
      <c r="F87" s="180"/>
    </row>
    <row r="88" spans="1:6" ht="20.100000000000001" customHeight="1">
      <c r="A88" s="28"/>
      <c r="B88" s="159"/>
      <c r="C88" s="29"/>
      <c r="D88" s="29"/>
      <c r="E88" s="276"/>
      <c r="F88" s="180"/>
    </row>
    <row r="89" spans="1:6" ht="20.100000000000001" customHeight="1">
      <c r="A89" s="28"/>
      <c r="B89" s="159" t="s">
        <v>463</v>
      </c>
      <c r="C89" s="186"/>
      <c r="D89" s="29"/>
      <c r="E89" s="276"/>
      <c r="F89" s="180"/>
    </row>
    <row r="90" spans="1:6" ht="20.100000000000001" customHeight="1">
      <c r="A90" s="28">
        <v>1</v>
      </c>
      <c r="B90" s="156" t="s">
        <v>169</v>
      </c>
      <c r="C90" s="20" t="s">
        <v>258</v>
      </c>
      <c r="D90" s="28" t="s">
        <v>75</v>
      </c>
      <c r="E90" s="276">
        <v>105000</v>
      </c>
      <c r="F90" s="180"/>
    </row>
    <row r="91" spans="1:6" ht="20.100000000000001" customHeight="1">
      <c r="A91" s="28">
        <v>2</v>
      </c>
      <c r="B91" s="156" t="s">
        <v>192</v>
      </c>
      <c r="C91" s="20" t="s">
        <v>258</v>
      </c>
      <c r="D91" s="28" t="s">
        <v>75</v>
      </c>
      <c r="E91" s="276">
        <v>105000</v>
      </c>
      <c r="F91" s="180"/>
    </row>
    <row r="92" spans="1:6" ht="20.100000000000001" customHeight="1">
      <c r="A92" s="28">
        <v>3</v>
      </c>
      <c r="B92" s="158" t="s">
        <v>138</v>
      </c>
      <c r="C92" s="20" t="s">
        <v>297</v>
      </c>
      <c r="D92" s="28" t="s">
        <v>174</v>
      </c>
      <c r="E92" s="281">
        <v>75000</v>
      </c>
      <c r="F92" s="180"/>
    </row>
    <row r="93" spans="1:6" ht="20.100000000000001" customHeight="1">
      <c r="A93" s="28">
        <v>4</v>
      </c>
      <c r="B93" s="156" t="s">
        <v>202</v>
      </c>
      <c r="C93" s="20" t="s">
        <v>78</v>
      </c>
      <c r="D93" s="28" t="s">
        <v>181</v>
      </c>
      <c r="E93" s="281">
        <v>75000</v>
      </c>
      <c r="F93" s="180"/>
    </row>
    <row r="94" spans="1:6" ht="21.6" customHeight="1">
      <c r="A94" s="28">
        <v>5</v>
      </c>
      <c r="B94" s="156" t="s">
        <v>101</v>
      </c>
      <c r="C94" s="20" t="s">
        <v>80</v>
      </c>
      <c r="D94" s="181" t="s">
        <v>170</v>
      </c>
      <c r="E94" s="281">
        <v>75000</v>
      </c>
      <c r="F94" s="180"/>
    </row>
    <row r="95" spans="1:6" ht="21.6" customHeight="1">
      <c r="A95" s="28">
        <v>6</v>
      </c>
      <c r="B95" s="156" t="s">
        <v>336</v>
      </c>
      <c r="C95" s="161" t="s">
        <v>257</v>
      </c>
      <c r="D95" s="181" t="s">
        <v>163</v>
      </c>
      <c r="E95" s="281">
        <v>75000</v>
      </c>
      <c r="F95" s="180"/>
    </row>
    <row r="96" spans="1:6" ht="21.6" customHeight="1">
      <c r="A96" s="28">
        <v>7</v>
      </c>
      <c r="B96" s="156" t="s">
        <v>337</v>
      </c>
      <c r="C96" s="161" t="s">
        <v>257</v>
      </c>
      <c r="D96" s="181" t="s">
        <v>163</v>
      </c>
      <c r="E96" s="281">
        <v>75000</v>
      </c>
      <c r="F96" s="180"/>
    </row>
    <row r="97" spans="1:6" ht="21.6" customHeight="1">
      <c r="A97" s="28">
        <v>8</v>
      </c>
      <c r="B97" s="156" t="s">
        <v>421</v>
      </c>
      <c r="C97" s="112" t="s">
        <v>422</v>
      </c>
      <c r="D97" s="181" t="s">
        <v>369</v>
      </c>
      <c r="E97" s="276">
        <v>45000</v>
      </c>
      <c r="F97" s="180"/>
    </row>
    <row r="98" spans="1:6" ht="21.6" customHeight="1">
      <c r="A98" s="28">
        <v>9</v>
      </c>
      <c r="B98" s="156" t="s">
        <v>436</v>
      </c>
      <c r="C98" s="20" t="s">
        <v>470</v>
      </c>
      <c r="D98" s="28" t="s">
        <v>104</v>
      </c>
      <c r="E98" s="276">
        <v>45000</v>
      </c>
      <c r="F98" s="180"/>
    </row>
    <row r="99" spans="1:6" ht="21.6" customHeight="1">
      <c r="A99" s="28">
        <v>10</v>
      </c>
      <c r="B99" s="156" t="s">
        <v>406</v>
      </c>
      <c r="C99" s="112" t="s">
        <v>432</v>
      </c>
      <c r="D99" s="181" t="s">
        <v>176</v>
      </c>
      <c r="E99" s="276">
        <v>45000</v>
      </c>
      <c r="F99" s="180"/>
    </row>
    <row r="100" spans="1:6" ht="20.100000000000001" customHeight="1">
      <c r="A100" s="28"/>
      <c r="B100" s="159" t="s">
        <v>15</v>
      </c>
      <c r="C100" s="29">
        <v>10</v>
      </c>
      <c r="D100" s="29"/>
      <c r="E100" s="279">
        <f>SUM(E90:E99)</f>
        <v>720000</v>
      </c>
      <c r="F100" s="180"/>
    </row>
    <row r="101" spans="1:6" ht="20.100000000000001" customHeight="1">
      <c r="A101" s="28"/>
      <c r="B101" s="123"/>
      <c r="C101" s="29"/>
      <c r="D101" s="29"/>
      <c r="E101" s="280"/>
      <c r="F101" s="180"/>
    </row>
    <row r="102" spans="1:6" ht="20.100000000000001" customHeight="1">
      <c r="A102" s="28"/>
      <c r="B102" s="159" t="s">
        <v>464</v>
      </c>
      <c r="C102" s="29"/>
      <c r="D102" s="29"/>
      <c r="E102" s="280"/>
      <c r="F102" s="180"/>
    </row>
    <row r="103" spans="1:6" ht="20.100000000000001" customHeight="1">
      <c r="A103" s="28">
        <v>1</v>
      </c>
      <c r="B103" s="157" t="s">
        <v>364</v>
      </c>
      <c r="C103" s="28" t="s">
        <v>343</v>
      </c>
      <c r="D103" s="181" t="s">
        <v>221</v>
      </c>
      <c r="E103" s="276">
        <v>150000</v>
      </c>
      <c r="F103" s="180"/>
    </row>
    <row r="104" spans="1:6" ht="20.100000000000001" customHeight="1">
      <c r="A104" s="28">
        <v>2</v>
      </c>
      <c r="B104" s="156" t="s">
        <v>185</v>
      </c>
      <c r="C104" s="20" t="s">
        <v>373</v>
      </c>
      <c r="D104" s="28" t="s">
        <v>181</v>
      </c>
      <c r="E104" s="276">
        <v>75000</v>
      </c>
      <c r="F104" s="180"/>
    </row>
    <row r="105" spans="1:6" ht="20.100000000000001" customHeight="1">
      <c r="A105" s="28">
        <v>3</v>
      </c>
      <c r="B105" s="156" t="s">
        <v>237</v>
      </c>
      <c r="C105" s="20" t="s">
        <v>483</v>
      </c>
      <c r="D105" s="181" t="s">
        <v>415</v>
      </c>
      <c r="E105" s="276">
        <v>45000</v>
      </c>
      <c r="F105" s="180"/>
    </row>
    <row r="106" spans="1:6" ht="20.100000000000001" customHeight="1">
      <c r="A106" s="28">
        <v>4</v>
      </c>
      <c r="B106" s="156" t="s">
        <v>538</v>
      </c>
      <c r="C106" s="20" t="s">
        <v>539</v>
      </c>
      <c r="D106" s="181" t="s">
        <v>267</v>
      </c>
      <c r="E106" s="276">
        <v>45000</v>
      </c>
      <c r="F106" s="180"/>
    </row>
    <row r="107" spans="1:6" ht="20.100000000000001" customHeight="1">
      <c r="A107" s="20"/>
      <c r="B107" s="159" t="s">
        <v>15</v>
      </c>
      <c r="C107" s="29">
        <v>3</v>
      </c>
      <c r="D107" s="187"/>
      <c r="E107" s="279">
        <f>SUM(E103:E106)</f>
        <v>315000</v>
      </c>
      <c r="F107" s="180"/>
    </row>
    <row r="108" spans="1:6" ht="20.100000000000001" customHeight="1">
      <c r="A108" s="20"/>
      <c r="B108" s="123"/>
      <c r="C108" s="29"/>
      <c r="D108" s="187"/>
      <c r="E108" s="280"/>
      <c r="F108" s="180"/>
    </row>
    <row r="109" spans="1:6" ht="20.100000000000001" customHeight="1">
      <c r="A109" s="20"/>
      <c r="B109" s="159" t="s">
        <v>465</v>
      </c>
      <c r="C109" s="20"/>
      <c r="D109" s="20"/>
      <c r="E109" s="282"/>
      <c r="F109" s="180"/>
    </row>
    <row r="110" spans="1:6" ht="20.100000000000001" customHeight="1">
      <c r="A110" s="20">
        <v>1</v>
      </c>
      <c r="B110" s="156" t="s">
        <v>216</v>
      </c>
      <c r="C110" s="161" t="s">
        <v>217</v>
      </c>
      <c r="D110" s="181" t="s">
        <v>161</v>
      </c>
      <c r="E110" s="276">
        <v>225000</v>
      </c>
      <c r="F110" s="180"/>
    </row>
    <row r="111" spans="1:6" ht="20.100000000000001" customHeight="1">
      <c r="A111" s="20">
        <v>2</v>
      </c>
      <c r="B111" s="156" t="s">
        <v>110</v>
      </c>
      <c r="C111" s="20" t="s">
        <v>259</v>
      </c>
      <c r="D111" s="24" t="s">
        <v>221</v>
      </c>
      <c r="E111" s="276">
        <v>150000</v>
      </c>
      <c r="F111" s="180"/>
    </row>
    <row r="112" spans="1:6" ht="20.100000000000001" customHeight="1">
      <c r="A112" s="20">
        <v>3</v>
      </c>
      <c r="B112" s="156" t="s">
        <v>109</v>
      </c>
      <c r="C112" s="20" t="s">
        <v>311</v>
      </c>
      <c r="D112" s="28" t="s">
        <v>175</v>
      </c>
      <c r="E112" s="276">
        <v>75000</v>
      </c>
      <c r="F112" s="180"/>
    </row>
    <row r="113" spans="1:6" ht="20.100000000000001" customHeight="1">
      <c r="A113" s="20">
        <v>4</v>
      </c>
      <c r="B113" s="156" t="s">
        <v>135</v>
      </c>
      <c r="C113" s="20" t="s">
        <v>311</v>
      </c>
      <c r="D113" s="28" t="s">
        <v>175</v>
      </c>
      <c r="E113" s="276">
        <v>75000</v>
      </c>
      <c r="F113" s="180"/>
    </row>
    <row r="114" spans="1:6" ht="20.100000000000001" customHeight="1">
      <c r="A114" s="20">
        <v>5</v>
      </c>
      <c r="B114" s="156" t="s">
        <v>240</v>
      </c>
      <c r="C114" s="20" t="s">
        <v>338</v>
      </c>
      <c r="D114" s="181" t="s">
        <v>499</v>
      </c>
      <c r="E114" s="276">
        <v>45000</v>
      </c>
      <c r="F114" s="180"/>
    </row>
    <row r="115" spans="1:6" ht="20.100000000000001" customHeight="1">
      <c r="A115" s="20">
        <v>6</v>
      </c>
      <c r="B115" s="157" t="s">
        <v>341</v>
      </c>
      <c r="C115" s="20" t="s">
        <v>338</v>
      </c>
      <c r="D115" s="28" t="s">
        <v>267</v>
      </c>
      <c r="E115" s="276">
        <v>45000</v>
      </c>
      <c r="F115" s="180"/>
    </row>
    <row r="116" spans="1:6" ht="20.100000000000001" customHeight="1">
      <c r="A116" s="20">
        <v>7</v>
      </c>
      <c r="B116" s="157" t="s">
        <v>374</v>
      </c>
      <c r="C116" s="20" t="s">
        <v>338</v>
      </c>
      <c r="D116" s="181" t="s">
        <v>176</v>
      </c>
      <c r="E116" s="276">
        <v>45000</v>
      </c>
      <c r="F116" s="180"/>
    </row>
    <row r="117" spans="1:6" ht="20.100000000000001" customHeight="1">
      <c r="A117" s="20"/>
      <c r="B117" s="159" t="s">
        <v>15</v>
      </c>
      <c r="C117" s="29">
        <v>7</v>
      </c>
      <c r="D117" s="20"/>
      <c r="E117" s="283">
        <f>SUM(E110:E116)</f>
        <v>660000</v>
      </c>
      <c r="F117" s="180"/>
    </row>
    <row r="118" spans="1:6" ht="20.100000000000001" customHeight="1">
      <c r="A118" s="20"/>
      <c r="B118" s="123"/>
      <c r="C118" s="28"/>
      <c r="D118" s="20"/>
      <c r="E118" s="284"/>
      <c r="F118" s="180"/>
    </row>
    <row r="119" spans="1:6" ht="20.100000000000001" customHeight="1">
      <c r="A119" s="20"/>
      <c r="B119" s="159" t="s">
        <v>466</v>
      </c>
      <c r="C119" s="29"/>
      <c r="D119" s="29"/>
      <c r="E119" s="276"/>
      <c r="F119" s="180"/>
    </row>
    <row r="120" spans="1:6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76">
        <v>225000</v>
      </c>
      <c r="F120" s="180"/>
    </row>
    <row r="121" spans="1:6" ht="20.100000000000001" customHeight="1">
      <c r="A121" s="20">
        <v>2</v>
      </c>
      <c r="B121" s="156" t="s">
        <v>153</v>
      </c>
      <c r="C121" s="161" t="s">
        <v>376</v>
      </c>
      <c r="D121" s="181" t="s">
        <v>75</v>
      </c>
      <c r="E121" s="276">
        <v>105000</v>
      </c>
      <c r="F121" s="180"/>
    </row>
    <row r="122" spans="1:6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76">
        <v>105000</v>
      </c>
      <c r="F122" s="180"/>
    </row>
    <row r="123" spans="1:6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276">
        <v>105000</v>
      </c>
      <c r="F123" s="180"/>
    </row>
    <row r="124" spans="1:6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276">
        <v>75000</v>
      </c>
      <c r="F124" s="180"/>
    </row>
    <row r="125" spans="1:6" ht="20.100000000000001" customHeight="1">
      <c r="A125" s="20">
        <v>6</v>
      </c>
      <c r="B125" s="156" t="s">
        <v>178</v>
      </c>
      <c r="C125" s="161" t="s">
        <v>382</v>
      </c>
      <c r="D125" s="181" t="s">
        <v>170</v>
      </c>
      <c r="E125" s="276">
        <v>75000</v>
      </c>
      <c r="F125" s="180"/>
    </row>
    <row r="126" spans="1:6" ht="20.100000000000001" customHeight="1">
      <c r="A126" s="20">
        <v>7</v>
      </c>
      <c r="B126" s="156" t="s">
        <v>134</v>
      </c>
      <c r="C126" s="161" t="s">
        <v>384</v>
      </c>
      <c r="D126" s="181" t="s">
        <v>170</v>
      </c>
      <c r="E126" s="276">
        <v>75000</v>
      </c>
      <c r="F126" s="180"/>
    </row>
    <row r="127" spans="1:6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276">
        <v>45000</v>
      </c>
      <c r="F127" s="180"/>
    </row>
    <row r="128" spans="1:6" ht="20.100000000000001" customHeight="1">
      <c r="A128" s="20">
        <v>9</v>
      </c>
      <c r="B128" s="157" t="s">
        <v>439</v>
      </c>
      <c r="C128" s="161" t="s">
        <v>440</v>
      </c>
      <c r="D128" s="181" t="s">
        <v>176</v>
      </c>
      <c r="E128" s="276">
        <v>45000</v>
      </c>
      <c r="F128" s="180"/>
    </row>
    <row r="129" spans="1:6" ht="20.100000000000001" customHeight="1">
      <c r="A129" s="20"/>
      <c r="B129" s="159" t="s">
        <v>15</v>
      </c>
      <c r="C129" s="187" t="s">
        <v>377</v>
      </c>
      <c r="D129" s="181"/>
      <c r="E129" s="285">
        <f>SUM(E120:E128)</f>
        <v>855000</v>
      </c>
      <c r="F129" s="180"/>
    </row>
    <row r="130" spans="1:6" ht="20.100000000000001" customHeight="1">
      <c r="A130" s="20"/>
      <c r="B130" s="123"/>
      <c r="C130" s="187"/>
      <c r="D130" s="181"/>
      <c r="E130" s="286"/>
      <c r="F130" s="180"/>
    </row>
    <row r="131" spans="1:6" ht="20.100000000000001" customHeight="1">
      <c r="A131" s="20"/>
      <c r="B131" s="159" t="s">
        <v>467</v>
      </c>
      <c r="C131" s="161"/>
      <c r="D131" s="181"/>
      <c r="E131" s="276"/>
      <c r="F131" s="180"/>
    </row>
    <row r="132" spans="1:6" ht="20.100000000000001" customHeight="1">
      <c r="A132" s="191">
        <v>1</v>
      </c>
      <c r="B132" s="156" t="s">
        <v>21</v>
      </c>
      <c r="C132" s="161" t="s">
        <v>393</v>
      </c>
      <c r="D132" s="181" t="s">
        <v>161</v>
      </c>
      <c r="E132" s="276">
        <v>225000</v>
      </c>
      <c r="F132" s="180"/>
    </row>
    <row r="133" spans="1:6" ht="20.100000000000001" customHeight="1">
      <c r="A133" s="191">
        <v>2</v>
      </c>
      <c r="B133" s="156" t="s">
        <v>107</v>
      </c>
      <c r="C133" s="161" t="s">
        <v>394</v>
      </c>
      <c r="D133" s="181" t="s">
        <v>160</v>
      </c>
      <c r="E133" s="276">
        <v>150000</v>
      </c>
      <c r="F133" s="180"/>
    </row>
    <row r="134" spans="1:6" ht="20.100000000000001" customHeight="1">
      <c r="A134" s="191">
        <v>3</v>
      </c>
      <c r="B134" s="158" t="s">
        <v>183</v>
      </c>
      <c r="C134" s="20" t="s">
        <v>486</v>
      </c>
      <c r="D134" s="24" t="s">
        <v>221</v>
      </c>
      <c r="E134" s="276">
        <v>150000</v>
      </c>
      <c r="F134" s="180"/>
    </row>
    <row r="135" spans="1:6" ht="20.100000000000001" customHeight="1">
      <c r="A135" s="191">
        <v>4</v>
      </c>
      <c r="B135" s="156" t="s">
        <v>106</v>
      </c>
      <c r="C135" s="161" t="s">
        <v>381</v>
      </c>
      <c r="D135" s="181" t="s">
        <v>181</v>
      </c>
      <c r="E135" s="276">
        <v>75000</v>
      </c>
      <c r="F135" s="180"/>
    </row>
    <row r="136" spans="1:6" ht="20.100000000000001" customHeight="1">
      <c r="A136" s="191">
        <v>5</v>
      </c>
      <c r="B136" s="156" t="s">
        <v>7</v>
      </c>
      <c r="C136" s="20" t="s">
        <v>385</v>
      </c>
      <c r="D136" s="181" t="s">
        <v>181</v>
      </c>
      <c r="E136" s="276">
        <v>75000</v>
      </c>
      <c r="F136" s="180"/>
    </row>
    <row r="137" spans="1:6" ht="20.100000000000001" customHeight="1">
      <c r="A137" s="191">
        <v>6</v>
      </c>
      <c r="B137" s="156" t="s">
        <v>124</v>
      </c>
      <c r="C137" s="20" t="s">
        <v>235</v>
      </c>
      <c r="D137" s="181" t="s">
        <v>170</v>
      </c>
      <c r="E137" s="276">
        <v>75000</v>
      </c>
      <c r="F137" s="180"/>
    </row>
    <row r="138" spans="1:6" ht="20.100000000000001" customHeight="1">
      <c r="A138" s="191">
        <v>7</v>
      </c>
      <c r="B138" s="156" t="s">
        <v>102</v>
      </c>
      <c r="C138" s="161" t="s">
        <v>395</v>
      </c>
      <c r="D138" s="181" t="s">
        <v>497</v>
      </c>
      <c r="E138" s="276">
        <v>45000</v>
      </c>
      <c r="F138" s="180"/>
    </row>
    <row r="139" spans="1:6" ht="20.100000000000001" customHeight="1">
      <c r="A139" s="191">
        <v>8</v>
      </c>
      <c r="B139" s="156" t="s">
        <v>103</v>
      </c>
      <c r="C139" s="161" t="s">
        <v>395</v>
      </c>
      <c r="D139" s="181" t="s">
        <v>497</v>
      </c>
      <c r="E139" s="276">
        <v>45000</v>
      </c>
      <c r="F139" s="180"/>
    </row>
    <row r="140" spans="1:6" ht="20.100000000000001" customHeight="1">
      <c r="A140" s="191">
        <v>9</v>
      </c>
      <c r="B140" s="156" t="s">
        <v>151</v>
      </c>
      <c r="C140" s="20" t="s">
        <v>235</v>
      </c>
      <c r="D140" s="181" t="s">
        <v>497</v>
      </c>
      <c r="E140" s="276">
        <v>45000</v>
      </c>
      <c r="F140" s="180"/>
    </row>
    <row r="141" spans="1:6" ht="20.100000000000001" customHeight="1">
      <c r="A141" s="191">
        <v>10</v>
      </c>
      <c r="B141" s="156" t="s">
        <v>238</v>
      </c>
      <c r="C141" s="161" t="s">
        <v>479</v>
      </c>
      <c r="D141" s="181" t="s">
        <v>415</v>
      </c>
      <c r="E141" s="276">
        <v>45000</v>
      </c>
      <c r="F141" s="180"/>
    </row>
    <row r="142" spans="1:6" ht="20.100000000000001" customHeight="1">
      <c r="A142" s="191">
        <v>11</v>
      </c>
      <c r="B142" s="156" t="s">
        <v>53</v>
      </c>
      <c r="C142" s="161" t="s">
        <v>300</v>
      </c>
      <c r="D142" s="181" t="s">
        <v>27</v>
      </c>
      <c r="E142" s="276">
        <v>45000</v>
      </c>
      <c r="F142" s="180"/>
    </row>
    <row r="143" spans="1:6" ht="20.100000000000001" customHeight="1">
      <c r="A143" s="191">
        <v>12</v>
      </c>
      <c r="B143" s="156" t="s">
        <v>179</v>
      </c>
      <c r="C143" s="161" t="s">
        <v>479</v>
      </c>
      <c r="D143" s="181" t="s">
        <v>497</v>
      </c>
      <c r="E143" s="276">
        <v>45000</v>
      </c>
      <c r="F143" s="180"/>
    </row>
    <row r="144" spans="1:6" ht="20.100000000000001" customHeight="1">
      <c r="A144" s="191">
        <v>13</v>
      </c>
      <c r="B144" s="157" t="s">
        <v>293</v>
      </c>
      <c r="C144" s="20" t="s">
        <v>438</v>
      </c>
      <c r="D144" s="181" t="s">
        <v>27</v>
      </c>
      <c r="E144" s="276">
        <v>45000</v>
      </c>
      <c r="F144" s="180"/>
    </row>
    <row r="145" spans="1:6" ht="20.100000000000001" customHeight="1">
      <c r="A145" s="191">
        <v>14</v>
      </c>
      <c r="B145" s="156" t="s">
        <v>488</v>
      </c>
      <c r="C145" s="20" t="s">
        <v>239</v>
      </c>
      <c r="D145" s="181" t="s">
        <v>207</v>
      </c>
      <c r="E145" s="276">
        <v>45000</v>
      </c>
      <c r="F145" s="180"/>
    </row>
    <row r="146" spans="1:6" ht="20.100000000000001" customHeight="1">
      <c r="A146" s="191">
        <v>15</v>
      </c>
      <c r="B146" s="156" t="s">
        <v>489</v>
      </c>
      <c r="C146" s="20" t="s">
        <v>239</v>
      </c>
      <c r="D146" s="181" t="s">
        <v>164</v>
      </c>
      <c r="E146" s="276">
        <v>45000</v>
      </c>
      <c r="F146" s="180"/>
    </row>
    <row r="147" spans="1:6" ht="20.100000000000001" customHeight="1">
      <c r="A147" s="191">
        <v>16</v>
      </c>
      <c r="B147" s="156" t="s">
        <v>212</v>
      </c>
      <c r="C147" s="20" t="s">
        <v>239</v>
      </c>
      <c r="D147" s="181" t="s">
        <v>164</v>
      </c>
      <c r="E147" s="276">
        <v>45000</v>
      </c>
      <c r="F147" s="180"/>
    </row>
    <row r="148" spans="1:6" ht="20.100000000000001" customHeight="1">
      <c r="A148" s="191">
        <v>17</v>
      </c>
      <c r="B148" s="156" t="s">
        <v>425</v>
      </c>
      <c r="C148" s="161" t="s">
        <v>430</v>
      </c>
      <c r="D148" s="181" t="s">
        <v>104</v>
      </c>
      <c r="E148" s="276">
        <v>45000</v>
      </c>
      <c r="F148" s="180"/>
    </row>
    <row r="149" spans="1:6" ht="20.100000000000001" customHeight="1">
      <c r="A149" s="191">
        <v>18</v>
      </c>
      <c r="B149" s="156" t="s">
        <v>437</v>
      </c>
      <c r="C149" s="161" t="s">
        <v>438</v>
      </c>
      <c r="D149" s="28" t="s">
        <v>428</v>
      </c>
      <c r="E149" s="276">
        <v>45000</v>
      </c>
      <c r="F149" s="180"/>
    </row>
    <row r="150" spans="1:6" ht="20.100000000000001" customHeight="1">
      <c r="A150" s="191">
        <v>19</v>
      </c>
      <c r="B150" s="156" t="s">
        <v>230</v>
      </c>
      <c r="C150" s="161" t="s">
        <v>485</v>
      </c>
      <c r="D150" s="181" t="s">
        <v>207</v>
      </c>
      <c r="E150" s="276">
        <v>45000</v>
      </c>
      <c r="F150" s="180"/>
    </row>
    <row r="151" spans="1:6" ht="20.100000000000001" customHeight="1">
      <c r="A151" s="191">
        <v>20</v>
      </c>
      <c r="B151" s="156" t="s">
        <v>57</v>
      </c>
      <c r="C151" s="161" t="s">
        <v>481</v>
      </c>
      <c r="D151" s="181" t="s">
        <v>498</v>
      </c>
      <c r="E151" s="276">
        <v>45000</v>
      </c>
      <c r="F151" s="180"/>
    </row>
    <row r="152" spans="1:6" ht="20.100000000000001" customHeight="1">
      <c r="A152" s="191">
        <v>21</v>
      </c>
      <c r="B152" s="156" t="s">
        <v>251</v>
      </c>
      <c r="C152" s="161" t="s">
        <v>482</v>
      </c>
      <c r="D152" s="181" t="s">
        <v>207</v>
      </c>
      <c r="E152" s="276">
        <v>45000</v>
      </c>
      <c r="F152" s="180"/>
    </row>
    <row r="153" spans="1:6" ht="20.100000000000001" customHeight="1">
      <c r="A153" s="191">
        <v>22</v>
      </c>
      <c r="B153" s="156" t="s">
        <v>241</v>
      </c>
      <c r="C153" s="161" t="s">
        <v>348</v>
      </c>
      <c r="D153" s="181" t="s">
        <v>498</v>
      </c>
      <c r="E153" s="276">
        <v>45000</v>
      </c>
      <c r="F153" s="180"/>
    </row>
    <row r="154" spans="1:6" ht="20.100000000000001" customHeight="1">
      <c r="A154" s="191">
        <v>23</v>
      </c>
      <c r="B154" s="157" t="s">
        <v>289</v>
      </c>
      <c r="C154" s="161" t="s">
        <v>290</v>
      </c>
      <c r="D154" s="181" t="s">
        <v>267</v>
      </c>
      <c r="E154" s="276">
        <v>45000</v>
      </c>
      <c r="F154" s="180"/>
    </row>
    <row r="155" spans="1:6" ht="20.100000000000001" customHeight="1">
      <c r="A155" s="191">
        <v>24</v>
      </c>
      <c r="B155" s="157" t="s">
        <v>407</v>
      </c>
      <c r="C155" s="161" t="s">
        <v>131</v>
      </c>
      <c r="D155" s="181" t="s">
        <v>105</v>
      </c>
      <c r="E155" s="276">
        <v>45000</v>
      </c>
      <c r="F155" s="180"/>
    </row>
    <row r="156" spans="1:6" ht="20.100000000000001" customHeight="1">
      <c r="A156" s="191">
        <v>25</v>
      </c>
      <c r="B156" s="157" t="s">
        <v>426</v>
      </c>
      <c r="C156" s="161" t="s">
        <v>290</v>
      </c>
      <c r="D156" s="181" t="s">
        <v>105</v>
      </c>
      <c r="E156" s="276">
        <v>45000</v>
      </c>
      <c r="F156" s="180"/>
    </row>
    <row r="157" spans="1:6" ht="20.100000000000001" customHeight="1">
      <c r="A157" s="191">
        <v>26</v>
      </c>
      <c r="B157" s="157" t="s">
        <v>441</v>
      </c>
      <c r="C157" s="161" t="s">
        <v>442</v>
      </c>
      <c r="D157" s="181" t="s">
        <v>176</v>
      </c>
      <c r="E157" s="276">
        <v>45000</v>
      </c>
      <c r="F157" s="180"/>
    </row>
    <row r="158" spans="1:6" ht="20.100000000000001" customHeight="1">
      <c r="A158" s="191">
        <v>27</v>
      </c>
      <c r="B158" s="157" t="s">
        <v>445</v>
      </c>
      <c r="C158" s="161" t="s">
        <v>446</v>
      </c>
      <c r="D158" s="181" t="s">
        <v>176</v>
      </c>
      <c r="E158" s="276">
        <v>45000</v>
      </c>
      <c r="F158" s="180"/>
    </row>
    <row r="159" spans="1:6" ht="20.100000000000001" customHeight="1">
      <c r="A159" s="191">
        <v>28</v>
      </c>
      <c r="B159" s="156" t="s">
        <v>22</v>
      </c>
      <c r="C159" s="161" t="s">
        <v>302</v>
      </c>
      <c r="D159" s="181" t="s">
        <v>501</v>
      </c>
      <c r="E159" s="276">
        <v>30000</v>
      </c>
      <c r="F159" s="180"/>
    </row>
    <row r="160" spans="1:6" ht="20.100000000000001" customHeight="1">
      <c r="A160" s="191">
        <v>29</v>
      </c>
      <c r="B160" s="156" t="s">
        <v>14</v>
      </c>
      <c r="C160" s="161" t="s">
        <v>302</v>
      </c>
      <c r="D160" s="181" t="s">
        <v>501</v>
      </c>
      <c r="E160" s="276">
        <v>30000</v>
      </c>
      <c r="F160" s="180"/>
    </row>
    <row r="161" spans="1:6" ht="20.100000000000001" customHeight="1">
      <c r="A161" s="191">
        <v>30</v>
      </c>
      <c r="B161" s="156" t="s">
        <v>23</v>
      </c>
      <c r="C161" s="161" t="s">
        <v>302</v>
      </c>
      <c r="D161" s="181" t="s">
        <v>501</v>
      </c>
      <c r="E161" s="276">
        <v>30000</v>
      </c>
      <c r="F161" s="180"/>
    </row>
    <row r="162" spans="1:6" ht="20.100000000000001" customHeight="1">
      <c r="A162" s="191">
        <v>32</v>
      </c>
      <c r="B162" s="156" t="s">
        <v>39</v>
      </c>
      <c r="C162" s="161" t="s">
        <v>302</v>
      </c>
      <c r="D162" s="181" t="s">
        <v>501</v>
      </c>
      <c r="E162" s="276">
        <v>30000</v>
      </c>
      <c r="F162" s="180"/>
    </row>
    <row r="163" spans="1:6" ht="20.100000000000001" customHeight="1">
      <c r="A163" s="191">
        <v>33</v>
      </c>
      <c r="B163" s="156" t="s">
        <v>40</v>
      </c>
      <c r="C163" s="161" t="s">
        <v>302</v>
      </c>
      <c r="D163" s="181" t="s">
        <v>501</v>
      </c>
      <c r="E163" s="276">
        <v>30000</v>
      </c>
      <c r="F163" s="180"/>
    </row>
    <row r="164" spans="1:6" ht="20.100000000000001" customHeight="1">
      <c r="A164" s="191">
        <v>34</v>
      </c>
      <c r="B164" s="156" t="s">
        <v>127</v>
      </c>
      <c r="C164" s="161" t="s">
        <v>302</v>
      </c>
      <c r="D164" s="181" t="s">
        <v>416</v>
      </c>
      <c r="E164" s="276">
        <v>30000</v>
      </c>
      <c r="F164" s="180"/>
    </row>
    <row r="165" spans="1:6" ht="20.100000000000001" customHeight="1">
      <c r="A165" s="191">
        <v>35</v>
      </c>
      <c r="B165" s="156" t="s">
        <v>128</v>
      </c>
      <c r="C165" s="161" t="s">
        <v>302</v>
      </c>
      <c r="D165" s="181" t="s">
        <v>416</v>
      </c>
      <c r="E165" s="276">
        <v>30000</v>
      </c>
      <c r="F165" s="180"/>
    </row>
    <row r="166" spans="1:6" ht="20.100000000000001" customHeight="1">
      <c r="A166" s="191">
        <v>36</v>
      </c>
      <c r="B166" s="156" t="s">
        <v>129</v>
      </c>
      <c r="C166" s="161" t="s">
        <v>302</v>
      </c>
      <c r="D166" s="181" t="s">
        <v>416</v>
      </c>
      <c r="E166" s="276">
        <v>30000</v>
      </c>
      <c r="F166" s="180"/>
    </row>
    <row r="167" spans="1:6" ht="20.100000000000001" customHeight="1">
      <c r="A167" s="191">
        <v>37</v>
      </c>
      <c r="B167" s="158" t="s">
        <v>136</v>
      </c>
      <c r="C167" s="161" t="s">
        <v>302</v>
      </c>
      <c r="D167" s="181" t="s">
        <v>416</v>
      </c>
      <c r="E167" s="276">
        <v>30000</v>
      </c>
      <c r="F167" s="180"/>
    </row>
    <row r="168" spans="1:6" ht="20.100000000000001" customHeight="1">
      <c r="A168" s="191">
        <v>38</v>
      </c>
      <c r="B168" s="156" t="s">
        <v>140</v>
      </c>
      <c r="C168" s="161" t="s">
        <v>302</v>
      </c>
      <c r="D168" s="181" t="s">
        <v>416</v>
      </c>
      <c r="E168" s="276">
        <v>30000</v>
      </c>
      <c r="F168" s="180"/>
    </row>
    <row r="169" spans="1:6" ht="20.100000000000001" customHeight="1">
      <c r="A169" s="191">
        <v>39</v>
      </c>
      <c r="B169" s="157" t="s">
        <v>152</v>
      </c>
      <c r="C169" s="161" t="s">
        <v>302</v>
      </c>
      <c r="D169" s="181" t="s">
        <v>416</v>
      </c>
      <c r="E169" s="276">
        <v>30000</v>
      </c>
      <c r="F169" s="180"/>
    </row>
    <row r="170" spans="1:6" ht="20.100000000000001" customHeight="1">
      <c r="A170" s="191">
        <v>40</v>
      </c>
      <c r="B170" s="157" t="s">
        <v>132</v>
      </c>
      <c r="C170" s="161" t="s">
        <v>302</v>
      </c>
      <c r="D170" s="181" t="s">
        <v>416</v>
      </c>
      <c r="E170" s="276">
        <v>30000</v>
      </c>
      <c r="F170" s="180"/>
    </row>
    <row r="171" spans="1:6" ht="20.100000000000001" customHeight="1">
      <c r="A171" s="191">
        <v>41</v>
      </c>
      <c r="B171" s="156" t="s">
        <v>231</v>
      </c>
      <c r="C171" s="161" t="s">
        <v>167</v>
      </c>
      <c r="D171" s="181" t="s">
        <v>263</v>
      </c>
      <c r="E171" s="276">
        <v>30000</v>
      </c>
      <c r="F171" s="180"/>
    </row>
    <row r="172" spans="1:6" ht="20.100000000000001" customHeight="1">
      <c r="A172" s="191">
        <v>42</v>
      </c>
      <c r="B172" s="156" t="s">
        <v>246</v>
      </c>
      <c r="C172" s="161" t="s">
        <v>167</v>
      </c>
      <c r="D172" s="181" t="s">
        <v>263</v>
      </c>
      <c r="E172" s="276">
        <v>30000</v>
      </c>
      <c r="F172" s="180"/>
    </row>
    <row r="173" spans="1:6" ht="20.100000000000001" customHeight="1">
      <c r="A173" s="191">
        <v>43</v>
      </c>
      <c r="B173" s="157" t="s">
        <v>166</v>
      </c>
      <c r="C173" s="161" t="s">
        <v>167</v>
      </c>
      <c r="D173" s="181" t="s">
        <v>223</v>
      </c>
      <c r="E173" s="276">
        <v>30000</v>
      </c>
      <c r="F173" s="180"/>
    </row>
    <row r="174" spans="1:6" ht="20.100000000000001" customHeight="1">
      <c r="A174" s="191">
        <v>44</v>
      </c>
      <c r="B174" s="156" t="s">
        <v>204</v>
      </c>
      <c r="C174" s="161" t="s">
        <v>167</v>
      </c>
      <c r="D174" s="181" t="s">
        <v>177</v>
      </c>
      <c r="E174" s="276">
        <v>30000</v>
      </c>
      <c r="F174" s="180"/>
    </row>
    <row r="175" spans="1:6" ht="20.100000000000001" customHeight="1">
      <c r="A175" s="191">
        <v>45</v>
      </c>
      <c r="B175" s="156" t="s">
        <v>209</v>
      </c>
      <c r="C175" s="161" t="s">
        <v>13</v>
      </c>
      <c r="D175" s="181" t="s">
        <v>502</v>
      </c>
      <c r="E175" s="276">
        <v>30000</v>
      </c>
      <c r="F175" s="180"/>
    </row>
    <row r="176" spans="1:6" ht="20.100000000000001" customHeight="1">
      <c r="A176" s="191">
        <v>46</v>
      </c>
      <c r="B176" s="156" t="s">
        <v>218</v>
      </c>
      <c r="C176" s="161" t="s">
        <v>13</v>
      </c>
      <c r="D176" s="181" t="s">
        <v>502</v>
      </c>
      <c r="E176" s="276">
        <v>30000</v>
      </c>
      <c r="F176" s="180"/>
    </row>
    <row r="177" spans="1:6" ht="20.100000000000001" customHeight="1">
      <c r="A177" s="191">
        <v>47</v>
      </c>
      <c r="B177" s="156" t="s">
        <v>219</v>
      </c>
      <c r="C177" s="161" t="s">
        <v>13</v>
      </c>
      <c r="D177" s="181" t="s">
        <v>502</v>
      </c>
      <c r="E177" s="276">
        <v>30000</v>
      </c>
      <c r="F177" s="180"/>
    </row>
    <row r="178" spans="1:6" ht="20.100000000000001" customHeight="1">
      <c r="A178" s="191">
        <v>48</v>
      </c>
      <c r="B178" s="156" t="s">
        <v>211</v>
      </c>
      <c r="C178" s="161" t="s">
        <v>13</v>
      </c>
      <c r="D178" s="181" t="s">
        <v>502</v>
      </c>
      <c r="E178" s="276">
        <v>30000</v>
      </c>
      <c r="F178" s="180"/>
    </row>
    <row r="179" spans="1:6" ht="20.100000000000001" customHeight="1">
      <c r="A179" s="191">
        <v>49</v>
      </c>
      <c r="B179" s="156" t="s">
        <v>213</v>
      </c>
      <c r="C179" s="161" t="s">
        <v>13</v>
      </c>
      <c r="D179" s="181" t="s">
        <v>502</v>
      </c>
      <c r="E179" s="276">
        <v>30000</v>
      </c>
      <c r="F179" s="180"/>
    </row>
    <row r="180" spans="1:6" ht="20.100000000000001" customHeight="1">
      <c r="A180" s="191">
        <v>50</v>
      </c>
      <c r="B180" s="157" t="s">
        <v>342</v>
      </c>
      <c r="C180" s="161" t="s">
        <v>13</v>
      </c>
      <c r="D180" s="181" t="s">
        <v>502</v>
      </c>
      <c r="E180" s="276">
        <v>30000</v>
      </c>
      <c r="F180" s="180"/>
    </row>
    <row r="181" spans="1:6" ht="20.100000000000001" customHeight="1">
      <c r="A181" s="191">
        <v>51</v>
      </c>
      <c r="B181" s="157" t="s">
        <v>405</v>
      </c>
      <c r="C181" s="161" t="s">
        <v>13</v>
      </c>
      <c r="D181" s="181" t="s">
        <v>502</v>
      </c>
      <c r="E181" s="276">
        <v>30000</v>
      </c>
      <c r="F181" s="180"/>
    </row>
    <row r="182" spans="1:6" ht="20.100000000000001" customHeight="1">
      <c r="A182" s="191">
        <v>52</v>
      </c>
      <c r="B182" s="156" t="s">
        <v>232</v>
      </c>
      <c r="C182" s="161" t="s">
        <v>167</v>
      </c>
      <c r="D182" s="181" t="s">
        <v>502</v>
      </c>
      <c r="E182" s="276">
        <v>30000</v>
      </c>
      <c r="F182" s="180"/>
    </row>
    <row r="183" spans="1:6" ht="20.100000000000001" customHeight="1">
      <c r="A183" s="191">
        <v>53</v>
      </c>
      <c r="B183" s="156" t="s">
        <v>233</v>
      </c>
      <c r="C183" s="161" t="s">
        <v>167</v>
      </c>
      <c r="D183" s="181" t="s">
        <v>502</v>
      </c>
      <c r="E183" s="276">
        <v>30000</v>
      </c>
      <c r="F183" s="180"/>
    </row>
    <row r="184" spans="1:6" ht="20.100000000000001" customHeight="1">
      <c r="A184" s="191">
        <v>54</v>
      </c>
      <c r="B184" s="157" t="s">
        <v>279</v>
      </c>
      <c r="C184" s="161" t="s">
        <v>13</v>
      </c>
      <c r="D184" s="181" t="s">
        <v>503</v>
      </c>
      <c r="E184" s="276">
        <v>30000</v>
      </c>
      <c r="F184" s="180"/>
    </row>
    <row r="185" spans="1:6" ht="20.100000000000001" customHeight="1">
      <c r="A185" s="191">
        <v>55</v>
      </c>
      <c r="B185" s="157" t="s">
        <v>403</v>
      </c>
      <c r="C185" s="161" t="s">
        <v>13</v>
      </c>
      <c r="D185" s="181" t="s">
        <v>264</v>
      </c>
      <c r="E185" s="276">
        <v>30000</v>
      </c>
      <c r="F185" s="180"/>
    </row>
    <row r="186" spans="1:6" ht="20.100000000000001" customHeight="1">
      <c r="A186" s="191"/>
      <c r="B186" s="177" t="s">
        <v>15</v>
      </c>
      <c r="C186" s="193" t="s">
        <v>408</v>
      </c>
      <c r="D186" s="22"/>
      <c r="E186" s="287">
        <f>SUM(E132:E185)</f>
        <v>2505000</v>
      </c>
      <c r="F186" s="180"/>
    </row>
    <row r="187" spans="1:6" ht="9" customHeight="1">
      <c r="A187" s="191"/>
      <c r="B187" s="177"/>
      <c r="C187" s="193"/>
      <c r="D187" s="22"/>
      <c r="E187" s="287"/>
      <c r="F187" s="180"/>
    </row>
    <row r="188" spans="1:6" ht="30" customHeight="1">
      <c r="A188" s="20"/>
      <c r="B188" s="266" t="s">
        <v>8</v>
      </c>
      <c r="C188" s="267">
        <f>C37+C42+C57+C62+C79+C87+C100+C107+C117+C129+C186</f>
        <v>149</v>
      </c>
      <c r="D188" s="268"/>
      <c r="E188" s="269">
        <f>E186+E129+E117+E107+E100+E87+E79+E62+E57+E42+E37</f>
        <v>11070000</v>
      </c>
      <c r="F188" s="180"/>
    </row>
    <row r="189" spans="1:6" ht="20.100000000000001" customHeight="1">
      <c r="B189" s="198"/>
      <c r="D189" s="199"/>
      <c r="E189" s="248"/>
      <c r="F189" s="202"/>
    </row>
    <row r="190" spans="1:6" ht="65.25" customHeight="1">
      <c r="B190" s="198"/>
      <c r="C190" s="199"/>
      <c r="D190" s="199"/>
      <c r="E190" s="24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1"/>
    </row>
    <row r="2" spans="1:6" ht="33.75" customHeight="1">
      <c r="A2" s="270" t="s">
        <v>537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450000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150000</v>
      </c>
      <c r="F8" s="180"/>
    </row>
    <row r="9" spans="1:6" ht="20.100000000000001" customHeight="1">
      <c r="A9" s="28">
        <v>3</v>
      </c>
      <c r="B9" s="158" t="s">
        <v>225</v>
      </c>
      <c r="C9" s="20" t="s">
        <v>226</v>
      </c>
      <c r="D9" s="28" t="s">
        <v>160</v>
      </c>
      <c r="E9" s="276">
        <v>150000</v>
      </c>
      <c r="F9" s="180"/>
    </row>
    <row r="10" spans="1:6" ht="20.100000000000001" customHeight="1">
      <c r="A10" s="28">
        <v>4</v>
      </c>
      <c r="B10" s="156" t="s">
        <v>315</v>
      </c>
      <c r="C10" s="161" t="s">
        <v>316</v>
      </c>
      <c r="D10" s="28" t="s">
        <v>496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317</v>
      </c>
      <c r="C11" s="20" t="s">
        <v>418</v>
      </c>
      <c r="D11" s="181" t="s">
        <v>221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112</v>
      </c>
      <c r="C12" s="20" t="s">
        <v>473</v>
      </c>
      <c r="D12" s="24" t="s">
        <v>221</v>
      </c>
      <c r="E12" s="276">
        <v>150000</v>
      </c>
      <c r="F12" s="180"/>
    </row>
    <row r="13" spans="1:6" ht="20.100000000000001" customHeight="1">
      <c r="A13" s="28">
        <v>7</v>
      </c>
      <c r="B13" s="156" t="s">
        <v>187</v>
      </c>
      <c r="C13" s="112" t="s">
        <v>474</v>
      </c>
      <c r="D13" s="24" t="s">
        <v>221</v>
      </c>
      <c r="E13" s="276">
        <v>150000</v>
      </c>
      <c r="F13" s="180"/>
    </row>
    <row r="14" spans="1:6" ht="20.100000000000001" customHeight="1">
      <c r="A14" s="28">
        <v>8</v>
      </c>
      <c r="B14" s="158" t="s">
        <v>203</v>
      </c>
      <c r="C14" s="20" t="s">
        <v>475</v>
      </c>
      <c r="D14" s="24" t="s">
        <v>221</v>
      </c>
      <c r="E14" s="276">
        <v>150000</v>
      </c>
      <c r="F14" s="180"/>
    </row>
    <row r="15" spans="1:6" ht="20.100000000000001" customHeight="1">
      <c r="A15" s="28">
        <v>9</v>
      </c>
      <c r="B15" s="156" t="s">
        <v>111</v>
      </c>
      <c r="C15" s="161" t="s">
        <v>468</v>
      </c>
      <c r="D15" s="181" t="s">
        <v>75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333</v>
      </c>
      <c r="C16" s="161" t="s">
        <v>387</v>
      </c>
      <c r="D16" s="28" t="s">
        <v>412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220</v>
      </c>
      <c r="C17" s="20" t="s">
        <v>388</v>
      </c>
      <c r="D17" s="24" t="s">
        <v>181</v>
      </c>
      <c r="E17" s="276">
        <v>75000</v>
      </c>
      <c r="F17" s="180"/>
    </row>
    <row r="18" spans="1:6" ht="19.5" customHeight="1">
      <c r="A18" s="28">
        <v>12</v>
      </c>
      <c r="B18" s="158" t="s">
        <v>144</v>
      </c>
      <c r="C18" s="20" t="s">
        <v>389</v>
      </c>
      <c r="D18" s="28" t="s">
        <v>181</v>
      </c>
      <c r="E18" s="276">
        <v>75000</v>
      </c>
      <c r="F18" s="180"/>
    </row>
    <row r="19" spans="1:6" ht="19.5" customHeight="1">
      <c r="A19" s="28">
        <v>13</v>
      </c>
      <c r="B19" s="158" t="s">
        <v>139</v>
      </c>
      <c r="C19" s="20" t="s">
        <v>386</v>
      </c>
      <c r="D19" s="28" t="s">
        <v>181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18</v>
      </c>
      <c r="C20" s="20" t="s">
        <v>389</v>
      </c>
      <c r="D20" s="181" t="s">
        <v>181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334</v>
      </c>
      <c r="C21" s="161" t="s">
        <v>351</v>
      </c>
      <c r="D21" s="181" t="s">
        <v>163</v>
      </c>
      <c r="E21" s="276">
        <v>75000</v>
      </c>
      <c r="F21" s="180"/>
    </row>
    <row r="22" spans="1:6" ht="20.100000000000001" customHeight="1">
      <c r="A22" s="28">
        <v>16</v>
      </c>
      <c r="B22" s="157" t="s">
        <v>291</v>
      </c>
      <c r="C22" s="20" t="s">
        <v>346</v>
      </c>
      <c r="D22" s="181" t="s">
        <v>413</v>
      </c>
      <c r="E22" s="276">
        <v>75000</v>
      </c>
      <c r="F22" s="180"/>
    </row>
    <row r="23" spans="1:6" ht="20.100000000000001" customHeight="1">
      <c r="A23" s="28">
        <v>17</v>
      </c>
      <c r="B23" s="156" t="s">
        <v>141</v>
      </c>
      <c r="C23" s="161" t="s">
        <v>391</v>
      </c>
      <c r="D23" s="181" t="s">
        <v>497</v>
      </c>
      <c r="E23" s="276">
        <v>45000</v>
      </c>
      <c r="F23" s="180"/>
    </row>
    <row r="24" spans="1:6" ht="18.75" customHeight="1">
      <c r="A24" s="28">
        <v>18</v>
      </c>
      <c r="B24" s="156" t="s">
        <v>253</v>
      </c>
      <c r="C24" s="161" t="s">
        <v>478</v>
      </c>
      <c r="D24" s="181" t="s">
        <v>415</v>
      </c>
      <c r="E24" s="276">
        <v>45000</v>
      </c>
      <c r="F24" s="180"/>
    </row>
    <row r="25" spans="1:6" ht="18.75" customHeight="1">
      <c r="A25" s="28">
        <v>19</v>
      </c>
      <c r="B25" s="157" t="s">
        <v>275</v>
      </c>
      <c r="C25" s="161" t="s">
        <v>314</v>
      </c>
      <c r="D25" s="181" t="s">
        <v>164</v>
      </c>
      <c r="E25" s="276">
        <v>45000</v>
      </c>
      <c r="F25" s="180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6">
        <v>45000</v>
      </c>
      <c r="F26" s="180"/>
    </row>
    <row r="27" spans="1:6" ht="18.75" customHeight="1">
      <c r="A27" s="28">
        <v>21</v>
      </c>
      <c r="B27" s="157" t="s">
        <v>254</v>
      </c>
      <c r="C27" s="161" t="s">
        <v>17</v>
      </c>
      <c r="D27" s="181" t="s">
        <v>498</v>
      </c>
      <c r="E27" s="276">
        <v>45000</v>
      </c>
      <c r="F27" s="180"/>
    </row>
    <row r="28" spans="1:6" ht="18.75" customHeight="1">
      <c r="A28" s="28">
        <v>22</v>
      </c>
      <c r="B28" s="156" t="s">
        <v>248</v>
      </c>
      <c r="C28" s="161" t="s">
        <v>480</v>
      </c>
      <c r="D28" s="181" t="s">
        <v>498</v>
      </c>
      <c r="E28" s="276">
        <v>45000</v>
      </c>
      <c r="F28" s="180"/>
    </row>
    <row r="29" spans="1:6" ht="18.75" customHeight="1">
      <c r="A29" s="28">
        <v>23</v>
      </c>
      <c r="B29" s="157" t="s">
        <v>288</v>
      </c>
      <c r="C29" s="161" t="s">
        <v>249</v>
      </c>
      <c r="D29" s="181" t="s">
        <v>267</v>
      </c>
      <c r="E29" s="276">
        <v>45000</v>
      </c>
      <c r="F29" s="180"/>
    </row>
    <row r="30" spans="1:6" ht="18.75" customHeight="1">
      <c r="A30" s="28">
        <v>24</v>
      </c>
      <c r="B30" s="157" t="s">
        <v>328</v>
      </c>
      <c r="C30" s="20" t="s">
        <v>329</v>
      </c>
      <c r="D30" s="28" t="s">
        <v>267</v>
      </c>
      <c r="E30" s="276">
        <v>45000</v>
      </c>
      <c r="F30" s="180"/>
    </row>
    <row r="31" spans="1:6" ht="18.75" customHeight="1">
      <c r="A31" s="28">
        <v>25</v>
      </c>
      <c r="B31" s="157" t="s">
        <v>360</v>
      </c>
      <c r="C31" s="112" t="s">
        <v>372</v>
      </c>
      <c r="D31" s="181" t="s">
        <v>498</v>
      </c>
      <c r="E31" s="276">
        <v>45000</v>
      </c>
      <c r="F31" s="180"/>
    </row>
    <row r="32" spans="1:6" ht="18.75" customHeight="1">
      <c r="A32" s="28">
        <v>26</v>
      </c>
      <c r="B32" s="157" t="s">
        <v>330</v>
      </c>
      <c r="C32" s="20" t="s">
        <v>533</v>
      </c>
      <c r="D32" s="28" t="s">
        <v>176</v>
      </c>
      <c r="E32" s="276">
        <v>45000</v>
      </c>
      <c r="F32" s="180"/>
    </row>
    <row r="33" spans="1:6" ht="18.75" customHeight="1">
      <c r="A33" s="28">
        <v>27</v>
      </c>
      <c r="B33" s="157" t="s">
        <v>274</v>
      </c>
      <c r="C33" s="161" t="s">
        <v>314</v>
      </c>
      <c r="D33" s="181" t="s">
        <v>176</v>
      </c>
      <c r="E33" s="276">
        <v>45000</v>
      </c>
      <c r="F33" s="180"/>
    </row>
    <row r="34" spans="1:6" ht="18.75" customHeight="1">
      <c r="A34" s="28">
        <v>28</v>
      </c>
      <c r="B34" s="157" t="s">
        <v>453</v>
      </c>
      <c r="C34" s="161" t="s">
        <v>314</v>
      </c>
      <c r="D34" s="181" t="s">
        <v>176</v>
      </c>
      <c r="E34" s="276">
        <v>45000</v>
      </c>
      <c r="F34" s="180"/>
    </row>
    <row r="35" spans="1:6" ht="18.75" customHeight="1">
      <c r="A35" s="28">
        <v>29</v>
      </c>
      <c r="B35" s="157" t="s">
        <v>535</v>
      </c>
      <c r="C35" s="161" t="s">
        <v>536</v>
      </c>
      <c r="D35" s="181" t="s">
        <v>105</v>
      </c>
      <c r="E35" s="276">
        <v>45000</v>
      </c>
      <c r="F35" s="180"/>
    </row>
    <row r="36" spans="1:6" ht="26.25" customHeight="1">
      <c r="A36" s="28"/>
      <c r="B36" s="159" t="s">
        <v>15</v>
      </c>
      <c r="C36" s="29">
        <v>29</v>
      </c>
      <c r="D36" s="181"/>
      <c r="E36" s="277">
        <f>SUM(E7:E35)</f>
        <v>2745000</v>
      </c>
      <c r="F36" s="180"/>
    </row>
    <row r="37" spans="1:6" ht="18.75" customHeight="1">
      <c r="A37" s="28"/>
      <c r="B37" s="123"/>
      <c r="C37" s="20"/>
      <c r="D37" s="181"/>
      <c r="E37" s="278"/>
      <c r="F37" s="180"/>
    </row>
    <row r="38" spans="1:6" ht="18.75" customHeight="1">
      <c r="A38" s="28"/>
      <c r="B38" s="159" t="s">
        <v>284</v>
      </c>
      <c r="C38" s="20"/>
      <c r="D38" s="181"/>
      <c r="E38" s="276"/>
      <c r="F38" s="180"/>
    </row>
    <row r="39" spans="1:6" ht="18.75" customHeight="1">
      <c r="A39" s="28">
        <v>1</v>
      </c>
      <c r="B39" s="157" t="s">
        <v>361</v>
      </c>
      <c r="C39" s="20" t="s">
        <v>362</v>
      </c>
      <c r="D39" s="28" t="s">
        <v>161</v>
      </c>
      <c r="E39" s="276">
        <v>225000</v>
      </c>
      <c r="F39" s="180"/>
    </row>
    <row r="40" spans="1:6" ht="18.75" customHeight="1">
      <c r="A40" s="28">
        <v>2</v>
      </c>
      <c r="B40" s="157" t="s">
        <v>419</v>
      </c>
      <c r="C40" s="20" t="s">
        <v>427</v>
      </c>
      <c r="D40" s="28" t="s">
        <v>105</v>
      </c>
      <c r="E40" s="276">
        <v>45000</v>
      </c>
      <c r="F40" s="180"/>
    </row>
    <row r="41" spans="1:6" ht="19.5" customHeight="1">
      <c r="A41" s="28"/>
      <c r="B41" s="158"/>
      <c r="C41" s="29">
        <v>2</v>
      </c>
      <c r="D41" s="28"/>
      <c r="E41" s="277">
        <f>SUM(E39:E40)</f>
        <v>270000</v>
      </c>
      <c r="F41" s="180"/>
    </row>
    <row r="42" spans="1:6" ht="20.100000000000001" customHeight="1">
      <c r="A42" s="28"/>
      <c r="B42" s="158"/>
      <c r="C42" s="20"/>
      <c r="D42" s="28"/>
      <c r="E42" s="276"/>
      <c r="F42" s="180"/>
    </row>
    <row r="43" spans="1:6" ht="20.100000000000001" customHeight="1">
      <c r="A43" s="28"/>
      <c r="B43" s="185" t="s">
        <v>56</v>
      </c>
      <c r="C43" s="170"/>
      <c r="D43" s="174"/>
      <c r="E43" s="276"/>
      <c r="F43" s="180"/>
    </row>
    <row r="44" spans="1:6" ht="20.100000000000001" customHeight="1">
      <c r="A44" s="28">
        <v>1</v>
      </c>
      <c r="B44" s="156" t="s">
        <v>255</v>
      </c>
      <c r="C44" s="20" t="s">
        <v>256</v>
      </c>
      <c r="D44" s="28" t="s">
        <v>161</v>
      </c>
      <c r="E44" s="276">
        <v>225000</v>
      </c>
      <c r="F44" s="180"/>
    </row>
    <row r="45" spans="1:6" ht="20.100000000000001" customHeight="1">
      <c r="A45" s="28">
        <v>2</v>
      </c>
      <c r="B45" s="156" t="s">
        <v>158</v>
      </c>
      <c r="C45" s="20" t="s">
        <v>199</v>
      </c>
      <c r="D45" s="28" t="s">
        <v>75</v>
      </c>
      <c r="E45" s="276">
        <v>105000</v>
      </c>
      <c r="F45" s="180"/>
    </row>
    <row r="46" spans="1:6" ht="20.100000000000001" customHeight="1">
      <c r="A46" s="28">
        <v>3</v>
      </c>
      <c r="B46" s="156" t="s">
        <v>165</v>
      </c>
      <c r="C46" s="20" t="s">
        <v>258</v>
      </c>
      <c r="D46" s="28" t="s">
        <v>75</v>
      </c>
      <c r="E46" s="276">
        <v>105000</v>
      </c>
      <c r="F46" s="180"/>
    </row>
    <row r="47" spans="1:6" ht="20.100000000000001" customHeight="1">
      <c r="A47" s="28">
        <v>4</v>
      </c>
      <c r="B47" s="156" t="s">
        <v>159</v>
      </c>
      <c r="C47" s="20" t="s">
        <v>258</v>
      </c>
      <c r="D47" s="28" t="s">
        <v>75</v>
      </c>
      <c r="E47" s="276">
        <v>105000</v>
      </c>
      <c r="F47" s="180"/>
    </row>
    <row r="48" spans="1:6" ht="20.100000000000001" customHeight="1">
      <c r="A48" s="28">
        <v>5</v>
      </c>
      <c r="B48" s="156" t="s">
        <v>118</v>
      </c>
      <c r="C48" s="20" t="s">
        <v>258</v>
      </c>
      <c r="D48" s="28" t="s">
        <v>148</v>
      </c>
      <c r="E48" s="276">
        <v>105000</v>
      </c>
      <c r="F48" s="180"/>
    </row>
    <row r="49" spans="1:6" ht="20.100000000000001" customHeight="1">
      <c r="A49" s="28">
        <v>6</v>
      </c>
      <c r="B49" s="156" t="s">
        <v>205</v>
      </c>
      <c r="C49" s="20" t="s">
        <v>78</v>
      </c>
      <c r="D49" s="28" t="s">
        <v>181</v>
      </c>
      <c r="E49" s="276">
        <v>75000</v>
      </c>
      <c r="F49" s="180"/>
    </row>
    <row r="50" spans="1:6" ht="20.100000000000001" customHeight="1">
      <c r="A50" s="28">
        <v>7</v>
      </c>
      <c r="B50" s="158" t="s">
        <v>173</v>
      </c>
      <c r="C50" s="20" t="s">
        <v>297</v>
      </c>
      <c r="D50" s="24" t="s">
        <v>181</v>
      </c>
      <c r="E50" s="276">
        <v>75000</v>
      </c>
      <c r="F50" s="180"/>
    </row>
    <row r="51" spans="1:6" ht="20.100000000000001" customHeight="1">
      <c r="A51" s="28">
        <v>8</v>
      </c>
      <c r="B51" s="156" t="s">
        <v>116</v>
      </c>
      <c r="C51" s="20" t="s">
        <v>297</v>
      </c>
      <c r="D51" s="28" t="s">
        <v>162</v>
      </c>
      <c r="E51" s="276">
        <v>75000</v>
      </c>
      <c r="F51" s="180"/>
    </row>
    <row r="52" spans="1:6" ht="20.100000000000001" customHeight="1">
      <c r="A52" s="28">
        <v>9</v>
      </c>
      <c r="B52" s="156" t="s">
        <v>184</v>
      </c>
      <c r="C52" s="20" t="s">
        <v>80</v>
      </c>
      <c r="D52" s="28" t="s">
        <v>170</v>
      </c>
      <c r="E52" s="276">
        <v>75000</v>
      </c>
      <c r="F52" s="180"/>
    </row>
    <row r="53" spans="1:6" ht="20.100000000000001" customHeight="1">
      <c r="A53" s="28">
        <v>10</v>
      </c>
      <c r="B53" s="156" t="s">
        <v>420</v>
      </c>
      <c r="C53" s="20" t="s">
        <v>84</v>
      </c>
      <c r="D53" s="28" t="s">
        <v>428</v>
      </c>
      <c r="E53" s="276">
        <v>45000</v>
      </c>
      <c r="F53" s="180"/>
    </row>
    <row r="54" spans="1:6" ht="20.100000000000001" customHeight="1">
      <c r="A54" s="28">
        <v>11</v>
      </c>
      <c r="B54" s="156" t="s">
        <v>435</v>
      </c>
      <c r="C54" s="20" t="s">
        <v>84</v>
      </c>
      <c r="D54" s="28" t="s">
        <v>428</v>
      </c>
      <c r="E54" s="276">
        <v>45000</v>
      </c>
      <c r="F54" s="180"/>
    </row>
    <row r="55" spans="1:6" ht="20.100000000000001" customHeight="1">
      <c r="A55" s="28">
        <v>12</v>
      </c>
      <c r="B55" s="156" t="s">
        <v>452</v>
      </c>
      <c r="C55" s="20" t="s">
        <v>84</v>
      </c>
      <c r="D55" s="28" t="s">
        <v>428</v>
      </c>
      <c r="E55" s="276">
        <v>45000</v>
      </c>
      <c r="F55" s="180"/>
    </row>
    <row r="56" spans="1:6" ht="25.5" customHeight="1">
      <c r="A56" s="28"/>
      <c r="B56" s="159" t="s">
        <v>15</v>
      </c>
      <c r="C56" s="29">
        <v>12</v>
      </c>
      <c r="D56" s="29"/>
      <c r="E56" s="279">
        <f>SUM(E44:E55)</f>
        <v>1080000</v>
      </c>
      <c r="F56" s="180"/>
    </row>
    <row r="57" spans="1:6" ht="20.100000000000001" customHeight="1">
      <c r="A57" s="28"/>
      <c r="B57" s="123"/>
      <c r="C57" s="29"/>
      <c r="D57" s="29"/>
      <c r="E57" s="280"/>
      <c r="F57" s="180"/>
    </row>
    <row r="58" spans="1:6" ht="20.100000000000001" customHeight="1">
      <c r="A58" s="28"/>
      <c r="B58" s="159" t="s">
        <v>195</v>
      </c>
      <c r="C58" s="29"/>
      <c r="D58" s="29"/>
      <c r="E58" s="280"/>
      <c r="F58" s="180"/>
    </row>
    <row r="59" spans="1:6" ht="20.100000000000001" customHeight="1">
      <c r="A59" s="28">
        <v>1</v>
      </c>
      <c r="B59" s="156" t="s">
        <v>11</v>
      </c>
      <c r="C59" s="161" t="s">
        <v>200</v>
      </c>
      <c r="D59" s="181" t="s">
        <v>161</v>
      </c>
      <c r="E59" s="276">
        <v>225000</v>
      </c>
      <c r="F59" s="180"/>
    </row>
    <row r="60" spans="1:6" ht="20.100000000000001" customHeight="1">
      <c r="A60" s="28">
        <v>2</v>
      </c>
      <c r="B60" s="156" t="s">
        <v>276</v>
      </c>
      <c r="C60" s="161" t="s">
        <v>340</v>
      </c>
      <c r="D60" s="181" t="s">
        <v>412</v>
      </c>
      <c r="E60" s="276">
        <v>105000</v>
      </c>
      <c r="F60" s="180"/>
    </row>
    <row r="61" spans="1:6" ht="20.100000000000001" customHeight="1">
      <c r="A61" s="28"/>
      <c r="B61" s="159" t="s">
        <v>15</v>
      </c>
      <c r="C61" s="29">
        <v>2</v>
      </c>
      <c r="D61" s="29"/>
      <c r="E61" s="279">
        <f>SUM(E59:E60)</f>
        <v>330000</v>
      </c>
      <c r="F61" s="180"/>
    </row>
    <row r="62" spans="1:6" ht="20.100000000000001" customHeight="1">
      <c r="A62" s="28"/>
      <c r="B62" s="159"/>
      <c r="C62" s="29"/>
      <c r="D62" s="29"/>
      <c r="E62" s="280"/>
      <c r="F62" s="180"/>
    </row>
    <row r="63" spans="1:6" ht="20.100000000000001" customHeight="1">
      <c r="A63" s="28"/>
      <c r="B63" s="159" t="s">
        <v>461</v>
      </c>
      <c r="C63" s="29"/>
      <c r="D63" s="29"/>
      <c r="E63" s="280"/>
      <c r="F63" s="180"/>
    </row>
    <row r="64" spans="1:6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81">
        <v>225000</v>
      </c>
      <c r="F64" s="180"/>
    </row>
    <row r="65" spans="1:6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76">
        <v>105000</v>
      </c>
      <c r="F65" s="180"/>
    </row>
    <row r="66" spans="1:6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81">
        <v>75000</v>
      </c>
      <c r="F66" s="180"/>
    </row>
    <row r="67" spans="1:6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81">
        <v>75000</v>
      </c>
      <c r="F67" s="180"/>
    </row>
    <row r="68" spans="1:6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81">
        <v>75000</v>
      </c>
      <c r="F68" s="180"/>
    </row>
    <row r="69" spans="1:6" ht="20.100000000000001" customHeight="1">
      <c r="A69" s="28">
        <v>6</v>
      </c>
      <c r="B69" s="158" t="s">
        <v>534</v>
      </c>
      <c r="C69" s="112" t="s">
        <v>297</v>
      </c>
      <c r="D69" s="181" t="s">
        <v>162</v>
      </c>
      <c r="E69" s="281">
        <v>75000</v>
      </c>
      <c r="F69" s="180"/>
    </row>
    <row r="70" spans="1:6" ht="20.100000000000001" customHeight="1">
      <c r="A70" s="28">
        <v>7</v>
      </c>
      <c r="B70" s="156" t="s">
        <v>117</v>
      </c>
      <c r="C70" s="20" t="s">
        <v>84</v>
      </c>
      <c r="D70" s="28" t="s">
        <v>369</v>
      </c>
      <c r="E70" s="276">
        <v>45000</v>
      </c>
      <c r="F70" s="180"/>
    </row>
    <row r="71" spans="1:6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76">
        <v>45000</v>
      </c>
      <c r="F71" s="180"/>
    </row>
    <row r="72" spans="1:6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76">
        <v>45000</v>
      </c>
      <c r="F72" s="180"/>
    </row>
    <row r="73" spans="1:6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76">
        <v>45000</v>
      </c>
      <c r="F73" s="180"/>
    </row>
    <row r="74" spans="1:6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76">
        <v>45000</v>
      </c>
      <c r="F74" s="180"/>
    </row>
    <row r="75" spans="1:6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76">
        <v>45000</v>
      </c>
      <c r="F75" s="180"/>
    </row>
    <row r="76" spans="1:6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76">
        <v>45000</v>
      </c>
      <c r="F76" s="180"/>
    </row>
    <row r="77" spans="1:6" ht="20.100000000000001" customHeight="1">
      <c r="A77" s="28"/>
      <c r="B77" s="159" t="s">
        <v>15</v>
      </c>
      <c r="C77" s="29">
        <v>13</v>
      </c>
      <c r="D77" s="29"/>
      <c r="E77" s="279">
        <f>SUM(E64:E76)</f>
        <v>945000</v>
      </c>
      <c r="F77" s="180"/>
    </row>
    <row r="78" spans="1:6" ht="20.100000000000001" customHeight="1">
      <c r="A78" s="28"/>
      <c r="B78" s="123"/>
      <c r="C78" s="29"/>
      <c r="D78" s="29"/>
      <c r="E78" s="280"/>
      <c r="F78" s="180"/>
    </row>
    <row r="79" spans="1:6" ht="20.100000000000001" customHeight="1">
      <c r="A79" s="28"/>
      <c r="B79" s="159" t="s">
        <v>462</v>
      </c>
      <c r="C79" s="29"/>
      <c r="D79" s="29"/>
      <c r="E79" s="280"/>
      <c r="F79" s="180"/>
    </row>
    <row r="80" spans="1:6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76">
        <v>225000</v>
      </c>
      <c r="F80" s="180"/>
    </row>
    <row r="81" spans="1:6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76">
        <v>105000</v>
      </c>
      <c r="F81" s="180"/>
    </row>
    <row r="82" spans="1:6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76">
        <v>105000</v>
      </c>
      <c r="F82" s="180"/>
    </row>
    <row r="83" spans="1:6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76">
        <v>75000</v>
      </c>
      <c r="F83" s="180"/>
    </row>
    <row r="84" spans="1:6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76">
        <v>45000</v>
      </c>
      <c r="F84" s="180"/>
    </row>
    <row r="85" spans="1:6" ht="20.100000000000001" customHeight="1">
      <c r="A85" s="28"/>
      <c r="B85" s="159" t="s">
        <v>15</v>
      </c>
      <c r="C85" s="29">
        <v>5</v>
      </c>
      <c r="D85" s="29"/>
      <c r="E85" s="279">
        <f>SUM(E80:E84)</f>
        <v>555000</v>
      </c>
      <c r="F85" s="180"/>
    </row>
    <row r="86" spans="1:6" ht="20.100000000000001" customHeight="1">
      <c r="A86" s="28"/>
      <c r="B86" s="159"/>
      <c r="C86" s="29"/>
      <c r="D86" s="29"/>
      <c r="E86" s="276"/>
      <c r="F86" s="180"/>
    </row>
    <row r="87" spans="1:6" ht="20.100000000000001" customHeight="1">
      <c r="A87" s="28"/>
      <c r="B87" s="159" t="s">
        <v>463</v>
      </c>
      <c r="C87" s="186"/>
      <c r="D87" s="29"/>
      <c r="E87" s="276"/>
      <c r="F87" s="180"/>
    </row>
    <row r="88" spans="1:6" ht="20.100000000000001" customHeight="1">
      <c r="A88" s="28">
        <v>1</v>
      </c>
      <c r="B88" s="156" t="s">
        <v>169</v>
      </c>
      <c r="C88" s="20" t="s">
        <v>258</v>
      </c>
      <c r="D88" s="28" t="s">
        <v>75</v>
      </c>
      <c r="E88" s="276">
        <v>105000</v>
      </c>
      <c r="F88" s="180"/>
    </row>
    <row r="89" spans="1:6" ht="20.100000000000001" customHeight="1">
      <c r="A89" s="28">
        <v>2</v>
      </c>
      <c r="B89" s="156" t="s">
        <v>192</v>
      </c>
      <c r="C89" s="20" t="s">
        <v>258</v>
      </c>
      <c r="D89" s="28" t="s">
        <v>75</v>
      </c>
      <c r="E89" s="276">
        <v>105000</v>
      </c>
      <c r="F89" s="180"/>
    </row>
    <row r="90" spans="1:6" ht="20.100000000000001" customHeight="1">
      <c r="A90" s="28">
        <v>3</v>
      </c>
      <c r="B90" s="158" t="s">
        <v>138</v>
      </c>
      <c r="C90" s="20" t="s">
        <v>297</v>
      </c>
      <c r="D90" s="28" t="s">
        <v>174</v>
      </c>
      <c r="E90" s="281">
        <v>75000</v>
      </c>
      <c r="F90" s="180"/>
    </row>
    <row r="91" spans="1:6" ht="20.100000000000001" customHeight="1">
      <c r="A91" s="28">
        <v>4</v>
      </c>
      <c r="B91" s="156" t="s">
        <v>202</v>
      </c>
      <c r="C91" s="20" t="s">
        <v>78</v>
      </c>
      <c r="D91" s="28" t="s">
        <v>181</v>
      </c>
      <c r="E91" s="281">
        <v>75000</v>
      </c>
      <c r="F91" s="180"/>
    </row>
    <row r="92" spans="1:6" ht="21.6" customHeight="1">
      <c r="A92" s="28">
        <v>5</v>
      </c>
      <c r="B92" s="156" t="s">
        <v>101</v>
      </c>
      <c r="C92" s="20" t="s">
        <v>80</v>
      </c>
      <c r="D92" s="181" t="s">
        <v>170</v>
      </c>
      <c r="E92" s="281">
        <v>75000</v>
      </c>
      <c r="F92" s="180"/>
    </row>
    <row r="93" spans="1:6" ht="21.6" customHeight="1">
      <c r="A93" s="28">
        <v>6</v>
      </c>
      <c r="B93" s="156" t="s">
        <v>336</v>
      </c>
      <c r="C93" s="161" t="s">
        <v>257</v>
      </c>
      <c r="D93" s="181" t="s">
        <v>163</v>
      </c>
      <c r="E93" s="281">
        <v>75000</v>
      </c>
      <c r="F93" s="180"/>
    </row>
    <row r="94" spans="1:6" ht="21.6" customHeight="1">
      <c r="A94" s="28">
        <v>7</v>
      </c>
      <c r="B94" s="156" t="s">
        <v>337</v>
      </c>
      <c r="C94" s="161" t="s">
        <v>257</v>
      </c>
      <c r="D94" s="181" t="s">
        <v>163</v>
      </c>
      <c r="E94" s="281">
        <v>75000</v>
      </c>
      <c r="F94" s="180"/>
    </row>
    <row r="95" spans="1:6" ht="21.6" customHeight="1">
      <c r="A95" s="28">
        <v>8</v>
      </c>
      <c r="B95" s="156" t="s">
        <v>421</v>
      </c>
      <c r="C95" s="112" t="s">
        <v>422</v>
      </c>
      <c r="D95" s="181" t="s">
        <v>369</v>
      </c>
      <c r="E95" s="276">
        <v>45000</v>
      </c>
      <c r="F95" s="180"/>
    </row>
    <row r="96" spans="1:6" ht="21.6" customHeight="1">
      <c r="A96" s="28">
        <v>9</v>
      </c>
      <c r="B96" s="156" t="s">
        <v>436</v>
      </c>
      <c r="C96" s="20" t="s">
        <v>470</v>
      </c>
      <c r="D96" s="28" t="s">
        <v>104</v>
      </c>
      <c r="E96" s="276">
        <v>45000</v>
      </c>
      <c r="F96" s="180"/>
    </row>
    <row r="97" spans="1:6" ht="21.6" customHeight="1">
      <c r="A97" s="28">
        <v>10</v>
      </c>
      <c r="B97" s="156" t="s">
        <v>406</v>
      </c>
      <c r="C97" s="112" t="s">
        <v>432</v>
      </c>
      <c r="D97" s="181" t="s">
        <v>176</v>
      </c>
      <c r="E97" s="276">
        <v>45000</v>
      </c>
      <c r="F97" s="180"/>
    </row>
    <row r="98" spans="1:6" ht="20.100000000000001" customHeight="1">
      <c r="A98" s="28"/>
      <c r="B98" s="159" t="s">
        <v>15</v>
      </c>
      <c r="C98" s="29">
        <v>10</v>
      </c>
      <c r="D98" s="29"/>
      <c r="E98" s="279">
        <f>SUM(E88:E97)</f>
        <v>720000</v>
      </c>
      <c r="F98" s="180"/>
    </row>
    <row r="99" spans="1:6" ht="20.100000000000001" customHeight="1">
      <c r="A99" s="28"/>
      <c r="B99" s="123"/>
      <c r="C99" s="29"/>
      <c r="D99" s="29"/>
      <c r="E99" s="280"/>
      <c r="F99" s="180"/>
    </row>
    <row r="100" spans="1:6" ht="20.100000000000001" customHeight="1">
      <c r="A100" s="28"/>
      <c r="B100" s="159" t="s">
        <v>464</v>
      </c>
      <c r="C100" s="29"/>
      <c r="D100" s="29"/>
      <c r="E100" s="280"/>
      <c r="F100" s="180"/>
    </row>
    <row r="101" spans="1:6" ht="20.100000000000001" customHeight="1">
      <c r="A101" s="28">
        <v>1</v>
      </c>
      <c r="B101" s="157" t="s">
        <v>364</v>
      </c>
      <c r="C101" s="28" t="s">
        <v>343</v>
      </c>
      <c r="D101" s="181" t="s">
        <v>221</v>
      </c>
      <c r="E101" s="276">
        <v>150000</v>
      </c>
      <c r="F101" s="180"/>
    </row>
    <row r="102" spans="1:6" ht="20.100000000000001" customHeight="1">
      <c r="A102" s="28">
        <v>2</v>
      </c>
      <c r="B102" s="156" t="s">
        <v>185</v>
      </c>
      <c r="C102" s="20" t="s">
        <v>373</v>
      </c>
      <c r="D102" s="28" t="s">
        <v>181</v>
      </c>
      <c r="E102" s="276">
        <v>75000</v>
      </c>
      <c r="F102" s="180"/>
    </row>
    <row r="103" spans="1:6" ht="20.100000000000001" customHeight="1">
      <c r="A103" s="28">
        <v>3</v>
      </c>
      <c r="B103" s="156" t="s">
        <v>237</v>
      </c>
      <c r="C103" s="20" t="s">
        <v>483</v>
      </c>
      <c r="D103" s="181" t="s">
        <v>415</v>
      </c>
      <c r="E103" s="276">
        <v>45000</v>
      </c>
      <c r="F103" s="180"/>
    </row>
    <row r="104" spans="1:6" ht="20.100000000000001" customHeight="1">
      <c r="A104" s="28">
        <v>4</v>
      </c>
      <c r="B104" s="156" t="s">
        <v>538</v>
      </c>
      <c r="C104" s="20" t="s">
        <v>539</v>
      </c>
      <c r="D104" s="181" t="s">
        <v>267</v>
      </c>
      <c r="E104" s="276">
        <v>45000</v>
      </c>
      <c r="F104" s="180"/>
    </row>
    <row r="105" spans="1:6" ht="20.100000000000001" customHeight="1">
      <c r="A105" s="20"/>
      <c r="B105" s="159" t="s">
        <v>15</v>
      </c>
      <c r="C105" s="29">
        <v>3</v>
      </c>
      <c r="D105" s="187"/>
      <c r="E105" s="279">
        <f>SUM(E101:E104)</f>
        <v>315000</v>
      </c>
      <c r="F105" s="180"/>
    </row>
    <row r="106" spans="1:6" ht="20.100000000000001" customHeight="1">
      <c r="A106" s="20"/>
      <c r="B106" s="123"/>
      <c r="C106" s="29"/>
      <c r="D106" s="187"/>
      <c r="E106" s="280"/>
      <c r="F106" s="180"/>
    </row>
    <row r="107" spans="1:6" ht="20.100000000000001" customHeight="1">
      <c r="A107" s="20"/>
      <c r="B107" s="159" t="s">
        <v>465</v>
      </c>
      <c r="C107" s="20"/>
      <c r="D107" s="20"/>
      <c r="E107" s="282"/>
      <c r="F107" s="180"/>
    </row>
    <row r="108" spans="1:6" ht="20.100000000000001" customHeight="1">
      <c r="A108" s="20">
        <v>1</v>
      </c>
      <c r="B108" s="156" t="s">
        <v>216</v>
      </c>
      <c r="C108" s="161" t="s">
        <v>217</v>
      </c>
      <c r="D108" s="181" t="s">
        <v>161</v>
      </c>
      <c r="E108" s="276">
        <v>225000</v>
      </c>
      <c r="F108" s="180"/>
    </row>
    <row r="109" spans="1:6" ht="20.100000000000001" customHeight="1">
      <c r="A109" s="20">
        <v>2</v>
      </c>
      <c r="B109" s="156" t="s">
        <v>110</v>
      </c>
      <c r="C109" s="20" t="s">
        <v>259</v>
      </c>
      <c r="D109" s="24" t="s">
        <v>221</v>
      </c>
      <c r="E109" s="276">
        <v>150000</v>
      </c>
      <c r="F109" s="180"/>
    </row>
    <row r="110" spans="1:6" ht="20.100000000000001" customHeight="1">
      <c r="A110" s="20">
        <v>3</v>
      </c>
      <c r="B110" s="156" t="s">
        <v>109</v>
      </c>
      <c r="C110" s="20" t="s">
        <v>311</v>
      </c>
      <c r="D110" s="28" t="s">
        <v>175</v>
      </c>
      <c r="E110" s="276">
        <v>75000</v>
      </c>
      <c r="F110" s="180"/>
    </row>
    <row r="111" spans="1:6" ht="20.100000000000001" customHeight="1">
      <c r="A111" s="20">
        <v>4</v>
      </c>
      <c r="B111" s="156" t="s">
        <v>135</v>
      </c>
      <c r="C111" s="20" t="s">
        <v>311</v>
      </c>
      <c r="D111" s="28" t="s">
        <v>175</v>
      </c>
      <c r="E111" s="276">
        <v>75000</v>
      </c>
      <c r="F111" s="180"/>
    </row>
    <row r="112" spans="1:6" ht="20.100000000000001" customHeight="1">
      <c r="A112" s="20">
        <v>5</v>
      </c>
      <c r="B112" s="156" t="s">
        <v>240</v>
      </c>
      <c r="C112" s="20" t="s">
        <v>338</v>
      </c>
      <c r="D112" s="181" t="s">
        <v>499</v>
      </c>
      <c r="E112" s="276">
        <v>45000</v>
      </c>
      <c r="F112" s="180"/>
    </row>
    <row r="113" spans="1:6" ht="20.100000000000001" customHeight="1">
      <c r="A113" s="20">
        <v>6</v>
      </c>
      <c r="B113" s="157" t="s">
        <v>341</v>
      </c>
      <c r="C113" s="20" t="s">
        <v>338</v>
      </c>
      <c r="D113" s="28" t="s">
        <v>267</v>
      </c>
      <c r="E113" s="276">
        <v>45000</v>
      </c>
      <c r="F113" s="180"/>
    </row>
    <row r="114" spans="1:6" ht="20.100000000000001" customHeight="1">
      <c r="A114" s="20">
        <v>7</v>
      </c>
      <c r="B114" s="157" t="s">
        <v>374</v>
      </c>
      <c r="C114" s="20" t="s">
        <v>338</v>
      </c>
      <c r="D114" s="181" t="s">
        <v>176</v>
      </c>
      <c r="E114" s="276">
        <v>45000</v>
      </c>
      <c r="F114" s="180"/>
    </row>
    <row r="115" spans="1:6" ht="20.100000000000001" customHeight="1">
      <c r="A115" s="20"/>
      <c r="B115" s="159" t="s">
        <v>15</v>
      </c>
      <c r="C115" s="29">
        <v>7</v>
      </c>
      <c r="D115" s="20"/>
      <c r="E115" s="283">
        <f>SUM(E108:E114)</f>
        <v>660000</v>
      </c>
      <c r="F115" s="180"/>
    </row>
    <row r="116" spans="1:6" ht="20.100000000000001" customHeight="1">
      <c r="A116" s="20"/>
      <c r="B116" s="159"/>
      <c r="C116" s="29"/>
      <c r="D116" s="20"/>
      <c r="E116" s="283"/>
      <c r="F116" s="180"/>
    </row>
    <row r="117" spans="1:6" ht="48.75" customHeight="1">
      <c r="A117" s="28"/>
      <c r="B117" s="159" t="s">
        <v>545</v>
      </c>
      <c r="C117" s="29"/>
      <c r="D117" s="29"/>
      <c r="E117" s="283"/>
      <c r="F117" s="180"/>
    </row>
    <row r="118" spans="1:6" ht="27" customHeight="1">
      <c r="A118" s="28">
        <v>1</v>
      </c>
      <c r="B118" s="156" t="s">
        <v>182</v>
      </c>
      <c r="C118" s="112" t="s">
        <v>422</v>
      </c>
      <c r="D118" s="181" t="s">
        <v>497</v>
      </c>
      <c r="E118" s="276">
        <v>45000</v>
      </c>
      <c r="F118" s="180"/>
    </row>
    <row r="119" spans="1:6" ht="27" customHeight="1">
      <c r="A119" s="28">
        <v>2</v>
      </c>
      <c r="B119" s="156" t="s">
        <v>247</v>
      </c>
      <c r="C119" s="20" t="s">
        <v>477</v>
      </c>
      <c r="D119" s="181" t="s">
        <v>415</v>
      </c>
      <c r="E119" s="276">
        <v>45000</v>
      </c>
      <c r="F119" s="180"/>
    </row>
    <row r="120" spans="1:6" ht="27" customHeight="1">
      <c r="A120" s="20"/>
      <c r="B120" s="159" t="s">
        <v>15</v>
      </c>
      <c r="C120" s="29">
        <v>2</v>
      </c>
      <c r="D120" s="187"/>
      <c r="E120" s="283">
        <f>SUM(E118:E119)</f>
        <v>90000</v>
      </c>
      <c r="F120" s="180"/>
    </row>
    <row r="121" spans="1:6" ht="20.100000000000001" customHeight="1">
      <c r="A121" s="20"/>
      <c r="B121" s="123"/>
      <c r="C121" s="28"/>
      <c r="D121" s="20"/>
      <c r="E121" s="284"/>
      <c r="F121" s="180"/>
    </row>
    <row r="122" spans="1:6" ht="20.100000000000001" customHeight="1">
      <c r="A122" s="20"/>
      <c r="B122" s="159" t="s">
        <v>466</v>
      </c>
      <c r="C122" s="29"/>
      <c r="D122" s="29"/>
      <c r="E122" s="276"/>
      <c r="F122" s="180"/>
    </row>
    <row r="123" spans="1:6" ht="20.100000000000001" customHeight="1">
      <c r="A123" s="20">
        <v>1</v>
      </c>
      <c r="B123" s="156" t="s">
        <v>20</v>
      </c>
      <c r="C123" s="161" t="s">
        <v>250</v>
      </c>
      <c r="D123" s="181" t="s">
        <v>161</v>
      </c>
      <c r="E123" s="276">
        <v>225000</v>
      </c>
      <c r="F123" s="180"/>
    </row>
    <row r="124" spans="1:6" ht="20.100000000000001" customHeight="1">
      <c r="A124" s="20">
        <v>2</v>
      </c>
      <c r="B124" s="156" t="s">
        <v>153</v>
      </c>
      <c r="C124" s="161" t="s">
        <v>376</v>
      </c>
      <c r="D124" s="181" t="s">
        <v>75</v>
      </c>
      <c r="E124" s="276">
        <v>105000</v>
      </c>
      <c r="F124" s="180"/>
    </row>
    <row r="125" spans="1:6" ht="20.100000000000001" customHeight="1">
      <c r="A125" s="20">
        <v>3</v>
      </c>
      <c r="B125" s="158" t="s">
        <v>142</v>
      </c>
      <c r="C125" s="161" t="s">
        <v>376</v>
      </c>
      <c r="D125" s="181" t="s">
        <v>75</v>
      </c>
      <c r="E125" s="276">
        <v>105000</v>
      </c>
      <c r="F125" s="180"/>
    </row>
    <row r="126" spans="1:6" ht="20.100000000000001" customHeight="1">
      <c r="A126" s="20">
        <v>4</v>
      </c>
      <c r="B126" s="158" t="s">
        <v>363</v>
      </c>
      <c r="C126" s="161" t="s">
        <v>376</v>
      </c>
      <c r="D126" s="181" t="s">
        <v>30</v>
      </c>
      <c r="E126" s="276">
        <v>105000</v>
      </c>
      <c r="F126" s="180"/>
    </row>
    <row r="127" spans="1:6" ht="20.100000000000001" customHeight="1">
      <c r="A127" s="20">
        <v>5</v>
      </c>
      <c r="B127" s="156" t="s">
        <v>108</v>
      </c>
      <c r="C127" s="161" t="s">
        <v>476</v>
      </c>
      <c r="D127" s="181" t="s">
        <v>162</v>
      </c>
      <c r="E127" s="276">
        <v>75000</v>
      </c>
      <c r="F127" s="180"/>
    </row>
    <row r="128" spans="1:6" ht="20.100000000000001" customHeight="1">
      <c r="A128" s="20">
        <v>6</v>
      </c>
      <c r="B128" s="156" t="s">
        <v>178</v>
      </c>
      <c r="C128" s="161" t="s">
        <v>382</v>
      </c>
      <c r="D128" s="181" t="s">
        <v>170</v>
      </c>
      <c r="E128" s="276">
        <v>75000</v>
      </c>
      <c r="F128" s="180"/>
    </row>
    <row r="129" spans="1:6" ht="20.100000000000001" customHeight="1">
      <c r="A129" s="20">
        <v>7</v>
      </c>
      <c r="B129" s="156" t="s">
        <v>134</v>
      </c>
      <c r="C129" s="161" t="s">
        <v>384</v>
      </c>
      <c r="D129" s="181" t="s">
        <v>170</v>
      </c>
      <c r="E129" s="276">
        <v>75000</v>
      </c>
      <c r="F129" s="180"/>
    </row>
    <row r="130" spans="1:6" ht="20.100000000000001" customHeight="1">
      <c r="A130" s="20">
        <v>8</v>
      </c>
      <c r="B130" s="156" t="s">
        <v>443</v>
      </c>
      <c r="C130" s="161" t="s">
        <v>447</v>
      </c>
      <c r="D130" s="28" t="s">
        <v>498</v>
      </c>
      <c r="E130" s="276">
        <v>45000</v>
      </c>
      <c r="F130" s="180"/>
    </row>
    <row r="131" spans="1:6" ht="20.100000000000001" customHeight="1">
      <c r="A131" s="20">
        <v>9</v>
      </c>
      <c r="B131" s="157" t="s">
        <v>439</v>
      </c>
      <c r="C131" s="161" t="s">
        <v>440</v>
      </c>
      <c r="D131" s="181" t="s">
        <v>176</v>
      </c>
      <c r="E131" s="276">
        <v>45000</v>
      </c>
      <c r="F131" s="180"/>
    </row>
    <row r="132" spans="1:6" ht="20.100000000000001" customHeight="1">
      <c r="A132" s="20"/>
      <c r="B132" s="159" t="s">
        <v>15</v>
      </c>
      <c r="C132" s="187" t="s">
        <v>377</v>
      </c>
      <c r="D132" s="181"/>
      <c r="E132" s="285">
        <f>SUM(E123:E131)</f>
        <v>855000</v>
      </c>
      <c r="F132" s="180"/>
    </row>
    <row r="133" spans="1:6" ht="20.100000000000001" customHeight="1">
      <c r="A133" s="20"/>
      <c r="B133" s="123"/>
      <c r="C133" s="187"/>
      <c r="D133" s="181"/>
      <c r="E133" s="286"/>
      <c r="F133" s="180"/>
    </row>
    <row r="134" spans="1:6" ht="20.100000000000001" customHeight="1">
      <c r="A134" s="20"/>
      <c r="B134" s="159" t="s">
        <v>467</v>
      </c>
      <c r="C134" s="161"/>
      <c r="D134" s="181"/>
      <c r="E134" s="276"/>
      <c r="F134" s="180"/>
    </row>
    <row r="135" spans="1:6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276">
        <v>225000</v>
      </c>
      <c r="F135" s="180"/>
    </row>
    <row r="136" spans="1:6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276">
        <v>150000</v>
      </c>
      <c r="F136" s="180"/>
    </row>
    <row r="137" spans="1:6" ht="20.100000000000001" customHeight="1">
      <c r="A137" s="191">
        <v>3</v>
      </c>
      <c r="B137" s="158" t="s">
        <v>183</v>
      </c>
      <c r="C137" s="20" t="s">
        <v>486</v>
      </c>
      <c r="D137" s="24" t="s">
        <v>221</v>
      </c>
      <c r="E137" s="276">
        <v>150000</v>
      </c>
      <c r="F137" s="180"/>
    </row>
    <row r="138" spans="1:6" ht="20.100000000000001" customHeight="1">
      <c r="A138" s="191">
        <v>4</v>
      </c>
      <c r="B138" s="156" t="s">
        <v>106</v>
      </c>
      <c r="C138" s="161" t="s">
        <v>381</v>
      </c>
      <c r="D138" s="181" t="s">
        <v>181</v>
      </c>
      <c r="E138" s="276">
        <v>75000</v>
      </c>
      <c r="F138" s="180"/>
    </row>
    <row r="139" spans="1:6" ht="20.100000000000001" customHeight="1">
      <c r="A139" s="191">
        <v>5</v>
      </c>
      <c r="B139" s="156" t="s">
        <v>7</v>
      </c>
      <c r="C139" s="20" t="s">
        <v>385</v>
      </c>
      <c r="D139" s="181" t="s">
        <v>181</v>
      </c>
      <c r="E139" s="276">
        <v>75000</v>
      </c>
      <c r="F139" s="180"/>
    </row>
    <row r="140" spans="1:6" ht="20.100000000000001" customHeight="1">
      <c r="A140" s="191">
        <v>6</v>
      </c>
      <c r="B140" s="156" t="s">
        <v>124</v>
      </c>
      <c r="C140" s="20" t="s">
        <v>235</v>
      </c>
      <c r="D140" s="181" t="s">
        <v>170</v>
      </c>
      <c r="E140" s="276">
        <v>75000</v>
      </c>
      <c r="F140" s="180"/>
    </row>
    <row r="141" spans="1:6" ht="20.100000000000001" customHeight="1">
      <c r="A141" s="191">
        <v>7</v>
      </c>
      <c r="B141" s="156" t="s">
        <v>102</v>
      </c>
      <c r="C141" s="161" t="s">
        <v>395</v>
      </c>
      <c r="D141" s="181" t="s">
        <v>497</v>
      </c>
      <c r="E141" s="276">
        <v>45000</v>
      </c>
      <c r="F141" s="180"/>
    </row>
    <row r="142" spans="1:6" ht="20.100000000000001" customHeight="1">
      <c r="A142" s="191">
        <v>8</v>
      </c>
      <c r="B142" s="156" t="s">
        <v>103</v>
      </c>
      <c r="C142" s="161" t="s">
        <v>395</v>
      </c>
      <c r="D142" s="181" t="s">
        <v>497</v>
      </c>
      <c r="E142" s="276">
        <v>45000</v>
      </c>
      <c r="F142" s="180"/>
    </row>
    <row r="143" spans="1:6" ht="20.100000000000001" customHeight="1">
      <c r="A143" s="191">
        <v>9</v>
      </c>
      <c r="B143" s="156" t="s">
        <v>151</v>
      </c>
      <c r="C143" s="20" t="s">
        <v>235</v>
      </c>
      <c r="D143" s="181" t="s">
        <v>497</v>
      </c>
      <c r="E143" s="276">
        <v>45000</v>
      </c>
      <c r="F143" s="180"/>
    </row>
    <row r="144" spans="1:6" ht="20.100000000000001" customHeight="1">
      <c r="A144" s="191">
        <v>10</v>
      </c>
      <c r="B144" s="156" t="s">
        <v>238</v>
      </c>
      <c r="C144" s="161" t="s">
        <v>479</v>
      </c>
      <c r="D144" s="181" t="s">
        <v>415</v>
      </c>
      <c r="E144" s="276">
        <v>45000</v>
      </c>
      <c r="F144" s="180"/>
    </row>
    <row r="145" spans="1:6" ht="20.100000000000001" customHeight="1">
      <c r="A145" s="191">
        <v>11</v>
      </c>
      <c r="B145" s="156" t="s">
        <v>53</v>
      </c>
      <c r="C145" s="161" t="s">
        <v>300</v>
      </c>
      <c r="D145" s="181" t="s">
        <v>27</v>
      </c>
      <c r="E145" s="276">
        <v>45000</v>
      </c>
      <c r="F145" s="180"/>
    </row>
    <row r="146" spans="1:6" ht="20.100000000000001" customHeight="1">
      <c r="A146" s="191">
        <v>12</v>
      </c>
      <c r="B146" s="156" t="s">
        <v>179</v>
      </c>
      <c r="C146" s="161" t="s">
        <v>479</v>
      </c>
      <c r="D146" s="181" t="s">
        <v>497</v>
      </c>
      <c r="E146" s="276">
        <v>45000</v>
      </c>
      <c r="F146" s="180"/>
    </row>
    <row r="147" spans="1:6" ht="20.100000000000001" customHeight="1">
      <c r="A147" s="191">
        <v>13</v>
      </c>
      <c r="B147" s="157" t="s">
        <v>293</v>
      </c>
      <c r="C147" s="20" t="s">
        <v>438</v>
      </c>
      <c r="D147" s="181" t="s">
        <v>27</v>
      </c>
      <c r="E147" s="276">
        <v>45000</v>
      </c>
      <c r="F147" s="180"/>
    </row>
    <row r="148" spans="1:6" ht="20.100000000000001" customHeight="1">
      <c r="A148" s="191">
        <v>14</v>
      </c>
      <c r="B148" s="156" t="s">
        <v>488</v>
      </c>
      <c r="C148" s="20" t="s">
        <v>239</v>
      </c>
      <c r="D148" s="181" t="s">
        <v>207</v>
      </c>
      <c r="E148" s="276">
        <v>45000</v>
      </c>
      <c r="F148" s="180"/>
    </row>
    <row r="149" spans="1:6" ht="20.100000000000001" customHeight="1">
      <c r="A149" s="191">
        <v>15</v>
      </c>
      <c r="B149" s="156" t="s">
        <v>489</v>
      </c>
      <c r="C149" s="20" t="s">
        <v>239</v>
      </c>
      <c r="D149" s="181" t="s">
        <v>164</v>
      </c>
      <c r="E149" s="276">
        <v>45000</v>
      </c>
      <c r="F149" s="180"/>
    </row>
    <row r="150" spans="1:6" ht="20.100000000000001" customHeight="1">
      <c r="A150" s="191">
        <v>16</v>
      </c>
      <c r="B150" s="156" t="s">
        <v>212</v>
      </c>
      <c r="C150" s="20" t="s">
        <v>239</v>
      </c>
      <c r="D150" s="181" t="s">
        <v>164</v>
      </c>
      <c r="E150" s="276">
        <v>45000</v>
      </c>
      <c r="F150" s="180"/>
    </row>
    <row r="151" spans="1:6" ht="20.100000000000001" customHeight="1">
      <c r="A151" s="191">
        <v>17</v>
      </c>
      <c r="B151" s="156" t="s">
        <v>425</v>
      </c>
      <c r="C151" s="161" t="s">
        <v>430</v>
      </c>
      <c r="D151" s="181" t="s">
        <v>104</v>
      </c>
      <c r="E151" s="276">
        <v>45000</v>
      </c>
      <c r="F151" s="180"/>
    </row>
    <row r="152" spans="1:6" ht="20.100000000000001" customHeight="1">
      <c r="A152" s="191">
        <v>18</v>
      </c>
      <c r="B152" s="156" t="s">
        <v>437</v>
      </c>
      <c r="C152" s="161" t="s">
        <v>438</v>
      </c>
      <c r="D152" s="28" t="s">
        <v>428</v>
      </c>
      <c r="E152" s="276">
        <v>45000</v>
      </c>
      <c r="F152" s="180"/>
    </row>
    <row r="153" spans="1:6" ht="20.100000000000001" customHeight="1">
      <c r="A153" s="191">
        <v>19</v>
      </c>
      <c r="B153" s="156" t="s">
        <v>230</v>
      </c>
      <c r="C153" s="161" t="s">
        <v>485</v>
      </c>
      <c r="D153" s="181" t="s">
        <v>207</v>
      </c>
      <c r="E153" s="276">
        <v>45000</v>
      </c>
      <c r="F153" s="180"/>
    </row>
    <row r="154" spans="1:6" ht="20.100000000000001" customHeight="1">
      <c r="A154" s="191">
        <v>20</v>
      </c>
      <c r="B154" s="156" t="s">
        <v>57</v>
      </c>
      <c r="C154" s="161" t="s">
        <v>481</v>
      </c>
      <c r="D154" s="181" t="s">
        <v>498</v>
      </c>
      <c r="E154" s="276">
        <v>45000</v>
      </c>
      <c r="F154" s="180"/>
    </row>
    <row r="155" spans="1:6" ht="20.100000000000001" customHeight="1">
      <c r="A155" s="191">
        <v>21</v>
      </c>
      <c r="B155" s="156" t="s">
        <v>251</v>
      </c>
      <c r="C155" s="161" t="s">
        <v>482</v>
      </c>
      <c r="D155" s="181" t="s">
        <v>207</v>
      </c>
      <c r="E155" s="276">
        <v>45000</v>
      </c>
      <c r="F155" s="180"/>
    </row>
    <row r="156" spans="1:6" ht="20.100000000000001" customHeight="1">
      <c r="A156" s="191">
        <v>22</v>
      </c>
      <c r="B156" s="156" t="s">
        <v>241</v>
      </c>
      <c r="C156" s="161" t="s">
        <v>348</v>
      </c>
      <c r="D156" s="181" t="s">
        <v>498</v>
      </c>
      <c r="E156" s="276">
        <v>45000</v>
      </c>
      <c r="F156" s="180"/>
    </row>
    <row r="157" spans="1:6" ht="20.100000000000001" customHeight="1">
      <c r="A157" s="191">
        <v>23</v>
      </c>
      <c r="B157" s="157" t="s">
        <v>289</v>
      </c>
      <c r="C157" s="161" t="s">
        <v>290</v>
      </c>
      <c r="D157" s="181" t="s">
        <v>267</v>
      </c>
      <c r="E157" s="276">
        <v>45000</v>
      </c>
      <c r="F157" s="180"/>
    </row>
    <row r="158" spans="1:6" ht="20.100000000000001" customHeight="1">
      <c r="A158" s="191">
        <v>24</v>
      </c>
      <c r="B158" s="157" t="s">
        <v>407</v>
      </c>
      <c r="C158" s="161" t="s">
        <v>131</v>
      </c>
      <c r="D158" s="181" t="s">
        <v>105</v>
      </c>
      <c r="E158" s="276">
        <v>45000</v>
      </c>
      <c r="F158" s="180"/>
    </row>
    <row r="159" spans="1:6" ht="20.100000000000001" customHeight="1">
      <c r="A159" s="191">
        <v>25</v>
      </c>
      <c r="B159" s="157" t="s">
        <v>426</v>
      </c>
      <c r="C159" s="161" t="s">
        <v>290</v>
      </c>
      <c r="D159" s="181" t="s">
        <v>105</v>
      </c>
      <c r="E159" s="276">
        <v>45000</v>
      </c>
      <c r="F159" s="180"/>
    </row>
    <row r="160" spans="1:6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276">
        <v>45000</v>
      </c>
      <c r="F160" s="180"/>
    </row>
    <row r="161" spans="1:6" ht="20.100000000000001" customHeight="1">
      <c r="A161" s="191">
        <v>27</v>
      </c>
      <c r="B161" s="157" t="s">
        <v>445</v>
      </c>
      <c r="C161" s="161" t="s">
        <v>446</v>
      </c>
      <c r="D161" s="181" t="s">
        <v>176</v>
      </c>
      <c r="E161" s="276">
        <v>45000</v>
      </c>
      <c r="F161" s="180"/>
    </row>
    <row r="162" spans="1:6" ht="20.100000000000001" customHeight="1">
      <c r="A162" s="191">
        <v>28</v>
      </c>
      <c r="B162" s="156" t="s">
        <v>22</v>
      </c>
      <c r="C162" s="161" t="s">
        <v>302</v>
      </c>
      <c r="D162" s="181" t="s">
        <v>501</v>
      </c>
      <c r="E162" s="276">
        <v>30000</v>
      </c>
      <c r="F162" s="180"/>
    </row>
    <row r="163" spans="1:6" ht="20.100000000000001" customHeight="1">
      <c r="A163" s="191">
        <v>29</v>
      </c>
      <c r="B163" s="156" t="s">
        <v>14</v>
      </c>
      <c r="C163" s="161" t="s">
        <v>302</v>
      </c>
      <c r="D163" s="181" t="s">
        <v>501</v>
      </c>
      <c r="E163" s="276">
        <v>30000</v>
      </c>
      <c r="F163" s="180"/>
    </row>
    <row r="164" spans="1:6" ht="20.100000000000001" customHeight="1">
      <c r="A164" s="191">
        <v>30</v>
      </c>
      <c r="B164" s="156" t="s">
        <v>23</v>
      </c>
      <c r="C164" s="161" t="s">
        <v>302</v>
      </c>
      <c r="D164" s="181" t="s">
        <v>501</v>
      </c>
      <c r="E164" s="276">
        <v>30000</v>
      </c>
      <c r="F164" s="180"/>
    </row>
    <row r="165" spans="1:6" ht="20.100000000000001" customHeight="1">
      <c r="A165" s="191">
        <v>32</v>
      </c>
      <c r="B165" s="156" t="s">
        <v>39</v>
      </c>
      <c r="C165" s="161" t="s">
        <v>302</v>
      </c>
      <c r="D165" s="181" t="s">
        <v>501</v>
      </c>
      <c r="E165" s="276">
        <v>30000</v>
      </c>
      <c r="F165" s="180"/>
    </row>
    <row r="166" spans="1:6" ht="20.100000000000001" customHeight="1">
      <c r="A166" s="191">
        <v>33</v>
      </c>
      <c r="B166" s="156" t="s">
        <v>40</v>
      </c>
      <c r="C166" s="161" t="s">
        <v>302</v>
      </c>
      <c r="D166" s="181" t="s">
        <v>501</v>
      </c>
      <c r="E166" s="276">
        <v>30000</v>
      </c>
      <c r="F166" s="180"/>
    </row>
    <row r="167" spans="1:6" ht="20.100000000000001" customHeight="1">
      <c r="A167" s="191">
        <v>34</v>
      </c>
      <c r="B167" s="156" t="s">
        <v>127</v>
      </c>
      <c r="C167" s="161" t="s">
        <v>302</v>
      </c>
      <c r="D167" s="181" t="s">
        <v>416</v>
      </c>
      <c r="E167" s="276">
        <v>30000</v>
      </c>
      <c r="F167" s="180"/>
    </row>
    <row r="168" spans="1:6" ht="20.100000000000001" customHeight="1">
      <c r="A168" s="191">
        <v>35</v>
      </c>
      <c r="B168" s="156" t="s">
        <v>128</v>
      </c>
      <c r="C168" s="161" t="s">
        <v>302</v>
      </c>
      <c r="D168" s="181" t="s">
        <v>416</v>
      </c>
      <c r="E168" s="276">
        <v>30000</v>
      </c>
      <c r="F168" s="180"/>
    </row>
    <row r="169" spans="1:6" ht="20.100000000000001" customHeight="1">
      <c r="A169" s="191">
        <v>36</v>
      </c>
      <c r="B169" s="158" t="s">
        <v>136</v>
      </c>
      <c r="C169" s="161" t="s">
        <v>302</v>
      </c>
      <c r="D169" s="181" t="s">
        <v>416</v>
      </c>
      <c r="E169" s="276">
        <v>30000</v>
      </c>
      <c r="F169" s="180"/>
    </row>
    <row r="170" spans="1:6" ht="20.100000000000001" customHeight="1">
      <c r="A170" s="191">
        <v>37</v>
      </c>
      <c r="B170" s="156" t="s">
        <v>140</v>
      </c>
      <c r="C170" s="161" t="s">
        <v>302</v>
      </c>
      <c r="D170" s="181" t="s">
        <v>416</v>
      </c>
      <c r="E170" s="276">
        <v>30000</v>
      </c>
      <c r="F170" s="180"/>
    </row>
    <row r="171" spans="1:6" ht="20.100000000000001" customHeight="1">
      <c r="A171" s="191">
        <v>38</v>
      </c>
      <c r="B171" s="157" t="s">
        <v>152</v>
      </c>
      <c r="C171" s="161" t="s">
        <v>302</v>
      </c>
      <c r="D171" s="181" t="s">
        <v>416</v>
      </c>
      <c r="E171" s="276">
        <v>30000</v>
      </c>
      <c r="F171" s="180"/>
    </row>
    <row r="172" spans="1:6" ht="20.100000000000001" customHeight="1">
      <c r="A172" s="191">
        <v>39</v>
      </c>
      <c r="B172" s="157" t="s">
        <v>132</v>
      </c>
      <c r="C172" s="161" t="s">
        <v>302</v>
      </c>
      <c r="D172" s="181" t="s">
        <v>416</v>
      </c>
      <c r="E172" s="276">
        <v>30000</v>
      </c>
      <c r="F172" s="180"/>
    </row>
    <row r="173" spans="1:6" ht="20.100000000000001" customHeight="1">
      <c r="A173" s="191">
        <v>40</v>
      </c>
      <c r="B173" s="156" t="s">
        <v>231</v>
      </c>
      <c r="C173" s="161" t="s">
        <v>167</v>
      </c>
      <c r="D173" s="181" t="s">
        <v>263</v>
      </c>
      <c r="E173" s="276">
        <v>30000</v>
      </c>
      <c r="F173" s="180"/>
    </row>
    <row r="174" spans="1:6" ht="20.100000000000001" customHeight="1">
      <c r="A174" s="191">
        <v>41</v>
      </c>
      <c r="B174" s="156" t="s">
        <v>246</v>
      </c>
      <c r="C174" s="161" t="s">
        <v>167</v>
      </c>
      <c r="D174" s="181" t="s">
        <v>263</v>
      </c>
      <c r="E174" s="276">
        <v>30000</v>
      </c>
      <c r="F174" s="180"/>
    </row>
    <row r="175" spans="1:6" ht="20.100000000000001" customHeight="1">
      <c r="A175" s="191">
        <v>42</v>
      </c>
      <c r="B175" s="157" t="s">
        <v>166</v>
      </c>
      <c r="C175" s="161" t="s">
        <v>167</v>
      </c>
      <c r="D175" s="181" t="s">
        <v>223</v>
      </c>
      <c r="E175" s="276">
        <v>30000</v>
      </c>
      <c r="F175" s="180"/>
    </row>
    <row r="176" spans="1:6" ht="20.100000000000001" customHeight="1">
      <c r="A176" s="191">
        <v>43</v>
      </c>
      <c r="B176" s="156" t="s">
        <v>204</v>
      </c>
      <c r="C176" s="161" t="s">
        <v>167</v>
      </c>
      <c r="D176" s="181" t="s">
        <v>177</v>
      </c>
      <c r="E176" s="276">
        <v>30000</v>
      </c>
      <c r="F176" s="180"/>
    </row>
    <row r="177" spans="1:6" ht="20.100000000000001" customHeight="1">
      <c r="A177" s="191">
        <v>44</v>
      </c>
      <c r="B177" s="156" t="s">
        <v>209</v>
      </c>
      <c r="C177" s="161" t="s">
        <v>13</v>
      </c>
      <c r="D177" s="181" t="s">
        <v>502</v>
      </c>
      <c r="E177" s="276">
        <v>30000</v>
      </c>
      <c r="F177" s="180"/>
    </row>
    <row r="178" spans="1:6" ht="20.100000000000001" customHeight="1">
      <c r="A178" s="191">
        <v>45</v>
      </c>
      <c r="B178" s="156" t="s">
        <v>218</v>
      </c>
      <c r="C178" s="161" t="s">
        <v>13</v>
      </c>
      <c r="D178" s="181" t="s">
        <v>502</v>
      </c>
      <c r="E178" s="276">
        <v>30000</v>
      </c>
      <c r="F178" s="180"/>
    </row>
    <row r="179" spans="1:6" ht="20.100000000000001" customHeight="1">
      <c r="A179" s="191">
        <v>46</v>
      </c>
      <c r="B179" s="156" t="s">
        <v>219</v>
      </c>
      <c r="C179" s="161" t="s">
        <v>13</v>
      </c>
      <c r="D179" s="181" t="s">
        <v>502</v>
      </c>
      <c r="E179" s="276">
        <v>30000</v>
      </c>
      <c r="F179" s="180"/>
    </row>
    <row r="180" spans="1:6" ht="20.100000000000001" customHeight="1">
      <c r="A180" s="191">
        <v>47</v>
      </c>
      <c r="B180" s="156" t="s">
        <v>211</v>
      </c>
      <c r="C180" s="161" t="s">
        <v>13</v>
      </c>
      <c r="D180" s="181" t="s">
        <v>502</v>
      </c>
      <c r="E180" s="276">
        <v>30000</v>
      </c>
      <c r="F180" s="180"/>
    </row>
    <row r="181" spans="1:6" ht="20.100000000000001" customHeight="1">
      <c r="A181" s="191">
        <v>48</v>
      </c>
      <c r="B181" s="156" t="s">
        <v>213</v>
      </c>
      <c r="C181" s="161" t="s">
        <v>13</v>
      </c>
      <c r="D181" s="181" t="s">
        <v>502</v>
      </c>
      <c r="E181" s="276">
        <v>30000</v>
      </c>
      <c r="F181" s="180"/>
    </row>
    <row r="182" spans="1:6" ht="20.100000000000001" customHeight="1">
      <c r="A182" s="191">
        <v>49</v>
      </c>
      <c r="B182" s="157" t="s">
        <v>342</v>
      </c>
      <c r="C182" s="161" t="s">
        <v>13</v>
      </c>
      <c r="D182" s="181" t="s">
        <v>502</v>
      </c>
      <c r="E182" s="276">
        <v>30000</v>
      </c>
      <c r="F182" s="180"/>
    </row>
    <row r="183" spans="1:6" ht="20.100000000000001" customHeight="1">
      <c r="A183" s="191">
        <v>50</v>
      </c>
      <c r="B183" s="157" t="s">
        <v>405</v>
      </c>
      <c r="C183" s="161" t="s">
        <v>13</v>
      </c>
      <c r="D183" s="181" t="s">
        <v>502</v>
      </c>
      <c r="E183" s="276">
        <v>30000</v>
      </c>
      <c r="F183" s="180"/>
    </row>
    <row r="184" spans="1:6" ht="20.100000000000001" customHeight="1">
      <c r="A184" s="191">
        <v>51</v>
      </c>
      <c r="B184" s="156" t="s">
        <v>232</v>
      </c>
      <c r="C184" s="161" t="s">
        <v>167</v>
      </c>
      <c r="D184" s="181" t="s">
        <v>502</v>
      </c>
      <c r="E184" s="276">
        <v>30000</v>
      </c>
      <c r="F184" s="180"/>
    </row>
    <row r="185" spans="1:6" ht="20.100000000000001" customHeight="1">
      <c r="A185" s="191">
        <v>52</v>
      </c>
      <c r="B185" s="156" t="s">
        <v>233</v>
      </c>
      <c r="C185" s="161" t="s">
        <v>167</v>
      </c>
      <c r="D185" s="181" t="s">
        <v>502</v>
      </c>
      <c r="E185" s="276">
        <v>30000</v>
      </c>
      <c r="F185" s="180"/>
    </row>
    <row r="186" spans="1:6" ht="20.100000000000001" customHeight="1">
      <c r="A186" s="191">
        <v>53</v>
      </c>
      <c r="B186" s="157" t="s">
        <v>279</v>
      </c>
      <c r="C186" s="161" t="s">
        <v>13</v>
      </c>
      <c r="D186" s="181" t="s">
        <v>503</v>
      </c>
      <c r="E186" s="276">
        <v>30000</v>
      </c>
      <c r="F186" s="180"/>
    </row>
    <row r="187" spans="1:6" ht="20.100000000000001" customHeight="1">
      <c r="A187" s="191">
        <v>54</v>
      </c>
      <c r="B187" s="157" t="s">
        <v>403</v>
      </c>
      <c r="C187" s="161" t="s">
        <v>13</v>
      </c>
      <c r="D187" s="181" t="s">
        <v>264</v>
      </c>
      <c r="E187" s="276">
        <v>30000</v>
      </c>
      <c r="F187" s="180"/>
    </row>
    <row r="188" spans="1:6" ht="20.100000000000001" customHeight="1">
      <c r="A188" s="191"/>
      <c r="B188" s="177" t="s">
        <v>15</v>
      </c>
      <c r="C188" s="193" t="s">
        <v>544</v>
      </c>
      <c r="D188" s="22"/>
      <c r="E188" s="287">
        <f>SUM(E135:E187)</f>
        <v>2475000</v>
      </c>
      <c r="F188" s="180"/>
    </row>
    <row r="189" spans="1:6" ht="9" customHeight="1">
      <c r="A189" s="191"/>
      <c r="B189" s="177"/>
      <c r="C189" s="193"/>
      <c r="D189" s="22"/>
      <c r="E189" s="287"/>
      <c r="F189" s="180"/>
    </row>
    <row r="190" spans="1:6" ht="30" customHeight="1">
      <c r="A190" s="20"/>
      <c r="B190" s="266" t="s">
        <v>8</v>
      </c>
      <c r="C190" s="267">
        <f>C36+C41+C56+C61+C77+C85+C98+C105+C115+C132+C188</f>
        <v>146</v>
      </c>
      <c r="D190" s="268"/>
      <c r="E190" s="269">
        <f>E188+E132+E120+E115+E105+E98+E85+E77+E61+E56+E41+E36</f>
        <v>11040000</v>
      </c>
      <c r="F190" s="180"/>
    </row>
    <row r="191" spans="1:6" ht="20.100000000000001" customHeight="1">
      <c r="B191" s="198"/>
      <c r="D191" s="199"/>
      <c r="E191" s="248"/>
      <c r="F191" s="202"/>
    </row>
    <row r="192" spans="1:6" ht="65.25" customHeight="1">
      <c r="B192" s="198"/>
      <c r="C192" s="199"/>
      <c r="D192" s="199"/>
      <c r="E192" s="249"/>
      <c r="F192" s="288">
        <f>'[8]Sallah Welfare June 2023 '!$D$73</f>
        <v>2842500</v>
      </c>
    </row>
    <row r="193" spans="6:6" ht="20.100000000000001" customHeight="1">
      <c r="F193" s="288">
        <v>830000</v>
      </c>
    </row>
    <row r="194" spans="6:6" ht="20.100000000000001" customHeight="1">
      <c r="F194" s="288">
        <f>E190</f>
        <v>11040000</v>
      </c>
    </row>
    <row r="195" spans="6:6" ht="20.100000000000001" customHeight="1">
      <c r="F195" s="288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7.5703125" style="164" customWidth="1"/>
    <col min="4" max="4" width="12.42578125" style="164" customWidth="1"/>
    <col min="5" max="5" width="21.5703125" style="164" customWidth="1"/>
    <col min="6" max="6" width="21.7109375" style="164" customWidth="1"/>
    <col min="7" max="10" width="9.140625" style="164"/>
    <col min="11" max="11" width="8.42578125" style="164" customWidth="1"/>
    <col min="12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0"/>
    </row>
    <row r="2" spans="1:6" ht="33.75" customHeight="1">
      <c r="A2" s="270" t="s">
        <v>537</v>
      </c>
      <c r="B2" s="166"/>
      <c r="C2" s="165"/>
      <c r="D2" s="165"/>
      <c r="E2" s="165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540000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180000</v>
      </c>
      <c r="F8" s="180"/>
    </row>
    <row r="9" spans="1:6" ht="20.100000000000001" customHeight="1">
      <c r="A9" s="28">
        <v>3</v>
      </c>
      <c r="B9" s="156" t="s">
        <v>315</v>
      </c>
      <c r="C9" s="161" t="s">
        <v>316</v>
      </c>
      <c r="D9" s="28" t="s">
        <v>496</v>
      </c>
      <c r="E9" s="276">
        <v>180000</v>
      </c>
      <c r="F9" s="180"/>
    </row>
    <row r="10" spans="1:6" ht="20.100000000000001" customHeight="1">
      <c r="A10" s="28">
        <v>4</v>
      </c>
      <c r="B10" s="158" t="s">
        <v>317</v>
      </c>
      <c r="C10" s="20" t="s">
        <v>418</v>
      </c>
      <c r="D10" s="181" t="s">
        <v>221</v>
      </c>
      <c r="E10" s="276">
        <v>180000</v>
      </c>
      <c r="F10" s="180"/>
    </row>
    <row r="11" spans="1:6" ht="20.100000000000001" customHeight="1">
      <c r="A11" s="28">
        <v>5</v>
      </c>
      <c r="B11" s="158" t="s">
        <v>112</v>
      </c>
      <c r="C11" s="20" t="s">
        <v>473</v>
      </c>
      <c r="D11" s="24" t="s">
        <v>221</v>
      </c>
      <c r="E11" s="276">
        <v>180000</v>
      </c>
      <c r="F11" s="180"/>
    </row>
    <row r="12" spans="1:6" ht="20.100000000000001" customHeight="1">
      <c r="A12" s="28">
        <v>6</v>
      </c>
      <c r="B12" s="156" t="s">
        <v>187</v>
      </c>
      <c r="C12" s="112" t="s">
        <v>474</v>
      </c>
      <c r="D12" s="24" t="s">
        <v>221</v>
      </c>
      <c r="E12" s="276">
        <v>180000</v>
      </c>
      <c r="F12" s="180"/>
    </row>
    <row r="13" spans="1:6" ht="20.100000000000001" customHeight="1">
      <c r="A13" s="28">
        <v>7</v>
      </c>
      <c r="B13" s="158" t="s">
        <v>203</v>
      </c>
      <c r="C13" s="20" t="s">
        <v>475</v>
      </c>
      <c r="D13" s="24" t="s">
        <v>221</v>
      </c>
      <c r="E13" s="276">
        <v>180000</v>
      </c>
      <c r="F13" s="180"/>
    </row>
    <row r="14" spans="1:6" ht="20.100000000000001" customHeight="1">
      <c r="A14" s="28">
        <v>8</v>
      </c>
      <c r="B14" s="156" t="s">
        <v>111</v>
      </c>
      <c r="C14" s="161" t="s">
        <v>468</v>
      </c>
      <c r="D14" s="181" t="s">
        <v>75</v>
      </c>
      <c r="E14" s="276">
        <v>126000</v>
      </c>
      <c r="F14" s="180"/>
    </row>
    <row r="15" spans="1:6" ht="20.100000000000001" customHeight="1">
      <c r="A15" s="28">
        <v>9</v>
      </c>
      <c r="B15" s="157" t="s">
        <v>333</v>
      </c>
      <c r="C15" s="161" t="s">
        <v>387</v>
      </c>
      <c r="D15" s="28" t="s">
        <v>412</v>
      </c>
      <c r="E15" s="276">
        <v>126000</v>
      </c>
      <c r="F15" s="180"/>
    </row>
    <row r="16" spans="1:6" ht="20.100000000000001" customHeight="1">
      <c r="A16" s="28">
        <v>10</v>
      </c>
      <c r="B16" s="160" t="s">
        <v>220</v>
      </c>
      <c r="C16" s="20" t="s">
        <v>388</v>
      </c>
      <c r="D16" s="24" t="s">
        <v>181</v>
      </c>
      <c r="E16" s="276">
        <v>90000</v>
      </c>
      <c r="F16" s="180"/>
    </row>
    <row r="17" spans="1:6" ht="19.5" customHeight="1">
      <c r="A17" s="28">
        <v>11</v>
      </c>
      <c r="B17" s="158" t="s">
        <v>144</v>
      </c>
      <c r="C17" s="20" t="s">
        <v>389</v>
      </c>
      <c r="D17" s="28" t="s">
        <v>181</v>
      </c>
      <c r="E17" s="276">
        <v>90000</v>
      </c>
      <c r="F17" s="180"/>
    </row>
    <row r="18" spans="1:6" ht="19.5" customHeight="1">
      <c r="A18" s="28">
        <v>12</v>
      </c>
      <c r="B18" s="158" t="s">
        <v>139</v>
      </c>
      <c r="C18" s="20" t="s">
        <v>386</v>
      </c>
      <c r="D18" s="28" t="s">
        <v>181</v>
      </c>
      <c r="E18" s="276">
        <v>90000</v>
      </c>
      <c r="F18" s="180"/>
    </row>
    <row r="19" spans="1:6" ht="20.100000000000001" customHeight="1">
      <c r="A19" s="28">
        <v>13</v>
      </c>
      <c r="B19" s="156" t="s">
        <v>18</v>
      </c>
      <c r="C19" s="20" t="s">
        <v>389</v>
      </c>
      <c r="D19" s="181" t="s">
        <v>181</v>
      </c>
      <c r="E19" s="276">
        <v>90000</v>
      </c>
      <c r="F19" s="180"/>
    </row>
    <row r="20" spans="1:6" ht="20.100000000000001" customHeight="1">
      <c r="A20" s="28">
        <v>14</v>
      </c>
      <c r="B20" s="156" t="s">
        <v>334</v>
      </c>
      <c r="C20" s="161" t="s">
        <v>351</v>
      </c>
      <c r="D20" s="181" t="s">
        <v>163</v>
      </c>
      <c r="E20" s="276">
        <v>90000</v>
      </c>
      <c r="F20" s="180"/>
    </row>
    <row r="21" spans="1:6" ht="20.100000000000001" customHeight="1">
      <c r="A21" s="28">
        <v>15</v>
      </c>
      <c r="B21" s="157" t="s">
        <v>291</v>
      </c>
      <c r="C21" s="20" t="s">
        <v>346</v>
      </c>
      <c r="D21" s="181" t="s">
        <v>413</v>
      </c>
      <c r="E21" s="276">
        <v>90000</v>
      </c>
      <c r="F21" s="180"/>
    </row>
    <row r="22" spans="1:6" ht="20.100000000000001" customHeight="1">
      <c r="A22" s="28">
        <v>16</v>
      </c>
      <c r="B22" s="156" t="s">
        <v>141</v>
      </c>
      <c r="C22" s="161" t="s">
        <v>391</v>
      </c>
      <c r="D22" s="181" t="s">
        <v>497</v>
      </c>
      <c r="E22" s="276">
        <v>54000</v>
      </c>
      <c r="F22" s="180"/>
    </row>
    <row r="23" spans="1:6" ht="18.75" customHeight="1">
      <c r="A23" s="28">
        <v>17</v>
      </c>
      <c r="B23" s="156" t="s">
        <v>253</v>
      </c>
      <c r="C23" s="161" t="s">
        <v>478</v>
      </c>
      <c r="D23" s="181" t="s">
        <v>415</v>
      </c>
      <c r="E23" s="276">
        <v>54000</v>
      </c>
      <c r="F23" s="180"/>
    </row>
    <row r="24" spans="1:6" ht="18.75" customHeight="1">
      <c r="A24" s="28">
        <v>18</v>
      </c>
      <c r="B24" s="157" t="s">
        <v>275</v>
      </c>
      <c r="C24" s="161" t="s">
        <v>314</v>
      </c>
      <c r="D24" s="181" t="s">
        <v>164</v>
      </c>
      <c r="E24" s="276">
        <v>54000</v>
      </c>
      <c r="F24" s="180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6">
        <v>54000</v>
      </c>
      <c r="F25" s="180"/>
    </row>
    <row r="26" spans="1:6" ht="18.75" customHeight="1">
      <c r="A26" s="28">
        <v>20</v>
      </c>
      <c r="B26" s="157" t="s">
        <v>254</v>
      </c>
      <c r="C26" s="161" t="s">
        <v>17</v>
      </c>
      <c r="D26" s="181" t="s">
        <v>498</v>
      </c>
      <c r="E26" s="276">
        <v>54000</v>
      </c>
      <c r="F26" s="180"/>
    </row>
    <row r="27" spans="1:6" ht="18.75" customHeight="1">
      <c r="A27" s="28">
        <v>21</v>
      </c>
      <c r="B27" s="156" t="s">
        <v>248</v>
      </c>
      <c r="C27" s="161" t="s">
        <v>480</v>
      </c>
      <c r="D27" s="181" t="s">
        <v>498</v>
      </c>
      <c r="E27" s="276">
        <v>54000</v>
      </c>
      <c r="F27" s="180"/>
    </row>
    <row r="28" spans="1:6" ht="18.75" customHeight="1">
      <c r="A28" s="28">
        <v>22</v>
      </c>
      <c r="B28" s="157" t="s">
        <v>288</v>
      </c>
      <c r="C28" s="161" t="s">
        <v>249</v>
      </c>
      <c r="D28" s="181" t="s">
        <v>267</v>
      </c>
      <c r="E28" s="276">
        <v>54000</v>
      </c>
      <c r="F28" s="180"/>
    </row>
    <row r="29" spans="1:6" ht="18.75" customHeight="1">
      <c r="A29" s="28">
        <v>23</v>
      </c>
      <c r="B29" s="157" t="s">
        <v>328</v>
      </c>
      <c r="C29" s="20" t="s">
        <v>329</v>
      </c>
      <c r="D29" s="28" t="s">
        <v>267</v>
      </c>
      <c r="E29" s="276">
        <v>54000</v>
      </c>
      <c r="F29" s="180"/>
    </row>
    <row r="30" spans="1:6" ht="18.75" customHeight="1">
      <c r="A30" s="28">
        <v>24</v>
      </c>
      <c r="B30" s="157" t="s">
        <v>360</v>
      </c>
      <c r="C30" s="112" t="s">
        <v>372</v>
      </c>
      <c r="D30" s="181" t="s">
        <v>498</v>
      </c>
      <c r="E30" s="276">
        <v>54000</v>
      </c>
      <c r="F30" s="180"/>
    </row>
    <row r="31" spans="1:6" ht="18.75" customHeight="1">
      <c r="A31" s="28">
        <v>25</v>
      </c>
      <c r="B31" s="157" t="s">
        <v>330</v>
      </c>
      <c r="C31" s="20" t="s">
        <v>533</v>
      </c>
      <c r="D31" s="28" t="s">
        <v>176</v>
      </c>
      <c r="E31" s="276">
        <v>54000</v>
      </c>
      <c r="F31" s="180"/>
    </row>
    <row r="32" spans="1:6" ht="18.75" customHeight="1">
      <c r="A32" s="28">
        <v>26</v>
      </c>
      <c r="B32" s="157" t="s">
        <v>274</v>
      </c>
      <c r="C32" s="161" t="s">
        <v>314</v>
      </c>
      <c r="D32" s="181" t="s">
        <v>176</v>
      </c>
      <c r="E32" s="276">
        <v>54000</v>
      </c>
      <c r="F32" s="180"/>
    </row>
    <row r="33" spans="1:6" ht="18.75" customHeight="1">
      <c r="A33" s="28">
        <v>27</v>
      </c>
      <c r="B33" s="157" t="s">
        <v>453</v>
      </c>
      <c r="C33" s="161" t="s">
        <v>314</v>
      </c>
      <c r="D33" s="181" t="s">
        <v>176</v>
      </c>
      <c r="E33" s="276">
        <v>54000</v>
      </c>
      <c r="F33" s="180"/>
    </row>
    <row r="34" spans="1:6" ht="18.75" customHeight="1">
      <c r="A34" s="28">
        <v>28</v>
      </c>
      <c r="B34" s="157" t="s">
        <v>535</v>
      </c>
      <c r="C34" s="161" t="s">
        <v>536</v>
      </c>
      <c r="D34" s="181" t="s">
        <v>105</v>
      </c>
      <c r="E34" s="276">
        <v>54000</v>
      </c>
      <c r="F34" s="180"/>
    </row>
    <row r="35" spans="1:6" ht="26.25" customHeight="1">
      <c r="A35" s="28"/>
      <c r="B35" s="159" t="s">
        <v>15</v>
      </c>
      <c r="C35" s="29">
        <v>28</v>
      </c>
      <c r="D35" s="181"/>
      <c r="E35" s="277">
        <f>SUM(E7:E34)</f>
        <v>3114000</v>
      </c>
      <c r="F35" s="180"/>
    </row>
    <row r="36" spans="1:6" ht="18.75" customHeight="1">
      <c r="A36" s="28"/>
      <c r="B36" s="123"/>
      <c r="C36" s="20"/>
      <c r="D36" s="181"/>
      <c r="E36" s="278"/>
      <c r="F36" s="180"/>
    </row>
    <row r="37" spans="1:6" ht="18.75" customHeight="1">
      <c r="A37" s="28"/>
      <c r="B37" s="159" t="s">
        <v>284</v>
      </c>
      <c r="C37" s="20"/>
      <c r="D37" s="181"/>
      <c r="E37" s="276"/>
      <c r="F37" s="180"/>
    </row>
    <row r="38" spans="1:6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276">
        <v>270000</v>
      </c>
      <c r="F38" s="180"/>
    </row>
    <row r="39" spans="1:6" ht="18.75" customHeight="1">
      <c r="A39" s="28">
        <v>2</v>
      </c>
      <c r="B39" s="157" t="s">
        <v>419</v>
      </c>
      <c r="C39" s="20" t="s">
        <v>427</v>
      </c>
      <c r="D39" s="28" t="s">
        <v>105</v>
      </c>
      <c r="E39" s="276">
        <v>54000</v>
      </c>
      <c r="F39" s="180"/>
    </row>
    <row r="40" spans="1:6" ht="19.5" customHeight="1">
      <c r="A40" s="28"/>
      <c r="B40" s="158"/>
      <c r="C40" s="29">
        <v>2</v>
      </c>
      <c r="D40" s="28"/>
      <c r="E40" s="277">
        <v>324000</v>
      </c>
      <c r="F40" s="180"/>
    </row>
    <row r="41" spans="1:6" ht="20.100000000000001" customHeight="1">
      <c r="A41" s="28"/>
      <c r="B41" s="158"/>
      <c r="C41" s="20"/>
      <c r="D41" s="28"/>
      <c r="E41" s="276"/>
      <c r="F41" s="180"/>
    </row>
    <row r="42" spans="1:6" ht="20.100000000000001" customHeight="1">
      <c r="A42" s="28"/>
      <c r="B42" s="185" t="s">
        <v>56</v>
      </c>
      <c r="C42" s="170"/>
      <c r="D42" s="174"/>
      <c r="E42" s="276"/>
      <c r="F42" s="180"/>
    </row>
    <row r="43" spans="1:6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76">
        <v>270000</v>
      </c>
      <c r="F43" s="180"/>
    </row>
    <row r="44" spans="1:6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76">
        <v>126000</v>
      </c>
      <c r="F44" s="180"/>
    </row>
    <row r="45" spans="1:6" ht="20.100000000000001" customHeight="1">
      <c r="A45" s="28">
        <v>3</v>
      </c>
      <c r="B45" s="156" t="s">
        <v>165</v>
      </c>
      <c r="C45" s="20" t="s">
        <v>258</v>
      </c>
      <c r="D45" s="28" t="s">
        <v>75</v>
      </c>
      <c r="E45" s="276">
        <v>126000</v>
      </c>
      <c r="F45" s="180"/>
    </row>
    <row r="46" spans="1:6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76">
        <v>126000</v>
      </c>
      <c r="F46" s="180"/>
    </row>
    <row r="47" spans="1:6" ht="20.100000000000001" customHeight="1">
      <c r="A47" s="28">
        <v>5</v>
      </c>
      <c r="B47" s="156" t="s">
        <v>118</v>
      </c>
      <c r="C47" s="20" t="s">
        <v>258</v>
      </c>
      <c r="D47" s="28" t="s">
        <v>148</v>
      </c>
      <c r="E47" s="276">
        <v>126000</v>
      </c>
      <c r="F47" s="180"/>
    </row>
    <row r="48" spans="1:6" ht="20.100000000000001" customHeight="1">
      <c r="A48" s="28">
        <v>6</v>
      </c>
      <c r="B48" s="156" t="s">
        <v>205</v>
      </c>
      <c r="C48" s="20" t="s">
        <v>78</v>
      </c>
      <c r="D48" s="28" t="s">
        <v>181</v>
      </c>
      <c r="E48" s="276">
        <v>90000</v>
      </c>
      <c r="F48" s="180"/>
    </row>
    <row r="49" spans="1:6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76">
        <v>90000</v>
      </c>
      <c r="F49" s="180"/>
    </row>
    <row r="50" spans="1:6" ht="20.100000000000001" customHeight="1">
      <c r="A50" s="28">
        <v>8</v>
      </c>
      <c r="B50" s="156" t="s">
        <v>116</v>
      </c>
      <c r="C50" s="20" t="s">
        <v>297</v>
      </c>
      <c r="D50" s="28" t="s">
        <v>162</v>
      </c>
      <c r="E50" s="276">
        <v>90000</v>
      </c>
      <c r="F50" s="180"/>
    </row>
    <row r="51" spans="1:6" ht="20.100000000000001" customHeight="1">
      <c r="A51" s="28">
        <v>9</v>
      </c>
      <c r="B51" s="156" t="s">
        <v>184</v>
      </c>
      <c r="C51" s="20" t="s">
        <v>80</v>
      </c>
      <c r="D51" s="28" t="s">
        <v>170</v>
      </c>
      <c r="E51" s="276">
        <v>90000</v>
      </c>
      <c r="F51" s="180"/>
    </row>
    <row r="52" spans="1:6" ht="20.100000000000001" customHeight="1">
      <c r="A52" s="28">
        <v>10</v>
      </c>
      <c r="B52" s="156" t="s">
        <v>420</v>
      </c>
      <c r="C52" s="20" t="s">
        <v>84</v>
      </c>
      <c r="D52" s="28" t="s">
        <v>428</v>
      </c>
      <c r="E52" s="276">
        <v>54000</v>
      </c>
      <c r="F52" s="180"/>
    </row>
    <row r="53" spans="1:6" ht="20.100000000000001" customHeight="1">
      <c r="A53" s="28">
        <v>11</v>
      </c>
      <c r="B53" s="156" t="s">
        <v>435</v>
      </c>
      <c r="C53" s="20" t="s">
        <v>84</v>
      </c>
      <c r="D53" s="28" t="s">
        <v>428</v>
      </c>
      <c r="E53" s="276">
        <v>54000</v>
      </c>
      <c r="F53" s="180"/>
    </row>
    <row r="54" spans="1:6" ht="20.100000000000001" customHeight="1">
      <c r="A54" s="28">
        <v>12</v>
      </c>
      <c r="B54" s="156" t="s">
        <v>452</v>
      </c>
      <c r="C54" s="20" t="s">
        <v>84</v>
      </c>
      <c r="D54" s="28" t="s">
        <v>428</v>
      </c>
      <c r="E54" s="276">
        <v>54000</v>
      </c>
      <c r="F54" s="180"/>
    </row>
    <row r="55" spans="1:6" ht="25.5" customHeight="1">
      <c r="A55" s="28"/>
      <c r="B55" s="159" t="s">
        <v>15</v>
      </c>
      <c r="C55" s="29">
        <v>12</v>
      </c>
      <c r="D55" s="29"/>
      <c r="E55" s="279">
        <v>1296000</v>
      </c>
      <c r="F55" s="180"/>
    </row>
    <row r="56" spans="1:6" ht="20.100000000000001" customHeight="1">
      <c r="A56" s="28"/>
      <c r="B56" s="123"/>
      <c r="C56" s="29"/>
      <c r="D56" s="29"/>
      <c r="E56" s="280"/>
      <c r="F56" s="180"/>
    </row>
    <row r="57" spans="1:6" ht="20.100000000000001" customHeight="1">
      <c r="A57" s="28"/>
      <c r="B57" s="159" t="s">
        <v>195</v>
      </c>
      <c r="C57" s="29"/>
      <c r="D57" s="29"/>
      <c r="E57" s="280"/>
      <c r="F57" s="180"/>
    </row>
    <row r="58" spans="1:6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276">
        <v>270000</v>
      </c>
      <c r="F58" s="180"/>
    </row>
    <row r="59" spans="1:6" ht="20.100000000000001" customHeight="1">
      <c r="A59" s="28">
        <v>2</v>
      </c>
      <c r="B59" s="156" t="s">
        <v>276</v>
      </c>
      <c r="C59" s="161" t="s">
        <v>340</v>
      </c>
      <c r="D59" s="181" t="s">
        <v>412</v>
      </c>
      <c r="E59" s="276">
        <v>126000</v>
      </c>
      <c r="F59" s="180"/>
    </row>
    <row r="60" spans="1:6" ht="20.100000000000001" customHeight="1">
      <c r="A60" s="28"/>
      <c r="B60" s="159" t="s">
        <v>15</v>
      </c>
      <c r="C60" s="29">
        <v>2</v>
      </c>
      <c r="D60" s="29"/>
      <c r="E60" s="279">
        <v>396000</v>
      </c>
      <c r="F60" s="180"/>
    </row>
    <row r="61" spans="1:6" ht="20.100000000000001" customHeight="1">
      <c r="A61" s="28"/>
      <c r="B61" s="159"/>
      <c r="C61" s="29"/>
      <c r="D61" s="29"/>
      <c r="E61" s="280"/>
      <c r="F61" s="180"/>
    </row>
    <row r="62" spans="1:6" ht="20.100000000000001" customHeight="1">
      <c r="A62" s="28"/>
      <c r="B62" s="159" t="s">
        <v>461</v>
      </c>
      <c r="C62" s="29"/>
      <c r="D62" s="29"/>
      <c r="E62" s="280"/>
      <c r="F62" s="180"/>
    </row>
    <row r="63" spans="1:6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281">
        <v>270000</v>
      </c>
      <c r="F63" s="180"/>
    </row>
    <row r="64" spans="1:6" ht="20.100000000000001" customHeight="1">
      <c r="A64" s="28">
        <v>2</v>
      </c>
      <c r="B64" s="157" t="s">
        <v>332</v>
      </c>
      <c r="C64" s="112" t="s">
        <v>188</v>
      </c>
      <c r="D64" s="181" t="s">
        <v>272</v>
      </c>
      <c r="E64" s="276">
        <v>126000</v>
      </c>
      <c r="F64" s="180"/>
    </row>
    <row r="65" spans="1:6" ht="20.100000000000001" customHeight="1">
      <c r="A65" s="28">
        <v>3</v>
      </c>
      <c r="B65" s="156" t="s">
        <v>189</v>
      </c>
      <c r="C65" s="20" t="s">
        <v>257</v>
      </c>
      <c r="D65" s="28" t="s">
        <v>170</v>
      </c>
      <c r="E65" s="281">
        <v>90000</v>
      </c>
      <c r="F65" s="180"/>
    </row>
    <row r="66" spans="1:6" ht="20.100000000000001" customHeight="1">
      <c r="A66" s="28">
        <v>4</v>
      </c>
      <c r="B66" s="157" t="s">
        <v>448</v>
      </c>
      <c r="C66" s="112" t="s">
        <v>257</v>
      </c>
      <c r="D66" s="181" t="s">
        <v>163</v>
      </c>
      <c r="E66" s="281">
        <v>90000</v>
      </c>
      <c r="F66" s="180"/>
    </row>
    <row r="67" spans="1:6" ht="20.100000000000001" customHeight="1">
      <c r="A67" s="28">
        <v>5</v>
      </c>
      <c r="B67" s="158" t="s">
        <v>229</v>
      </c>
      <c r="C67" s="112" t="s">
        <v>297</v>
      </c>
      <c r="D67" s="181" t="s">
        <v>181</v>
      </c>
      <c r="E67" s="281">
        <v>90000</v>
      </c>
      <c r="F67" s="180"/>
    </row>
    <row r="68" spans="1:6" ht="20.100000000000001" customHeight="1">
      <c r="A68" s="28">
        <v>6</v>
      </c>
      <c r="B68" s="158" t="s">
        <v>534</v>
      </c>
      <c r="C68" s="112" t="s">
        <v>297</v>
      </c>
      <c r="D68" s="181" t="s">
        <v>162</v>
      </c>
      <c r="E68" s="281">
        <v>90000</v>
      </c>
      <c r="F68" s="180"/>
    </row>
    <row r="69" spans="1:6" ht="20.100000000000001" customHeight="1">
      <c r="A69" s="28">
        <v>7</v>
      </c>
      <c r="B69" s="156" t="s">
        <v>117</v>
      </c>
      <c r="C69" s="20" t="s">
        <v>84</v>
      </c>
      <c r="D69" s="28" t="s">
        <v>369</v>
      </c>
      <c r="E69" s="276">
        <v>54000</v>
      </c>
      <c r="F69" s="180"/>
    </row>
    <row r="70" spans="1:6" ht="20.100000000000001" customHeight="1">
      <c r="A70" s="28">
        <v>8</v>
      </c>
      <c r="B70" s="156" t="s">
        <v>424</v>
      </c>
      <c r="C70" s="112" t="s">
        <v>422</v>
      </c>
      <c r="D70" s="181" t="s">
        <v>369</v>
      </c>
      <c r="E70" s="276">
        <v>54000</v>
      </c>
      <c r="F70" s="180"/>
    </row>
    <row r="71" spans="1:6" ht="20.100000000000001" customHeight="1">
      <c r="A71" s="28">
        <v>9</v>
      </c>
      <c r="B71" s="156" t="s">
        <v>423</v>
      </c>
      <c r="C71" s="112" t="s">
        <v>422</v>
      </c>
      <c r="D71" s="181" t="s">
        <v>369</v>
      </c>
      <c r="E71" s="276">
        <v>54000</v>
      </c>
      <c r="F71" s="180"/>
    </row>
    <row r="72" spans="1:6" ht="20.100000000000001" customHeight="1">
      <c r="A72" s="28">
        <v>10</v>
      </c>
      <c r="B72" s="156" t="s">
        <v>242</v>
      </c>
      <c r="C72" s="20" t="s">
        <v>484</v>
      </c>
      <c r="D72" s="28" t="s">
        <v>415</v>
      </c>
      <c r="E72" s="276">
        <v>54000</v>
      </c>
      <c r="F72" s="180"/>
    </row>
    <row r="73" spans="1:6" ht="20.100000000000001" customHeight="1">
      <c r="A73" s="28">
        <v>11</v>
      </c>
      <c r="B73" s="156" t="s">
        <v>322</v>
      </c>
      <c r="C73" s="112" t="s">
        <v>84</v>
      </c>
      <c r="D73" s="28" t="s">
        <v>207</v>
      </c>
      <c r="E73" s="276">
        <v>54000</v>
      </c>
      <c r="F73" s="180"/>
    </row>
    <row r="74" spans="1:6" ht="20.100000000000001" customHeight="1">
      <c r="A74" s="28">
        <v>12</v>
      </c>
      <c r="B74" s="156" t="s">
        <v>320</v>
      </c>
      <c r="C74" s="112" t="s">
        <v>115</v>
      </c>
      <c r="D74" s="28" t="s">
        <v>498</v>
      </c>
      <c r="E74" s="276">
        <v>54000</v>
      </c>
      <c r="F74" s="180"/>
    </row>
    <row r="75" spans="1:6" ht="20.100000000000001" customHeight="1">
      <c r="A75" s="28">
        <v>13</v>
      </c>
      <c r="B75" s="158" t="s">
        <v>321</v>
      </c>
      <c r="C75" s="112" t="s">
        <v>115</v>
      </c>
      <c r="D75" s="28" t="s">
        <v>176</v>
      </c>
      <c r="E75" s="276">
        <v>54000</v>
      </c>
      <c r="F75" s="180"/>
    </row>
    <row r="76" spans="1:6" ht="20.100000000000001" customHeight="1">
      <c r="A76" s="28"/>
      <c r="B76" s="159" t="s">
        <v>15</v>
      </c>
      <c r="C76" s="29">
        <v>13</v>
      </c>
      <c r="D76" s="29"/>
      <c r="E76" s="279">
        <v>1134000</v>
      </c>
      <c r="F76" s="180"/>
    </row>
    <row r="77" spans="1:6" ht="20.100000000000001" customHeight="1">
      <c r="A77" s="28"/>
      <c r="B77" s="123"/>
      <c r="C77" s="29"/>
      <c r="D77" s="29"/>
      <c r="E77" s="280"/>
      <c r="F77" s="180"/>
    </row>
    <row r="78" spans="1:6" ht="20.100000000000001" customHeight="1">
      <c r="A78" s="28"/>
      <c r="B78" s="159" t="s">
        <v>462</v>
      </c>
      <c r="C78" s="29"/>
      <c r="D78" s="29"/>
      <c r="E78" s="280"/>
      <c r="F78" s="180"/>
    </row>
    <row r="79" spans="1:6" ht="20.100000000000001" customHeight="1">
      <c r="A79" s="28">
        <v>1</v>
      </c>
      <c r="B79" s="156" t="s">
        <v>19</v>
      </c>
      <c r="C79" s="20" t="s">
        <v>201</v>
      </c>
      <c r="D79" s="28" t="s">
        <v>161</v>
      </c>
      <c r="E79" s="276">
        <v>270000</v>
      </c>
      <c r="F79" s="180"/>
    </row>
    <row r="80" spans="1:6" ht="20.100000000000001" customHeight="1">
      <c r="A80" s="28">
        <v>2</v>
      </c>
      <c r="B80" s="158" t="s">
        <v>325</v>
      </c>
      <c r="C80" s="20" t="s">
        <v>245</v>
      </c>
      <c r="D80" s="181" t="s">
        <v>272</v>
      </c>
      <c r="E80" s="276">
        <v>126000</v>
      </c>
      <c r="F80" s="180"/>
    </row>
    <row r="81" spans="1:6" ht="20.100000000000001" customHeight="1">
      <c r="A81" s="28">
        <v>3</v>
      </c>
      <c r="B81" s="158" t="s">
        <v>326</v>
      </c>
      <c r="C81" s="20" t="s">
        <v>327</v>
      </c>
      <c r="D81" s="181" t="s">
        <v>272</v>
      </c>
      <c r="E81" s="276">
        <v>126000</v>
      </c>
      <c r="F81" s="180"/>
    </row>
    <row r="82" spans="1:6" ht="20.100000000000001" customHeight="1">
      <c r="A82" s="28">
        <v>4</v>
      </c>
      <c r="B82" s="156" t="s">
        <v>26</v>
      </c>
      <c r="C82" s="20" t="s">
        <v>296</v>
      </c>
      <c r="D82" s="181" t="s">
        <v>170</v>
      </c>
      <c r="E82" s="276">
        <v>90000</v>
      </c>
      <c r="F82" s="180"/>
    </row>
    <row r="83" spans="1:6" ht="20.100000000000001" customHeight="1">
      <c r="A83" s="28">
        <v>5</v>
      </c>
      <c r="B83" s="156" t="s">
        <v>324</v>
      </c>
      <c r="C83" s="20" t="s">
        <v>243</v>
      </c>
      <c r="D83" s="28" t="s">
        <v>207</v>
      </c>
      <c r="E83" s="276">
        <v>54000</v>
      </c>
      <c r="F83" s="180"/>
    </row>
    <row r="84" spans="1:6" ht="20.100000000000001" customHeight="1">
      <c r="A84" s="28"/>
      <c r="B84" s="159" t="s">
        <v>15</v>
      </c>
      <c r="C84" s="29">
        <v>5</v>
      </c>
      <c r="D84" s="29"/>
      <c r="E84" s="279">
        <v>666000</v>
      </c>
      <c r="F84" s="180"/>
    </row>
    <row r="85" spans="1:6" ht="20.100000000000001" customHeight="1">
      <c r="A85" s="28"/>
      <c r="B85" s="159"/>
      <c r="C85" s="29"/>
      <c r="D85" s="29"/>
      <c r="E85" s="276"/>
      <c r="F85" s="180"/>
    </row>
    <row r="86" spans="1:6" ht="20.100000000000001" customHeight="1">
      <c r="A86" s="28"/>
      <c r="B86" s="159" t="s">
        <v>463</v>
      </c>
      <c r="C86" s="186"/>
      <c r="D86" s="29"/>
      <c r="E86" s="276"/>
      <c r="F86" s="180"/>
    </row>
    <row r="87" spans="1:6" ht="20.100000000000001" customHeight="1">
      <c r="A87" s="28">
        <v>1</v>
      </c>
      <c r="B87" s="156" t="s">
        <v>169</v>
      </c>
      <c r="C87" s="20" t="s">
        <v>258</v>
      </c>
      <c r="D87" s="28" t="s">
        <v>75</v>
      </c>
      <c r="E87" s="276">
        <v>126000</v>
      </c>
      <c r="F87" s="180"/>
    </row>
    <row r="88" spans="1:6" ht="20.100000000000001" customHeight="1">
      <c r="A88" s="28">
        <v>2</v>
      </c>
      <c r="B88" s="156" t="s">
        <v>192</v>
      </c>
      <c r="C88" s="20" t="s">
        <v>258</v>
      </c>
      <c r="D88" s="28" t="s">
        <v>75</v>
      </c>
      <c r="E88" s="276">
        <v>126000</v>
      </c>
      <c r="F88" s="180"/>
    </row>
    <row r="89" spans="1:6" ht="20.100000000000001" customHeight="1">
      <c r="A89" s="28">
        <v>3</v>
      </c>
      <c r="B89" s="158" t="s">
        <v>138</v>
      </c>
      <c r="C89" s="20" t="s">
        <v>297</v>
      </c>
      <c r="D89" s="28" t="s">
        <v>174</v>
      </c>
      <c r="E89" s="281">
        <v>90000</v>
      </c>
      <c r="F89" s="180"/>
    </row>
    <row r="90" spans="1:6" ht="20.100000000000001" customHeight="1">
      <c r="A90" s="28">
        <v>4</v>
      </c>
      <c r="B90" s="156" t="s">
        <v>202</v>
      </c>
      <c r="C90" s="20" t="s">
        <v>78</v>
      </c>
      <c r="D90" s="28" t="s">
        <v>181</v>
      </c>
      <c r="E90" s="281">
        <v>90000</v>
      </c>
      <c r="F90" s="180"/>
    </row>
    <row r="91" spans="1:6" ht="21.6" customHeight="1">
      <c r="A91" s="28">
        <v>5</v>
      </c>
      <c r="B91" s="156" t="s">
        <v>101</v>
      </c>
      <c r="C91" s="20" t="s">
        <v>80</v>
      </c>
      <c r="D91" s="181" t="s">
        <v>170</v>
      </c>
      <c r="E91" s="281">
        <v>90000</v>
      </c>
      <c r="F91" s="180"/>
    </row>
    <row r="92" spans="1:6" ht="21.6" customHeight="1">
      <c r="A92" s="28">
        <v>6</v>
      </c>
      <c r="B92" s="156" t="s">
        <v>336</v>
      </c>
      <c r="C92" s="161" t="s">
        <v>257</v>
      </c>
      <c r="D92" s="181" t="s">
        <v>163</v>
      </c>
      <c r="E92" s="281">
        <v>90000</v>
      </c>
      <c r="F92" s="180"/>
    </row>
    <row r="93" spans="1:6" ht="21.6" customHeight="1">
      <c r="A93" s="28">
        <v>7</v>
      </c>
      <c r="B93" s="156" t="s">
        <v>337</v>
      </c>
      <c r="C93" s="161" t="s">
        <v>257</v>
      </c>
      <c r="D93" s="181" t="s">
        <v>163</v>
      </c>
      <c r="E93" s="281">
        <v>90000</v>
      </c>
      <c r="F93" s="180"/>
    </row>
    <row r="94" spans="1:6" ht="21.6" customHeight="1">
      <c r="A94" s="28">
        <v>8</v>
      </c>
      <c r="B94" s="156" t="s">
        <v>421</v>
      </c>
      <c r="C94" s="112" t="s">
        <v>422</v>
      </c>
      <c r="D94" s="181" t="s">
        <v>369</v>
      </c>
      <c r="E94" s="276">
        <v>54000</v>
      </c>
      <c r="F94" s="180"/>
    </row>
    <row r="95" spans="1:6" ht="21.6" customHeight="1">
      <c r="A95" s="28">
        <v>9</v>
      </c>
      <c r="B95" s="156" t="s">
        <v>436</v>
      </c>
      <c r="C95" s="20" t="s">
        <v>470</v>
      </c>
      <c r="D95" s="28" t="s">
        <v>104</v>
      </c>
      <c r="E95" s="276">
        <v>54000</v>
      </c>
      <c r="F95" s="180"/>
    </row>
    <row r="96" spans="1:6" ht="21.6" customHeight="1">
      <c r="A96" s="28">
        <v>10</v>
      </c>
      <c r="B96" s="156" t="s">
        <v>406</v>
      </c>
      <c r="C96" s="112" t="s">
        <v>432</v>
      </c>
      <c r="D96" s="181" t="s">
        <v>176</v>
      </c>
      <c r="E96" s="276">
        <v>54000</v>
      </c>
      <c r="F96" s="180"/>
    </row>
    <row r="97" spans="1:6" ht="20.100000000000001" customHeight="1">
      <c r="A97" s="28"/>
      <c r="B97" s="159" t="s">
        <v>15</v>
      </c>
      <c r="C97" s="29">
        <v>10</v>
      </c>
      <c r="D97" s="29"/>
      <c r="E97" s="279">
        <v>864000</v>
      </c>
      <c r="F97" s="180"/>
    </row>
    <row r="98" spans="1:6" ht="20.100000000000001" customHeight="1">
      <c r="A98" s="28"/>
      <c r="B98" s="123"/>
      <c r="C98" s="29"/>
      <c r="D98" s="29"/>
      <c r="E98" s="280"/>
      <c r="F98" s="180"/>
    </row>
    <row r="99" spans="1:6" ht="20.100000000000001" customHeight="1">
      <c r="A99" s="28"/>
      <c r="B99" s="159" t="s">
        <v>464</v>
      </c>
      <c r="C99" s="29"/>
      <c r="D99" s="29"/>
      <c r="E99" s="280"/>
      <c r="F99" s="180"/>
    </row>
    <row r="100" spans="1:6" ht="20.100000000000001" customHeight="1">
      <c r="A100" s="28">
        <v>1</v>
      </c>
      <c r="B100" s="157" t="s">
        <v>364</v>
      </c>
      <c r="C100" s="28" t="s">
        <v>343</v>
      </c>
      <c r="D100" s="181" t="s">
        <v>221</v>
      </c>
      <c r="E100" s="276">
        <v>180000</v>
      </c>
      <c r="F100" s="180"/>
    </row>
    <row r="101" spans="1:6" ht="20.100000000000001" customHeight="1">
      <c r="A101" s="28">
        <v>2</v>
      </c>
      <c r="B101" s="156" t="s">
        <v>185</v>
      </c>
      <c r="C101" s="20" t="s">
        <v>373</v>
      </c>
      <c r="D101" s="28" t="s">
        <v>181</v>
      </c>
      <c r="E101" s="276">
        <v>90000</v>
      </c>
      <c r="F101" s="180"/>
    </row>
    <row r="102" spans="1:6" ht="20.100000000000001" customHeight="1">
      <c r="A102" s="28">
        <v>3</v>
      </c>
      <c r="B102" s="156" t="s">
        <v>237</v>
      </c>
      <c r="C102" s="20" t="s">
        <v>483</v>
      </c>
      <c r="D102" s="181" t="s">
        <v>415</v>
      </c>
      <c r="E102" s="276">
        <v>54000</v>
      </c>
      <c r="F102" s="180"/>
    </row>
    <row r="103" spans="1:6" ht="20.100000000000001" customHeight="1">
      <c r="A103" s="28">
        <v>4</v>
      </c>
      <c r="B103" s="156" t="s">
        <v>538</v>
      </c>
      <c r="C103" s="20" t="s">
        <v>539</v>
      </c>
      <c r="D103" s="181" t="s">
        <v>267</v>
      </c>
      <c r="E103" s="276">
        <v>54000</v>
      </c>
      <c r="F103" s="180"/>
    </row>
    <row r="104" spans="1:6" ht="20.100000000000001" customHeight="1">
      <c r="A104" s="20"/>
      <c r="B104" s="159" t="s">
        <v>15</v>
      </c>
      <c r="C104" s="29">
        <v>3</v>
      </c>
      <c r="D104" s="187"/>
      <c r="E104" s="279">
        <v>378000</v>
      </c>
      <c r="F104" s="180"/>
    </row>
    <row r="105" spans="1:6" ht="20.100000000000001" customHeight="1">
      <c r="A105" s="20"/>
      <c r="B105" s="123"/>
      <c r="C105" s="29"/>
      <c r="D105" s="187"/>
      <c r="E105" s="280"/>
      <c r="F105" s="180"/>
    </row>
    <row r="106" spans="1:6" ht="20.100000000000001" customHeight="1">
      <c r="A106" s="20"/>
      <c r="B106" s="159" t="s">
        <v>465</v>
      </c>
      <c r="C106" s="20"/>
      <c r="D106" s="20"/>
      <c r="E106" s="282"/>
      <c r="F106" s="180"/>
    </row>
    <row r="107" spans="1:6" ht="20.100000000000001" customHeight="1">
      <c r="A107" s="20">
        <v>1</v>
      </c>
      <c r="B107" s="156" t="s">
        <v>216</v>
      </c>
      <c r="C107" s="161" t="s">
        <v>217</v>
      </c>
      <c r="D107" s="181" t="s">
        <v>161</v>
      </c>
      <c r="E107" s="276">
        <v>270000</v>
      </c>
      <c r="F107" s="180"/>
    </row>
    <row r="108" spans="1:6" ht="20.100000000000001" customHeight="1">
      <c r="A108" s="20">
        <v>2</v>
      </c>
      <c r="B108" s="156" t="s">
        <v>110</v>
      </c>
      <c r="C108" s="20" t="s">
        <v>259</v>
      </c>
      <c r="D108" s="24" t="s">
        <v>221</v>
      </c>
      <c r="E108" s="276">
        <v>180000</v>
      </c>
      <c r="F108" s="180"/>
    </row>
    <row r="109" spans="1:6" ht="20.100000000000001" customHeight="1">
      <c r="A109" s="20">
        <v>3</v>
      </c>
      <c r="B109" s="156" t="s">
        <v>109</v>
      </c>
      <c r="C109" s="20" t="s">
        <v>311</v>
      </c>
      <c r="D109" s="28" t="s">
        <v>175</v>
      </c>
      <c r="E109" s="276">
        <v>90000</v>
      </c>
      <c r="F109" s="180"/>
    </row>
    <row r="110" spans="1:6" ht="20.100000000000001" customHeight="1">
      <c r="A110" s="20">
        <v>4</v>
      </c>
      <c r="B110" s="156" t="s">
        <v>135</v>
      </c>
      <c r="C110" s="20" t="s">
        <v>311</v>
      </c>
      <c r="D110" s="28" t="s">
        <v>175</v>
      </c>
      <c r="E110" s="276">
        <v>90000</v>
      </c>
      <c r="F110" s="180"/>
    </row>
    <row r="111" spans="1:6" ht="20.100000000000001" customHeight="1">
      <c r="A111" s="20">
        <v>5</v>
      </c>
      <c r="B111" s="156" t="s">
        <v>240</v>
      </c>
      <c r="C111" s="20" t="s">
        <v>338</v>
      </c>
      <c r="D111" s="181" t="s">
        <v>499</v>
      </c>
      <c r="E111" s="276">
        <v>54000</v>
      </c>
      <c r="F111" s="180"/>
    </row>
    <row r="112" spans="1:6" ht="20.100000000000001" customHeight="1">
      <c r="A112" s="20">
        <v>6</v>
      </c>
      <c r="B112" s="157" t="s">
        <v>341</v>
      </c>
      <c r="C112" s="20" t="s">
        <v>338</v>
      </c>
      <c r="D112" s="28" t="s">
        <v>267</v>
      </c>
      <c r="E112" s="276">
        <v>54000</v>
      </c>
      <c r="F112" s="180"/>
    </row>
    <row r="113" spans="1:6" ht="20.100000000000001" customHeight="1">
      <c r="A113" s="20">
        <v>7</v>
      </c>
      <c r="B113" s="157" t="s">
        <v>374</v>
      </c>
      <c r="C113" s="20" t="s">
        <v>338</v>
      </c>
      <c r="D113" s="181" t="s">
        <v>176</v>
      </c>
      <c r="E113" s="276">
        <v>54000</v>
      </c>
      <c r="F113" s="180"/>
    </row>
    <row r="114" spans="1:6" ht="20.100000000000001" customHeight="1">
      <c r="A114" s="20"/>
      <c r="B114" s="159" t="s">
        <v>15</v>
      </c>
      <c r="C114" s="29">
        <v>7</v>
      </c>
      <c r="D114" s="20"/>
      <c r="E114" s="283">
        <v>792000</v>
      </c>
      <c r="F114" s="180"/>
    </row>
    <row r="115" spans="1:6" ht="20.100000000000001" customHeight="1">
      <c r="A115" s="20"/>
      <c r="B115" s="159"/>
      <c r="C115" s="29"/>
      <c r="D115" s="20"/>
      <c r="E115" s="283"/>
      <c r="F115" s="180"/>
    </row>
    <row r="116" spans="1:6" ht="43.5" customHeight="1">
      <c r="A116" s="28"/>
      <c r="B116" s="159" t="s">
        <v>547</v>
      </c>
      <c r="C116" s="29"/>
      <c r="D116" s="29"/>
      <c r="E116" s="283"/>
      <c r="F116" s="180"/>
    </row>
    <row r="117" spans="1:6" ht="27" customHeight="1">
      <c r="A117" s="28">
        <v>1</v>
      </c>
      <c r="B117" s="156" t="s">
        <v>182</v>
      </c>
      <c r="C117" s="112" t="s">
        <v>422</v>
      </c>
      <c r="D117" s="181" t="s">
        <v>497</v>
      </c>
      <c r="E117" s="276">
        <v>54000</v>
      </c>
      <c r="F117" s="180"/>
    </row>
    <row r="118" spans="1:6" ht="27" customHeight="1">
      <c r="A118" s="28">
        <v>2</v>
      </c>
      <c r="B118" s="156" t="s">
        <v>247</v>
      </c>
      <c r="C118" s="20" t="s">
        <v>477</v>
      </c>
      <c r="D118" s="181" t="s">
        <v>415</v>
      </c>
      <c r="E118" s="276">
        <v>54000</v>
      </c>
      <c r="F118" s="180"/>
    </row>
    <row r="119" spans="1:6" ht="27" customHeight="1">
      <c r="A119" s="20"/>
      <c r="B119" s="159" t="s">
        <v>15</v>
      </c>
      <c r="C119" s="29">
        <v>2</v>
      </c>
      <c r="D119" s="187"/>
      <c r="E119" s="283">
        <v>108000</v>
      </c>
      <c r="F119" s="180"/>
    </row>
    <row r="120" spans="1:6" ht="20.100000000000001" customHeight="1">
      <c r="A120" s="20"/>
      <c r="B120" s="123"/>
      <c r="C120" s="28"/>
      <c r="D120" s="20"/>
      <c r="E120" s="284"/>
      <c r="F120" s="180"/>
    </row>
    <row r="121" spans="1:6" ht="20.100000000000001" customHeight="1">
      <c r="A121" s="20"/>
      <c r="B121" s="159" t="s">
        <v>466</v>
      </c>
      <c r="C121" s="29"/>
      <c r="D121" s="29"/>
      <c r="E121" s="276"/>
      <c r="F121" s="180"/>
    </row>
    <row r="122" spans="1:6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276">
        <v>270000</v>
      </c>
      <c r="F122" s="180"/>
    </row>
    <row r="123" spans="1:6" ht="20.100000000000001" customHeight="1">
      <c r="A123" s="20">
        <v>2</v>
      </c>
      <c r="B123" s="156" t="s">
        <v>153</v>
      </c>
      <c r="C123" s="161" t="s">
        <v>376</v>
      </c>
      <c r="D123" s="181" t="s">
        <v>75</v>
      </c>
      <c r="E123" s="276">
        <v>126000</v>
      </c>
      <c r="F123" s="180"/>
    </row>
    <row r="124" spans="1:6" ht="20.100000000000001" customHeight="1">
      <c r="A124" s="20">
        <v>3</v>
      </c>
      <c r="B124" s="158" t="s">
        <v>142</v>
      </c>
      <c r="C124" s="161" t="s">
        <v>376</v>
      </c>
      <c r="D124" s="181" t="s">
        <v>75</v>
      </c>
      <c r="E124" s="276">
        <v>126000</v>
      </c>
      <c r="F124" s="180"/>
    </row>
    <row r="125" spans="1:6" ht="20.100000000000001" customHeight="1">
      <c r="A125" s="20">
        <v>4</v>
      </c>
      <c r="B125" s="158" t="s">
        <v>363</v>
      </c>
      <c r="C125" s="161" t="s">
        <v>376</v>
      </c>
      <c r="D125" s="181" t="s">
        <v>30</v>
      </c>
      <c r="E125" s="276">
        <v>126000</v>
      </c>
      <c r="F125" s="180"/>
    </row>
    <row r="126" spans="1:6" ht="20.100000000000001" customHeight="1">
      <c r="A126" s="20">
        <v>5</v>
      </c>
      <c r="B126" s="156" t="s">
        <v>108</v>
      </c>
      <c r="C126" s="161" t="s">
        <v>476</v>
      </c>
      <c r="D126" s="181" t="s">
        <v>162</v>
      </c>
      <c r="E126" s="276">
        <v>90000</v>
      </c>
      <c r="F126" s="180"/>
    </row>
    <row r="127" spans="1:6" ht="20.100000000000001" customHeight="1">
      <c r="A127" s="20">
        <v>6</v>
      </c>
      <c r="B127" s="156" t="s">
        <v>178</v>
      </c>
      <c r="C127" s="161" t="s">
        <v>382</v>
      </c>
      <c r="D127" s="181" t="s">
        <v>170</v>
      </c>
      <c r="E127" s="276">
        <v>90000</v>
      </c>
      <c r="F127" s="180"/>
    </row>
    <row r="128" spans="1:6" ht="20.100000000000001" customHeight="1">
      <c r="A128" s="20">
        <v>7</v>
      </c>
      <c r="B128" s="156" t="s">
        <v>134</v>
      </c>
      <c r="C128" s="161" t="s">
        <v>384</v>
      </c>
      <c r="D128" s="181" t="s">
        <v>170</v>
      </c>
      <c r="E128" s="276">
        <v>90000</v>
      </c>
      <c r="F128" s="180"/>
    </row>
    <row r="129" spans="1:6" ht="20.100000000000001" customHeight="1">
      <c r="A129" s="20">
        <v>8</v>
      </c>
      <c r="B129" s="156" t="s">
        <v>443</v>
      </c>
      <c r="C129" s="161" t="s">
        <v>447</v>
      </c>
      <c r="D129" s="28" t="s">
        <v>498</v>
      </c>
      <c r="E129" s="276">
        <v>54000</v>
      </c>
      <c r="F129" s="180"/>
    </row>
    <row r="130" spans="1:6" ht="20.100000000000001" customHeight="1">
      <c r="A130" s="20">
        <v>9</v>
      </c>
      <c r="B130" s="157" t="s">
        <v>439</v>
      </c>
      <c r="C130" s="161" t="s">
        <v>440</v>
      </c>
      <c r="D130" s="181" t="s">
        <v>176</v>
      </c>
      <c r="E130" s="276">
        <v>54000</v>
      </c>
      <c r="F130" s="180"/>
    </row>
    <row r="131" spans="1:6" ht="20.100000000000001" customHeight="1">
      <c r="A131" s="20"/>
      <c r="B131" s="159" t="s">
        <v>15</v>
      </c>
      <c r="C131" s="187" t="s">
        <v>377</v>
      </c>
      <c r="D131" s="181"/>
      <c r="E131" s="285">
        <v>1026000</v>
      </c>
      <c r="F131" s="180"/>
    </row>
    <row r="132" spans="1:6" ht="20.100000000000001" customHeight="1">
      <c r="A132" s="20"/>
      <c r="B132" s="123"/>
      <c r="C132" s="187"/>
      <c r="D132" s="181"/>
      <c r="E132" s="286"/>
      <c r="F132" s="180"/>
    </row>
    <row r="133" spans="1:6" ht="20.100000000000001" customHeight="1">
      <c r="A133" s="20"/>
      <c r="B133" s="159" t="s">
        <v>467</v>
      </c>
      <c r="C133" s="161"/>
      <c r="D133" s="181"/>
      <c r="E133" s="276"/>
      <c r="F133" s="180"/>
    </row>
    <row r="134" spans="1:6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76">
        <v>270000</v>
      </c>
      <c r="F134" s="180"/>
    </row>
    <row r="135" spans="1:6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76">
        <v>180000</v>
      </c>
      <c r="F135" s="180"/>
    </row>
    <row r="136" spans="1:6" ht="20.100000000000001" customHeight="1">
      <c r="A136" s="191">
        <v>3</v>
      </c>
      <c r="B136" s="158" t="s">
        <v>183</v>
      </c>
      <c r="C136" s="20" t="s">
        <v>486</v>
      </c>
      <c r="D136" s="24" t="s">
        <v>221</v>
      </c>
      <c r="E136" s="276">
        <v>180000</v>
      </c>
      <c r="F136" s="180"/>
    </row>
    <row r="137" spans="1:6" ht="20.100000000000001" customHeight="1">
      <c r="A137" s="191">
        <v>4</v>
      </c>
      <c r="B137" s="156" t="s">
        <v>106</v>
      </c>
      <c r="C137" s="161" t="s">
        <v>381</v>
      </c>
      <c r="D137" s="181" t="s">
        <v>181</v>
      </c>
      <c r="E137" s="276">
        <v>90000</v>
      </c>
      <c r="F137" s="180"/>
    </row>
    <row r="138" spans="1:6" ht="20.100000000000001" customHeight="1">
      <c r="A138" s="191">
        <v>5</v>
      </c>
      <c r="B138" s="156" t="s">
        <v>7</v>
      </c>
      <c r="C138" s="20" t="s">
        <v>385</v>
      </c>
      <c r="D138" s="181" t="s">
        <v>181</v>
      </c>
      <c r="E138" s="276">
        <v>90000</v>
      </c>
      <c r="F138" s="180"/>
    </row>
    <row r="139" spans="1:6" ht="20.100000000000001" customHeight="1">
      <c r="A139" s="191">
        <v>6</v>
      </c>
      <c r="B139" s="156" t="s">
        <v>124</v>
      </c>
      <c r="C139" s="20" t="s">
        <v>235</v>
      </c>
      <c r="D139" s="181" t="s">
        <v>170</v>
      </c>
      <c r="E139" s="276">
        <v>90000</v>
      </c>
      <c r="F139" s="180"/>
    </row>
    <row r="140" spans="1:6" ht="20.100000000000001" customHeight="1">
      <c r="A140" s="191">
        <v>7</v>
      </c>
      <c r="B140" s="156" t="s">
        <v>102</v>
      </c>
      <c r="C140" s="161" t="s">
        <v>395</v>
      </c>
      <c r="D140" s="181" t="s">
        <v>497</v>
      </c>
      <c r="E140" s="276">
        <v>54000</v>
      </c>
      <c r="F140" s="180"/>
    </row>
    <row r="141" spans="1:6" ht="20.100000000000001" customHeight="1">
      <c r="A141" s="191">
        <v>8</v>
      </c>
      <c r="B141" s="156" t="s">
        <v>103</v>
      </c>
      <c r="C141" s="161" t="s">
        <v>395</v>
      </c>
      <c r="D141" s="181" t="s">
        <v>497</v>
      </c>
      <c r="E141" s="276">
        <v>54000</v>
      </c>
      <c r="F141" s="180"/>
    </row>
    <row r="142" spans="1:6" ht="20.100000000000001" customHeight="1">
      <c r="A142" s="191">
        <v>9</v>
      </c>
      <c r="B142" s="156" t="s">
        <v>151</v>
      </c>
      <c r="C142" s="20" t="s">
        <v>235</v>
      </c>
      <c r="D142" s="181" t="s">
        <v>497</v>
      </c>
      <c r="E142" s="276">
        <v>54000</v>
      </c>
      <c r="F142" s="180"/>
    </row>
    <row r="143" spans="1:6" ht="20.100000000000001" customHeight="1">
      <c r="A143" s="191">
        <v>10</v>
      </c>
      <c r="B143" s="156" t="s">
        <v>238</v>
      </c>
      <c r="C143" s="161" t="s">
        <v>479</v>
      </c>
      <c r="D143" s="181" t="s">
        <v>415</v>
      </c>
      <c r="E143" s="276">
        <v>54000</v>
      </c>
      <c r="F143" s="180"/>
    </row>
    <row r="144" spans="1:6" ht="20.100000000000001" customHeight="1">
      <c r="A144" s="191">
        <v>11</v>
      </c>
      <c r="B144" s="156" t="s">
        <v>53</v>
      </c>
      <c r="C144" s="161" t="s">
        <v>300</v>
      </c>
      <c r="D144" s="181" t="s">
        <v>27</v>
      </c>
      <c r="E144" s="276">
        <v>54000</v>
      </c>
      <c r="F144" s="180"/>
    </row>
    <row r="145" spans="1:6" ht="20.100000000000001" customHeight="1">
      <c r="A145" s="191">
        <v>12</v>
      </c>
      <c r="B145" s="156" t="s">
        <v>179</v>
      </c>
      <c r="C145" s="161" t="s">
        <v>479</v>
      </c>
      <c r="D145" s="181" t="s">
        <v>497</v>
      </c>
      <c r="E145" s="276">
        <v>54000</v>
      </c>
      <c r="F145" s="180"/>
    </row>
    <row r="146" spans="1:6" ht="20.100000000000001" customHeight="1">
      <c r="A146" s="191">
        <v>13</v>
      </c>
      <c r="B146" s="157" t="s">
        <v>293</v>
      </c>
      <c r="C146" s="20" t="s">
        <v>438</v>
      </c>
      <c r="D146" s="181" t="s">
        <v>27</v>
      </c>
      <c r="E146" s="276">
        <v>54000</v>
      </c>
      <c r="F146" s="180"/>
    </row>
    <row r="147" spans="1:6" ht="20.100000000000001" customHeight="1">
      <c r="A147" s="191">
        <v>14</v>
      </c>
      <c r="B147" s="156" t="s">
        <v>488</v>
      </c>
      <c r="C147" s="20" t="s">
        <v>239</v>
      </c>
      <c r="D147" s="181" t="s">
        <v>207</v>
      </c>
      <c r="E147" s="276">
        <v>54000</v>
      </c>
      <c r="F147" s="180"/>
    </row>
    <row r="148" spans="1:6" ht="20.100000000000001" customHeight="1">
      <c r="A148" s="191">
        <v>15</v>
      </c>
      <c r="B148" s="156" t="s">
        <v>489</v>
      </c>
      <c r="C148" s="20" t="s">
        <v>239</v>
      </c>
      <c r="D148" s="181" t="s">
        <v>164</v>
      </c>
      <c r="E148" s="276">
        <v>54000</v>
      </c>
      <c r="F148" s="180"/>
    </row>
    <row r="149" spans="1:6" ht="20.100000000000001" customHeight="1">
      <c r="A149" s="191">
        <v>16</v>
      </c>
      <c r="B149" s="156" t="s">
        <v>212</v>
      </c>
      <c r="C149" s="20" t="s">
        <v>239</v>
      </c>
      <c r="D149" s="181" t="s">
        <v>164</v>
      </c>
      <c r="E149" s="276">
        <v>54000</v>
      </c>
      <c r="F149" s="180"/>
    </row>
    <row r="150" spans="1:6" ht="20.100000000000001" customHeight="1">
      <c r="A150" s="191">
        <v>17</v>
      </c>
      <c r="B150" s="156" t="s">
        <v>425</v>
      </c>
      <c r="C150" s="161" t="s">
        <v>430</v>
      </c>
      <c r="D150" s="181" t="s">
        <v>104</v>
      </c>
      <c r="E150" s="276">
        <v>54000</v>
      </c>
      <c r="F150" s="180"/>
    </row>
    <row r="151" spans="1:6" ht="20.100000000000001" customHeight="1">
      <c r="A151" s="191">
        <v>18</v>
      </c>
      <c r="B151" s="156" t="s">
        <v>437</v>
      </c>
      <c r="C151" s="161" t="s">
        <v>438</v>
      </c>
      <c r="D151" s="28" t="s">
        <v>428</v>
      </c>
      <c r="E151" s="276">
        <v>54000</v>
      </c>
      <c r="F151" s="180"/>
    </row>
    <row r="152" spans="1:6" ht="20.100000000000001" customHeight="1">
      <c r="A152" s="191">
        <v>19</v>
      </c>
      <c r="B152" s="156" t="s">
        <v>230</v>
      </c>
      <c r="C152" s="161" t="s">
        <v>485</v>
      </c>
      <c r="D152" s="181" t="s">
        <v>207</v>
      </c>
      <c r="E152" s="276">
        <v>54000</v>
      </c>
      <c r="F152" s="180"/>
    </row>
    <row r="153" spans="1:6" ht="20.100000000000001" customHeight="1">
      <c r="A153" s="191">
        <v>20</v>
      </c>
      <c r="B153" s="156" t="s">
        <v>57</v>
      </c>
      <c r="C153" s="161" t="s">
        <v>481</v>
      </c>
      <c r="D153" s="181" t="s">
        <v>498</v>
      </c>
      <c r="E153" s="276">
        <v>54000</v>
      </c>
      <c r="F153" s="180"/>
    </row>
    <row r="154" spans="1:6" ht="20.100000000000001" customHeight="1">
      <c r="A154" s="191">
        <v>21</v>
      </c>
      <c r="B154" s="156" t="s">
        <v>251</v>
      </c>
      <c r="C154" s="161" t="s">
        <v>482</v>
      </c>
      <c r="D154" s="181" t="s">
        <v>207</v>
      </c>
      <c r="E154" s="276">
        <v>54000</v>
      </c>
      <c r="F154" s="180"/>
    </row>
    <row r="155" spans="1:6" ht="20.100000000000001" customHeight="1">
      <c r="A155" s="191">
        <v>22</v>
      </c>
      <c r="B155" s="156" t="s">
        <v>241</v>
      </c>
      <c r="C155" s="161" t="s">
        <v>348</v>
      </c>
      <c r="D155" s="181" t="s">
        <v>498</v>
      </c>
      <c r="E155" s="276">
        <v>54000</v>
      </c>
      <c r="F155" s="180"/>
    </row>
    <row r="156" spans="1:6" ht="20.100000000000001" customHeight="1">
      <c r="A156" s="191">
        <v>23</v>
      </c>
      <c r="B156" s="157" t="s">
        <v>289</v>
      </c>
      <c r="C156" s="161" t="s">
        <v>290</v>
      </c>
      <c r="D156" s="181" t="s">
        <v>267</v>
      </c>
      <c r="E156" s="276">
        <v>54000</v>
      </c>
      <c r="F156" s="180"/>
    </row>
    <row r="157" spans="1:6" ht="20.100000000000001" customHeight="1">
      <c r="A157" s="191">
        <v>24</v>
      </c>
      <c r="B157" s="157" t="s">
        <v>407</v>
      </c>
      <c r="C157" s="161" t="s">
        <v>131</v>
      </c>
      <c r="D157" s="181" t="s">
        <v>105</v>
      </c>
      <c r="E157" s="276">
        <v>54000</v>
      </c>
      <c r="F157" s="180"/>
    </row>
    <row r="158" spans="1:6" ht="20.100000000000001" customHeight="1">
      <c r="A158" s="191">
        <v>25</v>
      </c>
      <c r="B158" s="157" t="s">
        <v>426</v>
      </c>
      <c r="C158" s="161" t="s">
        <v>290</v>
      </c>
      <c r="D158" s="181" t="s">
        <v>105</v>
      </c>
      <c r="E158" s="276">
        <v>54000</v>
      </c>
      <c r="F158" s="180"/>
    </row>
    <row r="159" spans="1:6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76">
        <v>54000</v>
      </c>
      <c r="F159" s="180"/>
    </row>
    <row r="160" spans="1:6" ht="20.100000000000001" customHeight="1">
      <c r="A160" s="191">
        <v>27</v>
      </c>
      <c r="B160" s="157" t="s">
        <v>445</v>
      </c>
      <c r="C160" s="161" t="s">
        <v>446</v>
      </c>
      <c r="D160" s="181" t="s">
        <v>176</v>
      </c>
      <c r="E160" s="276">
        <v>54000</v>
      </c>
      <c r="F160" s="180"/>
    </row>
    <row r="161" spans="1:6" ht="20.100000000000001" customHeight="1">
      <c r="A161" s="191">
        <v>28</v>
      </c>
      <c r="B161" s="156" t="s">
        <v>22</v>
      </c>
      <c r="C161" s="161" t="s">
        <v>302</v>
      </c>
      <c r="D161" s="181" t="s">
        <v>501</v>
      </c>
      <c r="E161" s="276">
        <v>36000</v>
      </c>
      <c r="F161" s="180"/>
    </row>
    <row r="162" spans="1:6" ht="20.100000000000001" customHeight="1">
      <c r="A162" s="191">
        <v>29</v>
      </c>
      <c r="B162" s="156" t="s">
        <v>14</v>
      </c>
      <c r="C162" s="161" t="s">
        <v>302</v>
      </c>
      <c r="D162" s="181" t="s">
        <v>501</v>
      </c>
      <c r="E162" s="276">
        <v>36000</v>
      </c>
      <c r="F162" s="180"/>
    </row>
    <row r="163" spans="1:6" ht="20.100000000000001" customHeight="1">
      <c r="A163" s="191">
        <v>30</v>
      </c>
      <c r="B163" s="156" t="s">
        <v>23</v>
      </c>
      <c r="C163" s="161" t="s">
        <v>302</v>
      </c>
      <c r="D163" s="181" t="s">
        <v>501</v>
      </c>
      <c r="E163" s="276">
        <v>36000</v>
      </c>
      <c r="F163" s="180"/>
    </row>
    <row r="164" spans="1:6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76">
        <v>36000</v>
      </c>
      <c r="F164" s="180"/>
    </row>
    <row r="165" spans="1:6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76">
        <v>36000</v>
      </c>
      <c r="F165" s="180"/>
    </row>
    <row r="166" spans="1:6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76">
        <v>36000</v>
      </c>
      <c r="F166" s="180"/>
    </row>
    <row r="167" spans="1:6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76">
        <v>36000</v>
      </c>
      <c r="F167" s="180"/>
    </row>
    <row r="168" spans="1:6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276">
        <v>36000</v>
      </c>
      <c r="F168" s="180"/>
    </row>
    <row r="169" spans="1:6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276">
        <v>36000</v>
      </c>
      <c r="F169" s="180"/>
    </row>
    <row r="170" spans="1:6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276">
        <v>36000</v>
      </c>
      <c r="F170" s="180"/>
    </row>
    <row r="171" spans="1:6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276">
        <v>36000</v>
      </c>
      <c r="F171" s="180"/>
    </row>
    <row r="172" spans="1:6" ht="20.100000000000001" customHeight="1">
      <c r="A172" s="191">
        <v>40</v>
      </c>
      <c r="B172" s="156" t="s">
        <v>231</v>
      </c>
      <c r="C172" s="161" t="s">
        <v>167</v>
      </c>
      <c r="D172" s="181" t="s">
        <v>263</v>
      </c>
      <c r="E172" s="276">
        <v>36000</v>
      </c>
      <c r="F172" s="180"/>
    </row>
    <row r="173" spans="1:6" ht="20.100000000000001" customHeight="1">
      <c r="A173" s="191">
        <v>41</v>
      </c>
      <c r="B173" s="156" t="s">
        <v>246</v>
      </c>
      <c r="C173" s="161" t="s">
        <v>167</v>
      </c>
      <c r="D173" s="181" t="s">
        <v>263</v>
      </c>
      <c r="E173" s="276">
        <v>36000</v>
      </c>
      <c r="F173" s="180"/>
    </row>
    <row r="174" spans="1:6" ht="20.100000000000001" customHeight="1">
      <c r="A174" s="191">
        <v>42</v>
      </c>
      <c r="B174" s="157" t="s">
        <v>166</v>
      </c>
      <c r="C174" s="161" t="s">
        <v>167</v>
      </c>
      <c r="D174" s="181" t="s">
        <v>223</v>
      </c>
      <c r="E174" s="276">
        <v>36000</v>
      </c>
      <c r="F174" s="180"/>
    </row>
    <row r="175" spans="1:6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276">
        <v>36000</v>
      </c>
      <c r="F175" s="180"/>
    </row>
    <row r="176" spans="1:6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276">
        <v>36000</v>
      </c>
      <c r="F176" s="180"/>
    </row>
    <row r="177" spans="1:6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276">
        <v>36000</v>
      </c>
      <c r="F177" s="180"/>
    </row>
    <row r="178" spans="1:6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276">
        <v>36000</v>
      </c>
      <c r="F178" s="180"/>
    </row>
    <row r="179" spans="1:6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276">
        <v>36000</v>
      </c>
      <c r="F179" s="180"/>
    </row>
    <row r="180" spans="1:6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276">
        <v>36000</v>
      </c>
      <c r="F180" s="180"/>
    </row>
    <row r="181" spans="1:6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276">
        <v>36000</v>
      </c>
      <c r="F181" s="180"/>
    </row>
    <row r="182" spans="1:6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276">
        <v>36000</v>
      </c>
      <c r="F182" s="180"/>
    </row>
    <row r="183" spans="1:6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276">
        <v>36000</v>
      </c>
      <c r="F183" s="180"/>
    </row>
    <row r="184" spans="1:6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276">
        <v>36000</v>
      </c>
      <c r="F184" s="180"/>
    </row>
    <row r="185" spans="1:6" ht="20.100000000000001" customHeight="1">
      <c r="A185" s="191">
        <v>53</v>
      </c>
      <c r="B185" s="157" t="s">
        <v>279</v>
      </c>
      <c r="C185" s="161" t="s">
        <v>13</v>
      </c>
      <c r="D185" s="181" t="s">
        <v>503</v>
      </c>
      <c r="E185" s="276">
        <v>36000</v>
      </c>
      <c r="F185" s="180"/>
    </row>
    <row r="186" spans="1:6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276">
        <v>36000</v>
      </c>
      <c r="F186" s="180"/>
    </row>
    <row r="187" spans="1:6" ht="20.100000000000001" customHeight="1">
      <c r="A187" s="191"/>
      <c r="B187" s="177" t="s">
        <v>15</v>
      </c>
      <c r="C187" s="193" t="s">
        <v>544</v>
      </c>
      <c r="D187" s="22"/>
      <c r="E187" s="287">
        <v>2970000</v>
      </c>
      <c r="F187" s="180"/>
    </row>
    <row r="188" spans="1:6" ht="9" customHeight="1">
      <c r="A188" s="191"/>
      <c r="B188" s="177"/>
      <c r="C188" s="193"/>
      <c r="D188" s="22"/>
      <c r="E188" s="287"/>
      <c r="F188" s="180"/>
    </row>
    <row r="189" spans="1:6" ht="40.5" customHeight="1">
      <c r="A189" s="20"/>
      <c r="B189" s="266" t="s">
        <v>8</v>
      </c>
      <c r="C189" s="267">
        <f>C35+C40+C55+C60+C76+C84+C97+C104+C114+C131+C187</f>
        <v>145</v>
      </c>
      <c r="D189" s="268"/>
      <c r="E189" s="269">
        <f>E187+E131+E119+E114+E104+E97+E84+E76+E60+E55+E40+E35</f>
        <v>13068000</v>
      </c>
      <c r="F189" s="180"/>
    </row>
    <row r="190" spans="1:6" ht="20.100000000000001" customHeight="1">
      <c r="B190" s="198"/>
      <c r="D190" s="199"/>
      <c r="E190" s="199"/>
      <c r="F190" s="202"/>
    </row>
    <row r="191" spans="1:6" ht="65.25" customHeight="1">
      <c r="B191" s="198"/>
      <c r="C191" s="199"/>
      <c r="D191" s="199"/>
      <c r="E191" s="199"/>
      <c r="F191" s="288"/>
    </row>
    <row r="192" spans="1:6" ht="20.100000000000001" customHeight="1">
      <c r="F192" s="288"/>
    </row>
    <row r="193" spans="6:6" ht="20.100000000000001" customHeight="1">
      <c r="F193" s="288"/>
    </row>
    <row r="194" spans="6:6" ht="20.100000000000001" customHeight="1">
      <c r="F194" s="288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403" t="s">
        <v>234</v>
      </c>
      <c r="B1" s="403"/>
      <c r="C1" s="403"/>
      <c r="D1" s="403"/>
    </row>
    <row r="2" spans="1:9" ht="33.75" customHeight="1">
      <c r="A2" s="165" t="s">
        <v>495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4" t="s">
        <v>370</v>
      </c>
      <c r="F4" s="174" t="s">
        <v>371</v>
      </c>
      <c r="G4" s="175" t="s">
        <v>508</v>
      </c>
    </row>
    <row r="5" spans="1:9" ht="20.100000000000001" customHeight="1">
      <c r="A5" s="176" t="s">
        <v>143</v>
      </c>
      <c r="B5" s="177" t="s">
        <v>433</v>
      </c>
      <c r="C5" s="177"/>
      <c r="D5" s="177"/>
      <c r="E5" s="178" t="s">
        <v>5</v>
      </c>
      <c r="F5" s="216" t="s">
        <v>5</v>
      </c>
      <c r="G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f>201165.84</f>
        <v>201165.84</v>
      </c>
      <c r="F6" s="207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137</v>
      </c>
      <c r="C7" s="20" t="s">
        <v>472</v>
      </c>
      <c r="D7" s="28" t="s">
        <v>160</v>
      </c>
      <c r="E7" s="25" t="e">
        <f>#REF!</f>
        <v>#REF!</v>
      </c>
      <c r="F7" s="207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116473.51</f>
        <v>116473.51</v>
      </c>
      <c r="F8" s="207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496</v>
      </c>
      <c r="E9" s="23">
        <f>79993.51</f>
        <v>79993.509999999995</v>
      </c>
      <c r="F9" s="207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f>107095.69</f>
        <v>107095.69</v>
      </c>
      <c r="F10" s="207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112</v>
      </c>
      <c r="C11" s="20" t="s">
        <v>473</v>
      </c>
      <c r="D11" s="24" t="s">
        <v>221</v>
      </c>
      <c r="E11" s="23" t="e">
        <f>#REF!</f>
        <v>#REF!</v>
      </c>
      <c r="F11" s="207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187</v>
      </c>
      <c r="C12" s="112" t="s">
        <v>474</v>
      </c>
      <c r="D12" s="24" t="s">
        <v>221</v>
      </c>
      <c r="E12" s="25" t="e">
        <f>#REF!</f>
        <v>#REF!</v>
      </c>
      <c r="F12" s="207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203</v>
      </c>
      <c r="C13" s="20" t="s">
        <v>475</v>
      </c>
      <c r="D13" s="24" t="s">
        <v>221</v>
      </c>
      <c r="E13" s="23" t="e">
        <f>#REF!</f>
        <v>#REF!</v>
      </c>
      <c r="F13" s="207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111</v>
      </c>
      <c r="C14" s="161" t="s">
        <v>468</v>
      </c>
      <c r="D14" s="181" t="s">
        <v>75</v>
      </c>
      <c r="E14" s="25">
        <f>64436.1</f>
        <v>64436.1</v>
      </c>
      <c r="F14" s="207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f>60212.92</f>
        <v>60212.92</v>
      </c>
      <c r="F15" s="207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3">
        <f>52638.9</f>
        <v>52638.9</v>
      </c>
      <c r="F16" s="207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3">
        <f>43380</f>
        <v>43380</v>
      </c>
      <c r="F17" s="207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3">
        <f>85278.9</f>
        <v>85278.9</v>
      </c>
      <c r="F18" s="207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 t="e">
        <f>#REF!</f>
        <v>#REF!</v>
      </c>
      <c r="F19" s="207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f>46673.26</f>
        <v>46673.26</v>
      </c>
      <c r="F20" s="207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63364.81</f>
        <v>63364.81</v>
      </c>
      <c r="F21" s="207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497</v>
      </c>
      <c r="E22" s="25">
        <f>31848.56</f>
        <v>31848.560000000001</v>
      </c>
      <c r="F22" s="207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253</v>
      </c>
      <c r="C23" s="161" t="s">
        <v>478</v>
      </c>
      <c r="D23" s="181" t="s">
        <v>415</v>
      </c>
      <c r="E23" s="25" t="e">
        <f>#REF!</f>
        <v>#REF!</v>
      </c>
      <c r="F23" s="207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247</v>
      </c>
      <c r="C24" s="20" t="s">
        <v>477</v>
      </c>
      <c r="D24" s="181" t="s">
        <v>415</v>
      </c>
      <c r="E24" s="25" t="e">
        <f>#REF!</f>
        <v>#REF!</v>
      </c>
      <c r="F24" s="207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27105.99</f>
        <v>27105.99</v>
      </c>
      <c r="F25" s="207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179">
        <f>26339.08</f>
        <v>26339.08</v>
      </c>
      <c r="F26" s="207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7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498</v>
      </c>
      <c r="E28" s="25">
        <f>21640.95</f>
        <v>21640.95</v>
      </c>
      <c r="F28" s="207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248</v>
      </c>
      <c r="C29" s="161" t="s">
        <v>480</v>
      </c>
      <c r="D29" s="181" t="s">
        <v>498</v>
      </c>
      <c r="E29" s="25">
        <v>21640.95</v>
      </c>
      <c r="F29" s="207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25">
        <f>17572.89</f>
        <v>17572.89</v>
      </c>
      <c r="F30" s="207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179">
        <f>17572.89</f>
        <v>17572.89</v>
      </c>
      <c r="F31" s="207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f>17572.89</f>
        <v>17572.89</v>
      </c>
      <c r="F32" s="207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498</v>
      </c>
      <c r="E33" s="179">
        <v>21640.95</v>
      </c>
      <c r="F33" s="207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16512.68</f>
        <v>16512.68</v>
      </c>
      <c r="F34" s="207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 t="shared" ref="E35:E36" si="1">16512.68</f>
        <v>16512.68</v>
      </c>
      <c r="F35" s="207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453</v>
      </c>
      <c r="C36" s="161" t="s">
        <v>314</v>
      </c>
      <c r="D36" s="181" t="s">
        <v>176</v>
      </c>
      <c r="E36" s="25">
        <f t="shared" si="1"/>
        <v>16512.68</v>
      </c>
      <c r="F36" s="207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17"/>
      <c r="G38" s="183"/>
      <c r="H38" s="180"/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07"/>
      <c r="G39" s="23"/>
      <c r="H39" s="180"/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f>156349.82</f>
        <v>156349.82</v>
      </c>
      <c r="F40" s="207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5">
        <f>16512.68</f>
        <v>16512.68</v>
      </c>
      <c r="F41" s="207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17">
        <f>SUM(F40:F41)</f>
        <v>177619.48904933335</v>
      </c>
      <c r="G42" s="217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7"/>
      <c r="G43" s="23"/>
      <c r="H43" s="180"/>
      <c r="I43" s="180"/>
    </row>
    <row r="44" spans="1:9" ht="20.100000000000001" customHeight="1">
      <c r="A44" s="28"/>
      <c r="B44" s="185" t="s">
        <v>56</v>
      </c>
      <c r="C44" s="170"/>
      <c r="D44" s="174"/>
      <c r="E44" s="23"/>
      <c r="F44" s="207"/>
      <c r="G44" s="23"/>
      <c r="H44" s="180"/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f>180306.81</f>
        <v>180306.81</v>
      </c>
      <c r="F45" s="207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f>79956.94</f>
        <v>79956.94</v>
      </c>
      <c r="F46" s="207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f>79956.94</f>
        <v>79956.94</v>
      </c>
      <c r="F47" s="207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f>77764.98</f>
        <v>77764.98</v>
      </c>
      <c r="F48" s="207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 t="e">
        <f>#REF!</f>
        <v>#REF!</v>
      </c>
      <c r="F49" s="207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f>56478.9</f>
        <v>56478.9</v>
      </c>
      <c r="F50" s="207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3">
        <f>56478.9</f>
        <v>56478.9</v>
      </c>
      <c r="F51" s="207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 t="e">
        <f>#REF!</f>
        <v>#REF!</v>
      </c>
      <c r="F52" s="207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f>48052.11</f>
        <v>48052.11</v>
      </c>
      <c r="F53" s="207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5">
        <f>28360.95</f>
        <v>28360.95</v>
      </c>
      <c r="F54" s="207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5">
        <f>28360.95</f>
        <v>28360.95</v>
      </c>
      <c r="F55" s="207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5">
        <f>28360.95</f>
        <v>28360.95</v>
      </c>
      <c r="F56" s="207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18"/>
      <c r="G58" s="30"/>
      <c r="H58" s="180"/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218"/>
      <c r="G59" s="30"/>
      <c r="H59" s="180"/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f>180306.81</f>
        <v>180306.81</v>
      </c>
      <c r="F60" s="207">
        <f>'[9]August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18"/>
      <c r="G62" s="30"/>
      <c r="H62" s="180"/>
      <c r="I62" s="180"/>
    </row>
    <row r="63" spans="1:9" ht="20.100000000000001" customHeight="1">
      <c r="A63" s="28"/>
      <c r="B63" s="159" t="s">
        <v>461</v>
      </c>
      <c r="C63" s="29"/>
      <c r="D63" s="29"/>
      <c r="E63" s="30"/>
      <c r="F63" s="218"/>
      <c r="G63" s="30"/>
      <c r="H63" s="180"/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f>180306.81</f>
        <v>180306.81</v>
      </c>
      <c r="F64" s="208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5">
        <v>75572.92</v>
      </c>
      <c r="F65" s="208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f>48170.87</f>
        <v>48170.87</v>
      </c>
      <c r="F66" s="208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5">
        <f>46673.26</f>
        <v>46673.26</v>
      </c>
      <c r="F67" s="208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3">
        <v>56478.9</v>
      </c>
      <c r="F68" s="208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v>36127.269999999997</v>
      </c>
      <c r="F69" s="208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497</v>
      </c>
      <c r="E70" s="25">
        <v>41248.559999999998</v>
      </c>
      <c r="F70" s="208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">
        <f>40149.18</f>
        <v>40149.18</v>
      </c>
      <c r="F71" s="208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">
        <f>40149.18</f>
        <v>40149.18</v>
      </c>
      <c r="F72" s="208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5" t="e">
        <f>#REF!</f>
        <v>#REF!</v>
      </c>
      <c r="F73" s="208">
        <f>'[9]August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f>32291.82</f>
        <v>32291.82</v>
      </c>
      <c r="F74" s="208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5">
        <f>24685.95</f>
        <v>24685.95</v>
      </c>
      <c r="F75" s="208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24685.95</f>
        <v>24685.95</v>
      </c>
      <c r="F76" s="208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18"/>
      <c r="G78" s="30"/>
      <c r="H78" s="180"/>
      <c r="I78" s="180"/>
    </row>
    <row r="79" spans="1:9" ht="20.100000000000001" customHeight="1">
      <c r="A79" s="28"/>
      <c r="B79" s="159" t="s">
        <v>462</v>
      </c>
      <c r="C79" s="29"/>
      <c r="D79" s="29"/>
      <c r="E79" s="30"/>
      <c r="F79" s="218"/>
      <c r="G79" s="30"/>
      <c r="H79" s="180"/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f>180306.81</f>
        <v>180306.81</v>
      </c>
      <c r="F80" s="207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">
        <f>75572.92</f>
        <v>75572.92</v>
      </c>
      <c r="F81" s="207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">
        <f>75572.92</f>
        <v>75572.92</v>
      </c>
      <c r="F82" s="207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48170.87</v>
      </c>
      <c r="F83" s="207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f>32291.82</f>
        <v>32291.82</v>
      </c>
      <c r="F84" s="207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7"/>
      <c r="G86" s="23"/>
      <c r="H86" s="180"/>
      <c r="I86" s="180"/>
    </row>
    <row r="87" spans="1:9" ht="20.100000000000001" customHeight="1">
      <c r="A87" s="28"/>
      <c r="B87" s="159" t="s">
        <v>463</v>
      </c>
      <c r="C87" s="186"/>
      <c r="D87" s="29"/>
      <c r="E87" s="30"/>
      <c r="F87" s="207"/>
      <c r="G87" s="23"/>
      <c r="H87" s="180"/>
      <c r="I87" s="180"/>
    </row>
    <row r="88" spans="1:9" ht="23.25" customHeight="1">
      <c r="A88" s="28">
        <v>1</v>
      </c>
      <c r="B88" s="156" t="s">
        <v>504</v>
      </c>
      <c r="C88" s="20" t="s">
        <v>312</v>
      </c>
      <c r="D88" s="28" t="s">
        <v>160</v>
      </c>
      <c r="E88" s="25">
        <f>97273.51</f>
        <v>97273.51</v>
      </c>
      <c r="F88" s="207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f>79956.94</f>
        <v>79956.94</v>
      </c>
      <c r="F89" s="207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f>79796.1</f>
        <v>79796.100000000006</v>
      </c>
      <c r="F90" s="207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3">
        <f>57894.08</f>
        <v>57894.080000000002</v>
      </c>
      <c r="F91" s="207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3">
        <f>56478.9</f>
        <v>56478.9</v>
      </c>
      <c r="F92" s="207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f>48170.87</f>
        <v>48170.87</v>
      </c>
      <c r="F93" s="207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f>46673.26</f>
        <v>46673.26</v>
      </c>
      <c r="F94" s="207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f>46673.26</f>
        <v>46673.26</v>
      </c>
      <c r="F95" s="207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">
        <f>40149.18</f>
        <v>40149.18</v>
      </c>
      <c r="F96" s="208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436</v>
      </c>
      <c r="C97" s="20" t="s">
        <v>470</v>
      </c>
      <c r="D97" s="28" t="s">
        <v>104</v>
      </c>
      <c r="E97" s="25">
        <v>0</v>
      </c>
      <c r="F97" s="207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406</v>
      </c>
      <c r="C98" s="112" t="s">
        <v>432</v>
      </c>
      <c r="D98" s="181" t="s">
        <v>176</v>
      </c>
      <c r="E98" s="25">
        <f>24685.95</f>
        <v>24685.95</v>
      </c>
      <c r="F98" s="208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18"/>
      <c r="G100" s="30"/>
      <c r="H100" s="180"/>
      <c r="I100" s="180"/>
    </row>
    <row r="101" spans="1:9" ht="20.100000000000001" customHeight="1">
      <c r="A101" s="28"/>
      <c r="B101" s="159" t="s">
        <v>464</v>
      </c>
      <c r="C101" s="29"/>
      <c r="D101" s="29"/>
      <c r="E101" s="30"/>
      <c r="F101" s="218"/>
      <c r="G101" s="30"/>
      <c r="H101" s="180"/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">
        <f>79993.51</f>
        <v>79993.509999999995</v>
      </c>
      <c r="F102" s="207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3">
        <f>43380.1</f>
        <v>43380.1</v>
      </c>
      <c r="F103" s="207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f>38272.44</f>
        <v>38272.44</v>
      </c>
      <c r="F104" s="207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237</v>
      </c>
      <c r="C105" s="20" t="s">
        <v>483</v>
      </c>
      <c r="D105" s="181" t="s">
        <v>415</v>
      </c>
      <c r="E105" s="25" t="e">
        <f>#REF!</f>
        <v>#REF!</v>
      </c>
      <c r="F105" s="207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18"/>
      <c r="G107" s="30"/>
      <c r="H107" s="180"/>
      <c r="I107" s="180"/>
    </row>
    <row r="108" spans="1:9" ht="20.100000000000001" customHeight="1">
      <c r="A108" s="20"/>
      <c r="B108" s="159" t="s">
        <v>465</v>
      </c>
      <c r="C108" s="20"/>
      <c r="D108" s="20"/>
      <c r="E108" s="20"/>
      <c r="F108" s="219"/>
      <c r="G108" s="20"/>
      <c r="H108" s="180"/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f>180306.81</f>
        <v>180306.81</v>
      </c>
      <c r="F109" s="207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 t="e">
        <f>#REF!</f>
        <v>#REF!</v>
      </c>
      <c r="F110" s="207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3">
        <f>58814.67</f>
        <v>58814.67</v>
      </c>
      <c r="F111" s="207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7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499</v>
      </c>
      <c r="E113" s="25">
        <f>30699.58</f>
        <v>30699.58</v>
      </c>
      <c r="F113" s="207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f>30049.31</f>
        <v>30049.31</v>
      </c>
      <c r="F114" s="207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25">
        <f>28813.07</f>
        <v>28813.07</v>
      </c>
      <c r="F115" s="207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09"/>
      <c r="G117" s="189"/>
      <c r="H117" s="180"/>
      <c r="I117" s="180"/>
    </row>
    <row r="118" spans="1:9" ht="20.100000000000001" customHeight="1">
      <c r="A118" s="20"/>
      <c r="B118" s="159" t="s">
        <v>466</v>
      </c>
      <c r="C118" s="29"/>
      <c r="D118" s="29"/>
      <c r="E118" s="30"/>
      <c r="F118" s="207"/>
      <c r="G118" s="23"/>
      <c r="H118" s="180"/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f>179914.45</f>
        <v>179914.45</v>
      </c>
      <c r="F119" s="207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505</v>
      </c>
      <c r="B120" s="156" t="s">
        <v>100</v>
      </c>
      <c r="C120" s="161" t="s">
        <v>268</v>
      </c>
      <c r="D120" s="181" t="s">
        <v>160</v>
      </c>
      <c r="E120" s="25">
        <f>101827.95</f>
        <v>101827.95</v>
      </c>
      <c r="F120" s="207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f>83636.1</f>
        <v>83636.100000000006</v>
      </c>
      <c r="F121" s="207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3">
        <f>64436.1</f>
        <v>64436.1</v>
      </c>
      <c r="F122" s="207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">
        <f>60212.92</f>
        <v>60212.92</v>
      </c>
      <c r="F123" s="207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108</v>
      </c>
      <c r="C124" s="161" t="s">
        <v>476</v>
      </c>
      <c r="D124" s="181" t="s">
        <v>162</v>
      </c>
      <c r="E124" s="25" t="e">
        <f>#REF!</f>
        <v>#REF!</v>
      </c>
      <c r="F124" s="207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f>44518.93</f>
        <v>44518.93</v>
      </c>
      <c r="F125" s="207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f>39478.93</f>
        <v>39478.93</v>
      </c>
      <c r="F126" s="207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500</v>
      </c>
      <c r="E127" s="25">
        <f>38272.44</f>
        <v>38272.44</v>
      </c>
      <c r="F127" s="207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443</v>
      </c>
      <c r="C128" s="161" t="s">
        <v>447</v>
      </c>
      <c r="D128" s="28" t="s">
        <v>498</v>
      </c>
      <c r="E128" s="25">
        <f>21640.95</f>
        <v>21640.95</v>
      </c>
      <c r="F128" s="207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439</v>
      </c>
      <c r="C129" s="161" t="s">
        <v>440</v>
      </c>
      <c r="D129" s="181" t="s">
        <v>176</v>
      </c>
      <c r="E129" s="25">
        <f>25245.23</f>
        <v>25245.23</v>
      </c>
      <c r="F129" s="207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0"/>
      <c r="G131" s="182"/>
      <c r="H131" s="180"/>
      <c r="I131" s="180"/>
    </row>
    <row r="132" spans="1:9" ht="20.100000000000001" customHeight="1">
      <c r="A132" s="20"/>
      <c r="B132" s="159" t="s">
        <v>467</v>
      </c>
      <c r="C132" s="161"/>
      <c r="D132" s="181"/>
      <c r="E132" s="25"/>
      <c r="F132" s="207"/>
      <c r="G132" s="23"/>
      <c r="H132" s="180"/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f>161106.81</f>
        <v>161106.81</v>
      </c>
      <c r="F133" s="207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3">
        <v>82627.95</v>
      </c>
      <c r="F134" s="207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3" t="e">
        <f>#REF!</f>
        <v>#REF!</v>
      </c>
      <c r="F135" s="207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f>43380.1</f>
        <v>43380.1</v>
      </c>
      <c r="F136" s="207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f>43380.1</f>
        <v>43380.1</v>
      </c>
      <c r="F137" s="207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f>39582.84</f>
        <v>39582.839999999997</v>
      </c>
      <c r="F138" s="207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5">
        <f>32848.56</f>
        <v>32848.559999999998</v>
      </c>
      <c r="F139" s="207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5">
        <f>32938.95</f>
        <v>32938.949999999997</v>
      </c>
      <c r="F140" s="207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5">
        <f>32938.95</f>
        <v>32938.949999999997</v>
      </c>
      <c r="F141" s="207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238</v>
      </c>
      <c r="C142" s="161" t="s">
        <v>479</v>
      </c>
      <c r="D142" s="181" t="s">
        <v>415</v>
      </c>
      <c r="E142" s="25" t="e">
        <f>#REF!</f>
        <v>#REF!</v>
      </c>
      <c r="F142" s="207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25">
        <f>27029.2</f>
        <v>27029.200000000001</v>
      </c>
      <c r="F143" s="207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5" t="e">
        <f>#REF!</f>
        <v>#REF!</v>
      </c>
      <c r="F144" s="207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488</v>
      </c>
      <c r="C145" s="20" t="s">
        <v>239</v>
      </c>
      <c r="D145" s="181" t="s">
        <v>207</v>
      </c>
      <c r="E145" s="25">
        <f>26339.08</f>
        <v>26339.08</v>
      </c>
      <c r="F145" s="207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489</v>
      </c>
      <c r="C146" s="20" t="s">
        <v>239</v>
      </c>
      <c r="D146" s="181" t="s">
        <v>164</v>
      </c>
      <c r="E146" s="25">
        <f>26264.39</f>
        <v>26264.39</v>
      </c>
      <c r="F146" s="207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25">
        <f>26339.08</f>
        <v>26339.08</v>
      </c>
      <c r="F147" s="207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5">
        <f>25571.82</f>
        <v>25571.82</v>
      </c>
      <c r="F148" s="207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437</v>
      </c>
      <c r="C149" s="161" t="s">
        <v>438</v>
      </c>
      <c r="D149" s="28" t="s">
        <v>428</v>
      </c>
      <c r="E149" s="25">
        <f>21640.95</f>
        <v>21640.95</v>
      </c>
      <c r="F149" s="207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230</v>
      </c>
      <c r="C150" s="161" t="s">
        <v>485</v>
      </c>
      <c r="D150" s="181" t="s">
        <v>207</v>
      </c>
      <c r="E150" s="25" t="e">
        <f>#REF!</f>
        <v>#REF!</v>
      </c>
      <c r="F150" s="207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57</v>
      </c>
      <c r="C151" s="161" t="s">
        <v>481</v>
      </c>
      <c r="D151" s="181" t="s">
        <v>498</v>
      </c>
      <c r="E151" s="25">
        <v>21640.95</v>
      </c>
      <c r="F151" s="207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251</v>
      </c>
      <c r="C152" s="161" t="s">
        <v>482</v>
      </c>
      <c r="D152" s="181" t="s">
        <v>207</v>
      </c>
      <c r="E152" s="25">
        <v>25571.708040666661</v>
      </c>
      <c r="F152" s="207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498</v>
      </c>
      <c r="E153" s="25">
        <f>18102.9+3538.05</f>
        <v>21640.95</v>
      </c>
      <c r="F153" s="207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25">
        <f>17572.89</f>
        <v>17572.89</v>
      </c>
      <c r="F154" s="207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16512.68</f>
        <v>16512.68</v>
      </c>
      <c r="F155" s="207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">
        <f>16512.68</f>
        <v>16512.68</v>
      </c>
      <c r="F156" s="207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">
        <f t="shared" ref="E157:E158" si="20">16512.68</f>
        <v>16512.68</v>
      </c>
      <c r="F157" s="207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25">
        <f t="shared" si="20"/>
        <v>16512.68</v>
      </c>
      <c r="F158" s="207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5">
        <f>16512.68</f>
        <v>16512.68</v>
      </c>
      <c r="F159" s="207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501</v>
      </c>
      <c r="E160" s="23">
        <f>9117.05</f>
        <v>9117.0499999999993</v>
      </c>
      <c r="F160" s="207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501</v>
      </c>
      <c r="E161" s="23">
        <f>9504.2</f>
        <v>9504.2000000000007</v>
      </c>
      <c r="F161" s="207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501</v>
      </c>
      <c r="E162" s="23">
        <f>9144.2</f>
        <v>9144.2000000000007</v>
      </c>
      <c r="F162" s="207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501</v>
      </c>
      <c r="E163" s="23">
        <f>9144.2</f>
        <v>9144.2000000000007</v>
      </c>
      <c r="F163" s="207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3">
        <f>9117.05</f>
        <v>9117.0499999999993</v>
      </c>
      <c r="F164" s="207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3">
        <f>9144.2</f>
        <v>9144.2000000000007</v>
      </c>
      <c r="F165" s="207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3">
        <v>9152.6</v>
      </c>
      <c r="F166" s="207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3">
        <v>8792.6</v>
      </c>
      <c r="F167" s="207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3">
        <v>8792.6</v>
      </c>
      <c r="F168" s="207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3">
        <v>9152.6</v>
      </c>
      <c r="F169" s="207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3">
        <v>8792.6</v>
      </c>
      <c r="F170" s="207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3">
        <v>8792.6</v>
      </c>
      <c r="F171" s="207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3">
        <v>9152.6</v>
      </c>
      <c r="F172" s="207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3">
        <f>4227.52</f>
        <v>4227.5200000000004</v>
      </c>
      <c r="F173" s="207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3">
        <f>4227.52</f>
        <v>4227.5200000000004</v>
      </c>
      <c r="F174" s="207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3">
        <f>4365.33</f>
        <v>4365.33</v>
      </c>
      <c r="F175" s="207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3">
        <f>4089.72</f>
        <v>4089.72</v>
      </c>
      <c r="F176" s="207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502</v>
      </c>
      <c r="E177" s="23">
        <f>3951.8</f>
        <v>3951.8</v>
      </c>
      <c r="F177" s="207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502</v>
      </c>
      <c r="E178" s="23">
        <f>3687.8</f>
        <v>3687.8</v>
      </c>
      <c r="F178" s="207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502</v>
      </c>
      <c r="E179" s="23">
        <f>3951.8</f>
        <v>3951.8</v>
      </c>
      <c r="F179" s="207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502</v>
      </c>
      <c r="E180" s="23">
        <f>3687.8</f>
        <v>3687.8</v>
      </c>
      <c r="F180" s="207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502</v>
      </c>
      <c r="E181" s="23">
        <f>3951.8</f>
        <v>3951.8</v>
      </c>
      <c r="F181" s="207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502</v>
      </c>
      <c r="E182" s="23">
        <f>3687.8</f>
        <v>3687.8</v>
      </c>
      <c r="F182" s="207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502</v>
      </c>
      <c r="E183" s="23">
        <f>3951.8</f>
        <v>3951.8</v>
      </c>
      <c r="F183" s="207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502</v>
      </c>
      <c r="E184" s="23">
        <f>3951.8</f>
        <v>3951.8</v>
      </c>
      <c r="F184" s="207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502</v>
      </c>
      <c r="E185" s="23">
        <f>3951.8</f>
        <v>3951.8</v>
      </c>
      <c r="F185" s="207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503</v>
      </c>
      <c r="E186" s="23">
        <f>3183.66</f>
        <v>3183.66</v>
      </c>
      <c r="F186" s="207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23">
        <f>2972.91</f>
        <v>2972.91</v>
      </c>
      <c r="F187" s="207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403" t="s">
        <v>234</v>
      </c>
      <c r="B1" s="403"/>
      <c r="C1" s="403"/>
      <c r="D1" s="403"/>
      <c r="E1" s="403"/>
    </row>
    <row r="2" spans="1:9" ht="33.75" customHeight="1">
      <c r="A2" s="165" t="s">
        <v>495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506</v>
      </c>
      <c r="G4" s="173" t="s">
        <v>507</v>
      </c>
      <c r="H4" s="174" t="s">
        <v>344</v>
      </c>
    </row>
    <row r="5" spans="1:9" ht="20.100000000000001" customHeight="1">
      <c r="A5" s="176" t="s">
        <v>143</v>
      </c>
      <c r="B5" s="177" t="s">
        <v>433</v>
      </c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'[10]April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187</v>
      </c>
      <c r="C12" s="112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111</v>
      </c>
      <c r="C14" s="161" t="s">
        <v>468</v>
      </c>
      <c r="D14" s="181" t="s">
        <v>75</v>
      </c>
      <c r="E14" s="25">
        <v>33507.5</v>
      </c>
      <c r="F14" s="23">
        <f>0.025*E14</f>
        <v>837.6875</v>
      </c>
      <c r="G14" s="23">
        <f>'[10]April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'[10]April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23891.12</f>
        <v>23891.119999999999</v>
      </c>
      <c r="F21" s="25">
        <f>0.025*E21</f>
        <v>597.27800000000002</v>
      </c>
      <c r="G21" s="25">
        <f>'[10]April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497</v>
      </c>
      <c r="E22" s="25">
        <f>22837.82</f>
        <v>22837.82</v>
      </c>
      <c r="F22" s="25">
        <f>0.025*E22</f>
        <v>570.94550000000004</v>
      </c>
      <c r="G22" s="23">
        <f>'[10]April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253</v>
      </c>
      <c r="C23" s="161" t="s">
        <v>478</v>
      </c>
      <c r="D23" s="181" t="s">
        <v>415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247</v>
      </c>
      <c r="C24" s="20" t="s">
        <v>477</v>
      </c>
      <c r="D24" s="181" t="s">
        <v>415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248</v>
      </c>
      <c r="C29" s="161" t="s">
        <v>480</v>
      </c>
      <c r="D29" s="181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453</v>
      </c>
      <c r="C36" s="161" t="s">
        <v>314</v>
      </c>
      <c r="D36" s="181" t="s">
        <v>176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56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'[10]April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461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497</v>
      </c>
      <c r="E70" s="25">
        <f>22837.82</f>
        <v>22837.82</v>
      </c>
      <c r="F70" s="23">
        <f>0.025*E70</f>
        <v>570.94550000000004</v>
      </c>
      <c r="G70" s="23">
        <f>'[10]April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1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1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462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2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2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25523.45</v>
      </c>
      <c r="F83" s="23">
        <f>0.025*E83</f>
        <v>638.08625000000006</v>
      </c>
      <c r="G83" s="23">
        <f>'[10]April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463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'[10]April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'[10]April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1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436</v>
      </c>
      <c r="C97" s="20" t="s">
        <v>470</v>
      </c>
      <c r="D97" s="28" t="s">
        <v>104</v>
      </c>
      <c r="E97" s="251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406</v>
      </c>
      <c r="C98" s="112" t="s">
        <v>432</v>
      </c>
      <c r="D98" s="181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1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'[10]April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237</v>
      </c>
      <c r="C105" s="20" t="s">
        <v>483</v>
      </c>
      <c r="D105" s="181" t="s">
        <v>415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'[10]April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499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466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v>81740.02</v>
      </c>
      <c r="F119" s="23">
        <f>0.025*E119</f>
        <v>2043.5005000000001</v>
      </c>
      <c r="G119" s="23">
        <f>'[10]April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505</v>
      </c>
      <c r="B120" s="156" t="s">
        <v>100</v>
      </c>
      <c r="C120" s="161" t="s">
        <v>268</v>
      </c>
      <c r="D120" s="181" t="s">
        <v>160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v>33507.5</v>
      </c>
      <c r="F121" s="23">
        <f>0.025*E121</f>
        <v>837.6875</v>
      </c>
      <c r="G121" s="23">
        <f>'[10]April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5">
        <v>33507.5</v>
      </c>
      <c r="F122" s="23">
        <f>0.025*E122</f>
        <v>837.6875</v>
      </c>
      <c r="G122" s="23">
        <f>'[10]April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1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108</v>
      </c>
      <c r="C124" s="161" t="s">
        <v>476</v>
      </c>
      <c r="D124" s="181" t="s">
        <v>162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v>25523.45</v>
      </c>
      <c r="F125" s="23">
        <f>0.025*E125</f>
        <v>638.08625000000006</v>
      </c>
      <c r="G125" s="23">
        <f>'[10]April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v>25523.45</v>
      </c>
      <c r="F126" s="23">
        <f>0.025*E126</f>
        <v>638.08625000000006</v>
      </c>
      <c r="G126" s="23">
        <f>'[10]April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500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443</v>
      </c>
      <c r="C128" s="161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439</v>
      </c>
      <c r="C129" s="161" t="s">
        <v>440</v>
      </c>
      <c r="D129" s="181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467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v>27611.23</v>
      </c>
      <c r="F136" s="23">
        <f>0.025*E136</f>
        <v>690.28075000000001</v>
      </c>
      <c r="G136" s="23">
        <f>'[10]April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v>27611.23</v>
      </c>
      <c r="F137" s="23">
        <f>0.025*E137</f>
        <v>690.28075000000001</v>
      </c>
      <c r="G137" s="23">
        <f>'[10]April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5">
        <f>22837.82</f>
        <v>22837.82</v>
      </c>
      <c r="F139" s="23">
        <f>0.025*E139</f>
        <v>570.94550000000004</v>
      </c>
      <c r="G139" s="23">
        <f>'[10]April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238</v>
      </c>
      <c r="C142" s="161" t="s">
        <v>479</v>
      </c>
      <c r="D142" s="181" t="s">
        <v>415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179">
        <v>18779.3</v>
      </c>
      <c r="F143" s="23">
        <f>0.025*E143</f>
        <v>469.48250000000002</v>
      </c>
      <c r="G143" s="23">
        <f>'[10]April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488</v>
      </c>
      <c r="C145" s="20" t="s">
        <v>239</v>
      </c>
      <c r="D145" s="181" t="s">
        <v>207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489</v>
      </c>
      <c r="C146" s="20" t="s">
        <v>239</v>
      </c>
      <c r="D146" s="181" t="s">
        <v>164</v>
      </c>
      <c r="E146" s="179">
        <v>18281.64</v>
      </c>
      <c r="F146" s="23">
        <f>0.025*E146</f>
        <v>457.041</v>
      </c>
      <c r="G146" s="23">
        <f>'[10]April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53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437</v>
      </c>
      <c r="C149" s="161" t="s">
        <v>438</v>
      </c>
      <c r="D149" s="28" t="s">
        <v>428</v>
      </c>
      <c r="E149" s="251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230</v>
      </c>
      <c r="C150" s="161" t="s">
        <v>485</v>
      </c>
      <c r="D150" s="181" t="s">
        <v>207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57</v>
      </c>
      <c r="C151" s="161" t="s">
        <v>481</v>
      </c>
      <c r="D151" s="181" t="s">
        <v>498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251</v>
      </c>
      <c r="C152" s="161" t="s">
        <v>482</v>
      </c>
      <c r="D152" s="181" t="s">
        <v>207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498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1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1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501</v>
      </c>
      <c r="E160" s="192">
        <f>10527.6</f>
        <v>10527.6</v>
      </c>
      <c r="F160" s="23">
        <f>0.025*E160</f>
        <v>263.19</v>
      </c>
      <c r="G160" s="23">
        <f>'[10]April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501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501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501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192">
        <f t="shared" si="16"/>
        <v>10527.6</v>
      </c>
      <c r="F164" s="23">
        <v>263.19</v>
      </c>
      <c r="G164" s="23">
        <f>'[10]April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502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502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502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502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502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502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502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502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502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4" t="s">
        <v>234</v>
      </c>
    </row>
    <row r="2" spans="1:28">
      <c r="A2" s="254" t="s">
        <v>509</v>
      </c>
    </row>
    <row r="3" spans="1:28">
      <c r="A3" s="254" t="s">
        <v>532</v>
      </c>
    </row>
    <row r="4" spans="1:28" ht="90" customHeight="1">
      <c r="A4" s="255" t="s">
        <v>122</v>
      </c>
      <c r="B4" s="255" t="s">
        <v>487</v>
      </c>
      <c r="C4" s="255" t="s">
        <v>510</v>
      </c>
      <c r="D4" s="255" t="s">
        <v>511</v>
      </c>
      <c r="E4" s="255" t="s">
        <v>512</v>
      </c>
      <c r="F4" s="255" t="s">
        <v>513</v>
      </c>
      <c r="G4" s="255" t="s">
        <v>514</v>
      </c>
      <c r="H4" s="255" t="s">
        <v>515</v>
      </c>
      <c r="I4" s="255" t="s">
        <v>516</v>
      </c>
      <c r="J4" s="255"/>
      <c r="K4" s="255"/>
      <c r="L4" s="255"/>
      <c r="M4" s="255" t="s">
        <v>517</v>
      </c>
      <c r="N4" s="255" t="s">
        <v>518</v>
      </c>
      <c r="O4" s="255" t="s">
        <v>519</v>
      </c>
      <c r="P4" s="255" t="s">
        <v>520</v>
      </c>
      <c r="Q4" s="255" t="s">
        <v>521</v>
      </c>
      <c r="R4" s="255" t="s">
        <v>522</v>
      </c>
      <c r="S4" s="255" t="s">
        <v>523</v>
      </c>
      <c r="T4" s="255" t="s">
        <v>524</v>
      </c>
      <c r="U4" s="255" t="s">
        <v>525</v>
      </c>
      <c r="V4" s="255" t="s">
        <v>526</v>
      </c>
      <c r="W4" s="255"/>
      <c r="X4" s="255" t="s">
        <v>527</v>
      </c>
      <c r="Y4" s="255" t="s">
        <v>528</v>
      </c>
      <c r="Z4" s="255" t="s">
        <v>529</v>
      </c>
      <c r="AA4" s="255" t="s">
        <v>530</v>
      </c>
      <c r="AB4" s="255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425" t="s">
        <v>449</v>
      </c>
      <c r="C3" s="425"/>
      <c r="D3" s="425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100"/>
      <c r="D5" s="100"/>
      <c r="E5" s="100"/>
      <c r="F5" s="426"/>
      <c r="G5" s="426"/>
    </row>
    <row r="6" spans="1:12" ht="26.45" customHeight="1">
      <c r="A6" s="32"/>
      <c r="B6" s="107"/>
      <c r="C6" s="107" t="s">
        <v>12</v>
      </c>
      <c r="D6" s="107" t="s">
        <v>37</v>
      </c>
      <c r="E6" s="107"/>
      <c r="F6" s="7"/>
      <c r="G6" s="7"/>
    </row>
    <row r="7" spans="1:12" ht="37.15" customHeight="1">
      <c r="A7" s="32"/>
      <c r="B7" s="21"/>
      <c r="C7" s="107"/>
      <c r="D7" s="107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8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7" t="s">
        <v>224</v>
      </c>
      <c r="C9" s="94" t="s">
        <v>119</v>
      </c>
      <c r="D9" s="94" t="s">
        <v>34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154</v>
      </c>
      <c r="C10" s="94" t="s">
        <v>313</v>
      </c>
      <c r="D10" s="55" t="s">
        <v>161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137</v>
      </c>
      <c r="C11" s="32" t="s">
        <v>299</v>
      </c>
      <c r="D11" s="3" t="s">
        <v>221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225</v>
      </c>
      <c r="C12" s="40" t="s">
        <v>226</v>
      </c>
      <c r="D12" s="62" t="s">
        <v>221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315</v>
      </c>
      <c r="C13" s="94" t="s">
        <v>316</v>
      </c>
      <c r="D13" s="3" t="s">
        <v>271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317</v>
      </c>
      <c r="C14" s="32" t="s">
        <v>418</v>
      </c>
      <c r="D14" s="55" t="s">
        <v>272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112</v>
      </c>
      <c r="C15" s="32" t="s">
        <v>339</v>
      </c>
      <c r="D15" s="37" t="s">
        <v>75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187</v>
      </c>
      <c r="C16" s="112" t="s">
        <v>188</v>
      </c>
      <c r="D16" s="28" t="s">
        <v>75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203</v>
      </c>
      <c r="C17" s="32" t="s">
        <v>214</v>
      </c>
      <c r="D17" s="3" t="s">
        <v>75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111</v>
      </c>
      <c r="C18" s="94" t="s">
        <v>375</v>
      </c>
      <c r="D18" s="55" t="s">
        <v>75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333</v>
      </c>
      <c r="C19" s="94" t="s">
        <v>387</v>
      </c>
      <c r="D19" s="11" t="s">
        <v>272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220</v>
      </c>
      <c r="C20" s="40" t="s">
        <v>388</v>
      </c>
      <c r="D20" s="41" t="s">
        <v>162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144</v>
      </c>
      <c r="C21" s="40" t="s">
        <v>389</v>
      </c>
      <c r="D21" s="3" t="s">
        <v>162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139</v>
      </c>
      <c r="C22" s="32" t="s">
        <v>386</v>
      </c>
      <c r="D22" s="3" t="s">
        <v>162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18</v>
      </c>
      <c r="C23" s="40" t="s">
        <v>390</v>
      </c>
      <c r="D23" s="55" t="s">
        <v>175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26</v>
      </c>
      <c r="C24" s="32" t="s">
        <v>296</v>
      </c>
      <c r="D24" s="55" t="s">
        <v>163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334</v>
      </c>
      <c r="C25" s="94" t="s">
        <v>351</v>
      </c>
      <c r="D25" s="55" t="s">
        <v>149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291</v>
      </c>
      <c r="C26" s="32" t="s">
        <v>346</v>
      </c>
      <c r="D26" s="55" t="s">
        <v>273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141</v>
      </c>
      <c r="C27" s="94" t="s">
        <v>391</v>
      </c>
      <c r="D27" s="55" t="s">
        <v>415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253</v>
      </c>
      <c r="C28" s="94" t="s">
        <v>252</v>
      </c>
      <c r="D28" s="55" t="s">
        <v>27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247</v>
      </c>
      <c r="C29" s="32" t="s">
        <v>168</v>
      </c>
      <c r="D29" s="55" t="s">
        <v>27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293</v>
      </c>
      <c r="C30" s="32" t="s">
        <v>294</v>
      </c>
      <c r="D30" s="55" t="s">
        <v>164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275</v>
      </c>
      <c r="C31" s="94" t="s">
        <v>314</v>
      </c>
      <c r="D31" s="55" t="s">
        <v>207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254</v>
      </c>
      <c r="C33" s="94" t="s">
        <v>17</v>
      </c>
      <c r="D33" s="55" t="s">
        <v>411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248</v>
      </c>
      <c r="C34" s="94" t="s">
        <v>249</v>
      </c>
      <c r="D34" s="55" t="s">
        <v>267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288</v>
      </c>
      <c r="C35" s="94" t="s">
        <v>249</v>
      </c>
      <c r="D35" s="55" t="s">
        <v>295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345</v>
      </c>
      <c r="C36" s="112" t="s">
        <v>319</v>
      </c>
      <c r="D36" s="55" t="s">
        <v>51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328</v>
      </c>
      <c r="C37" s="32" t="s">
        <v>329</v>
      </c>
      <c r="D37" s="3" t="s">
        <v>51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360</v>
      </c>
      <c r="C38" s="112" t="s">
        <v>372</v>
      </c>
      <c r="D38" s="55" t="s">
        <v>105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417</v>
      </c>
      <c r="C39" s="112" t="s">
        <v>372</v>
      </c>
      <c r="D39" s="55" t="s">
        <v>105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330</v>
      </c>
      <c r="C40" s="32" t="s">
        <v>331</v>
      </c>
      <c r="D40" s="3" t="s">
        <v>105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274</v>
      </c>
      <c r="C41" s="94" t="s">
        <v>314</v>
      </c>
      <c r="D41" s="55" t="s">
        <v>105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453</v>
      </c>
      <c r="C42" s="94" t="s">
        <v>314</v>
      </c>
      <c r="D42" s="55" t="s">
        <v>105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15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284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361</v>
      </c>
      <c r="C46" s="32" t="s">
        <v>362</v>
      </c>
      <c r="D46" s="3" t="s">
        <v>206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419</v>
      </c>
      <c r="C47" s="32" t="s">
        <v>427</v>
      </c>
      <c r="D47" s="3" t="s">
        <v>105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56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255</v>
      </c>
      <c r="C51" s="32" t="s">
        <v>256</v>
      </c>
      <c r="D51" s="3" t="s">
        <v>161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158</v>
      </c>
      <c r="C52" s="32" t="s">
        <v>199</v>
      </c>
      <c r="D52" s="3" t="s">
        <v>75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165</v>
      </c>
      <c r="C53" s="32" t="s">
        <v>258</v>
      </c>
      <c r="D53" s="3" t="s">
        <v>75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159</v>
      </c>
      <c r="C54" s="32" t="s">
        <v>258</v>
      </c>
      <c r="D54" s="3" t="s">
        <v>148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118</v>
      </c>
      <c r="C55" s="32" t="s">
        <v>78</v>
      </c>
      <c r="D55" s="3" t="s">
        <v>174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205</v>
      </c>
      <c r="C56" s="32" t="s">
        <v>78</v>
      </c>
      <c r="D56" s="3" t="s">
        <v>162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173</v>
      </c>
      <c r="C57" s="32" t="s">
        <v>297</v>
      </c>
      <c r="D57" s="24" t="s">
        <v>162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116</v>
      </c>
      <c r="C58" s="32" t="s">
        <v>257</v>
      </c>
      <c r="D58" s="3" t="s">
        <v>170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184</v>
      </c>
      <c r="C59" s="32" t="s">
        <v>80</v>
      </c>
      <c r="D59" s="28" t="s">
        <v>163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420</v>
      </c>
      <c r="C60" s="32" t="s">
        <v>84</v>
      </c>
      <c r="D60" s="3" t="s">
        <v>428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435</v>
      </c>
      <c r="C61" s="32" t="s">
        <v>84</v>
      </c>
      <c r="D61" s="3" t="s">
        <v>428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452</v>
      </c>
      <c r="C62" s="32" t="s">
        <v>84</v>
      </c>
      <c r="D62" s="3" t="s">
        <v>428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15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195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11</v>
      </c>
      <c r="C66" s="94" t="s">
        <v>200</v>
      </c>
      <c r="D66" s="55" t="s">
        <v>161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276</v>
      </c>
      <c r="C67" s="94" t="s">
        <v>340</v>
      </c>
      <c r="D67" s="55" t="s">
        <v>412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15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353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277</v>
      </c>
      <c r="C71" s="112" t="s">
        <v>278</v>
      </c>
      <c r="D71" s="28" t="s">
        <v>161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332</v>
      </c>
      <c r="C72" s="112" t="s">
        <v>188</v>
      </c>
      <c r="D72" s="55" t="s">
        <v>272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189</v>
      </c>
      <c r="C73" s="32" t="s">
        <v>257</v>
      </c>
      <c r="D73" s="28" t="s">
        <v>163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448</v>
      </c>
      <c r="C74" s="112" t="s">
        <v>257</v>
      </c>
      <c r="D74" s="55" t="s">
        <v>149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229</v>
      </c>
      <c r="C75" s="112" t="s">
        <v>297</v>
      </c>
      <c r="D75" s="55" t="s">
        <v>162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117</v>
      </c>
      <c r="C76" s="20" t="s">
        <v>84</v>
      </c>
      <c r="D76" s="28" t="s">
        <v>298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182</v>
      </c>
      <c r="C77" s="112" t="s">
        <v>422</v>
      </c>
      <c r="D77" s="55" t="s">
        <v>415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424</v>
      </c>
      <c r="C78" s="112" t="s">
        <v>422</v>
      </c>
      <c r="D78" s="55" t="s">
        <v>369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423</v>
      </c>
      <c r="C79" s="112" t="s">
        <v>422</v>
      </c>
      <c r="D79" s="55" t="s">
        <v>369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242</v>
      </c>
      <c r="C80" s="32" t="s">
        <v>243</v>
      </c>
      <c r="D80" s="3" t="s">
        <v>27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322</v>
      </c>
      <c r="C81" s="112" t="s">
        <v>84</v>
      </c>
      <c r="D81" s="3" t="s">
        <v>104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320</v>
      </c>
      <c r="C82" s="112" t="s">
        <v>115</v>
      </c>
      <c r="D82" s="3" t="s">
        <v>428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321</v>
      </c>
      <c r="C83" s="112" t="s">
        <v>115</v>
      </c>
      <c r="D83" s="3" t="s">
        <v>105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15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347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19</v>
      </c>
      <c r="C87" s="32" t="s">
        <v>201</v>
      </c>
      <c r="D87" s="3" t="s">
        <v>161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325</v>
      </c>
      <c r="C88" s="1" t="s">
        <v>245</v>
      </c>
      <c r="D88" s="55" t="s">
        <v>272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326</v>
      </c>
      <c r="C89" s="1" t="s">
        <v>327</v>
      </c>
      <c r="D89" s="55" t="s">
        <v>272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324</v>
      </c>
      <c r="C90" s="32" t="s">
        <v>243</v>
      </c>
      <c r="D90" s="3" t="s">
        <v>104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15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354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244</v>
      </c>
      <c r="C94" s="32" t="s">
        <v>312</v>
      </c>
      <c r="D94" s="3" t="s">
        <v>221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169</v>
      </c>
      <c r="C95" s="32" t="s">
        <v>258</v>
      </c>
      <c r="D95" s="3" t="s">
        <v>75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192</v>
      </c>
      <c r="C96" s="32" t="s">
        <v>258</v>
      </c>
      <c r="D96" s="3" t="s">
        <v>75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138</v>
      </c>
      <c r="C97" s="32" t="s">
        <v>297</v>
      </c>
      <c r="D97" s="3" t="s">
        <v>181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202</v>
      </c>
      <c r="C98" s="32" t="s">
        <v>78</v>
      </c>
      <c r="D98" s="3" t="s">
        <v>162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429</v>
      </c>
      <c r="C99" s="32" t="s">
        <v>78</v>
      </c>
      <c r="D99" s="3" t="s">
        <v>95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101</v>
      </c>
      <c r="C100" s="32" t="s">
        <v>80</v>
      </c>
      <c r="D100" s="55" t="s">
        <v>163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336</v>
      </c>
      <c r="C101" s="94" t="s">
        <v>257</v>
      </c>
      <c r="D101" s="55" t="s">
        <v>149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337</v>
      </c>
      <c r="C102" s="94" t="s">
        <v>257</v>
      </c>
      <c r="D102" s="55" t="s">
        <v>149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421</v>
      </c>
      <c r="C103" s="112" t="s">
        <v>422</v>
      </c>
      <c r="D103" s="55" t="s">
        <v>369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436</v>
      </c>
      <c r="C104" s="32" t="s">
        <v>84</v>
      </c>
      <c r="D104" s="3" t="s">
        <v>428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406</v>
      </c>
      <c r="C105" s="112" t="s">
        <v>432</v>
      </c>
      <c r="D105" s="55" t="s">
        <v>105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15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283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364</v>
      </c>
      <c r="C109" s="3" t="s">
        <v>343</v>
      </c>
      <c r="D109" s="55" t="s">
        <v>221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185</v>
      </c>
      <c r="C110" s="20" t="s">
        <v>373</v>
      </c>
      <c r="D110" s="28" t="s">
        <v>162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366</v>
      </c>
      <c r="C111" s="20" t="s">
        <v>367</v>
      </c>
      <c r="D111" s="55" t="s">
        <v>149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237</v>
      </c>
      <c r="C112" s="32" t="s">
        <v>310</v>
      </c>
      <c r="D112" s="55" t="s">
        <v>52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15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216</v>
      </c>
      <c r="C116" s="94" t="s">
        <v>217</v>
      </c>
      <c r="D116" s="55" t="s">
        <v>161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110</v>
      </c>
      <c r="C117" s="32" t="s">
        <v>259</v>
      </c>
      <c r="D117" s="3" t="s">
        <v>75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109</v>
      </c>
      <c r="C118" s="32" t="s">
        <v>311</v>
      </c>
      <c r="D118" s="3" t="s">
        <v>175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135</v>
      </c>
      <c r="C119" s="32" t="s">
        <v>311</v>
      </c>
      <c r="D119" s="28" t="s">
        <v>170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240</v>
      </c>
      <c r="C120" s="1" t="s">
        <v>338</v>
      </c>
      <c r="D120" s="55" t="s">
        <v>267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341</v>
      </c>
      <c r="C121" s="1" t="s">
        <v>338</v>
      </c>
      <c r="D121" s="3" t="s">
        <v>51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374</v>
      </c>
      <c r="C122" s="1" t="s">
        <v>338</v>
      </c>
      <c r="D122" s="55" t="s">
        <v>105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15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280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20</v>
      </c>
      <c r="C126" s="94" t="s">
        <v>250</v>
      </c>
      <c r="D126" s="55" t="s">
        <v>161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100</v>
      </c>
      <c r="C127" s="94" t="s">
        <v>268</v>
      </c>
      <c r="D127" s="55" t="s">
        <v>160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153</v>
      </c>
      <c r="C128" s="94" t="s">
        <v>376</v>
      </c>
      <c r="D128" s="55" t="s">
        <v>75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142</v>
      </c>
      <c r="C129" s="94" t="s">
        <v>376</v>
      </c>
      <c r="D129" s="55" t="s">
        <v>75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363</v>
      </c>
      <c r="C130" s="94" t="s">
        <v>376</v>
      </c>
      <c r="D130" s="55" t="s">
        <v>30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108</v>
      </c>
      <c r="C131" s="94" t="s">
        <v>383</v>
      </c>
      <c r="D131" s="55" t="s">
        <v>170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178</v>
      </c>
      <c r="C132" s="94" t="s">
        <v>382</v>
      </c>
      <c r="D132" s="55" t="s">
        <v>163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134</v>
      </c>
      <c r="C133" s="94" t="s">
        <v>384</v>
      </c>
      <c r="D133" s="55" t="s">
        <v>163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365</v>
      </c>
      <c r="C134" s="94" t="s">
        <v>383</v>
      </c>
      <c r="D134" s="55" t="s">
        <v>413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443</v>
      </c>
      <c r="C135" s="94" t="s">
        <v>447</v>
      </c>
      <c r="D135" s="3" t="s">
        <v>428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439</v>
      </c>
      <c r="C136" s="94" t="s">
        <v>440</v>
      </c>
      <c r="D136" s="55" t="s">
        <v>105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15</v>
      </c>
      <c r="C137" s="110" t="s">
        <v>292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281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98</v>
      </c>
      <c r="C140" s="94" t="s">
        <v>392</v>
      </c>
      <c r="D140" s="55" t="s">
        <v>161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21</v>
      </c>
      <c r="C141" s="94" t="s">
        <v>393</v>
      </c>
      <c r="D141" s="55" t="s">
        <v>161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107</v>
      </c>
      <c r="C142" s="94" t="s">
        <v>394</v>
      </c>
      <c r="D142" s="55" t="s">
        <v>160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183</v>
      </c>
      <c r="C143" s="20" t="s">
        <v>379</v>
      </c>
      <c r="D143" s="24" t="s">
        <v>75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378</v>
      </c>
      <c r="C144" s="20" t="s">
        <v>380</v>
      </c>
      <c r="D144" s="24" t="s">
        <v>75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106</v>
      </c>
      <c r="C145" s="94" t="s">
        <v>381</v>
      </c>
      <c r="D145" s="55" t="s">
        <v>162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7</v>
      </c>
      <c r="C146" s="32" t="s">
        <v>385</v>
      </c>
      <c r="D146" s="55" t="s">
        <v>162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124</v>
      </c>
      <c r="C147" s="32" t="s">
        <v>235</v>
      </c>
      <c r="D147" s="55" t="s">
        <v>163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102</v>
      </c>
      <c r="C148" s="94" t="s">
        <v>395</v>
      </c>
      <c r="D148" s="55" t="s">
        <v>415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103</v>
      </c>
      <c r="C149" s="94" t="s">
        <v>395</v>
      </c>
      <c r="D149" s="55" t="s">
        <v>415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151</v>
      </c>
      <c r="C150" s="32" t="s">
        <v>235</v>
      </c>
      <c r="D150" s="55" t="s">
        <v>415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238</v>
      </c>
      <c r="C151" s="32" t="s">
        <v>239</v>
      </c>
      <c r="D151" s="55" t="s">
        <v>27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53</v>
      </c>
      <c r="C152" s="94" t="s">
        <v>300</v>
      </c>
      <c r="D152" s="55" t="s">
        <v>164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179</v>
      </c>
      <c r="C153" s="94" t="s">
        <v>131</v>
      </c>
      <c r="D153" s="55" t="s">
        <v>27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208</v>
      </c>
      <c r="C154" s="32" t="s">
        <v>239</v>
      </c>
      <c r="D154" s="55" t="s">
        <v>207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210</v>
      </c>
      <c r="C155" s="32" t="s">
        <v>239</v>
      </c>
      <c r="D155" s="55" t="s">
        <v>207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212</v>
      </c>
      <c r="C156" s="32" t="s">
        <v>239</v>
      </c>
      <c r="D156" s="55" t="s">
        <v>207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425</v>
      </c>
      <c r="C157" s="94" t="s">
        <v>430</v>
      </c>
      <c r="D157" s="55" t="s">
        <v>104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437</v>
      </c>
      <c r="C158" s="94" t="s">
        <v>438</v>
      </c>
      <c r="D158" s="3" t="s">
        <v>428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230</v>
      </c>
      <c r="C159" s="94" t="s">
        <v>131</v>
      </c>
      <c r="D159" s="55" t="s">
        <v>267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57</v>
      </c>
      <c r="C160" s="94" t="s">
        <v>236</v>
      </c>
      <c r="D160" s="55" t="s">
        <v>267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251</v>
      </c>
      <c r="C161" s="94" t="s">
        <v>131</v>
      </c>
      <c r="D161" s="55" t="s">
        <v>267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241</v>
      </c>
      <c r="C162" s="94" t="s">
        <v>348</v>
      </c>
      <c r="D162" s="55" t="s">
        <v>267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289</v>
      </c>
      <c r="C163" s="94" t="s">
        <v>290</v>
      </c>
      <c r="D163" s="55" t="s">
        <v>295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359</v>
      </c>
      <c r="C164" s="94" t="s">
        <v>131</v>
      </c>
      <c r="D164" s="55" t="s">
        <v>105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407</v>
      </c>
      <c r="C165" s="94" t="s">
        <v>131</v>
      </c>
      <c r="D165" s="55" t="s">
        <v>105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426</v>
      </c>
      <c r="C166" s="94" t="s">
        <v>290</v>
      </c>
      <c r="D166" s="55" t="s">
        <v>105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441</v>
      </c>
      <c r="C167" s="94" t="s">
        <v>442</v>
      </c>
      <c r="D167" s="55" t="s">
        <v>105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445</v>
      </c>
      <c r="C168" s="94" t="s">
        <v>446</v>
      </c>
      <c r="D168" s="55" t="s">
        <v>105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22</v>
      </c>
      <c r="C169" s="94" t="s">
        <v>302</v>
      </c>
      <c r="D169" s="55" t="s">
        <v>416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14</v>
      </c>
      <c r="C170" s="94" t="s">
        <v>302</v>
      </c>
      <c r="D170" s="55" t="s">
        <v>416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23</v>
      </c>
      <c r="C171" s="94" t="s">
        <v>302</v>
      </c>
      <c r="D171" s="55" t="s">
        <v>416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24</v>
      </c>
      <c r="C172" s="94" t="s">
        <v>302</v>
      </c>
      <c r="D172" s="55" t="s">
        <v>416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25</v>
      </c>
      <c r="C173" s="94" t="s">
        <v>302</v>
      </c>
      <c r="D173" s="55" t="s">
        <v>416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39</v>
      </c>
      <c r="C174" s="94" t="s">
        <v>302</v>
      </c>
      <c r="D174" s="55" t="s">
        <v>416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40</v>
      </c>
      <c r="C175" s="94" t="s">
        <v>302</v>
      </c>
      <c r="D175" s="55" t="s">
        <v>416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127</v>
      </c>
      <c r="C176" s="94" t="s">
        <v>167</v>
      </c>
      <c r="D176" s="55" t="s">
        <v>266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128</v>
      </c>
      <c r="C177" s="94" t="s">
        <v>167</v>
      </c>
      <c r="D177" s="55" t="s">
        <v>266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129</v>
      </c>
      <c r="C178" s="94" t="s">
        <v>167</v>
      </c>
      <c r="D178" s="55" t="s">
        <v>266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136</v>
      </c>
      <c r="C179" s="94" t="s">
        <v>167</v>
      </c>
      <c r="D179" s="55" t="s">
        <v>266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140</v>
      </c>
      <c r="C180" s="94" t="s">
        <v>167</v>
      </c>
      <c r="D180" s="55" t="s">
        <v>266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152</v>
      </c>
      <c r="C181" s="94" t="s">
        <v>167</v>
      </c>
      <c r="D181" s="55" t="s">
        <v>266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132</v>
      </c>
      <c r="C182" s="94" t="s">
        <v>167</v>
      </c>
      <c r="D182" s="55" t="s">
        <v>266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231</v>
      </c>
      <c r="C183" s="94" t="s">
        <v>167</v>
      </c>
      <c r="D183" s="55" t="s">
        <v>177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246</v>
      </c>
      <c r="C184" s="94" t="s">
        <v>167</v>
      </c>
      <c r="D184" s="55" t="s">
        <v>177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166</v>
      </c>
      <c r="C185" s="94" t="s">
        <v>167</v>
      </c>
      <c r="D185" s="55" t="s">
        <v>263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204</v>
      </c>
      <c r="C186" s="94" t="s">
        <v>167</v>
      </c>
      <c r="D186" s="55" t="s">
        <v>301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209</v>
      </c>
      <c r="C187" s="94" t="s">
        <v>13</v>
      </c>
      <c r="D187" s="55" t="s">
        <v>414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218</v>
      </c>
      <c r="C188" s="94" t="s">
        <v>13</v>
      </c>
      <c r="D188" s="55" t="s">
        <v>414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219</v>
      </c>
      <c r="C189" s="94" t="s">
        <v>13</v>
      </c>
      <c r="D189" s="55" t="s">
        <v>414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211</v>
      </c>
      <c r="C190" s="94" t="s">
        <v>13</v>
      </c>
      <c r="D190" s="55" t="s">
        <v>414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213</v>
      </c>
      <c r="C191" s="94" t="s">
        <v>13</v>
      </c>
      <c r="D191" s="55" t="s">
        <v>414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342</v>
      </c>
      <c r="C192" s="94" t="s">
        <v>13</v>
      </c>
      <c r="D192" s="55" t="s">
        <v>262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405</v>
      </c>
      <c r="C193" s="94" t="s">
        <v>13</v>
      </c>
      <c r="D193" s="55" t="s">
        <v>262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232</v>
      </c>
      <c r="C194" s="94" t="s">
        <v>13</v>
      </c>
      <c r="D194" s="55" t="s">
        <v>28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233</v>
      </c>
      <c r="C195" s="94" t="s">
        <v>13</v>
      </c>
      <c r="D195" s="55" t="s">
        <v>28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279</v>
      </c>
      <c r="C196" s="94" t="s">
        <v>13</v>
      </c>
      <c r="D196" s="55" t="s">
        <v>28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403</v>
      </c>
      <c r="C197" s="94" t="s">
        <v>13</v>
      </c>
      <c r="D197" s="55" t="s">
        <v>150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15</v>
      </c>
      <c r="C198" s="42" t="s">
        <v>444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8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427" t="s">
        <v>9</v>
      </c>
      <c r="D201" s="427"/>
      <c r="E201" s="140"/>
      <c r="F201" s="59"/>
      <c r="G201" s="59"/>
    </row>
    <row r="202" spans="1:8" ht="20.100000000000001" customHeight="1">
      <c r="A202" s="32"/>
      <c r="B202" s="104"/>
      <c r="C202" s="427"/>
      <c r="D202" s="427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425" t="s">
        <v>409</v>
      </c>
      <c r="C3" s="425"/>
      <c r="D3" s="425"/>
      <c r="E3" s="425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425" t="s">
        <v>0</v>
      </c>
      <c r="C5" s="425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26"/>
      <c r="V5" s="426"/>
      <c r="W5" s="426"/>
      <c r="X5" s="426"/>
      <c r="Y5" s="426"/>
      <c r="Z5" s="426"/>
      <c r="AA5" s="100"/>
      <c r="AB5" s="100"/>
    </row>
    <row r="6" spans="1:33" ht="35.450000000000003" customHeight="1">
      <c r="A6" s="32"/>
      <c r="B6" s="461"/>
      <c r="C6" s="461"/>
      <c r="D6" s="107" t="s">
        <v>12</v>
      </c>
      <c r="E6" s="107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462"/>
      <c r="C7" s="462"/>
      <c r="D7" s="107"/>
      <c r="E7" s="107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463" t="s">
        <v>16</v>
      </c>
      <c r="C8" s="463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430" t="s">
        <v>224</v>
      </c>
      <c r="C9" s="431"/>
      <c r="D9" s="94" t="s">
        <v>119</v>
      </c>
      <c r="E9" s="94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430" t="s">
        <v>154</v>
      </c>
      <c r="C10" s="431"/>
      <c r="D10" s="94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447" t="s">
        <v>227</v>
      </c>
      <c r="C11" s="448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430" t="s">
        <v>137</v>
      </c>
      <c r="C12" s="431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447" t="s">
        <v>225</v>
      </c>
      <c r="C13" s="448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430" t="s">
        <v>315</v>
      </c>
      <c r="C14" s="431"/>
      <c r="D14" s="94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447" t="s">
        <v>112</v>
      </c>
      <c r="C15" s="448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443" t="s">
        <v>187</v>
      </c>
      <c r="C16" s="444"/>
      <c r="D16" s="112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447" t="s">
        <v>203</v>
      </c>
      <c r="C17" s="448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437" t="s">
        <v>111</v>
      </c>
      <c r="C18" s="437"/>
      <c r="D18" s="94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333</v>
      </c>
      <c r="C19" s="98"/>
      <c r="D19" s="94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447" t="s">
        <v>220</v>
      </c>
      <c r="C20" s="448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447" t="s">
        <v>144</v>
      </c>
      <c r="C21" s="448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447" t="s">
        <v>139</v>
      </c>
      <c r="C22" s="448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430" t="s">
        <v>18</v>
      </c>
      <c r="C23" s="431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447" t="s">
        <v>317</v>
      </c>
      <c r="C24" s="448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430" t="s">
        <v>334</v>
      </c>
      <c r="C25" s="431"/>
      <c r="D25" s="94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430" t="s">
        <v>253</v>
      </c>
      <c r="C26" s="431"/>
      <c r="D26" s="94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430" t="s">
        <v>141</v>
      </c>
      <c r="C27" s="431"/>
      <c r="D27" s="94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291</v>
      </c>
      <c r="C28" s="98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254</v>
      </c>
      <c r="C29" s="98"/>
      <c r="D29" s="94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274</v>
      </c>
      <c r="C30" s="98"/>
      <c r="D30" s="94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275</v>
      </c>
      <c r="C31" s="98"/>
      <c r="D31" s="94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437" t="s">
        <v>26</v>
      </c>
      <c r="C32" s="437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430" t="s">
        <v>247</v>
      </c>
      <c r="C33" s="431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293</v>
      </c>
      <c r="C34" s="98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430" t="s">
        <v>248</v>
      </c>
      <c r="C35" s="431"/>
      <c r="D35" s="94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288</v>
      </c>
      <c r="C36" s="98"/>
      <c r="D36" s="94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443" t="s">
        <v>345</v>
      </c>
      <c r="C37" s="444"/>
      <c r="D37" s="112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360</v>
      </c>
      <c r="C38" s="96"/>
      <c r="D38" s="112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440" t="s">
        <v>15</v>
      </c>
      <c r="C39" s="440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440" t="s">
        <v>284</v>
      </c>
      <c r="C41" s="440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361</v>
      </c>
      <c r="C42" s="98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457"/>
      <c r="C44" s="458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459" t="s">
        <v>56</v>
      </c>
      <c r="C45" s="460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430" t="s">
        <v>255</v>
      </c>
      <c r="C46" s="431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430" t="s">
        <v>158</v>
      </c>
      <c r="C47" s="431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430" t="s">
        <v>165</v>
      </c>
      <c r="C48" s="431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430" t="s">
        <v>159</v>
      </c>
      <c r="C49" s="431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430" t="s">
        <v>118</v>
      </c>
      <c r="C50" s="431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430" t="s">
        <v>205</v>
      </c>
      <c r="C51" s="431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438" t="s">
        <v>173</v>
      </c>
      <c r="C52" s="439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430" t="s">
        <v>116</v>
      </c>
      <c r="C53" s="431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455" t="s">
        <v>130</v>
      </c>
      <c r="C54" s="456"/>
      <c r="D54" s="113" t="s">
        <v>297</v>
      </c>
      <c r="E54" s="114" t="s">
        <v>222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443" t="s">
        <v>184</v>
      </c>
      <c r="C55" s="444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449" t="s">
        <v>15</v>
      </c>
      <c r="C56" s="450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449" t="s">
        <v>195</v>
      </c>
      <c r="C58" s="450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430" t="s">
        <v>11</v>
      </c>
      <c r="C59" s="431"/>
      <c r="D59" s="94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276</v>
      </c>
      <c r="C60" s="98"/>
      <c r="D60" s="94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449" t="s">
        <v>15</v>
      </c>
      <c r="C61" s="450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449"/>
      <c r="C62" s="450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449" t="s">
        <v>353</v>
      </c>
      <c r="C63" s="450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443" t="s">
        <v>277</v>
      </c>
      <c r="C64" s="444"/>
      <c r="D64" s="112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332</v>
      </c>
      <c r="C65" s="96"/>
      <c r="D65" s="112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443" t="s">
        <v>186</v>
      </c>
      <c r="C66" s="444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443" t="s">
        <v>189</v>
      </c>
      <c r="C67" s="444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323</v>
      </c>
      <c r="C68" s="96"/>
      <c r="D68" s="112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447" t="s">
        <v>229</v>
      </c>
      <c r="C69" s="448"/>
      <c r="D69" s="112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443" t="s">
        <v>117</v>
      </c>
      <c r="C70" s="444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437" t="s">
        <v>182</v>
      </c>
      <c r="C71" s="437"/>
      <c r="D71" s="112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430" t="s">
        <v>242</v>
      </c>
      <c r="C72" s="431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443" t="s">
        <v>322</v>
      </c>
      <c r="C73" s="444"/>
      <c r="D73" s="112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443" t="s">
        <v>320</v>
      </c>
      <c r="C74" s="444"/>
      <c r="D74" s="112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447" t="s">
        <v>321</v>
      </c>
      <c r="C75" s="448"/>
      <c r="D75" s="112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449" t="s">
        <v>15</v>
      </c>
      <c r="C76" s="450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449" t="s">
        <v>347</v>
      </c>
      <c r="C78" s="450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430" t="s">
        <v>19</v>
      </c>
      <c r="C79" s="431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430" t="s">
        <v>114</v>
      </c>
      <c r="C82" s="431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430" t="s">
        <v>324</v>
      </c>
      <c r="C83" s="431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328</v>
      </c>
      <c r="C84" s="98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330</v>
      </c>
      <c r="C85" s="98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449" t="s">
        <v>15</v>
      </c>
      <c r="C86" s="450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451"/>
      <c r="C87" s="452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453" t="s">
        <v>354</v>
      </c>
      <c r="C88" s="454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430" t="s">
        <v>244</v>
      </c>
      <c r="C89" s="431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430" t="s">
        <v>169</v>
      </c>
      <c r="C90" s="431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430" t="s">
        <v>192</v>
      </c>
      <c r="C91" s="431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430" t="s">
        <v>113</v>
      </c>
      <c r="C92" s="431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447" t="s">
        <v>138</v>
      </c>
      <c r="C93" s="448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443" t="s">
        <v>202</v>
      </c>
      <c r="C94" s="444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430" t="s">
        <v>335</v>
      </c>
      <c r="C95" s="431"/>
      <c r="D95" s="94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437" t="s">
        <v>101</v>
      </c>
      <c r="C96" s="437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430" t="s">
        <v>336</v>
      </c>
      <c r="C97" s="431"/>
      <c r="D97" s="94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430" t="s">
        <v>337</v>
      </c>
      <c r="C98" s="431"/>
      <c r="D98" s="94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440" t="s">
        <v>15</v>
      </c>
      <c r="C99" s="440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440" t="s">
        <v>283</v>
      </c>
      <c r="C101" s="440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364</v>
      </c>
      <c r="C102" s="98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443" t="s">
        <v>185</v>
      </c>
      <c r="C103" s="444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366</v>
      </c>
      <c r="C104" s="96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430" t="s">
        <v>237</v>
      </c>
      <c r="C105" s="431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440" t="s">
        <v>15</v>
      </c>
      <c r="C106" s="440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440" t="s">
        <v>282</v>
      </c>
      <c r="C108" s="440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430" t="s">
        <v>216</v>
      </c>
      <c r="C109" s="431"/>
      <c r="D109" s="94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445" t="s">
        <v>110</v>
      </c>
      <c r="C110" s="446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430" t="s">
        <v>109</v>
      </c>
      <c r="C111" s="431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443" t="s">
        <v>135</v>
      </c>
      <c r="C112" s="444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430" t="s">
        <v>240</v>
      </c>
      <c r="C113" s="431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341</v>
      </c>
      <c r="C114" s="96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374</v>
      </c>
      <c r="C115" s="98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358</v>
      </c>
      <c r="C116" s="98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440" t="s">
        <v>15</v>
      </c>
      <c r="C117" s="440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440" t="s">
        <v>280</v>
      </c>
      <c r="C119" s="440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437" t="s">
        <v>20</v>
      </c>
      <c r="C120" s="437"/>
      <c r="D120" s="94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437" t="s">
        <v>100</v>
      </c>
      <c r="C121" s="437"/>
      <c r="D121" s="94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437" t="s">
        <v>153</v>
      </c>
      <c r="C122" s="437"/>
      <c r="D122" s="94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442" t="s">
        <v>142</v>
      </c>
      <c r="C123" s="442"/>
      <c r="D123" s="94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4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441" t="s">
        <v>108</v>
      </c>
      <c r="C125" s="441"/>
      <c r="D125" s="94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437" t="s">
        <v>178</v>
      </c>
      <c r="C126" s="437"/>
      <c r="D126" s="94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437" t="s">
        <v>134</v>
      </c>
      <c r="C127" s="437"/>
      <c r="D127" s="94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365</v>
      </c>
      <c r="C128" s="98"/>
      <c r="D128" s="94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440" t="s">
        <v>15</v>
      </c>
      <c r="C129" s="440"/>
      <c r="D129" s="110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440" t="s">
        <v>281</v>
      </c>
      <c r="C131" s="440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437" t="s">
        <v>98</v>
      </c>
      <c r="C132" s="437"/>
      <c r="D132" s="94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437" t="s">
        <v>21</v>
      </c>
      <c r="C133" s="437"/>
      <c r="D133" s="94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441" t="s">
        <v>107</v>
      </c>
      <c r="C134" s="441"/>
      <c r="D134" s="94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438" t="s">
        <v>183</v>
      </c>
      <c r="C135" s="439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438" t="s">
        <v>378</v>
      </c>
      <c r="C136" s="439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437" t="s">
        <v>106</v>
      </c>
      <c r="C137" s="437"/>
      <c r="D137" s="94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437" t="s">
        <v>7</v>
      </c>
      <c r="C138" s="437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437" t="s">
        <v>6</v>
      </c>
      <c r="C139" s="437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437" t="s">
        <v>124</v>
      </c>
      <c r="C140" s="437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430" t="s">
        <v>102</v>
      </c>
      <c r="C141" s="431"/>
      <c r="D141" s="94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437" t="s">
        <v>103</v>
      </c>
      <c r="C142" s="437"/>
      <c r="D142" s="94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430" t="s">
        <v>151</v>
      </c>
      <c r="C143" s="431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430" t="s">
        <v>238</v>
      </c>
      <c r="C144" s="431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430" t="s">
        <v>53</v>
      </c>
      <c r="C145" s="431"/>
      <c r="D145" s="94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430" t="s">
        <v>179</v>
      </c>
      <c r="C146" s="431"/>
      <c r="D146" s="94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430" t="s">
        <v>208</v>
      </c>
      <c r="C147" s="431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430" t="s">
        <v>210</v>
      </c>
      <c r="C148" s="431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430" t="s">
        <v>212</v>
      </c>
      <c r="C149" s="431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430" t="s">
        <v>230</v>
      </c>
      <c r="C150" s="431"/>
      <c r="D150" s="94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430" t="s">
        <v>57</v>
      </c>
      <c r="C151" s="431"/>
      <c r="D151" s="94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430" t="s">
        <v>251</v>
      </c>
      <c r="C152" s="431"/>
      <c r="D152" s="94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430" t="s">
        <v>241</v>
      </c>
      <c r="C153" s="431"/>
      <c r="D153" s="94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289</v>
      </c>
      <c r="C154" s="98"/>
      <c r="D154" s="94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359</v>
      </c>
      <c r="C155" s="98"/>
      <c r="D155" s="94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406</v>
      </c>
      <c r="C156" s="98"/>
      <c r="D156" s="94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407</v>
      </c>
      <c r="C157" s="98"/>
      <c r="D157" s="94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437" t="s">
        <v>22</v>
      </c>
      <c r="C158" s="437"/>
      <c r="D158" s="94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437" t="s">
        <v>14</v>
      </c>
      <c r="C159" s="437"/>
      <c r="D159" s="94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437" t="s">
        <v>23</v>
      </c>
      <c r="C160" s="437"/>
      <c r="D160" s="94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437" t="s">
        <v>24</v>
      </c>
      <c r="C161" s="437"/>
      <c r="D161" s="94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437" t="s">
        <v>25</v>
      </c>
      <c r="C162" s="437"/>
      <c r="D162" s="94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437" t="s">
        <v>39</v>
      </c>
      <c r="C163" s="437"/>
      <c r="D163" s="94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437" t="s">
        <v>40</v>
      </c>
      <c r="C164" s="437"/>
      <c r="D164" s="94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437" t="s">
        <v>127</v>
      </c>
      <c r="C165" s="437"/>
      <c r="D165" s="94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437" t="s">
        <v>128</v>
      </c>
      <c r="C166" s="437"/>
      <c r="D166" s="94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437" t="s">
        <v>129</v>
      </c>
      <c r="C167" s="437"/>
      <c r="D167" s="94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4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430" t="s">
        <v>140</v>
      </c>
      <c r="C169" s="431"/>
      <c r="D169" s="94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152</v>
      </c>
      <c r="C170" s="32"/>
      <c r="D170" s="94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132</v>
      </c>
      <c r="C171" s="32"/>
      <c r="D171" s="94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430" t="s">
        <v>231</v>
      </c>
      <c r="C172" s="431"/>
      <c r="D172" s="94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430" t="s">
        <v>246</v>
      </c>
      <c r="C173" s="431"/>
      <c r="D173" s="94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166</v>
      </c>
      <c r="C174" s="32"/>
      <c r="D174" s="94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430" t="s">
        <v>204</v>
      </c>
      <c r="C175" s="431"/>
      <c r="D175" s="94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430" t="s">
        <v>209</v>
      </c>
      <c r="C176" s="431"/>
      <c r="D176" s="94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430" t="s">
        <v>218</v>
      </c>
      <c r="C177" s="431"/>
      <c r="D177" s="94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430" t="s">
        <v>219</v>
      </c>
      <c r="C178" s="431"/>
      <c r="D178" s="94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430" t="s">
        <v>211</v>
      </c>
      <c r="C179" s="431"/>
      <c r="D179" s="94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430" t="s">
        <v>213</v>
      </c>
      <c r="C180" s="431"/>
      <c r="D180" s="94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432" t="s">
        <v>232</v>
      </c>
      <c r="C181" s="433"/>
      <c r="D181" s="94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434" t="s">
        <v>233</v>
      </c>
      <c r="C182" s="435"/>
      <c r="D182" s="94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279</v>
      </c>
      <c r="C183" s="67"/>
      <c r="D183" s="94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342</v>
      </c>
      <c r="C184" s="67"/>
      <c r="D184" s="94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403</v>
      </c>
      <c r="C185" s="67"/>
      <c r="D185" s="94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405</v>
      </c>
      <c r="C186" s="67"/>
      <c r="D186" s="94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436" t="s">
        <v>8</v>
      </c>
      <c r="C188" s="436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428"/>
      <c r="C189" s="428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428"/>
      <c r="C190" s="428"/>
      <c r="D190" s="427" t="s">
        <v>9</v>
      </c>
      <c r="E190" s="427"/>
      <c r="F190" s="427"/>
      <c r="G190" s="427"/>
      <c r="H190" s="427"/>
      <c r="I190" s="427"/>
      <c r="J190" s="427"/>
      <c r="K190" s="429" t="s">
        <v>54</v>
      </c>
      <c r="L190" s="429"/>
      <c r="M190" s="429"/>
      <c r="N190" s="103"/>
      <c r="O190" s="103"/>
      <c r="P190" s="429" t="s">
        <v>55</v>
      </c>
      <c r="Q190" s="429"/>
      <c r="R190" s="429"/>
      <c r="S190" s="429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428"/>
      <c r="C191" s="428"/>
      <c r="D191" s="427"/>
      <c r="E191" s="427"/>
      <c r="F191" s="427"/>
      <c r="G191" s="427"/>
      <c r="H191" s="427"/>
      <c r="I191" s="427"/>
      <c r="J191" s="427"/>
      <c r="K191" s="429"/>
      <c r="L191" s="429"/>
      <c r="M191" s="429"/>
      <c r="N191" s="103"/>
      <c r="O191" s="103"/>
      <c r="P191" s="429"/>
      <c r="Q191" s="429"/>
      <c r="R191" s="429"/>
      <c r="S191" s="429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422" t="s">
        <v>234</v>
      </c>
      <c r="B1" s="422"/>
      <c r="C1" s="422"/>
      <c r="D1" s="422"/>
      <c r="E1" s="422"/>
    </row>
    <row r="2" spans="1:7" ht="33.75" customHeight="1">
      <c r="A2" s="165" t="s">
        <v>492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20.100000000000001" customHeight="1">
      <c r="A5" s="176" t="s">
        <v>143</v>
      </c>
      <c r="B5" s="177" t="s">
        <v>433</v>
      </c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26" t="s">
        <v>119</v>
      </c>
      <c r="D6" s="161" t="s">
        <v>34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137</v>
      </c>
      <c r="C7" s="227" t="s">
        <v>472</v>
      </c>
      <c r="D7" s="28" t="s">
        <v>160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225</v>
      </c>
      <c r="C8" s="227" t="s">
        <v>226</v>
      </c>
      <c r="D8" s="28" t="s">
        <v>221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26" t="s">
        <v>316</v>
      </c>
      <c r="D9" s="28" t="s">
        <v>271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27" t="s">
        <v>418</v>
      </c>
      <c r="D10" s="181" t="s">
        <v>29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112</v>
      </c>
      <c r="C11" s="227" t="s">
        <v>473</v>
      </c>
      <c r="D11" s="24" t="s">
        <v>29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187</v>
      </c>
      <c r="C12" s="228" t="s">
        <v>474</v>
      </c>
      <c r="D12" s="24" t="s">
        <v>29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203</v>
      </c>
      <c r="C13" s="227" t="s">
        <v>475</v>
      </c>
      <c r="D13" s="24" t="s">
        <v>29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111</v>
      </c>
      <c r="C14" s="226" t="s">
        <v>468</v>
      </c>
      <c r="D14" s="181" t="s">
        <v>75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333</v>
      </c>
      <c r="C15" s="226" t="s">
        <v>387</v>
      </c>
      <c r="D15" s="28" t="s">
        <v>272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220</v>
      </c>
      <c r="C16" s="227" t="s">
        <v>388</v>
      </c>
      <c r="D16" s="24" t="s">
        <v>162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144</v>
      </c>
      <c r="C17" s="227" t="s">
        <v>389</v>
      </c>
      <c r="D17" s="28" t="s">
        <v>162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139</v>
      </c>
      <c r="C18" s="227" t="s">
        <v>386</v>
      </c>
      <c r="D18" s="28" t="s">
        <v>162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18</v>
      </c>
      <c r="C19" s="227" t="s">
        <v>389</v>
      </c>
      <c r="D19" s="181" t="s">
        <v>162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334</v>
      </c>
      <c r="C20" s="226" t="s">
        <v>351</v>
      </c>
      <c r="D20" s="181" t="s">
        <v>149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27" t="s">
        <v>346</v>
      </c>
      <c r="D21" s="181" t="s">
        <v>273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26" t="s">
        <v>391</v>
      </c>
      <c r="D22" s="181" t="s">
        <v>415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26" t="s">
        <v>478</v>
      </c>
      <c r="D23" s="181" t="s">
        <v>369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27" t="s">
        <v>477</v>
      </c>
      <c r="D24" s="181" t="s">
        <v>369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27" t="s">
        <v>294</v>
      </c>
      <c r="D25" s="181" t="s">
        <v>164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26" t="s">
        <v>314</v>
      </c>
      <c r="D26" s="181" t="s">
        <v>207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7" t="s">
        <v>17</v>
      </c>
      <c r="D27" s="28" t="s">
        <v>428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26" t="s">
        <v>17</v>
      </c>
      <c r="D28" s="181" t="s">
        <v>428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26" t="s">
        <v>480</v>
      </c>
      <c r="D29" s="181" t="s">
        <v>428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26" t="s">
        <v>249</v>
      </c>
      <c r="D30" s="181" t="s">
        <v>295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28" t="s">
        <v>319</v>
      </c>
      <c r="D31" s="181" t="s">
        <v>51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27" t="s">
        <v>329</v>
      </c>
      <c r="D32" s="28" t="s">
        <v>51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28" t="s">
        <v>372</v>
      </c>
      <c r="D33" s="181" t="s">
        <v>428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469</v>
      </c>
      <c r="C34" s="228" t="s">
        <v>372</v>
      </c>
      <c r="D34" s="181" t="s">
        <v>105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27" t="s">
        <v>331</v>
      </c>
      <c r="D35" s="28" t="s">
        <v>105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26" t="s">
        <v>314</v>
      </c>
      <c r="D36" s="181" t="s">
        <v>105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453</v>
      </c>
      <c r="C37" s="226" t="s">
        <v>314</v>
      </c>
      <c r="D37" s="181" t="s">
        <v>105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15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284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361</v>
      </c>
      <c r="C41" s="227" t="s">
        <v>362</v>
      </c>
      <c r="D41" s="28" t="s">
        <v>206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419</v>
      </c>
      <c r="C42" s="227" t="s">
        <v>427</v>
      </c>
      <c r="D42" s="28" t="s">
        <v>105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56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255</v>
      </c>
      <c r="C46" s="227" t="s">
        <v>256</v>
      </c>
      <c r="D46" s="28" t="s">
        <v>161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158</v>
      </c>
      <c r="C47" s="227" t="s">
        <v>199</v>
      </c>
      <c r="D47" s="28" t="s">
        <v>75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165</v>
      </c>
      <c r="C48" s="227" t="s">
        <v>258</v>
      </c>
      <c r="D48" s="28" t="s">
        <v>75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159</v>
      </c>
      <c r="C49" s="227" t="s">
        <v>258</v>
      </c>
      <c r="D49" s="28" t="s">
        <v>148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118</v>
      </c>
      <c r="C50" s="227" t="s">
        <v>258</v>
      </c>
      <c r="D50" s="28" t="s">
        <v>30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205</v>
      </c>
      <c r="C51" s="227" t="s">
        <v>78</v>
      </c>
      <c r="D51" s="28" t="s">
        <v>162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173</v>
      </c>
      <c r="C52" s="227" t="s">
        <v>297</v>
      </c>
      <c r="D52" s="24" t="s">
        <v>162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116</v>
      </c>
      <c r="C53" s="227" t="s">
        <v>297</v>
      </c>
      <c r="D53" s="28" t="s">
        <v>222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184</v>
      </c>
      <c r="C54" s="227" t="s">
        <v>80</v>
      </c>
      <c r="D54" s="28" t="s">
        <v>163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27" t="s">
        <v>84</v>
      </c>
      <c r="D55" s="28" t="s">
        <v>428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435</v>
      </c>
      <c r="C56" s="227" t="s">
        <v>84</v>
      </c>
      <c r="D56" s="28" t="s">
        <v>428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452</v>
      </c>
      <c r="C57" s="227" t="s">
        <v>84</v>
      </c>
      <c r="D57" s="28" t="s">
        <v>428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15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195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</v>
      </c>
      <c r="C61" s="226" t="s">
        <v>200</v>
      </c>
      <c r="D61" s="181" t="s">
        <v>161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15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461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277</v>
      </c>
      <c r="C65" s="228" t="s">
        <v>278</v>
      </c>
      <c r="D65" s="28" t="s">
        <v>161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28" t="s">
        <v>188</v>
      </c>
      <c r="D66" s="181" t="s">
        <v>272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27" t="s">
        <v>257</v>
      </c>
      <c r="D67" s="28" t="s">
        <v>163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448</v>
      </c>
      <c r="C68" s="228" t="s">
        <v>257</v>
      </c>
      <c r="D68" s="181" t="s">
        <v>149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28" t="s">
        <v>297</v>
      </c>
      <c r="D69" s="181" t="s">
        <v>162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117</v>
      </c>
      <c r="C70" s="227" t="s">
        <v>84</v>
      </c>
      <c r="D70" s="28" t="s">
        <v>298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28" t="s">
        <v>422</v>
      </c>
      <c r="D71" s="181" t="s">
        <v>415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28" t="s">
        <v>422</v>
      </c>
      <c r="D72" s="181" t="s">
        <v>369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28" t="s">
        <v>422</v>
      </c>
      <c r="D73" s="181" t="s">
        <v>369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27" t="s">
        <v>484</v>
      </c>
      <c r="D74" s="28" t="s">
        <v>369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28" t="s">
        <v>84</v>
      </c>
      <c r="D75" s="28" t="s">
        <v>104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28" t="s">
        <v>115</v>
      </c>
      <c r="D76" s="28" t="s">
        <v>428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28" t="s">
        <v>115</v>
      </c>
      <c r="D77" s="28" t="s">
        <v>105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15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462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19</v>
      </c>
      <c r="C81" s="227" t="s">
        <v>201</v>
      </c>
      <c r="D81" s="28" t="s">
        <v>161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325</v>
      </c>
      <c r="C82" s="227" t="s">
        <v>245</v>
      </c>
      <c r="D82" s="181" t="s">
        <v>272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326</v>
      </c>
      <c r="C83" s="227" t="s">
        <v>327</v>
      </c>
      <c r="D83" s="181" t="s">
        <v>272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27" t="s">
        <v>296</v>
      </c>
      <c r="D84" s="181" t="s">
        <v>163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27" t="s">
        <v>243</v>
      </c>
      <c r="D85" s="28" t="s">
        <v>104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15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463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244</v>
      </c>
      <c r="C89" s="227" t="s">
        <v>312</v>
      </c>
      <c r="D89" s="28" t="s">
        <v>221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169</v>
      </c>
      <c r="C90" s="227" t="s">
        <v>258</v>
      </c>
      <c r="D90" s="28" t="s">
        <v>75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192</v>
      </c>
      <c r="C91" s="227" t="s">
        <v>258</v>
      </c>
      <c r="D91" s="28" t="s">
        <v>75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138</v>
      </c>
      <c r="C92" s="227" t="s">
        <v>297</v>
      </c>
      <c r="D92" s="28" t="s">
        <v>181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202</v>
      </c>
      <c r="C93" s="227" t="s">
        <v>78</v>
      </c>
      <c r="D93" s="28" t="s">
        <v>162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101</v>
      </c>
      <c r="C94" s="227" t="s">
        <v>80</v>
      </c>
      <c r="D94" s="181" t="s">
        <v>163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26" t="s">
        <v>257</v>
      </c>
      <c r="D95" s="181" t="s">
        <v>149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26" t="s">
        <v>257</v>
      </c>
      <c r="D96" s="181" t="s">
        <v>149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28" t="s">
        <v>422</v>
      </c>
      <c r="D97" s="181" t="s">
        <v>369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436</v>
      </c>
      <c r="C98" s="227" t="s">
        <v>470</v>
      </c>
      <c r="D98" s="28" t="s">
        <v>104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28" t="s">
        <v>432</v>
      </c>
      <c r="D99" s="181" t="s">
        <v>105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490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364</v>
      </c>
      <c r="C103" s="232" t="s">
        <v>343</v>
      </c>
      <c r="D103" s="181" t="s">
        <v>221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185</v>
      </c>
      <c r="C104" s="227" t="s">
        <v>373</v>
      </c>
      <c r="D104" s="28" t="s">
        <v>162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366</v>
      </c>
      <c r="C105" s="227" t="s">
        <v>367</v>
      </c>
      <c r="D105" s="181" t="s">
        <v>149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27" t="s">
        <v>483</v>
      </c>
      <c r="D106" s="181" t="s">
        <v>369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465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216</v>
      </c>
      <c r="C110" s="226" t="s">
        <v>217</v>
      </c>
      <c r="D110" s="181" t="s">
        <v>161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110</v>
      </c>
      <c r="C111" s="227" t="s">
        <v>259</v>
      </c>
      <c r="D111" s="24" t="s">
        <v>29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109</v>
      </c>
      <c r="C112" s="227" t="s">
        <v>311</v>
      </c>
      <c r="D112" s="28" t="s">
        <v>175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27" t="s">
        <v>311</v>
      </c>
      <c r="D113" s="28" t="s">
        <v>170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27" t="s">
        <v>338</v>
      </c>
      <c r="D114" s="181" t="s">
        <v>267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27" t="s">
        <v>338</v>
      </c>
      <c r="D115" s="28" t="s">
        <v>51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27" t="s">
        <v>338</v>
      </c>
      <c r="D116" s="181" t="s">
        <v>105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466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</v>
      </c>
      <c r="C120" s="226" t="s">
        <v>250</v>
      </c>
      <c r="D120" s="181" t="s">
        <v>161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100</v>
      </c>
      <c r="C121" s="226" t="s">
        <v>268</v>
      </c>
      <c r="D121" s="181" t="s">
        <v>160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153</v>
      </c>
      <c r="C122" s="226" t="s">
        <v>376</v>
      </c>
      <c r="D122" s="181" t="s">
        <v>75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142</v>
      </c>
      <c r="C123" s="226" t="s">
        <v>376</v>
      </c>
      <c r="D123" s="181" t="s">
        <v>75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363</v>
      </c>
      <c r="C124" s="226" t="s">
        <v>376</v>
      </c>
      <c r="D124" s="181" t="s">
        <v>30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108</v>
      </c>
      <c r="C125" s="226" t="s">
        <v>476</v>
      </c>
      <c r="D125" s="181" t="s">
        <v>222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178</v>
      </c>
      <c r="C126" s="226" t="s">
        <v>382</v>
      </c>
      <c r="D126" s="181" t="s">
        <v>163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26" t="s">
        <v>384</v>
      </c>
      <c r="D127" s="181" t="s">
        <v>163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26" t="s">
        <v>383</v>
      </c>
      <c r="D128" s="181" t="s">
        <v>413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443</v>
      </c>
      <c r="C129" s="226" t="s">
        <v>447</v>
      </c>
      <c r="D129" s="28" t="s">
        <v>428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439</v>
      </c>
      <c r="C130" s="226" t="s">
        <v>440</v>
      </c>
      <c r="D130" s="181" t="s">
        <v>105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33" t="s">
        <v>292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467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21</v>
      </c>
      <c r="C134" s="226" t="s">
        <v>491</v>
      </c>
      <c r="D134" s="181" t="s">
        <v>161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26" t="s">
        <v>394</v>
      </c>
      <c r="D135" s="181" t="s">
        <v>160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27" t="s">
        <v>486</v>
      </c>
      <c r="D136" s="24" t="s">
        <v>29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106</v>
      </c>
      <c r="C137" s="226" t="s">
        <v>381</v>
      </c>
      <c r="D137" s="181" t="s">
        <v>162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7</v>
      </c>
      <c r="C138" s="227" t="s">
        <v>385</v>
      </c>
      <c r="D138" s="181" t="s">
        <v>162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124</v>
      </c>
      <c r="C139" s="227" t="s">
        <v>235</v>
      </c>
      <c r="D139" s="181" t="s">
        <v>163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26" t="s">
        <v>395</v>
      </c>
      <c r="D140" s="181" t="s">
        <v>415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26" t="s">
        <v>395</v>
      </c>
      <c r="D141" s="181" t="s">
        <v>415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27" t="s">
        <v>235</v>
      </c>
      <c r="D142" s="181" t="s">
        <v>415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26" t="s">
        <v>479</v>
      </c>
      <c r="D143" s="181" t="s">
        <v>369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26" t="s">
        <v>300</v>
      </c>
      <c r="D144" s="181" t="s">
        <v>164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26" t="s">
        <v>479</v>
      </c>
      <c r="D145" s="181" t="s">
        <v>369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488</v>
      </c>
      <c r="C146" s="227" t="s">
        <v>239</v>
      </c>
      <c r="D146" s="181" t="s">
        <v>207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489</v>
      </c>
      <c r="C147" s="227" t="s">
        <v>239</v>
      </c>
      <c r="D147" s="181" t="s">
        <v>207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27" t="s">
        <v>239</v>
      </c>
      <c r="D148" s="181" t="s">
        <v>207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26" t="s">
        <v>430</v>
      </c>
      <c r="D149" s="181" t="s">
        <v>104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437</v>
      </c>
      <c r="C150" s="226" t="s">
        <v>438</v>
      </c>
      <c r="D150" s="28" t="s">
        <v>428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26" t="s">
        <v>485</v>
      </c>
      <c r="D151" s="181" t="s">
        <v>104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26" t="s">
        <v>481</v>
      </c>
      <c r="D152" s="181" t="s">
        <v>428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26" t="s">
        <v>482</v>
      </c>
      <c r="D153" s="181" t="s">
        <v>104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26" t="s">
        <v>348</v>
      </c>
      <c r="D154" s="181" t="s">
        <v>428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26" t="s">
        <v>290</v>
      </c>
      <c r="D155" s="181" t="s">
        <v>295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26" t="s">
        <v>131</v>
      </c>
      <c r="D156" s="181" t="s">
        <v>105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26" t="s">
        <v>131</v>
      </c>
      <c r="D157" s="181" t="s">
        <v>105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26" t="s">
        <v>290</v>
      </c>
      <c r="D158" s="181" t="s">
        <v>105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441</v>
      </c>
      <c r="C159" s="226" t="s">
        <v>442</v>
      </c>
      <c r="D159" s="181" t="s">
        <v>105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445</v>
      </c>
      <c r="C160" s="226" t="s">
        <v>446</v>
      </c>
      <c r="D160" s="181" t="s">
        <v>105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26" t="s">
        <v>302</v>
      </c>
      <c r="D161" s="181" t="s">
        <v>416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26" t="s">
        <v>302</v>
      </c>
      <c r="D162" s="181" t="s">
        <v>416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26" t="s">
        <v>302</v>
      </c>
      <c r="D163" s="181" t="s">
        <v>416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26" t="s">
        <v>302</v>
      </c>
      <c r="D164" s="181" t="s">
        <v>416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26" t="s">
        <v>302</v>
      </c>
      <c r="D165" s="181" t="s">
        <v>416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26" t="s">
        <v>302</v>
      </c>
      <c r="D166" s="181" t="s">
        <v>416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26" t="s">
        <v>302</v>
      </c>
      <c r="D167" s="181" t="s">
        <v>416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26" t="s">
        <v>302</v>
      </c>
      <c r="D168" s="181" t="s">
        <v>306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26" t="s">
        <v>302</v>
      </c>
      <c r="D169" s="181" t="s">
        <v>306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26" t="s">
        <v>302</v>
      </c>
      <c r="D170" s="181" t="s">
        <v>306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26" t="s">
        <v>302</v>
      </c>
      <c r="D171" s="181" t="s">
        <v>306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26" t="s">
        <v>302</v>
      </c>
      <c r="D172" s="181" t="s">
        <v>306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26" t="s">
        <v>302</v>
      </c>
      <c r="D173" s="181" t="s">
        <v>306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26" t="s">
        <v>302</v>
      </c>
      <c r="D174" s="181" t="s">
        <v>306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26" t="s">
        <v>167</v>
      </c>
      <c r="D175" s="181" t="s">
        <v>177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26" t="s">
        <v>167</v>
      </c>
      <c r="D176" s="181" t="s">
        <v>177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26" t="s">
        <v>167</v>
      </c>
      <c r="D177" s="181" t="s">
        <v>263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26" t="s">
        <v>167</v>
      </c>
      <c r="D178" s="181" t="s">
        <v>301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26" t="s">
        <v>13</v>
      </c>
      <c r="D179" s="181" t="s">
        <v>414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26" t="s">
        <v>13</v>
      </c>
      <c r="D180" s="181" t="s">
        <v>414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26" t="s">
        <v>13</v>
      </c>
      <c r="D181" s="181" t="s">
        <v>414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26" t="s">
        <v>13</v>
      </c>
      <c r="D182" s="181" t="s">
        <v>414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26" t="s">
        <v>13</v>
      </c>
      <c r="D183" s="181" t="s">
        <v>414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26" t="s">
        <v>13</v>
      </c>
      <c r="D184" s="181" t="s">
        <v>262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26" t="s">
        <v>13</v>
      </c>
      <c r="D185" s="181" t="s">
        <v>262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26" t="s">
        <v>167</v>
      </c>
      <c r="D186" s="181" t="s">
        <v>262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26" t="s">
        <v>167</v>
      </c>
      <c r="D187" s="181" t="s">
        <v>262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26" t="s">
        <v>13</v>
      </c>
      <c r="D188" s="181" t="s">
        <v>28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26" t="s">
        <v>13</v>
      </c>
      <c r="D189" s="181" t="s">
        <v>150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34" t="s">
        <v>431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8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422" t="s">
        <v>234</v>
      </c>
      <c r="B1" s="422"/>
      <c r="C1" s="422"/>
      <c r="D1" s="422"/>
      <c r="E1" s="422"/>
    </row>
    <row r="2" spans="1:7" ht="33.75" customHeight="1">
      <c r="A2" s="165" t="s">
        <v>492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20.100000000000001" customHeight="1">
      <c r="A5" s="176" t="s">
        <v>143</v>
      </c>
      <c r="B5" s="177" t="s">
        <v>433</v>
      </c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26" t="s">
        <v>119</v>
      </c>
      <c r="D6" s="161" t="s">
        <v>34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137</v>
      </c>
      <c r="C7" s="227" t="s">
        <v>472</v>
      </c>
      <c r="D7" s="28" t="s">
        <v>160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225</v>
      </c>
      <c r="C8" s="227" t="s">
        <v>226</v>
      </c>
      <c r="D8" s="28" t="s">
        <v>221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26" t="s">
        <v>316</v>
      </c>
      <c r="D9" s="28" t="s">
        <v>271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27" t="s">
        <v>418</v>
      </c>
      <c r="D10" s="181" t="s">
        <v>29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112</v>
      </c>
      <c r="C11" s="227" t="s">
        <v>473</v>
      </c>
      <c r="D11" s="24" t="s">
        <v>29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187</v>
      </c>
      <c r="C12" s="228" t="s">
        <v>474</v>
      </c>
      <c r="D12" s="24" t="s">
        <v>29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203</v>
      </c>
      <c r="C13" s="227" t="s">
        <v>475</v>
      </c>
      <c r="D13" s="24" t="s">
        <v>29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111</v>
      </c>
      <c r="C14" s="226" t="s">
        <v>468</v>
      </c>
      <c r="D14" s="181" t="s">
        <v>75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333</v>
      </c>
      <c r="C15" s="226" t="s">
        <v>387</v>
      </c>
      <c r="D15" s="28" t="s">
        <v>272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220</v>
      </c>
      <c r="C16" s="227" t="s">
        <v>388</v>
      </c>
      <c r="D16" s="24" t="s">
        <v>162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144</v>
      </c>
      <c r="C17" s="227" t="s">
        <v>389</v>
      </c>
      <c r="D17" s="28" t="s">
        <v>162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139</v>
      </c>
      <c r="C18" s="227" t="s">
        <v>386</v>
      </c>
      <c r="D18" s="28" t="s">
        <v>162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18</v>
      </c>
      <c r="C19" s="227" t="s">
        <v>389</v>
      </c>
      <c r="D19" s="181" t="s">
        <v>162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334</v>
      </c>
      <c r="C20" s="226" t="s">
        <v>351</v>
      </c>
      <c r="D20" s="181" t="s">
        <v>149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27" t="s">
        <v>346</v>
      </c>
      <c r="D21" s="181" t="s">
        <v>273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26" t="s">
        <v>391</v>
      </c>
      <c r="D22" s="181" t="s">
        <v>415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26" t="s">
        <v>478</v>
      </c>
      <c r="D23" s="181" t="s">
        <v>369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27" t="s">
        <v>477</v>
      </c>
      <c r="D24" s="181" t="s">
        <v>369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27" t="s">
        <v>294</v>
      </c>
      <c r="D25" s="181" t="s">
        <v>164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26" t="s">
        <v>314</v>
      </c>
      <c r="D26" s="181" t="s">
        <v>207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7" t="s">
        <v>17</v>
      </c>
      <c r="D27" s="28" t="s">
        <v>428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26" t="s">
        <v>17</v>
      </c>
      <c r="D28" s="181" t="s">
        <v>428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26" t="s">
        <v>480</v>
      </c>
      <c r="D29" s="181" t="s">
        <v>428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26" t="s">
        <v>249</v>
      </c>
      <c r="D30" s="181" t="s">
        <v>295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28" t="s">
        <v>319</v>
      </c>
      <c r="D31" s="181" t="s">
        <v>51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27" t="s">
        <v>329</v>
      </c>
      <c r="D32" s="28" t="s">
        <v>51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28" t="s">
        <v>372</v>
      </c>
      <c r="D33" s="181" t="s">
        <v>428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469</v>
      </c>
      <c r="C34" s="228" t="s">
        <v>372</v>
      </c>
      <c r="D34" s="181" t="s">
        <v>105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27" t="s">
        <v>331</v>
      </c>
      <c r="D35" s="28" t="s">
        <v>105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26" t="s">
        <v>314</v>
      </c>
      <c r="D36" s="181" t="s">
        <v>105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453</v>
      </c>
      <c r="C37" s="226" t="s">
        <v>314</v>
      </c>
      <c r="D37" s="181" t="s">
        <v>105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15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284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361</v>
      </c>
      <c r="C41" s="227" t="s">
        <v>362</v>
      </c>
      <c r="D41" s="28" t="s">
        <v>206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419</v>
      </c>
      <c r="C42" s="227" t="s">
        <v>427</v>
      </c>
      <c r="D42" s="28" t="s">
        <v>105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56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255</v>
      </c>
      <c r="C46" s="227" t="s">
        <v>256</v>
      </c>
      <c r="D46" s="28" t="s">
        <v>161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158</v>
      </c>
      <c r="C47" s="227" t="s">
        <v>199</v>
      </c>
      <c r="D47" s="28" t="s">
        <v>75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165</v>
      </c>
      <c r="C48" s="227" t="s">
        <v>258</v>
      </c>
      <c r="D48" s="28" t="s">
        <v>75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159</v>
      </c>
      <c r="C49" s="227" t="s">
        <v>258</v>
      </c>
      <c r="D49" s="28" t="s">
        <v>148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118</v>
      </c>
      <c r="C50" s="227" t="s">
        <v>258</v>
      </c>
      <c r="D50" s="28" t="s">
        <v>30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205</v>
      </c>
      <c r="C51" s="227" t="s">
        <v>78</v>
      </c>
      <c r="D51" s="28" t="s">
        <v>162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173</v>
      </c>
      <c r="C52" s="227" t="s">
        <v>297</v>
      </c>
      <c r="D52" s="24" t="s">
        <v>162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116</v>
      </c>
      <c r="C53" s="227" t="s">
        <v>297</v>
      </c>
      <c r="D53" s="28" t="s">
        <v>222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184</v>
      </c>
      <c r="C54" s="227" t="s">
        <v>80</v>
      </c>
      <c r="D54" s="28" t="s">
        <v>163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27" t="s">
        <v>84</v>
      </c>
      <c r="D55" s="28" t="s">
        <v>428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435</v>
      </c>
      <c r="C56" s="227" t="s">
        <v>84</v>
      </c>
      <c r="D56" s="28" t="s">
        <v>428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452</v>
      </c>
      <c r="C57" s="227" t="s">
        <v>84</v>
      </c>
      <c r="D57" s="28" t="s">
        <v>428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15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195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</v>
      </c>
      <c r="C61" s="226" t="s">
        <v>200</v>
      </c>
      <c r="D61" s="181" t="s">
        <v>161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15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461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277</v>
      </c>
      <c r="C65" s="228" t="s">
        <v>278</v>
      </c>
      <c r="D65" s="28" t="s">
        <v>161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28" t="s">
        <v>188</v>
      </c>
      <c r="D66" s="181" t="s">
        <v>272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27" t="s">
        <v>257</v>
      </c>
      <c r="D67" s="28" t="s">
        <v>163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448</v>
      </c>
      <c r="C68" s="228" t="s">
        <v>257</v>
      </c>
      <c r="D68" s="181" t="s">
        <v>149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28" t="s">
        <v>297</v>
      </c>
      <c r="D69" s="181" t="s">
        <v>162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117</v>
      </c>
      <c r="C70" s="227" t="s">
        <v>84</v>
      </c>
      <c r="D70" s="28" t="s">
        <v>298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28" t="s">
        <v>422</v>
      </c>
      <c r="D71" s="181" t="s">
        <v>415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28" t="s">
        <v>422</v>
      </c>
      <c r="D72" s="181" t="s">
        <v>369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28" t="s">
        <v>422</v>
      </c>
      <c r="D73" s="181" t="s">
        <v>369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27" t="s">
        <v>484</v>
      </c>
      <c r="D74" s="28" t="s">
        <v>369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28" t="s">
        <v>84</v>
      </c>
      <c r="D75" s="28" t="s">
        <v>104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28" t="s">
        <v>115</v>
      </c>
      <c r="D76" s="28" t="s">
        <v>428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28" t="s">
        <v>115</v>
      </c>
      <c r="D77" s="28" t="s">
        <v>105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15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462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19</v>
      </c>
      <c r="C81" s="227" t="s">
        <v>201</v>
      </c>
      <c r="D81" s="28" t="s">
        <v>161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325</v>
      </c>
      <c r="C82" s="227" t="s">
        <v>245</v>
      </c>
      <c r="D82" s="181" t="s">
        <v>272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326</v>
      </c>
      <c r="C83" s="227" t="s">
        <v>327</v>
      </c>
      <c r="D83" s="181" t="s">
        <v>272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27" t="s">
        <v>296</v>
      </c>
      <c r="D84" s="181" t="s">
        <v>163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27" t="s">
        <v>243</v>
      </c>
      <c r="D85" s="28" t="s">
        <v>104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15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463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244</v>
      </c>
      <c r="C89" s="227" t="s">
        <v>312</v>
      </c>
      <c r="D89" s="28" t="s">
        <v>221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169</v>
      </c>
      <c r="C90" s="227" t="s">
        <v>258</v>
      </c>
      <c r="D90" s="28" t="s">
        <v>75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192</v>
      </c>
      <c r="C91" s="227" t="s">
        <v>258</v>
      </c>
      <c r="D91" s="28" t="s">
        <v>75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138</v>
      </c>
      <c r="C92" s="227" t="s">
        <v>297</v>
      </c>
      <c r="D92" s="28" t="s">
        <v>181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202</v>
      </c>
      <c r="C93" s="227" t="s">
        <v>78</v>
      </c>
      <c r="D93" s="28" t="s">
        <v>162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101</v>
      </c>
      <c r="C94" s="227" t="s">
        <v>80</v>
      </c>
      <c r="D94" s="181" t="s">
        <v>163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26" t="s">
        <v>257</v>
      </c>
      <c r="D95" s="181" t="s">
        <v>149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26" t="s">
        <v>257</v>
      </c>
      <c r="D96" s="181" t="s">
        <v>149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28" t="s">
        <v>422</v>
      </c>
      <c r="D97" s="181" t="s">
        <v>369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436</v>
      </c>
      <c r="C98" s="227" t="s">
        <v>470</v>
      </c>
      <c r="D98" s="28" t="s">
        <v>104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28" t="s">
        <v>432</v>
      </c>
      <c r="D99" s="181" t="s">
        <v>105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490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364</v>
      </c>
      <c r="C103" s="232" t="s">
        <v>343</v>
      </c>
      <c r="D103" s="181" t="s">
        <v>221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185</v>
      </c>
      <c r="C104" s="227" t="s">
        <v>373</v>
      </c>
      <c r="D104" s="28" t="s">
        <v>162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366</v>
      </c>
      <c r="C105" s="227" t="s">
        <v>367</v>
      </c>
      <c r="D105" s="181" t="s">
        <v>149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27" t="s">
        <v>483</v>
      </c>
      <c r="D106" s="181" t="s">
        <v>369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465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216</v>
      </c>
      <c r="C110" s="226" t="s">
        <v>217</v>
      </c>
      <c r="D110" s="181" t="s">
        <v>161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110</v>
      </c>
      <c r="C111" s="227" t="s">
        <v>259</v>
      </c>
      <c r="D111" s="24" t="s">
        <v>29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109</v>
      </c>
      <c r="C112" s="227" t="s">
        <v>311</v>
      </c>
      <c r="D112" s="28" t="s">
        <v>175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27" t="s">
        <v>311</v>
      </c>
      <c r="D113" s="28" t="s">
        <v>170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27" t="s">
        <v>338</v>
      </c>
      <c r="D114" s="181" t="s">
        <v>267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27" t="s">
        <v>338</v>
      </c>
      <c r="D115" s="28" t="s">
        <v>51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27" t="s">
        <v>338</v>
      </c>
      <c r="D116" s="181" t="s">
        <v>105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466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</v>
      </c>
      <c r="C120" s="226" t="s">
        <v>250</v>
      </c>
      <c r="D120" s="181" t="s">
        <v>161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100</v>
      </c>
      <c r="C121" s="226" t="s">
        <v>268</v>
      </c>
      <c r="D121" s="181" t="s">
        <v>160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153</v>
      </c>
      <c r="C122" s="226" t="s">
        <v>376</v>
      </c>
      <c r="D122" s="181" t="s">
        <v>75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142</v>
      </c>
      <c r="C123" s="226" t="s">
        <v>376</v>
      </c>
      <c r="D123" s="181" t="s">
        <v>75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363</v>
      </c>
      <c r="C124" s="226" t="s">
        <v>376</v>
      </c>
      <c r="D124" s="181" t="s">
        <v>30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108</v>
      </c>
      <c r="C125" s="226" t="s">
        <v>476</v>
      </c>
      <c r="D125" s="181" t="s">
        <v>222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178</v>
      </c>
      <c r="C126" s="226" t="s">
        <v>382</v>
      </c>
      <c r="D126" s="181" t="s">
        <v>163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26" t="s">
        <v>384</v>
      </c>
      <c r="D127" s="181" t="s">
        <v>163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26" t="s">
        <v>383</v>
      </c>
      <c r="D128" s="181" t="s">
        <v>413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443</v>
      </c>
      <c r="C129" s="226" t="s">
        <v>447</v>
      </c>
      <c r="D129" s="28" t="s">
        <v>428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439</v>
      </c>
      <c r="C130" s="226" t="s">
        <v>440</v>
      </c>
      <c r="D130" s="181" t="s">
        <v>105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33" t="s">
        <v>292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467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21</v>
      </c>
      <c r="C134" s="226" t="s">
        <v>491</v>
      </c>
      <c r="D134" s="181" t="s">
        <v>161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26" t="s">
        <v>394</v>
      </c>
      <c r="D135" s="181" t="s">
        <v>160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27" t="s">
        <v>486</v>
      </c>
      <c r="D136" s="24" t="s">
        <v>29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106</v>
      </c>
      <c r="C137" s="226" t="s">
        <v>381</v>
      </c>
      <c r="D137" s="181" t="s">
        <v>162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7</v>
      </c>
      <c r="C138" s="227" t="s">
        <v>385</v>
      </c>
      <c r="D138" s="181" t="s">
        <v>162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124</v>
      </c>
      <c r="C139" s="227" t="s">
        <v>235</v>
      </c>
      <c r="D139" s="181" t="s">
        <v>163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26" t="s">
        <v>395</v>
      </c>
      <c r="D140" s="181" t="s">
        <v>415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26" t="s">
        <v>395</v>
      </c>
      <c r="D141" s="181" t="s">
        <v>415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27" t="s">
        <v>235</v>
      </c>
      <c r="D142" s="181" t="s">
        <v>415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26" t="s">
        <v>479</v>
      </c>
      <c r="D143" s="181" t="s">
        <v>369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26" t="s">
        <v>300</v>
      </c>
      <c r="D144" s="181" t="s">
        <v>164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26" t="s">
        <v>479</v>
      </c>
      <c r="D145" s="181" t="s">
        <v>369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488</v>
      </c>
      <c r="C146" s="227" t="s">
        <v>239</v>
      </c>
      <c r="D146" s="181" t="s">
        <v>207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489</v>
      </c>
      <c r="C147" s="227" t="s">
        <v>239</v>
      </c>
      <c r="D147" s="181" t="s">
        <v>207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27" t="s">
        <v>239</v>
      </c>
      <c r="D148" s="181" t="s">
        <v>207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26" t="s">
        <v>430</v>
      </c>
      <c r="D149" s="181" t="s">
        <v>104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437</v>
      </c>
      <c r="C150" s="226" t="s">
        <v>438</v>
      </c>
      <c r="D150" s="28" t="s">
        <v>428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26" t="s">
        <v>485</v>
      </c>
      <c r="D151" s="181" t="s">
        <v>104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26" t="s">
        <v>481</v>
      </c>
      <c r="D152" s="181" t="s">
        <v>428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26" t="s">
        <v>482</v>
      </c>
      <c r="D153" s="181" t="s">
        <v>104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26" t="s">
        <v>348</v>
      </c>
      <c r="D154" s="181" t="s">
        <v>428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26" t="s">
        <v>290</v>
      </c>
      <c r="D155" s="181" t="s">
        <v>295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26" t="s">
        <v>131</v>
      </c>
      <c r="D156" s="181" t="s">
        <v>105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26" t="s">
        <v>131</v>
      </c>
      <c r="D157" s="181" t="s">
        <v>105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26" t="s">
        <v>290</v>
      </c>
      <c r="D158" s="181" t="s">
        <v>105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441</v>
      </c>
      <c r="C159" s="226" t="s">
        <v>442</v>
      </c>
      <c r="D159" s="181" t="s">
        <v>105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445</v>
      </c>
      <c r="C160" s="226" t="s">
        <v>446</v>
      </c>
      <c r="D160" s="181" t="s">
        <v>105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26" t="s">
        <v>302</v>
      </c>
      <c r="D161" s="181" t="s">
        <v>416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26" t="s">
        <v>302</v>
      </c>
      <c r="D162" s="181" t="s">
        <v>416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26" t="s">
        <v>302</v>
      </c>
      <c r="D163" s="181" t="s">
        <v>416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26" t="s">
        <v>302</v>
      </c>
      <c r="D164" s="181" t="s">
        <v>416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26" t="s">
        <v>302</v>
      </c>
      <c r="D165" s="181" t="s">
        <v>416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26" t="s">
        <v>302</v>
      </c>
      <c r="D166" s="181" t="s">
        <v>416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26" t="s">
        <v>302</v>
      </c>
      <c r="D167" s="181" t="s">
        <v>416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26" t="s">
        <v>302</v>
      </c>
      <c r="D168" s="181" t="s">
        <v>306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26" t="s">
        <v>302</v>
      </c>
      <c r="D169" s="181" t="s">
        <v>306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26" t="s">
        <v>302</v>
      </c>
      <c r="D170" s="181" t="s">
        <v>306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26" t="s">
        <v>302</v>
      </c>
      <c r="D171" s="181" t="s">
        <v>306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26" t="s">
        <v>302</v>
      </c>
      <c r="D172" s="181" t="s">
        <v>306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26" t="s">
        <v>302</v>
      </c>
      <c r="D173" s="181" t="s">
        <v>306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26" t="s">
        <v>302</v>
      </c>
      <c r="D174" s="181" t="s">
        <v>306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26" t="s">
        <v>167</v>
      </c>
      <c r="D175" s="181" t="s">
        <v>177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26" t="s">
        <v>167</v>
      </c>
      <c r="D176" s="181" t="s">
        <v>177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26" t="s">
        <v>167</v>
      </c>
      <c r="D177" s="181" t="s">
        <v>263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26" t="s">
        <v>167</v>
      </c>
      <c r="D178" s="181" t="s">
        <v>301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26" t="s">
        <v>13</v>
      </c>
      <c r="D179" s="181" t="s">
        <v>414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26" t="s">
        <v>13</v>
      </c>
      <c r="D180" s="181" t="s">
        <v>414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26" t="s">
        <v>13</v>
      </c>
      <c r="D181" s="181" t="s">
        <v>414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26" t="s">
        <v>13</v>
      </c>
      <c r="D182" s="181" t="s">
        <v>414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26" t="s">
        <v>13</v>
      </c>
      <c r="D183" s="181" t="s">
        <v>414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26" t="s">
        <v>13</v>
      </c>
      <c r="D184" s="181" t="s">
        <v>262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26" t="s">
        <v>13</v>
      </c>
      <c r="D185" s="181" t="s">
        <v>262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26" t="s">
        <v>167</v>
      </c>
      <c r="D186" s="181" t="s">
        <v>262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26" t="s">
        <v>167</v>
      </c>
      <c r="D187" s="181" t="s">
        <v>262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26" t="s">
        <v>13</v>
      </c>
      <c r="D188" s="181" t="s">
        <v>28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26" t="s">
        <v>13</v>
      </c>
      <c r="D189" s="181" t="s">
        <v>150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34" t="s">
        <v>431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8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65" t="s">
        <v>126</v>
      </c>
      <c r="B1" s="465"/>
      <c r="C1" s="465"/>
      <c r="D1" s="465"/>
      <c r="E1" s="465"/>
      <c r="F1" s="465"/>
    </row>
    <row r="2" spans="1:6" ht="18.75">
      <c r="A2" s="466" t="s">
        <v>62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948475.67999999993</v>
      </c>
      <c r="E4" s="12">
        <f>SUMMARY!F3</f>
        <v>79039.64</v>
      </c>
      <c r="F4" s="1"/>
    </row>
    <row r="5" spans="1:6" ht="18.75">
      <c r="A5" s="442" t="s">
        <v>65</v>
      </c>
      <c r="B5" s="442"/>
      <c r="C5" s="442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442" t="s">
        <v>66</v>
      </c>
      <c r="B6" s="442"/>
      <c r="C6" s="442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442" t="s">
        <v>63</v>
      </c>
      <c r="B7" s="442"/>
      <c r="C7" s="442"/>
      <c r="D7" s="12">
        <f t="shared" si="0"/>
        <v>962932.56</v>
      </c>
      <c r="E7" s="12">
        <f>SUMMARY!J3</f>
        <v>80244.38</v>
      </c>
      <c r="F7" s="1"/>
    </row>
    <row r="8" spans="1:6" ht="18.75">
      <c r="A8" s="442" t="s">
        <v>67</v>
      </c>
      <c r="B8" s="442"/>
      <c r="C8" s="442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442" t="s">
        <v>68</v>
      </c>
      <c r="B9" s="442"/>
      <c r="C9" s="442"/>
      <c r="D9" s="12">
        <f t="shared" si="0"/>
        <v>3319664.88</v>
      </c>
      <c r="E9" s="12">
        <f>SUMMARY!L3</f>
        <v>276638.74</v>
      </c>
      <c r="F9" s="1"/>
    </row>
    <row r="10" spans="1:6" ht="18.75">
      <c r="A10" s="447" t="s">
        <v>91</v>
      </c>
      <c r="B10" s="464"/>
      <c r="C10" s="448"/>
      <c r="D10" s="12">
        <f>E10*12</f>
        <v>0</v>
      </c>
      <c r="E10" s="12"/>
      <c r="F10" s="1"/>
    </row>
    <row r="11" spans="1:6" ht="18.75">
      <c r="A11" s="442" t="s">
        <v>69</v>
      </c>
      <c r="B11" s="442"/>
      <c r="C11" s="442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442" t="s">
        <v>70</v>
      </c>
      <c r="B12" s="442"/>
      <c r="C12" s="442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442" t="s">
        <v>71</v>
      </c>
      <c r="B13" s="442"/>
      <c r="C13" s="442"/>
      <c r="D13" s="12">
        <f t="shared" si="0"/>
        <v>240000</v>
      </c>
      <c r="E13" s="12">
        <f>SUMMARY!P3</f>
        <v>20000</v>
      </c>
      <c r="F13" s="1"/>
    </row>
    <row r="14" spans="1:6" ht="18.75">
      <c r="A14" s="461" t="s">
        <v>74</v>
      </c>
      <c r="B14" s="461"/>
      <c r="C14" s="461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67" t="s">
        <v>194</v>
      </c>
      <c r="B1" s="467"/>
      <c r="C1" s="467"/>
      <c r="D1" s="467"/>
      <c r="E1" s="467"/>
      <c r="F1" s="467"/>
    </row>
    <row r="2" spans="1:6" ht="18.75">
      <c r="A2" s="466" t="s">
        <v>76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 t="e">
        <f>E4*12</f>
        <v>#REF!</v>
      </c>
      <c r="E4" s="12" t="e">
        <f>'JANUARY 2024'!#REF!</f>
        <v>#REF!</v>
      </c>
      <c r="F4" s="1"/>
    </row>
    <row r="5" spans="1:6" ht="18.75">
      <c r="A5" s="442" t="s">
        <v>65</v>
      </c>
      <c r="B5" s="442"/>
      <c r="C5" s="442"/>
      <c r="D5" s="12" t="e">
        <f t="shared" ref="D5:D13" si="0">E5*12</f>
        <v>#REF!</v>
      </c>
      <c r="E5" s="12" t="e">
        <f>'JANUARY 2024'!#REF!</f>
        <v>#REF!</v>
      </c>
      <c r="F5" s="1"/>
    </row>
    <row r="6" spans="1:6" ht="18.75">
      <c r="A6" s="442" t="s">
        <v>66</v>
      </c>
      <c r="B6" s="442"/>
      <c r="C6" s="442"/>
      <c r="D6" s="12" t="e">
        <f t="shared" si="0"/>
        <v>#REF!</v>
      </c>
      <c r="E6" s="12" t="e">
        <f>'JANUARY 2024'!#REF!</f>
        <v>#REF!</v>
      </c>
      <c r="F6" s="1"/>
    </row>
    <row r="7" spans="1:6" ht="18.75">
      <c r="A7" s="442" t="s">
        <v>63</v>
      </c>
      <c r="B7" s="442"/>
      <c r="C7" s="442"/>
      <c r="D7" s="12" t="e">
        <f t="shared" si="0"/>
        <v>#REF!</v>
      </c>
      <c r="E7" s="12" t="e">
        <f>'JANUARY 2024'!#REF!</f>
        <v>#REF!</v>
      </c>
      <c r="F7" s="1"/>
    </row>
    <row r="8" spans="1:6" ht="18.75">
      <c r="A8" s="442" t="s">
        <v>67</v>
      </c>
      <c r="B8" s="442"/>
      <c r="C8" s="442"/>
      <c r="D8" s="12" t="e">
        <f t="shared" si="0"/>
        <v>#REF!</v>
      </c>
      <c r="E8" s="12" t="e">
        <f>'JANUARY 2024'!#REF!</f>
        <v>#REF!</v>
      </c>
      <c r="F8" s="1"/>
    </row>
    <row r="9" spans="1:6" ht="18.75">
      <c r="A9" s="442" t="s">
        <v>68</v>
      </c>
      <c r="B9" s="442"/>
      <c r="C9" s="442"/>
      <c r="D9" s="12" t="e">
        <f t="shared" si="0"/>
        <v>#REF!</v>
      </c>
      <c r="E9" s="12" t="e">
        <f>'JANUARY 2024'!#REF!</f>
        <v>#REF!</v>
      </c>
      <c r="F9" s="1"/>
    </row>
    <row r="10" spans="1:6" ht="18.75">
      <c r="A10" s="442" t="s">
        <v>69</v>
      </c>
      <c r="B10" s="442"/>
      <c r="C10" s="442"/>
      <c r="D10" s="12" t="e">
        <f t="shared" si="0"/>
        <v>#REF!</v>
      </c>
      <c r="E10" s="12" t="e">
        <f>'JANUARY 2024'!#REF!</f>
        <v>#REF!</v>
      </c>
      <c r="F10" s="1"/>
    </row>
    <row r="11" spans="1:6" ht="18.75">
      <c r="A11" s="447" t="s">
        <v>198</v>
      </c>
      <c r="B11" s="464"/>
      <c r="C11" s="448"/>
      <c r="D11" s="12">
        <f t="shared" si="0"/>
        <v>1200000</v>
      </c>
      <c r="E11" s="12">
        <v>100000</v>
      </c>
      <c r="F11" s="1"/>
    </row>
    <row r="12" spans="1:6" ht="18.75">
      <c r="A12" s="442" t="s">
        <v>70</v>
      </c>
      <c r="B12" s="442"/>
      <c r="C12" s="442"/>
      <c r="D12" s="12" t="e">
        <f t="shared" si="0"/>
        <v>#REF!</v>
      </c>
      <c r="E12" s="12" t="e">
        <f>'JANUARY 2024'!#REF!</f>
        <v>#REF!</v>
      </c>
      <c r="F12" s="1"/>
    </row>
    <row r="13" spans="1:6" ht="18.75">
      <c r="A13" s="442" t="s">
        <v>71</v>
      </c>
      <c r="B13" s="442"/>
      <c r="C13" s="442"/>
      <c r="D13" s="12" t="e">
        <f t="shared" si="0"/>
        <v>#REF!</v>
      </c>
      <c r="E13" s="12" t="e">
        <f>'JANUARY 2024'!#REF!</f>
        <v>#REF!</v>
      </c>
      <c r="F13" s="1"/>
    </row>
    <row r="14" spans="1:6" ht="18.75">
      <c r="A14" s="461" t="s">
        <v>74</v>
      </c>
      <c r="B14" s="461"/>
      <c r="C14" s="461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67" t="s">
        <v>193</v>
      </c>
      <c r="B1" s="467"/>
      <c r="C1" s="467"/>
      <c r="D1" s="467"/>
      <c r="E1" s="467"/>
      <c r="F1" s="467"/>
    </row>
    <row r="2" spans="1:6" ht="18.75">
      <c r="A2" s="466" t="s">
        <v>156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511838.04</v>
      </c>
      <c r="E4" s="12">
        <f>'JANUARY 2024'!E98</f>
        <v>42653.17</v>
      </c>
      <c r="F4" s="1"/>
    </row>
    <row r="5" spans="1:6" ht="18.75">
      <c r="A5" s="442" t="s">
        <v>65</v>
      </c>
      <c r="B5" s="442"/>
      <c r="C5" s="442"/>
      <c r="D5" s="12">
        <f t="shared" ref="D5:D14" si="0">E5*12</f>
        <v>1535514.1199999999</v>
      </c>
      <c r="E5" s="12">
        <f>'JANUARY 2024'!G98</f>
        <v>127959.51</v>
      </c>
      <c r="F5" s="1"/>
    </row>
    <row r="6" spans="1:6" ht="18.75">
      <c r="A6" s="442" t="s">
        <v>66</v>
      </c>
      <c r="B6" s="442"/>
      <c r="C6" s="442"/>
      <c r="D6" s="12">
        <f t="shared" si="0"/>
        <v>38387.852999999996</v>
      </c>
      <c r="E6" s="12">
        <f>'JANUARY 2024'!H98</f>
        <v>3198.9877499999998</v>
      </c>
      <c r="F6" s="1"/>
    </row>
    <row r="7" spans="1:6" ht="18.75">
      <c r="A7" s="442" t="s">
        <v>63</v>
      </c>
      <c r="B7" s="442"/>
      <c r="C7" s="442"/>
      <c r="D7" s="12">
        <f t="shared" si="0"/>
        <v>481466.28</v>
      </c>
      <c r="E7" s="12">
        <f>'JANUARY 2024'!I98</f>
        <v>40122.19</v>
      </c>
      <c r="F7" s="1"/>
    </row>
    <row r="8" spans="1:6" ht="18.75">
      <c r="A8" s="442" t="s">
        <v>67</v>
      </c>
      <c r="B8" s="442"/>
      <c r="C8" s="442"/>
      <c r="D8" s="12">
        <f t="shared" si="0"/>
        <v>255919.02</v>
      </c>
      <c r="E8" s="12">
        <f>'JANUARY 2024'!J98</f>
        <v>21326.584999999999</v>
      </c>
      <c r="F8" s="1"/>
    </row>
    <row r="9" spans="1:6" ht="18.75">
      <c r="A9" s="442" t="s">
        <v>68</v>
      </c>
      <c r="B9" s="442"/>
      <c r="C9" s="442"/>
      <c r="D9" s="12">
        <f t="shared" si="0"/>
        <v>1791433.1400000001</v>
      </c>
      <c r="E9" s="12">
        <f>'JANUARY 2024'!K98</f>
        <v>149286.095</v>
      </c>
      <c r="F9" s="1"/>
    </row>
    <row r="10" spans="1:6" ht="18.75">
      <c r="A10" s="442" t="s">
        <v>69</v>
      </c>
      <c r="B10" s="442"/>
      <c r="C10" s="442"/>
      <c r="D10" s="12">
        <f t="shared" si="0"/>
        <v>511838.04</v>
      </c>
      <c r="E10" s="12">
        <f>'JANUARY 2024'!L98</f>
        <v>42653.17</v>
      </c>
      <c r="F10" s="1"/>
    </row>
    <row r="11" spans="1:6" ht="18.75">
      <c r="A11" s="447" t="s">
        <v>91</v>
      </c>
      <c r="B11" s="464"/>
      <c r="C11" s="448"/>
      <c r="D11" s="12">
        <f t="shared" si="0"/>
        <v>0</v>
      </c>
      <c r="E11" s="12">
        <v>0</v>
      </c>
      <c r="F11" s="1"/>
    </row>
    <row r="12" spans="1:6" ht="18.75">
      <c r="A12" s="442" t="s">
        <v>70</v>
      </c>
      <c r="B12" s="442"/>
      <c r="C12" s="442"/>
      <c r="D12" s="12">
        <f t="shared" si="0"/>
        <v>51183.804000000004</v>
      </c>
      <c r="E12" s="12">
        <f>'JANUARY 2024'!O98</f>
        <v>4265.317</v>
      </c>
      <c r="F12" s="1"/>
    </row>
    <row r="13" spans="1:6" ht="18.75">
      <c r="A13" s="442" t="s">
        <v>71</v>
      </c>
      <c r="B13" s="442"/>
      <c r="C13" s="442"/>
      <c r="D13" s="12">
        <f t="shared" si="0"/>
        <v>240000</v>
      </c>
      <c r="E13" s="12">
        <v>20000</v>
      </c>
      <c r="F13" s="1"/>
    </row>
    <row r="14" spans="1:6" ht="18.75">
      <c r="A14" s="461" t="s">
        <v>74</v>
      </c>
      <c r="B14" s="461"/>
      <c r="C14" s="461"/>
      <c r="D14" s="13">
        <f t="shared" si="0"/>
        <v>5417580.2970000003</v>
      </c>
      <c r="E14" s="13">
        <f>SUM(E4:E13)</f>
        <v>451465.02474999998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67" t="s">
        <v>191</v>
      </c>
      <c r="B1" s="467"/>
      <c r="C1" s="467"/>
      <c r="D1" s="467"/>
      <c r="E1" s="467"/>
      <c r="F1" s="467"/>
    </row>
    <row r="2" spans="1:6" ht="18.75">
      <c r="A2" s="466" t="s">
        <v>190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 t="e">
        <f>E4*12</f>
        <v>#REF!</v>
      </c>
      <c r="E4" s="12" t="e">
        <f>'JANUARY 2024'!#REF!</f>
        <v>#REF!</v>
      </c>
      <c r="F4" s="1"/>
    </row>
    <row r="5" spans="1:6" ht="18.75">
      <c r="A5" s="442" t="s">
        <v>65</v>
      </c>
      <c r="B5" s="442"/>
      <c r="C5" s="442"/>
      <c r="D5" s="12" t="e">
        <f t="shared" ref="D5:D14" si="0">E5*12</f>
        <v>#REF!</v>
      </c>
      <c r="E5" s="12" t="e">
        <f>'JANUARY 2024'!#REF!</f>
        <v>#REF!</v>
      </c>
      <c r="F5" s="1"/>
    </row>
    <row r="6" spans="1:6" ht="18.75">
      <c r="A6" s="442" t="s">
        <v>66</v>
      </c>
      <c r="B6" s="442"/>
      <c r="C6" s="442"/>
      <c r="D6" s="12" t="e">
        <f t="shared" si="0"/>
        <v>#REF!</v>
      </c>
      <c r="E6" s="12" t="e">
        <f>'JANUARY 2024'!#REF!</f>
        <v>#REF!</v>
      </c>
      <c r="F6" s="1"/>
    </row>
    <row r="7" spans="1:6" ht="18.75">
      <c r="A7" s="442" t="s">
        <v>63</v>
      </c>
      <c r="B7" s="442"/>
      <c r="C7" s="442"/>
      <c r="D7" s="12">
        <f t="shared" si="0"/>
        <v>0</v>
      </c>
      <c r="E7" s="12">
        <f>SUMMARY!J6</f>
        <v>0</v>
      </c>
      <c r="F7" s="1"/>
    </row>
    <row r="8" spans="1:6" ht="18.75">
      <c r="A8" s="442" t="s">
        <v>67</v>
      </c>
      <c r="B8" s="442"/>
      <c r="C8" s="442"/>
      <c r="D8" s="12" t="e">
        <f t="shared" si="0"/>
        <v>#REF!</v>
      </c>
      <c r="E8" s="12" t="e">
        <f>'JANUARY 2024'!#REF!</f>
        <v>#REF!</v>
      </c>
      <c r="F8" s="1"/>
    </row>
    <row r="9" spans="1:6" ht="18.75">
      <c r="A9" s="442" t="s">
        <v>68</v>
      </c>
      <c r="B9" s="442"/>
      <c r="C9" s="442"/>
      <c r="D9" s="12" t="e">
        <f t="shared" si="0"/>
        <v>#REF!</v>
      </c>
      <c r="E9" s="12" t="e">
        <f>'JANUARY 2024'!#REF!</f>
        <v>#REF!</v>
      </c>
      <c r="F9" s="1"/>
    </row>
    <row r="10" spans="1:6" ht="18.75">
      <c r="A10" s="442" t="s">
        <v>69</v>
      </c>
      <c r="B10" s="442"/>
      <c r="C10" s="442"/>
      <c r="D10" s="12" t="e">
        <f t="shared" si="0"/>
        <v>#REF!</v>
      </c>
      <c r="E10" s="12" t="e">
        <f>'JANUARY 2024'!#REF!</f>
        <v>#REF!</v>
      </c>
      <c r="F10" s="1"/>
    </row>
    <row r="11" spans="1:6" ht="18.75">
      <c r="A11" s="447" t="s">
        <v>91</v>
      </c>
      <c r="B11" s="464"/>
      <c r="C11" s="448"/>
      <c r="D11" s="12">
        <f t="shared" si="0"/>
        <v>0</v>
      </c>
      <c r="E11" s="12">
        <v>0</v>
      </c>
      <c r="F11" s="1"/>
    </row>
    <row r="12" spans="1:6" ht="18.75">
      <c r="A12" s="442" t="s">
        <v>70</v>
      </c>
      <c r="B12" s="442"/>
      <c r="C12" s="442"/>
      <c r="D12" s="12" t="e">
        <f t="shared" si="0"/>
        <v>#REF!</v>
      </c>
      <c r="E12" s="12" t="e">
        <f>'JANUARY 2024'!#REF!</f>
        <v>#REF!</v>
      </c>
      <c r="F12" s="1"/>
    </row>
    <row r="13" spans="1:6" ht="18.75">
      <c r="A13" s="442" t="s">
        <v>71</v>
      </c>
      <c r="B13" s="442"/>
      <c r="C13" s="442"/>
      <c r="D13" s="12" t="e">
        <f t="shared" si="0"/>
        <v>#REF!</v>
      </c>
      <c r="E13" s="12" t="e">
        <f>'JANUARY 2024'!#REF!</f>
        <v>#REF!</v>
      </c>
      <c r="F13" s="1"/>
    </row>
    <row r="14" spans="1:6" ht="18.75">
      <c r="A14" s="461" t="s">
        <v>74</v>
      </c>
      <c r="B14" s="461"/>
      <c r="C14" s="46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67"/>
      <c r="B1" s="467"/>
      <c r="C1" s="467"/>
      <c r="D1" s="467"/>
      <c r="E1" s="467"/>
      <c r="F1" s="467"/>
    </row>
    <row r="2" spans="1:6" ht="18.75">
      <c r="A2" s="466"/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255527.52</v>
      </c>
      <c r="E4" s="12">
        <f>SUMMARY!F7</f>
        <v>21293.96</v>
      </c>
      <c r="F4" s="1"/>
    </row>
    <row r="5" spans="1:6" ht="18.75">
      <c r="A5" s="442" t="s">
        <v>65</v>
      </c>
      <c r="B5" s="442"/>
      <c r="C5" s="442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442" t="s">
        <v>66</v>
      </c>
      <c r="B6" s="442"/>
      <c r="C6" s="442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442" t="s">
        <v>63</v>
      </c>
      <c r="B7" s="442"/>
      <c r="C7" s="442"/>
      <c r="D7" s="12">
        <f t="shared" si="0"/>
        <v>0</v>
      </c>
      <c r="E7" s="12">
        <f>SUMMARY!J6</f>
        <v>0</v>
      </c>
      <c r="F7" s="1"/>
    </row>
    <row r="8" spans="1:6" ht="18.75">
      <c r="A8" s="442" t="s">
        <v>67</v>
      </c>
      <c r="B8" s="442"/>
      <c r="C8" s="442"/>
      <c r="D8" s="12">
        <f t="shared" si="0"/>
        <v>127763.76</v>
      </c>
      <c r="E8" s="12">
        <f>SUMMARY!K7</f>
        <v>10646.98</v>
      </c>
      <c r="F8" s="1"/>
    </row>
    <row r="9" spans="1:6" ht="18.75">
      <c r="A9" s="442" t="s">
        <v>68</v>
      </c>
      <c r="B9" s="442"/>
      <c r="C9" s="442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442" t="s">
        <v>69</v>
      </c>
      <c r="B10" s="442"/>
      <c r="C10" s="442"/>
      <c r="D10" s="12">
        <f t="shared" si="0"/>
        <v>255527.52</v>
      </c>
      <c r="E10" s="12">
        <f>SUMMARY!N7</f>
        <v>21293.96</v>
      </c>
      <c r="F10" s="1"/>
    </row>
    <row r="11" spans="1:6" ht="18.75">
      <c r="A11" s="442" t="s">
        <v>70</v>
      </c>
      <c r="B11" s="442"/>
      <c r="C11" s="442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442" t="s">
        <v>71</v>
      </c>
      <c r="B12" s="442"/>
      <c r="C12" s="442"/>
      <c r="D12" s="12">
        <f t="shared" si="0"/>
        <v>120000</v>
      </c>
      <c r="E12" s="12">
        <f>SUMMARY!P7</f>
        <v>10000</v>
      </c>
      <c r="F12" s="1"/>
    </row>
    <row r="13" spans="1:6" ht="18.75">
      <c r="A13" s="461" t="s">
        <v>74</v>
      </c>
      <c r="B13" s="461"/>
      <c r="C13" s="461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67" t="s">
        <v>82</v>
      </c>
      <c r="B1" s="467"/>
      <c r="C1" s="467"/>
      <c r="D1" s="467"/>
      <c r="E1" s="467"/>
      <c r="F1" s="467"/>
    </row>
    <row r="2" spans="1:6" ht="18.75">
      <c r="A2" s="466" t="s">
        <v>83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442" t="s">
        <v>65</v>
      </c>
      <c r="B5" s="442"/>
      <c r="C5" s="442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442" t="s">
        <v>66</v>
      </c>
      <c r="B6" s="442"/>
      <c r="C6" s="442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442" t="s">
        <v>63</v>
      </c>
      <c r="B7" s="442"/>
      <c r="C7" s="442"/>
      <c r="D7" s="12">
        <f t="shared" si="0"/>
        <v>0</v>
      </c>
      <c r="E7" s="12">
        <f>SUMMARY!J6</f>
        <v>0</v>
      </c>
      <c r="F7" s="1"/>
    </row>
    <row r="8" spans="1:6" ht="18.75">
      <c r="A8" s="442" t="s">
        <v>67</v>
      </c>
      <c r="B8" s="442"/>
      <c r="C8" s="442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442" t="s">
        <v>68</v>
      </c>
      <c r="B9" s="442"/>
      <c r="C9" s="442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442" t="s">
        <v>69</v>
      </c>
      <c r="B10" s="442"/>
      <c r="C10" s="442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447" t="s">
        <v>91</v>
      </c>
      <c r="B11" s="464"/>
      <c r="C11" s="448"/>
      <c r="D11" s="12">
        <f t="shared" si="0"/>
        <v>480000</v>
      </c>
      <c r="E11" s="12">
        <v>40000</v>
      </c>
      <c r="F11" s="1"/>
    </row>
    <row r="12" spans="1:6" ht="18.75">
      <c r="A12" s="442" t="s">
        <v>70</v>
      </c>
      <c r="B12" s="442"/>
      <c r="C12" s="442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442" t="s">
        <v>71</v>
      </c>
      <c r="B13" s="442"/>
      <c r="C13" s="442"/>
      <c r="D13" s="12">
        <f t="shared" si="0"/>
        <v>120000</v>
      </c>
      <c r="E13" s="12">
        <f>SUMMARY!P7</f>
        <v>10000</v>
      </c>
      <c r="F13" s="1"/>
    </row>
    <row r="14" spans="1:6" ht="18.75">
      <c r="A14" s="461" t="s">
        <v>74</v>
      </c>
      <c r="B14" s="461"/>
      <c r="C14" s="461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67" t="s">
        <v>86</v>
      </c>
      <c r="B1" s="467"/>
      <c r="C1" s="467"/>
      <c r="D1" s="467"/>
      <c r="E1" s="467"/>
      <c r="F1" s="467"/>
    </row>
    <row r="2" spans="1:6" ht="18.75">
      <c r="A2" s="466" t="s">
        <v>89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176833.68</v>
      </c>
      <c r="E4" s="12">
        <f>SUMMARY!F9</f>
        <v>14736.14</v>
      </c>
      <c r="F4" s="1"/>
    </row>
    <row r="5" spans="1:6" ht="18.75">
      <c r="A5" s="442" t="s">
        <v>65</v>
      </c>
      <c r="B5" s="442"/>
      <c r="C5" s="442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442" t="s">
        <v>66</v>
      </c>
      <c r="B6" s="442"/>
      <c r="C6" s="442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442" t="s">
        <v>63</v>
      </c>
      <c r="B7" s="442"/>
      <c r="C7" s="442"/>
      <c r="D7" s="12">
        <f t="shared" si="0"/>
        <v>0</v>
      </c>
      <c r="E7" s="12">
        <f>SUMMARY!J6</f>
        <v>0</v>
      </c>
      <c r="F7" s="1"/>
    </row>
    <row r="8" spans="1:6" ht="18.75">
      <c r="A8" s="442" t="s">
        <v>67</v>
      </c>
      <c r="B8" s="442"/>
      <c r="C8" s="442"/>
      <c r="D8" s="12">
        <f t="shared" si="0"/>
        <v>88416.84</v>
      </c>
      <c r="E8" s="12">
        <f>SUMMARY!K9</f>
        <v>7368.07</v>
      </c>
      <c r="F8" s="1"/>
    </row>
    <row r="9" spans="1:6" ht="18.75">
      <c r="A9" s="442" t="s">
        <v>68</v>
      </c>
      <c r="B9" s="442"/>
      <c r="C9" s="442"/>
      <c r="D9" s="12">
        <f t="shared" si="0"/>
        <v>618917.88</v>
      </c>
      <c r="E9" s="12">
        <f>SUMMARY!L9</f>
        <v>51576.49</v>
      </c>
      <c r="F9" s="1"/>
    </row>
    <row r="10" spans="1:6" ht="18.75">
      <c r="A10" s="442" t="s">
        <v>69</v>
      </c>
      <c r="B10" s="442"/>
      <c r="C10" s="442"/>
      <c r="D10" s="12">
        <f t="shared" si="0"/>
        <v>176833.68</v>
      </c>
      <c r="E10" s="12">
        <f>SUMMARY!N9</f>
        <v>14736.14</v>
      </c>
      <c r="F10" s="1"/>
    </row>
    <row r="11" spans="1:6" ht="18.75">
      <c r="A11" s="447" t="s">
        <v>96</v>
      </c>
      <c r="B11" s="464"/>
      <c r="C11" s="448"/>
      <c r="D11" s="12">
        <f t="shared" si="0"/>
        <v>480000</v>
      </c>
      <c r="E11" s="12">
        <v>40000</v>
      </c>
      <c r="F11" s="1"/>
    </row>
    <row r="12" spans="1:6" ht="18.75">
      <c r="A12" s="442" t="s">
        <v>70</v>
      </c>
      <c r="B12" s="442"/>
      <c r="C12" s="442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442" t="s">
        <v>71</v>
      </c>
      <c r="B13" s="442"/>
      <c r="C13" s="442"/>
      <c r="D13" s="12">
        <f t="shared" si="0"/>
        <v>120000</v>
      </c>
      <c r="E13" s="12">
        <f>SUMMARY!P7</f>
        <v>10000</v>
      </c>
      <c r="F13" s="1"/>
    </row>
    <row r="14" spans="1:6" ht="18.75">
      <c r="A14" s="461" t="s">
        <v>74</v>
      </c>
      <c r="B14" s="461"/>
      <c r="C14" s="461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67" t="s">
        <v>133</v>
      </c>
      <c r="B1" s="467"/>
      <c r="C1" s="467"/>
      <c r="D1" s="467"/>
      <c r="E1" s="467"/>
      <c r="F1" s="467"/>
    </row>
    <row r="2" spans="1:6" ht="18.75">
      <c r="A2" s="466"/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320791.80000000005</v>
      </c>
      <c r="E4" s="12">
        <f>'JANUARY 2024'!E78</f>
        <v>26732.65</v>
      </c>
      <c r="F4" s="1"/>
    </row>
    <row r="5" spans="1:6" ht="18.75">
      <c r="A5" s="442" t="s">
        <v>65</v>
      </c>
      <c r="B5" s="442"/>
      <c r="C5" s="442"/>
      <c r="D5" s="12" t="e">
        <f t="shared" ref="D5:D12" si="0">E5*12</f>
        <v>#REF!</v>
      </c>
      <c r="E5" s="12" t="e">
        <f>'JANUARY 2024'!#REF!</f>
        <v>#REF!</v>
      </c>
      <c r="F5" s="1"/>
    </row>
    <row r="6" spans="1:6" ht="18.75">
      <c r="A6" s="442" t="s">
        <v>66</v>
      </c>
      <c r="B6" s="442"/>
      <c r="C6" s="442"/>
      <c r="D6" s="12" t="e">
        <f t="shared" si="0"/>
        <v>#REF!</v>
      </c>
      <c r="E6" s="12" t="e">
        <f>'JANUARY 2024'!#REF!</f>
        <v>#REF!</v>
      </c>
      <c r="F6" s="1"/>
    </row>
    <row r="7" spans="1:6" ht="18.75">
      <c r="A7" s="442" t="s">
        <v>67</v>
      </c>
      <c r="B7" s="442"/>
      <c r="C7" s="442"/>
      <c r="D7" s="12">
        <f t="shared" si="0"/>
        <v>165667.38</v>
      </c>
      <c r="E7" s="12">
        <f>'JANUARY 2024'!J125</f>
        <v>13805.615</v>
      </c>
      <c r="F7" s="1"/>
    </row>
    <row r="8" spans="1:6" ht="18.75">
      <c r="A8" s="442" t="s">
        <v>68</v>
      </c>
      <c r="B8" s="442"/>
      <c r="C8" s="442"/>
      <c r="D8" s="12" t="e">
        <f t="shared" si="0"/>
        <v>#REF!</v>
      </c>
      <c r="E8" s="12" t="e">
        <f>'JANUARY 2024'!#REF!</f>
        <v>#REF!</v>
      </c>
      <c r="F8" s="1"/>
    </row>
    <row r="9" spans="1:6" ht="18.75">
      <c r="A9" s="442" t="s">
        <v>69</v>
      </c>
      <c r="B9" s="442"/>
      <c r="C9" s="442"/>
      <c r="D9" s="12">
        <f t="shared" si="0"/>
        <v>331334.76</v>
      </c>
      <c r="E9" s="12">
        <f>'JANUARY 2024'!L125</f>
        <v>27611.23</v>
      </c>
      <c r="F9" s="1"/>
    </row>
    <row r="10" spans="1:6" ht="18.75">
      <c r="A10" s="442" t="s">
        <v>70</v>
      </c>
      <c r="B10" s="442"/>
      <c r="C10" s="442"/>
      <c r="D10" s="12" t="e">
        <f t="shared" si="0"/>
        <v>#REF!</v>
      </c>
      <c r="E10" s="12" t="e">
        <f>'JANUARY 2024'!#REF!</f>
        <v>#REF!</v>
      </c>
      <c r="F10" s="1"/>
    </row>
    <row r="11" spans="1:6" ht="18.75">
      <c r="A11" s="442" t="s">
        <v>71</v>
      </c>
      <c r="B11" s="442"/>
      <c r="C11" s="442"/>
      <c r="D11" s="12">
        <f t="shared" si="0"/>
        <v>240000</v>
      </c>
      <c r="E11" s="12">
        <f>'JANUARY 2024'!P125</f>
        <v>20000</v>
      </c>
      <c r="F11" s="1"/>
    </row>
    <row r="12" spans="1:6" ht="18.75">
      <c r="A12" s="461" t="s">
        <v>74</v>
      </c>
      <c r="B12" s="461"/>
      <c r="C12" s="461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468" t="s">
        <v>77</v>
      </c>
      <c r="B3" s="469"/>
      <c r="C3" s="470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468" t="s">
        <v>145</v>
      </c>
      <c r="B4" s="469"/>
      <c r="C4" s="470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471" t="s">
        <v>78</v>
      </c>
      <c r="B5" s="472"/>
      <c r="C5" s="473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468" t="s">
        <v>80</v>
      </c>
      <c r="B6" s="469"/>
      <c r="C6" s="470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468" t="s">
        <v>94</v>
      </c>
      <c r="B7" s="469"/>
      <c r="C7" s="470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468" t="s">
        <v>84</v>
      </c>
      <c r="B8" s="469"/>
      <c r="C8" s="470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468" t="s">
        <v>87</v>
      </c>
      <c r="B9" s="469"/>
      <c r="C9" s="470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468"/>
      <c r="B10" s="469"/>
      <c r="C10" s="470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67" t="s">
        <v>157</v>
      </c>
      <c r="B1" s="467"/>
      <c r="C1" s="467"/>
      <c r="D1" s="467"/>
      <c r="E1" s="467"/>
      <c r="F1" s="467"/>
    </row>
    <row r="2" spans="1:6" ht="18.75">
      <c r="A2" s="466" t="s">
        <v>97</v>
      </c>
      <c r="B2" s="466"/>
      <c r="C2" s="466"/>
      <c r="D2" s="466"/>
      <c r="E2" s="466"/>
      <c r="F2" s="466"/>
    </row>
    <row r="3" spans="1:6" ht="18.75">
      <c r="A3" s="442"/>
      <c r="B3" s="442"/>
      <c r="C3" s="442"/>
      <c r="D3" s="3" t="s">
        <v>72</v>
      </c>
      <c r="E3" s="3" t="s">
        <v>73</v>
      </c>
      <c r="F3" s="11"/>
    </row>
    <row r="4" spans="1:6" ht="18.75">
      <c r="A4" s="442" t="s">
        <v>64</v>
      </c>
      <c r="B4" s="442"/>
      <c r="C4" s="442"/>
      <c r="D4" s="12">
        <f>E4*12</f>
        <v>299709.72000000003</v>
      </c>
      <c r="E4" s="12">
        <f>SUMMARY!F5</f>
        <v>24975.81</v>
      </c>
      <c r="F4" s="1"/>
    </row>
    <row r="5" spans="1:6" ht="18.75">
      <c r="A5" s="442" t="s">
        <v>65</v>
      </c>
      <c r="B5" s="442"/>
      <c r="C5" s="442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442" t="s">
        <v>66</v>
      </c>
      <c r="B6" s="442"/>
      <c r="C6" s="442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442" t="s">
        <v>63</v>
      </c>
      <c r="B7" s="442"/>
      <c r="C7" s="442"/>
      <c r="D7" s="12">
        <f t="shared" si="0"/>
        <v>0</v>
      </c>
      <c r="E7" s="12">
        <f>SUMMARY!J6</f>
        <v>0</v>
      </c>
      <c r="F7" s="1"/>
    </row>
    <row r="8" spans="1:6" ht="18.75">
      <c r="A8" s="442" t="s">
        <v>67</v>
      </c>
      <c r="B8" s="442"/>
      <c r="C8" s="442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442" t="s">
        <v>68</v>
      </c>
      <c r="B9" s="442"/>
      <c r="C9" s="442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442" t="s">
        <v>69</v>
      </c>
      <c r="B10" s="442"/>
      <c r="C10" s="442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447" t="s">
        <v>91</v>
      </c>
      <c r="B11" s="464"/>
      <c r="C11" s="448"/>
      <c r="D11" s="12">
        <f t="shared" si="0"/>
        <v>0</v>
      </c>
      <c r="E11" s="12">
        <v>0</v>
      </c>
      <c r="F11" s="1"/>
    </row>
    <row r="12" spans="1:6" ht="18.75">
      <c r="A12" s="442" t="s">
        <v>70</v>
      </c>
      <c r="B12" s="442"/>
      <c r="C12" s="442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442" t="s">
        <v>71</v>
      </c>
      <c r="B13" s="442"/>
      <c r="C13" s="442"/>
      <c r="D13" s="12">
        <f t="shared" si="0"/>
        <v>240000</v>
      </c>
      <c r="E13" s="12">
        <f>SUMMARY!Q5</f>
        <v>20000</v>
      </c>
      <c r="F13" s="1"/>
    </row>
    <row r="14" spans="1:6" ht="18.75">
      <c r="A14" s="461" t="s">
        <v>74</v>
      </c>
      <c r="B14" s="461"/>
      <c r="C14" s="461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66" t="s">
        <v>155</v>
      </c>
      <c r="B1" s="466"/>
      <c r="C1" s="466"/>
    </row>
    <row r="2" spans="1:3" ht="18.75">
      <c r="A2" s="466" t="s">
        <v>156</v>
      </c>
      <c r="B2" s="466"/>
      <c r="C2" s="466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'JANUARY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'JANUARY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4" customWidth="1"/>
    <col min="2" max="2" width="42.42578125" style="164" customWidth="1"/>
    <col min="3" max="3" width="40.42578125" style="164" customWidth="1"/>
    <col min="4" max="4" width="11.5703125" style="164" customWidth="1"/>
    <col min="5" max="5" width="21.7109375" style="164" customWidth="1"/>
    <col min="6" max="16384" width="9.140625" style="164"/>
  </cols>
  <sheetData>
    <row r="1" spans="1:5" ht="27" customHeight="1">
      <c r="A1" s="474" t="s">
        <v>234</v>
      </c>
      <c r="B1" s="474"/>
      <c r="C1" s="474"/>
      <c r="D1" s="474"/>
    </row>
    <row r="2" spans="1:5" ht="33.75" customHeight="1">
      <c r="A2" s="423" t="s">
        <v>549</v>
      </c>
      <c r="B2" s="423"/>
      <c r="C2" s="423"/>
      <c r="D2" s="423"/>
    </row>
    <row r="3" spans="1:5" ht="9.75" customHeight="1"/>
    <row r="4" spans="1:5" ht="33" customHeight="1">
      <c r="A4" s="20"/>
      <c r="B4" s="170" t="s">
        <v>0</v>
      </c>
      <c r="C4" s="171" t="s">
        <v>12</v>
      </c>
      <c r="D4" s="172" t="s">
        <v>309</v>
      </c>
    </row>
    <row r="5" spans="1:5" ht="17.25" customHeight="1">
      <c r="C5" s="177"/>
      <c r="D5" s="177"/>
    </row>
    <row r="6" spans="1:5" ht="20.100000000000001" customHeight="1">
      <c r="A6" s="176" t="s">
        <v>143</v>
      </c>
      <c r="B6" s="177" t="s">
        <v>433</v>
      </c>
      <c r="C6" s="177"/>
      <c r="D6" s="177"/>
    </row>
    <row r="7" spans="1:5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180"/>
    </row>
    <row r="8" spans="1:5" ht="20.100000000000001" customHeight="1">
      <c r="A8" s="28">
        <v>2</v>
      </c>
      <c r="B8" s="156" t="s">
        <v>137</v>
      </c>
      <c r="C8" s="20" t="s">
        <v>540</v>
      </c>
      <c r="D8" s="28" t="s">
        <v>160</v>
      </c>
      <c r="E8" s="180"/>
    </row>
    <row r="9" spans="1:5" ht="20.100000000000001" customHeight="1">
      <c r="A9" s="28">
        <v>3</v>
      </c>
      <c r="B9" s="156" t="s">
        <v>315</v>
      </c>
      <c r="C9" s="161" t="s">
        <v>316</v>
      </c>
      <c r="D9" s="28" t="s">
        <v>496</v>
      </c>
      <c r="E9" s="180"/>
    </row>
    <row r="10" spans="1:5" ht="20.100000000000001" customHeight="1">
      <c r="A10" s="28">
        <v>4</v>
      </c>
      <c r="B10" s="158" t="s">
        <v>317</v>
      </c>
      <c r="C10" s="20" t="s">
        <v>418</v>
      </c>
      <c r="D10" s="181" t="s">
        <v>221</v>
      </c>
      <c r="E10" s="180"/>
    </row>
    <row r="11" spans="1:5" ht="20.100000000000001" customHeight="1">
      <c r="A11" s="28">
        <v>5</v>
      </c>
      <c r="B11" s="158" t="s">
        <v>112</v>
      </c>
      <c r="C11" s="20" t="s">
        <v>473</v>
      </c>
      <c r="D11" s="24" t="s">
        <v>221</v>
      </c>
      <c r="E11" s="180"/>
    </row>
    <row r="12" spans="1:5" ht="20.100000000000001" customHeight="1">
      <c r="A12" s="28">
        <v>6</v>
      </c>
      <c r="B12" s="156" t="s">
        <v>187</v>
      </c>
      <c r="C12" s="112" t="s">
        <v>474</v>
      </c>
      <c r="D12" s="24" t="s">
        <v>221</v>
      </c>
      <c r="E12" s="180"/>
    </row>
    <row r="13" spans="1:5" ht="20.100000000000001" customHeight="1">
      <c r="A13" s="28">
        <v>7</v>
      </c>
      <c r="B13" s="158" t="s">
        <v>203</v>
      </c>
      <c r="C13" s="20" t="s">
        <v>475</v>
      </c>
      <c r="D13" s="24" t="s">
        <v>221</v>
      </c>
      <c r="E13" s="180"/>
    </row>
    <row r="14" spans="1:5" ht="20.100000000000001" customHeight="1">
      <c r="A14" s="28">
        <v>8</v>
      </c>
      <c r="B14" s="156" t="s">
        <v>111</v>
      </c>
      <c r="C14" s="161" t="s">
        <v>468</v>
      </c>
      <c r="D14" s="181" t="s">
        <v>75</v>
      </c>
      <c r="E14" s="180"/>
    </row>
    <row r="15" spans="1:5" ht="20.100000000000001" customHeight="1">
      <c r="A15" s="28">
        <v>9</v>
      </c>
      <c r="B15" s="157" t="s">
        <v>333</v>
      </c>
      <c r="C15" s="161" t="s">
        <v>387</v>
      </c>
      <c r="D15" s="28" t="s">
        <v>412</v>
      </c>
      <c r="E15" s="180"/>
    </row>
    <row r="16" spans="1:5" ht="20.100000000000001" customHeight="1">
      <c r="A16" s="28">
        <v>10</v>
      </c>
      <c r="B16" s="160" t="s">
        <v>220</v>
      </c>
      <c r="C16" s="20" t="s">
        <v>388</v>
      </c>
      <c r="D16" s="24" t="s">
        <v>181</v>
      </c>
      <c r="E16" s="180"/>
    </row>
    <row r="17" spans="1:5" ht="19.5" customHeight="1">
      <c r="A17" s="28">
        <v>11</v>
      </c>
      <c r="B17" s="158" t="s">
        <v>144</v>
      </c>
      <c r="C17" s="20" t="s">
        <v>389</v>
      </c>
      <c r="D17" s="28" t="s">
        <v>181</v>
      </c>
      <c r="E17" s="180"/>
    </row>
    <row r="18" spans="1:5" ht="19.5" customHeight="1">
      <c r="A18" s="28">
        <v>12</v>
      </c>
      <c r="B18" s="158" t="s">
        <v>139</v>
      </c>
      <c r="C18" s="20" t="s">
        <v>386</v>
      </c>
      <c r="D18" s="28" t="s">
        <v>181</v>
      </c>
      <c r="E18" s="180"/>
    </row>
    <row r="19" spans="1:5" ht="20.100000000000001" customHeight="1">
      <c r="A19" s="28">
        <v>13</v>
      </c>
      <c r="B19" s="156" t="s">
        <v>18</v>
      </c>
      <c r="C19" s="20" t="s">
        <v>389</v>
      </c>
      <c r="D19" s="181" t="s">
        <v>181</v>
      </c>
      <c r="E19" s="180"/>
    </row>
    <row r="20" spans="1:5" ht="20.100000000000001" customHeight="1">
      <c r="A20" s="28">
        <v>14</v>
      </c>
      <c r="B20" s="156" t="s">
        <v>334</v>
      </c>
      <c r="C20" s="161" t="s">
        <v>351</v>
      </c>
      <c r="D20" s="181" t="s">
        <v>163</v>
      </c>
      <c r="E20" s="180"/>
    </row>
    <row r="21" spans="1:5" ht="20.100000000000001" customHeight="1">
      <c r="A21" s="28">
        <v>15</v>
      </c>
      <c r="B21" s="157" t="s">
        <v>291</v>
      </c>
      <c r="C21" s="20" t="s">
        <v>346</v>
      </c>
      <c r="D21" s="181" t="s">
        <v>413</v>
      </c>
      <c r="E21" s="180"/>
    </row>
    <row r="22" spans="1:5" ht="20.100000000000001" customHeight="1">
      <c r="A22" s="28">
        <v>16</v>
      </c>
      <c r="B22" s="156" t="s">
        <v>141</v>
      </c>
      <c r="C22" s="161" t="s">
        <v>391</v>
      </c>
      <c r="D22" s="181" t="s">
        <v>497</v>
      </c>
      <c r="E22" s="180"/>
    </row>
    <row r="23" spans="1:5" ht="18.75" customHeight="1">
      <c r="A23" s="28">
        <v>17</v>
      </c>
      <c r="B23" s="156" t="s">
        <v>253</v>
      </c>
      <c r="C23" s="161" t="s">
        <v>478</v>
      </c>
      <c r="D23" s="181" t="s">
        <v>415</v>
      </c>
      <c r="E23" s="180"/>
    </row>
    <row r="24" spans="1:5" ht="18.75" customHeight="1">
      <c r="A24" s="28">
        <v>18</v>
      </c>
      <c r="B24" s="157" t="s">
        <v>275</v>
      </c>
      <c r="C24" s="161" t="s">
        <v>314</v>
      </c>
      <c r="D24" s="181" t="s">
        <v>164</v>
      </c>
      <c r="E24" s="180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80"/>
    </row>
    <row r="26" spans="1:5" ht="18.75" customHeight="1">
      <c r="A26" s="28">
        <v>20</v>
      </c>
      <c r="B26" s="157" t="s">
        <v>254</v>
      </c>
      <c r="C26" s="161" t="s">
        <v>17</v>
      </c>
      <c r="D26" s="181" t="s">
        <v>498</v>
      </c>
      <c r="E26" s="180"/>
    </row>
    <row r="27" spans="1:5" ht="18.75" customHeight="1">
      <c r="A27" s="28">
        <v>21</v>
      </c>
      <c r="B27" s="156" t="s">
        <v>248</v>
      </c>
      <c r="C27" s="161" t="s">
        <v>480</v>
      </c>
      <c r="D27" s="181" t="s">
        <v>498</v>
      </c>
      <c r="E27" s="180"/>
    </row>
    <row r="28" spans="1:5" ht="18.75" customHeight="1">
      <c r="A28" s="28">
        <v>22</v>
      </c>
      <c r="B28" s="157" t="s">
        <v>288</v>
      </c>
      <c r="C28" s="161" t="s">
        <v>249</v>
      </c>
      <c r="D28" s="181" t="s">
        <v>267</v>
      </c>
      <c r="E28" s="180"/>
    </row>
    <row r="29" spans="1:5" ht="18.75" customHeight="1">
      <c r="A29" s="28">
        <v>23</v>
      </c>
      <c r="B29" s="157" t="s">
        <v>328</v>
      </c>
      <c r="C29" s="20" t="s">
        <v>329</v>
      </c>
      <c r="D29" s="28" t="s">
        <v>267</v>
      </c>
      <c r="E29" s="180"/>
    </row>
    <row r="30" spans="1:5" ht="18.75" customHeight="1">
      <c r="A30" s="28">
        <v>24</v>
      </c>
      <c r="B30" s="157" t="s">
        <v>360</v>
      </c>
      <c r="C30" s="112" t="s">
        <v>372</v>
      </c>
      <c r="D30" s="181" t="s">
        <v>498</v>
      </c>
      <c r="E30" s="180"/>
    </row>
    <row r="31" spans="1:5" ht="18.75" customHeight="1">
      <c r="A31" s="28">
        <v>25</v>
      </c>
      <c r="B31" s="157" t="s">
        <v>330</v>
      </c>
      <c r="C31" s="20" t="s">
        <v>533</v>
      </c>
      <c r="D31" s="28" t="s">
        <v>176</v>
      </c>
      <c r="E31" s="180"/>
    </row>
    <row r="32" spans="1:5" ht="18.75" customHeight="1">
      <c r="A32" s="28">
        <v>26</v>
      </c>
      <c r="B32" s="157" t="s">
        <v>274</v>
      </c>
      <c r="C32" s="161" t="s">
        <v>314</v>
      </c>
      <c r="D32" s="181" t="s">
        <v>176</v>
      </c>
      <c r="E32" s="180"/>
    </row>
    <row r="33" spans="1:5" ht="18.75" customHeight="1">
      <c r="A33" s="28">
        <v>27</v>
      </c>
      <c r="B33" s="157" t="s">
        <v>453</v>
      </c>
      <c r="C33" s="161" t="s">
        <v>314</v>
      </c>
      <c r="D33" s="181" t="s">
        <v>176</v>
      </c>
      <c r="E33" s="180"/>
    </row>
    <row r="34" spans="1:5" ht="18.75" customHeight="1">
      <c r="A34" s="28">
        <v>28</v>
      </c>
      <c r="B34" s="157" t="s">
        <v>535</v>
      </c>
      <c r="C34" s="161" t="s">
        <v>536</v>
      </c>
      <c r="D34" s="181" t="s">
        <v>105</v>
      </c>
      <c r="E34" s="180"/>
    </row>
    <row r="35" spans="1:5" ht="20.25" customHeight="1">
      <c r="A35" s="28"/>
      <c r="B35" s="159" t="s">
        <v>15</v>
      </c>
      <c r="C35" s="29">
        <v>28</v>
      </c>
      <c r="D35" s="181"/>
      <c r="E35" s="180"/>
    </row>
    <row r="36" spans="1:5" ht="18.75" customHeight="1">
      <c r="A36" s="28"/>
      <c r="B36" s="123"/>
      <c r="C36" s="20"/>
      <c r="D36" s="181"/>
      <c r="E36" s="180"/>
    </row>
    <row r="37" spans="1:5" ht="18.75" customHeight="1">
      <c r="A37" s="28"/>
      <c r="B37" s="159" t="s">
        <v>284</v>
      </c>
      <c r="C37" s="20"/>
      <c r="D37" s="181"/>
      <c r="E37" s="180"/>
    </row>
    <row r="38" spans="1:5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180"/>
    </row>
    <row r="39" spans="1:5" ht="18.75" customHeight="1">
      <c r="A39" s="28">
        <v>2</v>
      </c>
      <c r="B39" s="157" t="s">
        <v>419</v>
      </c>
      <c r="C39" s="20" t="s">
        <v>427</v>
      </c>
      <c r="D39" s="28" t="s">
        <v>105</v>
      </c>
      <c r="E39" s="180"/>
    </row>
    <row r="40" spans="1:5" ht="19.5" customHeight="1">
      <c r="A40" s="28"/>
      <c r="B40" s="158"/>
      <c r="C40" s="29">
        <v>2</v>
      </c>
      <c r="D40" s="28"/>
      <c r="E40" s="180"/>
    </row>
    <row r="41" spans="1:5" ht="20.100000000000001" customHeight="1">
      <c r="A41" s="28"/>
      <c r="B41" s="158"/>
      <c r="C41" s="20"/>
      <c r="D41" s="28"/>
      <c r="E41" s="180"/>
    </row>
    <row r="42" spans="1:5" ht="20.100000000000001" customHeight="1">
      <c r="A42" s="28"/>
      <c r="B42" s="185" t="s">
        <v>56</v>
      </c>
      <c r="C42" s="170"/>
      <c r="D42" s="174"/>
      <c r="E42" s="180"/>
    </row>
    <row r="43" spans="1:5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180"/>
    </row>
    <row r="44" spans="1:5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180"/>
    </row>
    <row r="45" spans="1:5" ht="20.100000000000001" customHeight="1">
      <c r="A45" s="28">
        <v>3</v>
      </c>
      <c r="B45" s="156" t="s">
        <v>165</v>
      </c>
      <c r="C45" s="20" t="s">
        <v>258</v>
      </c>
      <c r="D45" s="28" t="s">
        <v>75</v>
      </c>
      <c r="E45" s="180"/>
    </row>
    <row r="46" spans="1:5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180"/>
    </row>
    <row r="47" spans="1:5" ht="20.100000000000001" customHeight="1">
      <c r="A47" s="28">
        <v>5</v>
      </c>
      <c r="B47" s="156" t="s">
        <v>118</v>
      </c>
      <c r="C47" s="20" t="s">
        <v>258</v>
      </c>
      <c r="D47" s="28" t="s">
        <v>148</v>
      </c>
      <c r="E47" s="180"/>
    </row>
    <row r="48" spans="1:5" ht="20.100000000000001" customHeight="1">
      <c r="A48" s="28">
        <v>6</v>
      </c>
      <c r="B48" s="156" t="s">
        <v>205</v>
      </c>
      <c r="C48" s="20" t="s">
        <v>78</v>
      </c>
      <c r="D48" s="28" t="s">
        <v>181</v>
      </c>
      <c r="E48" s="180"/>
    </row>
    <row r="49" spans="1:5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180"/>
    </row>
    <row r="50" spans="1:5" ht="20.100000000000001" customHeight="1">
      <c r="A50" s="28">
        <v>8</v>
      </c>
      <c r="B50" s="156" t="s">
        <v>116</v>
      </c>
      <c r="C50" s="20" t="s">
        <v>297</v>
      </c>
      <c r="D50" s="28" t="s">
        <v>162</v>
      </c>
      <c r="E50" s="180"/>
    </row>
    <row r="51" spans="1:5" ht="20.100000000000001" customHeight="1">
      <c r="A51" s="28">
        <v>9</v>
      </c>
      <c r="B51" s="156" t="s">
        <v>184</v>
      </c>
      <c r="C51" s="20" t="s">
        <v>80</v>
      </c>
      <c r="D51" s="28" t="s">
        <v>170</v>
      </c>
      <c r="E51" s="180"/>
    </row>
    <row r="52" spans="1:5" ht="20.100000000000001" customHeight="1">
      <c r="A52" s="28">
        <v>10</v>
      </c>
      <c r="B52" s="156" t="s">
        <v>420</v>
      </c>
      <c r="C52" s="20" t="s">
        <v>84</v>
      </c>
      <c r="D52" s="28" t="s">
        <v>428</v>
      </c>
      <c r="E52" s="180"/>
    </row>
    <row r="53" spans="1:5" ht="20.100000000000001" customHeight="1">
      <c r="A53" s="28">
        <v>11</v>
      </c>
      <c r="B53" s="156" t="s">
        <v>435</v>
      </c>
      <c r="C53" s="20" t="s">
        <v>84</v>
      </c>
      <c r="D53" s="28" t="s">
        <v>428</v>
      </c>
      <c r="E53" s="180"/>
    </row>
    <row r="54" spans="1:5" ht="20.100000000000001" customHeight="1">
      <c r="A54" s="28">
        <v>12</v>
      </c>
      <c r="B54" s="156" t="s">
        <v>452</v>
      </c>
      <c r="C54" s="20" t="s">
        <v>84</v>
      </c>
      <c r="D54" s="28" t="s">
        <v>428</v>
      </c>
      <c r="E54" s="180"/>
    </row>
    <row r="55" spans="1:5" ht="25.5" customHeight="1">
      <c r="A55" s="28"/>
      <c r="B55" s="159" t="s">
        <v>15</v>
      </c>
      <c r="C55" s="29">
        <v>12</v>
      </c>
      <c r="D55" s="29"/>
      <c r="E55" s="180"/>
    </row>
    <row r="56" spans="1:5" ht="20.100000000000001" customHeight="1">
      <c r="A56" s="28"/>
      <c r="B56" s="123"/>
      <c r="C56" s="29"/>
      <c r="D56" s="29"/>
      <c r="E56" s="180"/>
    </row>
    <row r="57" spans="1:5" ht="20.100000000000001" customHeight="1">
      <c r="A57" s="28"/>
      <c r="B57" s="159" t="s">
        <v>195</v>
      </c>
      <c r="C57" s="29"/>
      <c r="D57" s="29"/>
      <c r="E57" s="180"/>
    </row>
    <row r="58" spans="1:5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180"/>
    </row>
    <row r="59" spans="1:5" ht="20.100000000000001" customHeight="1">
      <c r="A59" s="28">
        <v>2</v>
      </c>
      <c r="B59" s="156" t="s">
        <v>276</v>
      </c>
      <c r="C59" s="161" t="s">
        <v>340</v>
      </c>
      <c r="D59" s="181" t="s">
        <v>412</v>
      </c>
      <c r="E59" s="180"/>
    </row>
    <row r="60" spans="1:5" ht="20.100000000000001" customHeight="1">
      <c r="A60" s="28"/>
      <c r="B60" s="159" t="s">
        <v>15</v>
      </c>
      <c r="C60" s="29">
        <v>2</v>
      </c>
      <c r="D60" s="29"/>
      <c r="E60" s="180"/>
    </row>
    <row r="61" spans="1:5" ht="20.100000000000001" customHeight="1">
      <c r="A61" s="28"/>
      <c r="B61" s="159"/>
      <c r="C61" s="29"/>
      <c r="D61" s="29"/>
      <c r="E61" s="180"/>
    </row>
    <row r="62" spans="1:5" ht="20.100000000000001" customHeight="1">
      <c r="A62" s="28"/>
      <c r="B62" s="159" t="s">
        <v>461</v>
      </c>
      <c r="C62" s="29"/>
      <c r="D62" s="29"/>
      <c r="E62" s="180"/>
    </row>
    <row r="63" spans="1:5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180"/>
    </row>
    <row r="64" spans="1:5" ht="20.100000000000001" customHeight="1">
      <c r="A64" s="28">
        <v>2</v>
      </c>
      <c r="B64" s="157" t="s">
        <v>332</v>
      </c>
      <c r="C64" s="112" t="s">
        <v>188</v>
      </c>
      <c r="D64" s="181" t="s">
        <v>272</v>
      </c>
      <c r="E64" s="180"/>
    </row>
    <row r="65" spans="1:5" ht="20.100000000000001" customHeight="1">
      <c r="A65" s="28">
        <v>3</v>
      </c>
      <c r="B65" s="156" t="s">
        <v>189</v>
      </c>
      <c r="C65" s="20" t="s">
        <v>257</v>
      </c>
      <c r="D65" s="28" t="s">
        <v>170</v>
      </c>
      <c r="E65" s="180"/>
    </row>
    <row r="66" spans="1:5" ht="20.100000000000001" customHeight="1">
      <c r="A66" s="28">
        <v>4</v>
      </c>
      <c r="B66" s="157" t="s">
        <v>448</v>
      </c>
      <c r="C66" s="112" t="s">
        <v>257</v>
      </c>
      <c r="D66" s="181" t="s">
        <v>163</v>
      </c>
      <c r="E66" s="180"/>
    </row>
    <row r="67" spans="1:5" ht="20.100000000000001" customHeight="1">
      <c r="A67" s="28">
        <v>5</v>
      </c>
      <c r="B67" s="158" t="s">
        <v>229</v>
      </c>
      <c r="C67" s="112" t="s">
        <v>297</v>
      </c>
      <c r="D67" s="181" t="s">
        <v>181</v>
      </c>
      <c r="E67" s="180"/>
    </row>
    <row r="68" spans="1:5" ht="20.100000000000001" customHeight="1">
      <c r="A68" s="28">
        <v>6</v>
      </c>
      <c r="B68" s="158" t="s">
        <v>534</v>
      </c>
      <c r="C68" s="112" t="s">
        <v>297</v>
      </c>
      <c r="D68" s="181" t="s">
        <v>162</v>
      </c>
      <c r="E68" s="180"/>
    </row>
    <row r="69" spans="1:5" ht="20.100000000000001" customHeight="1">
      <c r="A69" s="28">
        <v>7</v>
      </c>
      <c r="B69" s="156" t="s">
        <v>117</v>
      </c>
      <c r="C69" s="20" t="s">
        <v>84</v>
      </c>
      <c r="D69" s="28" t="s">
        <v>369</v>
      </c>
      <c r="E69" s="180"/>
    </row>
    <row r="70" spans="1:5" ht="20.100000000000001" customHeight="1">
      <c r="A70" s="28">
        <v>8</v>
      </c>
      <c r="B70" s="156" t="s">
        <v>424</v>
      </c>
      <c r="C70" s="112" t="s">
        <v>422</v>
      </c>
      <c r="D70" s="181" t="s">
        <v>369</v>
      </c>
      <c r="E70" s="180"/>
    </row>
    <row r="71" spans="1:5" ht="20.100000000000001" customHeight="1">
      <c r="A71" s="28">
        <v>9</v>
      </c>
      <c r="B71" s="156" t="s">
        <v>423</v>
      </c>
      <c r="C71" s="112" t="s">
        <v>422</v>
      </c>
      <c r="D71" s="181" t="s">
        <v>369</v>
      </c>
      <c r="E71" s="180"/>
    </row>
    <row r="72" spans="1:5" ht="20.100000000000001" customHeight="1">
      <c r="A72" s="28">
        <v>10</v>
      </c>
      <c r="B72" s="156" t="s">
        <v>242</v>
      </c>
      <c r="C72" s="20" t="s">
        <v>484</v>
      </c>
      <c r="D72" s="28" t="s">
        <v>415</v>
      </c>
      <c r="E72" s="180"/>
    </row>
    <row r="73" spans="1:5" ht="20.100000000000001" customHeight="1">
      <c r="A73" s="28">
        <v>11</v>
      </c>
      <c r="B73" s="156" t="s">
        <v>322</v>
      </c>
      <c r="C73" s="112" t="s">
        <v>84</v>
      </c>
      <c r="D73" s="28" t="s">
        <v>207</v>
      </c>
      <c r="E73" s="180"/>
    </row>
    <row r="74" spans="1:5" ht="20.100000000000001" customHeight="1">
      <c r="A74" s="28">
        <v>12</v>
      </c>
      <c r="B74" s="156" t="s">
        <v>320</v>
      </c>
      <c r="C74" s="112" t="s">
        <v>115</v>
      </c>
      <c r="D74" s="28" t="s">
        <v>498</v>
      </c>
      <c r="E74" s="180"/>
    </row>
    <row r="75" spans="1:5" ht="20.100000000000001" customHeight="1">
      <c r="A75" s="28">
        <v>13</v>
      </c>
      <c r="B75" s="158" t="s">
        <v>321</v>
      </c>
      <c r="C75" s="112" t="s">
        <v>115</v>
      </c>
      <c r="D75" s="28" t="s">
        <v>176</v>
      </c>
      <c r="E75" s="180"/>
    </row>
    <row r="76" spans="1:5" ht="20.100000000000001" customHeight="1">
      <c r="A76" s="28"/>
      <c r="B76" s="159" t="s">
        <v>15</v>
      </c>
      <c r="C76" s="29">
        <v>13</v>
      </c>
      <c r="D76" s="29"/>
      <c r="E76" s="180"/>
    </row>
    <row r="77" spans="1:5" ht="20.100000000000001" customHeight="1">
      <c r="A77" s="28"/>
      <c r="B77" s="123"/>
      <c r="C77" s="29"/>
      <c r="D77" s="29"/>
      <c r="E77" s="180"/>
    </row>
    <row r="78" spans="1:5" ht="20.100000000000001" customHeight="1">
      <c r="A78" s="28"/>
      <c r="B78" s="159" t="s">
        <v>462</v>
      </c>
      <c r="C78" s="29"/>
      <c r="D78" s="29"/>
      <c r="E78" s="180"/>
    </row>
    <row r="79" spans="1:5" ht="20.100000000000001" customHeight="1">
      <c r="A79" s="28">
        <v>1</v>
      </c>
      <c r="B79" s="156" t="s">
        <v>19</v>
      </c>
      <c r="C79" s="20" t="s">
        <v>201</v>
      </c>
      <c r="D79" s="28" t="s">
        <v>161</v>
      </c>
      <c r="E79" s="180"/>
    </row>
    <row r="80" spans="1:5" ht="20.100000000000001" customHeight="1">
      <c r="A80" s="28">
        <v>2</v>
      </c>
      <c r="B80" s="158" t="s">
        <v>325</v>
      </c>
      <c r="C80" s="20" t="s">
        <v>245</v>
      </c>
      <c r="D80" s="181" t="s">
        <v>272</v>
      </c>
      <c r="E80" s="180"/>
    </row>
    <row r="81" spans="1:5" ht="20.100000000000001" customHeight="1">
      <c r="A81" s="28">
        <v>3</v>
      </c>
      <c r="B81" s="158" t="s">
        <v>326</v>
      </c>
      <c r="C81" s="20" t="s">
        <v>327</v>
      </c>
      <c r="D81" s="181" t="s">
        <v>272</v>
      </c>
      <c r="E81" s="180"/>
    </row>
    <row r="82" spans="1:5" ht="20.100000000000001" customHeight="1">
      <c r="A82" s="28">
        <v>4</v>
      </c>
      <c r="B82" s="156" t="s">
        <v>26</v>
      </c>
      <c r="C82" s="20" t="s">
        <v>296</v>
      </c>
      <c r="D82" s="181" t="s">
        <v>170</v>
      </c>
      <c r="E82" s="180"/>
    </row>
    <row r="83" spans="1:5" ht="20.100000000000001" customHeight="1">
      <c r="A83" s="28">
        <v>5</v>
      </c>
      <c r="B83" s="156" t="s">
        <v>324</v>
      </c>
      <c r="C83" s="20" t="s">
        <v>243</v>
      </c>
      <c r="D83" s="28" t="s">
        <v>207</v>
      </c>
      <c r="E83" s="180"/>
    </row>
    <row r="84" spans="1:5" ht="20.100000000000001" customHeight="1">
      <c r="A84" s="28"/>
      <c r="B84" s="159" t="s">
        <v>15</v>
      </c>
      <c r="C84" s="29">
        <v>5</v>
      </c>
      <c r="D84" s="29"/>
      <c r="E84" s="180"/>
    </row>
    <row r="85" spans="1:5" ht="20.100000000000001" customHeight="1">
      <c r="A85" s="28"/>
      <c r="B85" s="159"/>
      <c r="C85" s="29"/>
      <c r="D85" s="29"/>
      <c r="E85" s="180"/>
    </row>
    <row r="86" spans="1:5" ht="20.100000000000001" customHeight="1">
      <c r="A86" s="28"/>
      <c r="B86" s="159" t="s">
        <v>463</v>
      </c>
      <c r="C86" s="186"/>
      <c r="D86" s="29"/>
      <c r="E86" s="180"/>
    </row>
    <row r="87" spans="1:5" ht="20.100000000000001" customHeight="1">
      <c r="A87" s="28">
        <v>1</v>
      </c>
      <c r="B87" s="156" t="s">
        <v>169</v>
      </c>
      <c r="C87" s="20" t="s">
        <v>258</v>
      </c>
      <c r="D87" s="28" t="s">
        <v>75</v>
      </c>
      <c r="E87" s="180"/>
    </row>
    <row r="88" spans="1:5" ht="20.100000000000001" customHeight="1">
      <c r="A88" s="28">
        <v>2</v>
      </c>
      <c r="B88" s="156" t="s">
        <v>192</v>
      </c>
      <c r="C88" s="20" t="s">
        <v>258</v>
      </c>
      <c r="D88" s="28" t="s">
        <v>75</v>
      </c>
      <c r="E88" s="180"/>
    </row>
    <row r="89" spans="1:5" ht="20.100000000000001" customHeight="1">
      <c r="A89" s="28">
        <v>3</v>
      </c>
      <c r="B89" s="158" t="s">
        <v>138</v>
      </c>
      <c r="C89" s="20" t="s">
        <v>297</v>
      </c>
      <c r="D89" s="28" t="s">
        <v>174</v>
      </c>
      <c r="E89" s="180"/>
    </row>
    <row r="90" spans="1:5" ht="20.100000000000001" customHeight="1">
      <c r="A90" s="28">
        <v>4</v>
      </c>
      <c r="B90" s="156" t="s">
        <v>202</v>
      </c>
      <c r="C90" s="20" t="s">
        <v>78</v>
      </c>
      <c r="D90" s="28" t="s">
        <v>181</v>
      </c>
      <c r="E90" s="180"/>
    </row>
    <row r="91" spans="1:5" ht="21.6" customHeight="1">
      <c r="A91" s="28">
        <v>5</v>
      </c>
      <c r="B91" s="156" t="s">
        <v>101</v>
      </c>
      <c r="C91" s="20" t="s">
        <v>80</v>
      </c>
      <c r="D91" s="181" t="s">
        <v>170</v>
      </c>
      <c r="E91" s="180"/>
    </row>
    <row r="92" spans="1:5" ht="21.6" customHeight="1">
      <c r="A92" s="28">
        <v>6</v>
      </c>
      <c r="B92" s="156" t="s">
        <v>336</v>
      </c>
      <c r="C92" s="161" t="s">
        <v>257</v>
      </c>
      <c r="D92" s="181" t="s">
        <v>163</v>
      </c>
      <c r="E92" s="180"/>
    </row>
    <row r="93" spans="1:5" ht="21.6" customHeight="1">
      <c r="A93" s="28">
        <v>7</v>
      </c>
      <c r="B93" s="156" t="s">
        <v>337</v>
      </c>
      <c r="C93" s="161" t="s">
        <v>257</v>
      </c>
      <c r="D93" s="181" t="s">
        <v>163</v>
      </c>
      <c r="E93" s="180"/>
    </row>
    <row r="94" spans="1:5" ht="21.6" customHeight="1">
      <c r="A94" s="28">
        <v>8</v>
      </c>
      <c r="B94" s="156" t="s">
        <v>421</v>
      </c>
      <c r="C94" s="112" t="s">
        <v>422</v>
      </c>
      <c r="D94" s="181" t="s">
        <v>369</v>
      </c>
      <c r="E94" s="180"/>
    </row>
    <row r="95" spans="1:5" ht="21.6" customHeight="1">
      <c r="A95" s="28">
        <v>9</v>
      </c>
      <c r="B95" s="156" t="s">
        <v>436</v>
      </c>
      <c r="C95" s="20" t="s">
        <v>470</v>
      </c>
      <c r="D95" s="28" t="s">
        <v>104</v>
      </c>
      <c r="E95" s="180"/>
    </row>
    <row r="96" spans="1:5" ht="21.6" customHeight="1">
      <c r="A96" s="28">
        <v>10</v>
      </c>
      <c r="B96" s="156" t="s">
        <v>406</v>
      </c>
      <c r="C96" s="112" t="s">
        <v>432</v>
      </c>
      <c r="D96" s="181" t="s">
        <v>176</v>
      </c>
      <c r="E96" s="180"/>
    </row>
    <row r="97" spans="1:5" ht="20.100000000000001" customHeight="1">
      <c r="A97" s="28"/>
      <c r="B97" s="159" t="s">
        <v>15</v>
      </c>
      <c r="C97" s="29">
        <v>10</v>
      </c>
      <c r="D97" s="29"/>
      <c r="E97" s="180"/>
    </row>
    <row r="98" spans="1:5" ht="20.100000000000001" customHeight="1">
      <c r="A98" s="28"/>
      <c r="B98" s="123"/>
      <c r="C98" s="29"/>
      <c r="D98" s="29"/>
      <c r="E98" s="180"/>
    </row>
    <row r="99" spans="1:5" ht="20.100000000000001" customHeight="1">
      <c r="A99" s="28"/>
      <c r="B99" s="159" t="s">
        <v>464</v>
      </c>
      <c r="C99" s="29"/>
      <c r="D99" s="29"/>
      <c r="E99" s="180"/>
    </row>
    <row r="100" spans="1:5" ht="20.100000000000001" customHeight="1">
      <c r="A100" s="28">
        <v>1</v>
      </c>
      <c r="B100" s="157" t="s">
        <v>364</v>
      </c>
      <c r="C100" s="28" t="s">
        <v>343</v>
      </c>
      <c r="D100" s="181" t="s">
        <v>221</v>
      </c>
      <c r="E100" s="180"/>
    </row>
    <row r="101" spans="1:5" ht="20.100000000000001" customHeight="1">
      <c r="A101" s="28">
        <v>2</v>
      </c>
      <c r="B101" s="156" t="s">
        <v>185</v>
      </c>
      <c r="C101" s="20" t="s">
        <v>373</v>
      </c>
      <c r="D101" s="28" t="s">
        <v>181</v>
      </c>
      <c r="E101" s="180"/>
    </row>
    <row r="102" spans="1:5" ht="20.100000000000001" customHeight="1">
      <c r="A102" s="28">
        <v>3</v>
      </c>
      <c r="B102" s="156" t="s">
        <v>237</v>
      </c>
      <c r="C102" s="20" t="s">
        <v>483</v>
      </c>
      <c r="D102" s="181" t="s">
        <v>415</v>
      </c>
      <c r="E102" s="180"/>
    </row>
    <row r="103" spans="1:5" ht="20.100000000000001" customHeight="1">
      <c r="A103" s="28">
        <v>4</v>
      </c>
      <c r="B103" s="156" t="s">
        <v>345</v>
      </c>
      <c r="C103" s="20" t="s">
        <v>541</v>
      </c>
      <c r="D103" s="181" t="s">
        <v>267</v>
      </c>
      <c r="E103" s="180"/>
    </row>
    <row r="104" spans="1:5" ht="20.100000000000001" customHeight="1">
      <c r="A104" s="20"/>
      <c r="B104" s="159" t="s">
        <v>15</v>
      </c>
      <c r="C104" s="29">
        <v>4</v>
      </c>
      <c r="D104" s="187"/>
      <c r="E104" s="180"/>
    </row>
    <row r="105" spans="1:5" ht="20.100000000000001" customHeight="1">
      <c r="A105" s="20"/>
      <c r="B105" s="123"/>
      <c r="C105" s="29"/>
      <c r="D105" s="187"/>
      <c r="E105" s="180"/>
    </row>
    <row r="106" spans="1:5" ht="20.100000000000001" customHeight="1">
      <c r="A106" s="20"/>
      <c r="B106" s="159" t="s">
        <v>465</v>
      </c>
      <c r="C106" s="20"/>
      <c r="D106" s="20"/>
      <c r="E106" s="180"/>
    </row>
    <row r="107" spans="1:5" ht="20.100000000000001" customHeight="1">
      <c r="A107" s="20">
        <v>1</v>
      </c>
      <c r="B107" s="156" t="s">
        <v>216</v>
      </c>
      <c r="C107" s="161" t="s">
        <v>217</v>
      </c>
      <c r="D107" s="181" t="s">
        <v>161</v>
      </c>
      <c r="E107" s="180"/>
    </row>
    <row r="108" spans="1:5" ht="20.100000000000001" customHeight="1">
      <c r="A108" s="20">
        <v>2</v>
      </c>
      <c r="B108" s="156" t="s">
        <v>110</v>
      </c>
      <c r="C108" s="20" t="s">
        <v>259</v>
      </c>
      <c r="D108" s="24" t="s">
        <v>221</v>
      </c>
      <c r="E108" s="180"/>
    </row>
    <row r="109" spans="1:5" ht="20.100000000000001" customHeight="1">
      <c r="A109" s="20">
        <v>3</v>
      </c>
      <c r="B109" s="156" t="s">
        <v>109</v>
      </c>
      <c r="C109" s="20" t="s">
        <v>311</v>
      </c>
      <c r="D109" s="28" t="s">
        <v>175</v>
      </c>
      <c r="E109" s="180"/>
    </row>
    <row r="110" spans="1:5" ht="20.100000000000001" customHeight="1">
      <c r="A110" s="20">
        <v>4</v>
      </c>
      <c r="B110" s="156" t="s">
        <v>135</v>
      </c>
      <c r="C110" s="20" t="s">
        <v>311</v>
      </c>
      <c r="D110" s="28" t="s">
        <v>175</v>
      </c>
      <c r="E110" s="180"/>
    </row>
    <row r="111" spans="1:5" ht="20.100000000000001" customHeight="1">
      <c r="A111" s="20">
        <v>5</v>
      </c>
      <c r="B111" s="156" t="s">
        <v>240</v>
      </c>
      <c r="C111" s="20" t="s">
        <v>338</v>
      </c>
      <c r="D111" s="181" t="s">
        <v>499</v>
      </c>
      <c r="E111" s="180"/>
    </row>
    <row r="112" spans="1:5" ht="20.100000000000001" customHeight="1">
      <c r="A112" s="20">
        <v>6</v>
      </c>
      <c r="B112" s="157" t="s">
        <v>341</v>
      </c>
      <c r="C112" s="20" t="s">
        <v>338</v>
      </c>
      <c r="D112" s="28" t="s">
        <v>267</v>
      </c>
      <c r="E112" s="180"/>
    </row>
    <row r="113" spans="1:5" ht="20.100000000000001" customHeight="1">
      <c r="A113" s="20">
        <v>7</v>
      </c>
      <c r="B113" s="157" t="s">
        <v>374</v>
      </c>
      <c r="C113" s="20" t="s">
        <v>338</v>
      </c>
      <c r="D113" s="181" t="s">
        <v>176</v>
      </c>
      <c r="E113" s="180"/>
    </row>
    <row r="114" spans="1:5" ht="25.5" customHeight="1">
      <c r="A114" s="20"/>
      <c r="B114" s="159" t="s">
        <v>15</v>
      </c>
      <c r="C114" s="29">
        <v>7</v>
      </c>
      <c r="D114" s="20"/>
      <c r="E114" s="180"/>
    </row>
    <row r="115" spans="1:5" ht="20.100000000000001" customHeight="1">
      <c r="A115" s="20"/>
      <c r="B115" s="159"/>
      <c r="C115" s="29"/>
      <c r="D115" s="20"/>
      <c r="E115" s="180"/>
    </row>
    <row r="116" spans="1:5" ht="20.100000000000001" customHeight="1">
      <c r="A116" s="28"/>
      <c r="B116" s="159" t="s">
        <v>542</v>
      </c>
      <c r="C116" s="29"/>
      <c r="D116" s="29"/>
      <c r="E116" s="180"/>
    </row>
    <row r="117" spans="1:5" ht="20.100000000000001" customHeight="1">
      <c r="A117" s="28">
        <v>1</v>
      </c>
      <c r="B117" s="156" t="s">
        <v>182</v>
      </c>
      <c r="C117" s="112" t="s">
        <v>422</v>
      </c>
      <c r="D117" s="181" t="s">
        <v>497</v>
      </c>
      <c r="E117" s="180"/>
    </row>
    <row r="118" spans="1:5" ht="18.75" customHeight="1">
      <c r="A118" s="28">
        <v>2</v>
      </c>
      <c r="B118" s="156" t="s">
        <v>247</v>
      </c>
      <c r="C118" s="20" t="s">
        <v>477</v>
      </c>
      <c r="D118" s="181" t="s">
        <v>415</v>
      </c>
      <c r="E118" s="180"/>
    </row>
    <row r="119" spans="1:5" ht="24.75" customHeight="1">
      <c r="A119" s="20"/>
      <c r="B119" s="159" t="s">
        <v>15</v>
      </c>
      <c r="C119" s="29">
        <v>2</v>
      </c>
      <c r="D119" s="187"/>
      <c r="E119" s="180"/>
    </row>
    <row r="120" spans="1:5" ht="20.100000000000001" customHeight="1">
      <c r="A120" s="20"/>
      <c r="B120" s="159"/>
      <c r="C120" s="29"/>
      <c r="D120" s="20"/>
      <c r="E120" s="180"/>
    </row>
    <row r="121" spans="1:5" ht="20.100000000000001" customHeight="1">
      <c r="A121" s="20"/>
      <c r="B121" s="159" t="s">
        <v>466</v>
      </c>
      <c r="C121" s="29"/>
      <c r="D121" s="29"/>
      <c r="E121" s="180"/>
    </row>
    <row r="122" spans="1:5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180"/>
    </row>
    <row r="123" spans="1:5" ht="20.100000000000001" customHeight="1">
      <c r="A123" s="20">
        <v>2</v>
      </c>
      <c r="B123" s="156" t="s">
        <v>100</v>
      </c>
      <c r="C123" s="161" t="s">
        <v>268</v>
      </c>
      <c r="D123" s="181" t="s">
        <v>160</v>
      </c>
      <c r="E123" s="180"/>
    </row>
    <row r="124" spans="1:5" ht="20.100000000000001" customHeight="1">
      <c r="A124" s="20">
        <v>3</v>
      </c>
      <c r="B124" s="156" t="s">
        <v>153</v>
      </c>
      <c r="C124" s="161" t="s">
        <v>376</v>
      </c>
      <c r="D124" s="181" t="s">
        <v>75</v>
      </c>
      <c r="E124" s="180"/>
    </row>
    <row r="125" spans="1:5" ht="20.100000000000001" customHeight="1">
      <c r="A125" s="20">
        <v>4</v>
      </c>
      <c r="B125" s="158" t="s">
        <v>142</v>
      </c>
      <c r="C125" s="161" t="s">
        <v>376</v>
      </c>
      <c r="D125" s="181" t="s">
        <v>75</v>
      </c>
      <c r="E125" s="180"/>
    </row>
    <row r="126" spans="1:5" ht="20.100000000000001" customHeight="1">
      <c r="A126" s="20">
        <v>5</v>
      </c>
      <c r="B126" s="158" t="s">
        <v>363</v>
      </c>
      <c r="C126" s="161" t="s">
        <v>376</v>
      </c>
      <c r="D126" s="181" t="s">
        <v>30</v>
      </c>
      <c r="E126" s="180"/>
    </row>
    <row r="127" spans="1:5" ht="20.100000000000001" customHeight="1">
      <c r="A127" s="20">
        <v>6</v>
      </c>
      <c r="B127" s="156" t="s">
        <v>108</v>
      </c>
      <c r="C127" s="161" t="s">
        <v>476</v>
      </c>
      <c r="D127" s="181" t="s">
        <v>162</v>
      </c>
      <c r="E127" s="180"/>
    </row>
    <row r="128" spans="1:5" ht="20.100000000000001" customHeight="1">
      <c r="A128" s="20">
        <v>7</v>
      </c>
      <c r="B128" s="156" t="s">
        <v>178</v>
      </c>
      <c r="C128" s="161" t="s">
        <v>382</v>
      </c>
      <c r="D128" s="181" t="s">
        <v>170</v>
      </c>
      <c r="E128" s="180"/>
    </row>
    <row r="129" spans="1:5" ht="20.100000000000001" customHeight="1">
      <c r="A129" s="20">
        <v>8</v>
      </c>
      <c r="B129" s="156" t="s">
        <v>134</v>
      </c>
      <c r="C129" s="161" t="s">
        <v>384</v>
      </c>
      <c r="D129" s="181" t="s">
        <v>170</v>
      </c>
      <c r="E129" s="180"/>
    </row>
    <row r="130" spans="1:5" ht="20.100000000000001" customHeight="1">
      <c r="A130" s="20">
        <v>9</v>
      </c>
      <c r="B130" s="156" t="s">
        <v>443</v>
      </c>
      <c r="C130" s="161" t="s">
        <v>447</v>
      </c>
      <c r="D130" s="28" t="s">
        <v>498</v>
      </c>
      <c r="E130" s="180"/>
    </row>
    <row r="131" spans="1:5" ht="20.100000000000001" customHeight="1">
      <c r="A131" s="20">
        <v>10</v>
      </c>
      <c r="B131" s="157" t="s">
        <v>439</v>
      </c>
      <c r="C131" s="161" t="s">
        <v>440</v>
      </c>
      <c r="D131" s="181" t="s">
        <v>105</v>
      </c>
      <c r="E131" s="180"/>
    </row>
    <row r="132" spans="1:5" ht="20.100000000000001" customHeight="1">
      <c r="A132" s="20"/>
      <c r="B132" s="159" t="s">
        <v>15</v>
      </c>
      <c r="C132" s="187" t="s">
        <v>543</v>
      </c>
      <c r="D132" s="181"/>
      <c r="E132" s="180"/>
    </row>
    <row r="133" spans="1:5" ht="20.100000000000001" customHeight="1">
      <c r="A133" s="20"/>
      <c r="B133" s="123"/>
      <c r="C133" s="187"/>
      <c r="D133" s="181"/>
      <c r="E133" s="180"/>
    </row>
    <row r="134" spans="1:5" ht="20.100000000000001" customHeight="1">
      <c r="A134" s="20"/>
      <c r="B134" s="159" t="s">
        <v>467</v>
      </c>
      <c r="C134" s="161"/>
      <c r="D134" s="181"/>
      <c r="E134" s="180"/>
    </row>
    <row r="135" spans="1:5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180"/>
    </row>
    <row r="136" spans="1:5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180"/>
    </row>
    <row r="137" spans="1:5" ht="20.100000000000001" customHeight="1">
      <c r="A137" s="191">
        <v>3</v>
      </c>
      <c r="B137" s="158" t="s">
        <v>183</v>
      </c>
      <c r="C137" s="20" t="s">
        <v>486</v>
      </c>
      <c r="D137" s="24" t="s">
        <v>221</v>
      </c>
      <c r="E137" s="180"/>
    </row>
    <row r="138" spans="1:5" ht="20.100000000000001" customHeight="1">
      <c r="A138" s="191">
        <v>4</v>
      </c>
      <c r="B138" s="156" t="s">
        <v>106</v>
      </c>
      <c r="C138" s="161" t="s">
        <v>381</v>
      </c>
      <c r="D138" s="181" t="s">
        <v>181</v>
      </c>
      <c r="E138" s="180"/>
    </row>
    <row r="139" spans="1:5" ht="20.100000000000001" customHeight="1">
      <c r="A139" s="191">
        <v>5</v>
      </c>
      <c r="B139" s="156" t="s">
        <v>7</v>
      </c>
      <c r="C139" s="20" t="s">
        <v>385</v>
      </c>
      <c r="D139" s="181" t="s">
        <v>181</v>
      </c>
      <c r="E139" s="180"/>
    </row>
    <row r="140" spans="1:5" ht="20.100000000000001" customHeight="1">
      <c r="A140" s="191">
        <v>6</v>
      </c>
      <c r="B140" s="156" t="s">
        <v>124</v>
      </c>
      <c r="C140" s="20" t="s">
        <v>235</v>
      </c>
      <c r="D140" s="181" t="s">
        <v>170</v>
      </c>
      <c r="E140" s="180"/>
    </row>
    <row r="141" spans="1:5" ht="20.100000000000001" customHeight="1">
      <c r="A141" s="191">
        <v>7</v>
      </c>
      <c r="B141" s="156" t="s">
        <v>102</v>
      </c>
      <c r="C141" s="161" t="s">
        <v>395</v>
      </c>
      <c r="D141" s="181" t="s">
        <v>497</v>
      </c>
      <c r="E141" s="180"/>
    </row>
    <row r="142" spans="1:5" ht="20.100000000000001" customHeight="1">
      <c r="A142" s="191">
        <v>8</v>
      </c>
      <c r="B142" s="156" t="s">
        <v>103</v>
      </c>
      <c r="C142" s="161" t="s">
        <v>395</v>
      </c>
      <c r="D142" s="181" t="s">
        <v>497</v>
      </c>
      <c r="E142" s="180"/>
    </row>
    <row r="143" spans="1:5" ht="20.100000000000001" customHeight="1">
      <c r="A143" s="191">
        <v>9</v>
      </c>
      <c r="B143" s="156" t="s">
        <v>151</v>
      </c>
      <c r="C143" s="20" t="s">
        <v>235</v>
      </c>
      <c r="D143" s="181" t="s">
        <v>497</v>
      </c>
      <c r="E143" s="180"/>
    </row>
    <row r="144" spans="1:5" ht="20.100000000000001" customHeight="1">
      <c r="A144" s="191">
        <v>10</v>
      </c>
      <c r="B144" s="156" t="s">
        <v>238</v>
      </c>
      <c r="C144" s="161" t="s">
        <v>546</v>
      </c>
      <c r="D144" s="181" t="s">
        <v>415</v>
      </c>
      <c r="E144" s="180"/>
    </row>
    <row r="145" spans="1:5" ht="20.100000000000001" customHeight="1">
      <c r="A145" s="191">
        <v>11</v>
      </c>
      <c r="B145" s="156" t="s">
        <v>53</v>
      </c>
      <c r="C145" s="161" t="s">
        <v>300</v>
      </c>
      <c r="D145" s="181" t="s">
        <v>27</v>
      </c>
      <c r="E145" s="180"/>
    </row>
    <row r="146" spans="1:5" ht="20.100000000000001" customHeight="1">
      <c r="A146" s="191">
        <v>12</v>
      </c>
      <c r="B146" s="156" t="s">
        <v>179</v>
      </c>
      <c r="C146" s="161" t="s">
        <v>479</v>
      </c>
      <c r="D146" s="181" t="s">
        <v>497</v>
      </c>
      <c r="E146" s="180"/>
    </row>
    <row r="147" spans="1:5" ht="20.100000000000001" customHeight="1">
      <c r="A147" s="191">
        <v>13</v>
      </c>
      <c r="B147" s="157" t="s">
        <v>293</v>
      </c>
      <c r="C147" s="20" t="s">
        <v>438</v>
      </c>
      <c r="D147" s="181" t="s">
        <v>27</v>
      </c>
      <c r="E147" s="180"/>
    </row>
    <row r="148" spans="1:5" ht="20.100000000000001" customHeight="1">
      <c r="A148" s="191">
        <v>14</v>
      </c>
      <c r="B148" s="156" t="s">
        <v>488</v>
      </c>
      <c r="C148" s="20" t="s">
        <v>239</v>
      </c>
      <c r="D148" s="181" t="s">
        <v>207</v>
      </c>
      <c r="E148" s="180"/>
    </row>
    <row r="149" spans="1:5" ht="20.100000000000001" customHeight="1">
      <c r="A149" s="191">
        <v>15</v>
      </c>
      <c r="B149" s="156" t="s">
        <v>489</v>
      </c>
      <c r="C149" s="20" t="s">
        <v>239</v>
      </c>
      <c r="D149" s="181" t="s">
        <v>164</v>
      </c>
      <c r="E149" s="180"/>
    </row>
    <row r="150" spans="1:5" ht="20.100000000000001" customHeight="1">
      <c r="A150" s="191">
        <v>16</v>
      </c>
      <c r="B150" s="156" t="s">
        <v>212</v>
      </c>
      <c r="C150" s="20" t="s">
        <v>239</v>
      </c>
      <c r="D150" s="181" t="s">
        <v>164</v>
      </c>
      <c r="E150" s="180"/>
    </row>
    <row r="151" spans="1:5" ht="20.100000000000001" customHeight="1">
      <c r="A151" s="191">
        <v>17</v>
      </c>
      <c r="B151" s="156" t="s">
        <v>425</v>
      </c>
      <c r="C151" s="161" t="s">
        <v>430</v>
      </c>
      <c r="D151" s="181" t="s">
        <v>104</v>
      </c>
      <c r="E151" s="180"/>
    </row>
    <row r="152" spans="1:5" ht="20.100000000000001" customHeight="1">
      <c r="A152" s="191">
        <v>18</v>
      </c>
      <c r="B152" s="156" t="s">
        <v>437</v>
      </c>
      <c r="C152" s="161" t="s">
        <v>438</v>
      </c>
      <c r="D152" s="28" t="s">
        <v>428</v>
      </c>
      <c r="E152" s="180"/>
    </row>
    <row r="153" spans="1:5" ht="20.100000000000001" customHeight="1">
      <c r="A153" s="191">
        <v>19</v>
      </c>
      <c r="B153" s="156" t="s">
        <v>230</v>
      </c>
      <c r="C153" s="161" t="s">
        <v>485</v>
      </c>
      <c r="D153" s="181" t="s">
        <v>207</v>
      </c>
      <c r="E153" s="180"/>
    </row>
    <row r="154" spans="1:5" ht="20.100000000000001" customHeight="1">
      <c r="A154" s="191">
        <v>20</v>
      </c>
      <c r="B154" s="156" t="s">
        <v>57</v>
      </c>
      <c r="C154" s="161" t="s">
        <v>481</v>
      </c>
      <c r="D154" s="181" t="s">
        <v>498</v>
      </c>
      <c r="E154" s="180"/>
    </row>
    <row r="155" spans="1:5" ht="20.100000000000001" customHeight="1">
      <c r="A155" s="191">
        <v>21</v>
      </c>
      <c r="B155" s="156" t="s">
        <v>251</v>
      </c>
      <c r="C155" s="161" t="s">
        <v>482</v>
      </c>
      <c r="D155" s="181" t="s">
        <v>207</v>
      </c>
      <c r="E155" s="180"/>
    </row>
    <row r="156" spans="1:5" ht="20.100000000000001" customHeight="1">
      <c r="A156" s="191">
        <v>22</v>
      </c>
      <c r="B156" s="156" t="s">
        <v>241</v>
      </c>
      <c r="C156" s="161" t="s">
        <v>348</v>
      </c>
      <c r="D156" s="181" t="s">
        <v>498</v>
      </c>
      <c r="E156" s="180"/>
    </row>
    <row r="157" spans="1:5" ht="20.100000000000001" customHeight="1">
      <c r="A157" s="191">
        <v>23</v>
      </c>
      <c r="B157" s="157" t="s">
        <v>289</v>
      </c>
      <c r="C157" s="161" t="s">
        <v>290</v>
      </c>
      <c r="D157" s="181" t="s">
        <v>267</v>
      </c>
      <c r="E157" s="180"/>
    </row>
    <row r="158" spans="1:5" ht="20.100000000000001" customHeight="1">
      <c r="A158" s="191">
        <v>24</v>
      </c>
      <c r="B158" s="157" t="s">
        <v>407</v>
      </c>
      <c r="C158" s="161" t="s">
        <v>131</v>
      </c>
      <c r="D158" s="181" t="s">
        <v>105</v>
      </c>
      <c r="E158" s="180"/>
    </row>
    <row r="159" spans="1:5" ht="20.100000000000001" customHeight="1">
      <c r="A159" s="191">
        <v>25</v>
      </c>
      <c r="B159" s="157" t="s">
        <v>426</v>
      </c>
      <c r="C159" s="161" t="s">
        <v>290</v>
      </c>
      <c r="D159" s="181" t="s">
        <v>105</v>
      </c>
      <c r="E159" s="180"/>
    </row>
    <row r="160" spans="1:5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180"/>
    </row>
    <row r="161" spans="1:5" ht="20.100000000000001" customHeight="1">
      <c r="A161" s="191">
        <v>27</v>
      </c>
      <c r="B161" s="157" t="s">
        <v>445</v>
      </c>
      <c r="C161" s="161" t="s">
        <v>446</v>
      </c>
      <c r="D161" s="181" t="s">
        <v>176</v>
      </c>
      <c r="E161" s="180"/>
    </row>
    <row r="162" spans="1:5" ht="20.100000000000001" customHeight="1">
      <c r="A162" s="191">
        <v>28</v>
      </c>
      <c r="B162" s="156" t="s">
        <v>22</v>
      </c>
      <c r="C162" s="161" t="s">
        <v>302</v>
      </c>
      <c r="D162" s="181" t="s">
        <v>501</v>
      </c>
      <c r="E162" s="180"/>
    </row>
    <row r="163" spans="1:5" ht="20.100000000000001" customHeight="1">
      <c r="A163" s="191">
        <v>29</v>
      </c>
      <c r="B163" s="156" t="s">
        <v>14</v>
      </c>
      <c r="C163" s="161" t="s">
        <v>302</v>
      </c>
      <c r="D163" s="181" t="s">
        <v>501</v>
      </c>
      <c r="E163" s="180"/>
    </row>
    <row r="164" spans="1:5" ht="20.100000000000001" customHeight="1">
      <c r="A164" s="191">
        <v>30</v>
      </c>
      <c r="B164" s="156" t="s">
        <v>23</v>
      </c>
      <c r="C164" s="161" t="s">
        <v>302</v>
      </c>
      <c r="D164" s="181" t="s">
        <v>501</v>
      </c>
      <c r="E164" s="180"/>
    </row>
    <row r="165" spans="1:5" ht="20.100000000000001" customHeight="1">
      <c r="A165" s="191">
        <v>31</v>
      </c>
      <c r="B165" s="156" t="s">
        <v>39</v>
      </c>
      <c r="C165" s="161" t="s">
        <v>302</v>
      </c>
      <c r="D165" s="181" t="s">
        <v>501</v>
      </c>
      <c r="E165" s="180"/>
    </row>
    <row r="166" spans="1:5" ht="20.100000000000001" customHeight="1">
      <c r="A166" s="191">
        <v>32</v>
      </c>
      <c r="B166" s="156" t="s">
        <v>40</v>
      </c>
      <c r="C166" s="161" t="s">
        <v>302</v>
      </c>
      <c r="D166" s="181" t="s">
        <v>501</v>
      </c>
      <c r="E166" s="180"/>
    </row>
    <row r="167" spans="1:5" ht="20.100000000000001" customHeight="1">
      <c r="A167" s="191">
        <v>33</v>
      </c>
      <c r="B167" s="156" t="s">
        <v>127</v>
      </c>
      <c r="C167" s="161" t="s">
        <v>302</v>
      </c>
      <c r="D167" s="181" t="s">
        <v>416</v>
      </c>
      <c r="E167" s="180"/>
    </row>
    <row r="168" spans="1:5" ht="20.100000000000001" customHeight="1">
      <c r="A168" s="191">
        <v>34</v>
      </c>
      <c r="B168" s="156" t="s">
        <v>128</v>
      </c>
      <c r="C168" s="161" t="s">
        <v>302</v>
      </c>
      <c r="D168" s="181" t="s">
        <v>416</v>
      </c>
      <c r="E168" s="180"/>
    </row>
    <row r="169" spans="1:5" ht="20.100000000000001" customHeight="1">
      <c r="A169" s="191">
        <v>35</v>
      </c>
      <c r="B169" s="156" t="s">
        <v>129</v>
      </c>
      <c r="C169" s="161" t="s">
        <v>302</v>
      </c>
      <c r="D169" s="181" t="s">
        <v>416</v>
      </c>
      <c r="E169" s="180"/>
    </row>
    <row r="170" spans="1:5" ht="20.100000000000001" customHeight="1">
      <c r="A170" s="191">
        <v>36</v>
      </c>
      <c r="B170" s="158" t="s">
        <v>136</v>
      </c>
      <c r="C170" s="161" t="s">
        <v>302</v>
      </c>
      <c r="D170" s="181" t="s">
        <v>416</v>
      </c>
      <c r="E170" s="180"/>
    </row>
    <row r="171" spans="1:5" ht="20.100000000000001" customHeight="1">
      <c r="A171" s="191">
        <v>37</v>
      </c>
      <c r="B171" s="156" t="s">
        <v>140</v>
      </c>
      <c r="C171" s="161" t="s">
        <v>302</v>
      </c>
      <c r="D171" s="181" t="s">
        <v>416</v>
      </c>
      <c r="E171" s="180"/>
    </row>
    <row r="172" spans="1:5" ht="20.100000000000001" customHeight="1">
      <c r="A172" s="191">
        <v>38</v>
      </c>
      <c r="B172" s="157" t="s">
        <v>152</v>
      </c>
      <c r="C172" s="161" t="s">
        <v>302</v>
      </c>
      <c r="D172" s="181" t="s">
        <v>416</v>
      </c>
      <c r="E172" s="180"/>
    </row>
    <row r="173" spans="1:5" ht="20.100000000000001" customHeight="1">
      <c r="A173" s="191">
        <v>39</v>
      </c>
      <c r="B173" s="157" t="s">
        <v>132</v>
      </c>
      <c r="C173" s="161" t="s">
        <v>302</v>
      </c>
      <c r="D173" s="181" t="s">
        <v>416</v>
      </c>
      <c r="E173" s="180"/>
    </row>
    <row r="174" spans="1:5" ht="20.100000000000001" customHeight="1">
      <c r="A174" s="191">
        <v>40</v>
      </c>
      <c r="B174" s="156" t="s">
        <v>231</v>
      </c>
      <c r="C174" s="161" t="s">
        <v>167</v>
      </c>
      <c r="D174" s="181" t="s">
        <v>263</v>
      </c>
      <c r="E174" s="180"/>
    </row>
    <row r="175" spans="1:5" ht="20.100000000000001" customHeight="1">
      <c r="A175" s="191">
        <v>41</v>
      </c>
      <c r="B175" s="156" t="s">
        <v>246</v>
      </c>
      <c r="C175" s="161" t="s">
        <v>167</v>
      </c>
      <c r="D175" s="181" t="s">
        <v>263</v>
      </c>
      <c r="E175" s="180"/>
    </row>
    <row r="176" spans="1:5" ht="20.100000000000001" customHeight="1">
      <c r="A176" s="191">
        <v>42</v>
      </c>
      <c r="B176" s="157" t="s">
        <v>166</v>
      </c>
      <c r="C176" s="161" t="s">
        <v>167</v>
      </c>
      <c r="D176" s="181" t="s">
        <v>223</v>
      </c>
      <c r="E176" s="180"/>
    </row>
    <row r="177" spans="1:5" ht="20.100000000000001" customHeight="1">
      <c r="A177" s="191">
        <v>43</v>
      </c>
      <c r="B177" s="156" t="s">
        <v>204</v>
      </c>
      <c r="C177" s="161" t="s">
        <v>167</v>
      </c>
      <c r="D177" s="181" t="s">
        <v>177</v>
      </c>
      <c r="E177" s="180"/>
    </row>
    <row r="178" spans="1:5" ht="20.100000000000001" customHeight="1">
      <c r="A178" s="191">
        <v>44</v>
      </c>
      <c r="B178" s="156" t="s">
        <v>209</v>
      </c>
      <c r="C178" s="161" t="s">
        <v>13</v>
      </c>
      <c r="D178" s="181" t="s">
        <v>502</v>
      </c>
      <c r="E178" s="180"/>
    </row>
    <row r="179" spans="1:5" ht="20.100000000000001" customHeight="1">
      <c r="A179" s="191">
        <v>45</v>
      </c>
      <c r="B179" s="156" t="s">
        <v>218</v>
      </c>
      <c r="C179" s="161" t="s">
        <v>13</v>
      </c>
      <c r="D179" s="181" t="s">
        <v>502</v>
      </c>
      <c r="E179" s="180"/>
    </row>
    <row r="180" spans="1:5" ht="20.100000000000001" customHeight="1">
      <c r="A180" s="191">
        <v>46</v>
      </c>
      <c r="B180" s="156" t="s">
        <v>219</v>
      </c>
      <c r="C180" s="161" t="s">
        <v>13</v>
      </c>
      <c r="D180" s="181" t="s">
        <v>502</v>
      </c>
      <c r="E180" s="180"/>
    </row>
    <row r="181" spans="1:5" ht="20.100000000000001" customHeight="1">
      <c r="A181" s="191">
        <v>47</v>
      </c>
      <c r="B181" s="156" t="s">
        <v>211</v>
      </c>
      <c r="C181" s="161" t="s">
        <v>13</v>
      </c>
      <c r="D181" s="181" t="s">
        <v>502</v>
      </c>
      <c r="E181" s="180"/>
    </row>
    <row r="182" spans="1:5" ht="20.100000000000001" customHeight="1">
      <c r="A182" s="191">
        <v>48</v>
      </c>
      <c r="B182" s="156" t="s">
        <v>213</v>
      </c>
      <c r="C182" s="161" t="s">
        <v>13</v>
      </c>
      <c r="D182" s="181" t="s">
        <v>502</v>
      </c>
      <c r="E182" s="180"/>
    </row>
    <row r="183" spans="1:5" ht="20.100000000000001" customHeight="1">
      <c r="A183" s="191">
        <v>49</v>
      </c>
      <c r="B183" s="157" t="s">
        <v>342</v>
      </c>
      <c r="C183" s="161" t="s">
        <v>13</v>
      </c>
      <c r="D183" s="181" t="s">
        <v>502</v>
      </c>
      <c r="E183" s="180"/>
    </row>
    <row r="184" spans="1:5" ht="20.100000000000001" customHeight="1">
      <c r="A184" s="191">
        <v>50</v>
      </c>
      <c r="B184" s="157" t="s">
        <v>405</v>
      </c>
      <c r="C184" s="161" t="s">
        <v>13</v>
      </c>
      <c r="D184" s="181" t="s">
        <v>502</v>
      </c>
      <c r="E184" s="180"/>
    </row>
    <row r="185" spans="1:5" ht="20.100000000000001" customHeight="1">
      <c r="A185" s="191">
        <v>51</v>
      </c>
      <c r="B185" s="156" t="s">
        <v>232</v>
      </c>
      <c r="C185" s="161" t="s">
        <v>167</v>
      </c>
      <c r="D185" s="181" t="s">
        <v>502</v>
      </c>
      <c r="E185" s="180"/>
    </row>
    <row r="186" spans="1:5" ht="20.100000000000001" customHeight="1">
      <c r="A186" s="191">
        <v>52</v>
      </c>
      <c r="B186" s="156" t="s">
        <v>233</v>
      </c>
      <c r="C186" s="161" t="s">
        <v>167</v>
      </c>
      <c r="D186" s="181" t="s">
        <v>502</v>
      </c>
      <c r="E186" s="180"/>
    </row>
    <row r="187" spans="1:5" ht="20.100000000000001" customHeight="1">
      <c r="A187" s="191">
        <v>53</v>
      </c>
      <c r="B187" s="157" t="s">
        <v>279</v>
      </c>
      <c r="C187" s="161" t="s">
        <v>13</v>
      </c>
      <c r="D187" s="181" t="s">
        <v>503</v>
      </c>
      <c r="E187" s="180"/>
    </row>
    <row r="188" spans="1:5" ht="20.100000000000001" customHeight="1">
      <c r="A188" s="191">
        <v>54</v>
      </c>
      <c r="B188" s="157" t="s">
        <v>403</v>
      </c>
      <c r="C188" s="161" t="s">
        <v>13</v>
      </c>
      <c r="D188" s="181" t="s">
        <v>264</v>
      </c>
      <c r="E188" s="180"/>
    </row>
    <row r="189" spans="1:5" ht="20.100000000000001" customHeight="1">
      <c r="A189" s="191"/>
      <c r="B189" s="177" t="s">
        <v>15</v>
      </c>
      <c r="C189" s="193" t="s">
        <v>544</v>
      </c>
      <c r="D189" s="22"/>
      <c r="E189" s="180"/>
    </row>
    <row r="190" spans="1:5" ht="32.25" customHeight="1">
      <c r="A190" s="20"/>
      <c r="B190" s="194" t="s">
        <v>8</v>
      </c>
      <c r="C190" s="195">
        <f>C35+C40+C55+C60+C76+C84+C97+C104+C114+C132+C189</f>
        <v>147</v>
      </c>
      <c r="D190" s="196"/>
      <c r="E190" s="180"/>
    </row>
    <row r="191" spans="1:5" ht="20.100000000000001" customHeight="1">
      <c r="B191" s="198"/>
      <c r="D191" s="199"/>
      <c r="E191" s="202"/>
    </row>
    <row r="192" spans="1:5" ht="65.25" customHeight="1">
      <c r="B192" s="198"/>
      <c r="C192" s="199"/>
      <c r="D192" s="199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39</vt:i4>
      </vt:variant>
    </vt:vector>
  </HeadingPairs>
  <TitlesOfParts>
    <vt:vector size="80" baseType="lpstr">
      <vt:lpstr>JANUARY 2024</vt:lpstr>
      <vt:lpstr>Sheet4</vt:lpstr>
      <vt:lpstr>MEMO 1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'JANUARY 2024'!Print_Area</vt:lpstr>
      <vt:lpstr>'JUNE 2023 (2)'!Print_Area</vt:lpstr>
      <vt:lpstr>'MEMO 1'!Print_Area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'Wage Grant'!Print_Area</vt:lpstr>
      <vt:lpstr>'Wage Grant (2)'!Print_Area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'JANUARY 2024'!Print_Titles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2024-02-09T08:53:41Z</cp:lastPrinted>
  <dcterms:created xsi:type="dcterms:W3CDTF">2008-06-27T10:36:45Z</dcterms:created>
  <dcterms:modified xsi:type="dcterms:W3CDTF">2026-03-29T19:03:59Z</dcterms:modified>
</cp:coreProperties>
</file>